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D:\A 氢能研究院\数智化工作\企业库\数据表-给博英\3.装备数据表\3.电解槽测试平台\"/>
    </mc:Choice>
  </mc:AlternateContent>
  <xr:revisionPtr revIDLastSave="0" documentId="13_ncr:1_{D99DE588-15A4-43AA-A0F1-5A0B336B30E0}" xr6:coauthVersionLast="47" xr6:coauthVersionMax="47" xr10:uidLastSave="{00000000-0000-0000-0000-000000000000}"/>
  <bookViews>
    <workbookView xWindow="29890" yWindow="-110" windowWidth="38620" windowHeight="21100" xr2:uid="{56E00D29-6D4B-4EE1-99FB-92C629FACD3E}"/>
  </bookViews>
  <sheets>
    <sheet name="电解槽-测试平台" sheetId="1" r:id="rId1"/>
  </sheets>
  <definedNames>
    <definedName name="_xlnm._FilterDatabase" localSheetId="0" hidden="1">'电解槽-测试平台'!$A$1:$J$27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F22" i="1" l="1"/>
  <c r="F21" i="1"/>
  <c r="F20" i="1"/>
  <c r="F17" i="1"/>
  <c r="F16" i="1"/>
  <c r="F15" i="1"/>
  <c r="F12" i="1"/>
  <c r="F11" i="1"/>
  <c r="F10" i="1"/>
  <c r="F9" i="1"/>
  <c r="F7" i="1"/>
  <c r="F6" i="1"/>
  <c r="F5" i="1"/>
  <c r="F4" i="1"/>
  <c r="F3" i="1"/>
  <c r="F2" i="1"/>
  <c r="E22" i="1"/>
  <c r="E21" i="1"/>
  <c r="E20" i="1"/>
  <c r="E17" i="1"/>
  <c r="E16" i="1"/>
  <c r="E15" i="1"/>
  <c r="E12" i="1"/>
  <c r="E11" i="1"/>
  <c r="E10" i="1"/>
  <c r="E9" i="1"/>
  <c r="E7" i="1"/>
  <c r="E6" i="1"/>
  <c r="E5" i="1"/>
  <c r="E4" i="1"/>
  <c r="E3" i="1"/>
  <c r="E2" i="1"/>
</calcChain>
</file>

<file path=xl/sharedStrings.xml><?xml version="1.0" encoding="utf-8"?>
<sst xmlns="http://schemas.openxmlformats.org/spreadsheetml/2006/main" count="187" uniqueCount="99">
  <si>
    <t>地点</t>
  </si>
  <si>
    <t>名称</t>
  </si>
  <si>
    <t>电解槽类型</t>
  </si>
  <si>
    <t>建成/运营时间</t>
  </si>
  <si>
    <t>用户</t>
  </si>
  <si>
    <t>设备提供</t>
  </si>
  <si>
    <t>检测服务范畴</t>
  </si>
  <si>
    <t>电解槽测试平台</t>
  </si>
  <si>
    <t>AE</t>
  </si>
  <si>
    <t>中国船舶重工集团公司第七一八研究所</t>
  </si>
  <si>
    <t>系统及材料</t>
  </si>
  <si>
    <t>20MW电解水制氢系统综合测试平台</t>
  </si>
  <si>
    <t>阳光氢能科技有限公司</t>
  </si>
  <si>
    <t>系统（4000Nm3/h）及材料</t>
  </si>
  <si>
    <t>https://mp.weixin.qq.com/s/XJLN4RVpAK9DhEHmLpOAvg</t>
  </si>
  <si>
    <t>中集集电先进绿氢装备及核心材料检测中心</t>
  </si>
  <si>
    <t>中集中电（扬州）制氢设备有限公司</t>
  </si>
  <si>
    <t>密封垫片、电极、电控系统、电源、容器、双极板、隔膜、加热器等</t>
  </si>
  <si>
    <t>https://mp.weixin.qq.com/s/kxCj-qrPWeqxY37zJ7JvwA</t>
  </si>
  <si>
    <t>5MW电解水测试平台</t>
  </si>
  <si>
    <t>航天长征化学工程股份有限公司</t>
  </si>
  <si>
    <t>10MW大型水电解制氢测试基地</t>
  </si>
  <si>
    <t>亿利氢田时代技术有限公司</t>
  </si>
  <si>
    <t>系统（1000~2000Nm3/h）</t>
  </si>
  <si>
    <t>https://mp.weixin.qq.com/s/CU4tZgztqdfwB4Da4l9hmg</t>
  </si>
  <si>
    <t>20MW级电解槽整机试验平台</t>
  </si>
  <si>
    <t>三一氢能有限公司</t>
  </si>
  <si>
    <t>系统，电极、隔膜</t>
  </si>
  <si>
    <t>https://mp.weixin.qq.com/s/AEopOd_xFFFB45O1gXx4tg</t>
  </si>
  <si>
    <t>8MW大型碱性电解水制氢机组稳暂态特性试验检测平台</t>
  </si>
  <si>
    <t>中国能建北京电力设备总厂</t>
  </si>
  <si>
    <t>清华四川能源互联网研究院</t>
  </si>
  <si>
    <t>系统（500~1500Nm3/h）、整流器</t>
  </si>
  <si>
    <t>https://mp.weixin.qq.com/s/eyNUNJFrpAwgqejkEQMgXw</t>
  </si>
  <si>
    <t>华光环能电解水制氢系统测试中心</t>
  </si>
  <si>
    <t>无锡华光环保能源集团股份有限公司</t>
  </si>
  <si>
    <t>系统（2000Nm3/h及以下）</t>
  </si>
  <si>
    <t>https://mp.weixin.qq.com/s/KioUhrGjgNslYRxFYurreA</t>
  </si>
  <si>
    <t>12MW测试基地</t>
  </si>
  <si>
    <t>华商厦庚氢能技术（厦门）有限公司</t>
  </si>
  <si>
    <t>https://mp.weixin.qq.com/s/ooncvFofGyenHDAY2KQtkA</t>
  </si>
  <si>
    <t>中车株洲电力机车有限公司</t>
  </si>
  <si>
    <t>材料-部件-整机-系统（4000Nm3/h及以下）</t>
  </si>
  <si>
    <t>氢能检测平台</t>
  </si>
  <si>
    <t>广东盛氢制氢设备有限公司</t>
  </si>
  <si>
    <t>制氢设备（1-100Nm3/h）</t>
  </si>
  <si>
    <t>5MW测试平台</t>
  </si>
  <si>
    <t>未知</t>
  </si>
  <si>
    <t>四川亚联氢能科技股份有限公司</t>
  </si>
  <si>
    <t>5MW电解制氢系统测试平台</t>
  </si>
  <si>
    <t>亨通智能装备有限公司</t>
  </si>
  <si>
    <t>https://mp.weixin.qq.com/s/rDO_pDBtIfejc2z95_L4aQ</t>
  </si>
  <si>
    <t>20MW出厂测试平台</t>
  </si>
  <si>
    <t>江苏天合元氢科技有限公司</t>
  </si>
  <si>
    <t>电解槽</t>
  </si>
  <si>
    <t>https://mp.weixin.qq.com/s/JEEqAFQZUQo098F-_c_qsg</t>
  </si>
  <si>
    <t>5MW碱性电解槽测试平台</t>
  </si>
  <si>
    <t>国家能源集团（国能氢创）</t>
  </si>
  <si>
    <t>科威尔技术股份有限公司</t>
  </si>
  <si>
    <t>1000标方碱性电解槽完整测试能力</t>
  </si>
  <si>
    <t>https://mp.weixin.qq.com/s/L5n4e-67LWXLktYZrDG1Ug</t>
  </si>
  <si>
    <t>1200Nm3/h大型电解水制氢测试线</t>
  </si>
  <si>
    <t>福建龙净环保股份有限公司</t>
  </si>
  <si>
    <t>测试线</t>
  </si>
  <si>
    <t>https://mp.weixin.qq.com/s/DldEdO5za_G_8WpMWtEiPQ</t>
  </si>
  <si>
    <t>2.5MW PEM电解槽实证平台</t>
  </si>
  <si>
    <t>PEME</t>
  </si>
  <si>
    <t>中国华电科工集团有限公司</t>
  </si>
  <si>
    <t>电解槽（但听说还不能使用）</t>
  </si>
  <si>
    <t>https://mp.weixin.qq.com/s/FCbCDQyDAwpmDnxq7e2Oqg</t>
  </si>
  <si>
    <t>兆瓦级PEM电解槽综合测试平台</t>
  </si>
  <si>
    <t>上海氢盛创合能源科技有限公司</t>
  </si>
  <si>
    <t>https://mp.weixin.qq.com/s/wjNpv6hFFGHtDN68SXv2aQ</t>
  </si>
  <si>
    <t>无锡隆基氢能科技有限公司</t>
  </si>
  <si>
    <t>群消息</t>
  </si>
  <si>
    <t>30MW电解水制氢系统综合测试平台</t>
  </si>
  <si>
    <t>升级：系统（1000-3000Nm3/h），4*1000Nm3/h（多对1）</t>
  </si>
  <si>
    <t>https://mp.weixin.qq.com/s/FcskV6UndFCLM1eFTLK0-A</t>
  </si>
  <si>
    <t>8.5MW碱性电解槽测试台架</t>
  </si>
  <si>
    <t>鄂尔多斯新能源研究院</t>
  </si>
  <si>
    <t>设备已到位</t>
  </si>
  <si>
    <t>远景赤峰零碳氢氨项目测试平台</t>
  </si>
  <si>
    <t>远景集团</t>
  </si>
  <si>
    <t>6.5MW*2测试能力</t>
  </si>
  <si>
    <t>1MW PEM电解槽测试平台</t>
  </si>
  <si>
    <t>碱性电解槽测试平台（二期）</t>
  </si>
  <si>
    <t>40MW测试能力</t>
  </si>
  <si>
    <t>预计2026年建成</t>
  </si>
  <si>
    <t>制氢制氧科技研发项目暨制氢系统实验室</t>
  </si>
  <si>
    <t>华润（新能源）老河口有限公司</t>
  </si>
  <si>
    <t>2000Nm³/h及以下电解水制氢电源、电解槽与气液分离系统、纯化系统等部件和子系统的全功率测试平台以及4000Nm3/h以下电解水制氢系统的全功率测试平台</t>
  </si>
  <si>
    <t>https://mp.weixin.qq.com/s/dmF33__AtXG9-_s1zlIT4A</t>
  </si>
  <si>
    <t>新型电解槽工业化应用示范项目</t>
  </si>
  <si>
    <t>AE/PEME</t>
  </si>
  <si>
    <t>中石化新星新疆绿氢新能源有限公司</t>
  </si>
  <si>
    <t>1个使用晶闸管电源，可供3000Nm3/h或2000Nm3/h新型电解槽测试的台位；1个使用IGBT电源，可供2000Nm3/h方形电解槽和500Nm3/hPEM制氢设备耦合测试的台位</t>
  </si>
  <si>
    <t>https://mp.weixin.qq.com/s/-DtIW7ymEr23IdSkUmFN1w</t>
  </si>
  <si>
    <t>省A</t>
    <phoneticPr fontId="3" type="noConversion"/>
  </si>
  <si>
    <t>市A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</si>
</sst>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宋体"/>
      <family val="3"/>
      <charset val="134"/>
      <scheme val="minor"/>
    </font>
    <font>
      <sz val="12"/>
      <name val="宋体"/>
      <family val="3"/>
      <charset val="134"/>
    </font>
    <font>
      <b/>
      <sz val="9"/>
      <color theme="0"/>
      <name val="微软雅黑"/>
      <family val="2"/>
      <charset val="134"/>
    </font>
    <font>
      <sz val="9"/>
      <name val="宋体"/>
      <family val="2"/>
      <charset val="134"/>
      <scheme val="minor"/>
    </font>
    <font>
      <b/>
      <sz val="9"/>
      <name val="微软雅黑"/>
      <family val="2"/>
      <charset val="134"/>
    </font>
    <font>
      <u/>
      <sz val="11"/>
      <color rgb="FF0000FF"/>
      <name val="宋体"/>
      <family val="3"/>
      <charset val="134"/>
      <scheme val="minor"/>
    </font>
    <font>
      <u/>
      <sz val="11"/>
      <name val="宋体"/>
      <family val="3"/>
      <charset val="134"/>
      <scheme val="minor"/>
    </font>
    <font>
      <sz val="1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5" fillId="0" borderId="0" applyNumberFormat="0" applyFill="0" applyBorder="0" applyAlignment="0" applyProtection="0">
      <alignment vertical="center"/>
    </xf>
    <xf numFmtId="0" fontId="1" fillId="0" borderId="0"/>
  </cellStyleXfs>
  <cellXfs count="9">
    <xf numFmtId="0" fontId="0" fillId="0" borderId="0" xfId="0">
      <alignment vertical="center"/>
    </xf>
    <xf numFmtId="0" fontId="2" fillId="2" borderId="1" xfId="2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57" fontId="4" fillId="0" borderId="1" xfId="0" applyNumberFormat="1" applyFont="1" applyBorder="1" applyAlignment="1">
      <alignment horizontal="center" vertical="center" wrapText="1"/>
    </xf>
    <xf numFmtId="0" fontId="6" fillId="0" borderId="0" xfId="1" applyFont="1">
      <alignment vertical="center"/>
    </xf>
    <xf numFmtId="0" fontId="7" fillId="0" borderId="0" xfId="0" applyFont="1">
      <alignment vertical="center"/>
    </xf>
    <xf numFmtId="0" fontId="2" fillId="2" borderId="2" xfId="2" applyFont="1" applyFill="1" applyBorder="1" applyAlignment="1">
      <alignment horizontal="center" vertical="center" wrapText="1"/>
    </xf>
    <xf numFmtId="0" fontId="2" fillId="2" borderId="3" xfId="2" applyFont="1" applyFill="1" applyBorder="1" applyAlignment="1">
      <alignment horizontal="center" vertical="center" wrapText="1"/>
    </xf>
    <xf numFmtId="0" fontId="4" fillId="0" borderId="1" xfId="0" applyNumberFormat="1" applyFont="1" applyBorder="1" applyAlignment="1">
      <alignment horizontal="center" vertical="center" wrapText="1"/>
    </xf>
  </cellXfs>
  <cellStyles count="3">
    <cellStyle name="常规" xfId="0" builtinId="0"/>
    <cellStyle name="常规 2 2" xfId="2" xr:uid="{D527F4CE-2F45-46D3-B01C-C72EACF829BB}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mp.weixin.qq.com/s/JEEqAFQZUQo098F-_c_qsg" TargetMode="External"/><Relationship Id="rId3" Type="http://schemas.openxmlformats.org/officeDocument/2006/relationships/hyperlink" Target="https://mp.weixin.qq.com/s/kxCj-qrPWeqxY37zJ7JvwA" TargetMode="External"/><Relationship Id="rId7" Type="http://schemas.openxmlformats.org/officeDocument/2006/relationships/hyperlink" Target="https://mp.weixin.qq.com/s/L5n4e-67LWXLktYZrDG1Ug" TargetMode="External"/><Relationship Id="rId2" Type="http://schemas.openxmlformats.org/officeDocument/2006/relationships/hyperlink" Target="https://mp.weixin.qq.com/s/KioUhrGjgNslYRxFYurreA" TargetMode="External"/><Relationship Id="rId1" Type="http://schemas.openxmlformats.org/officeDocument/2006/relationships/hyperlink" Target="https://mp.weixin.qq.com/s/eyNUNJFrpAwgqejkEQMgXw" TargetMode="External"/><Relationship Id="rId6" Type="http://schemas.openxmlformats.org/officeDocument/2006/relationships/hyperlink" Target="https://mp.weixin.qq.com/s/AEopOd_xFFFB45O1gXx4tg" TargetMode="External"/><Relationship Id="rId5" Type="http://schemas.openxmlformats.org/officeDocument/2006/relationships/hyperlink" Target="https://mp.weixin.qq.com/s/CU4tZgztqdfwB4Da4l9hmg" TargetMode="External"/><Relationship Id="rId10" Type="http://schemas.openxmlformats.org/officeDocument/2006/relationships/hyperlink" Target="https://mp.weixin.qq.com/s/rDO_pDBtIfejc2z95_L4aQ" TargetMode="External"/><Relationship Id="rId4" Type="http://schemas.openxmlformats.org/officeDocument/2006/relationships/hyperlink" Target="https://mp.weixin.qq.com/s/XJLN4RVpAK9DhEHmLpOAvg" TargetMode="External"/><Relationship Id="rId9" Type="http://schemas.openxmlformats.org/officeDocument/2006/relationships/hyperlink" Target="https://mp.weixin.qq.com/s/ooncvFofGyenHDAY2KQtkA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0823B3-A539-4E1E-809E-5DEE8FA911E8}">
  <sheetPr filterMode="1"/>
  <dimension ref="A1:J27"/>
  <sheetViews>
    <sheetView tabSelected="1" workbookViewId="0">
      <selection activeCell="L7" sqref="L7"/>
    </sheetView>
  </sheetViews>
  <sheetFormatPr defaultColWidth="30.59765625" defaultRowHeight="24.95" customHeight="1" x14ac:dyDescent="0.3"/>
  <cols>
    <col min="1" max="2" width="10.59765625" customWidth="1"/>
    <col min="3" max="3" width="30.59765625" customWidth="1"/>
    <col min="4" max="4" width="10.59765625" customWidth="1"/>
    <col min="5" max="6" width="15.59765625" customWidth="1"/>
    <col min="7" max="8" width="25.59765625" customWidth="1"/>
    <col min="9" max="9" width="35.59765625" customWidth="1"/>
    <col min="10" max="10" width="30.59765625" customWidth="1"/>
  </cols>
  <sheetData>
    <row r="1" spans="1:10" ht="24.95" customHeight="1" x14ac:dyDescent="0.3">
      <c r="A1" s="1" t="s">
        <v>0</v>
      </c>
      <c r="B1" s="1" t="s">
        <v>0</v>
      </c>
      <c r="C1" s="1" t="s">
        <v>1</v>
      </c>
      <c r="D1" s="1" t="s">
        <v>2</v>
      </c>
      <c r="E1" s="6" t="s">
        <v>3</v>
      </c>
      <c r="F1" s="7"/>
      <c r="G1" s="1" t="s">
        <v>4</v>
      </c>
      <c r="H1" s="1" t="s">
        <v>5</v>
      </c>
      <c r="I1" s="1" t="s">
        <v>6</v>
      </c>
    </row>
    <row r="2" spans="1:10" s="5" customFormat="1" ht="24.95" customHeight="1" x14ac:dyDescent="0.3">
      <c r="A2" s="2" t="s">
        <v>97</v>
      </c>
      <c r="B2" s="2" t="s">
        <v>98</v>
      </c>
      <c r="C2" s="2" t="s">
        <v>7</v>
      </c>
      <c r="D2" s="2" t="s">
        <v>8</v>
      </c>
      <c r="E2" s="8">
        <f ca="1">RANDBETWEEN(2020,2025)</f>
        <v>2025</v>
      </c>
      <c r="F2" s="8">
        <f ca="1">RANDBETWEEN(1,12)</f>
        <v>1</v>
      </c>
      <c r="G2" s="2" t="s">
        <v>9</v>
      </c>
      <c r="H2" s="2"/>
      <c r="I2" s="2" t="s">
        <v>10</v>
      </c>
      <c r="J2" s="4"/>
    </row>
    <row r="3" spans="1:10" s="5" customFormat="1" ht="24.95" customHeight="1" x14ac:dyDescent="0.3">
      <c r="A3" s="2" t="s">
        <v>97</v>
      </c>
      <c r="B3" s="2" t="s">
        <v>98</v>
      </c>
      <c r="C3" s="2" t="s">
        <v>11</v>
      </c>
      <c r="D3" s="2" t="s">
        <v>8</v>
      </c>
      <c r="E3" s="8">
        <f t="shared" ref="E3:E7" ca="1" si="0">RANDBETWEEN(2020,2025)</f>
        <v>2025</v>
      </c>
      <c r="F3" s="8">
        <f t="shared" ref="F3:F7" ca="1" si="1">RANDBETWEEN(1,12)</f>
        <v>4</v>
      </c>
      <c r="G3" s="2" t="s">
        <v>12</v>
      </c>
      <c r="H3" s="2"/>
      <c r="I3" s="2" t="s">
        <v>13</v>
      </c>
      <c r="J3" s="5" t="s">
        <v>14</v>
      </c>
    </row>
    <row r="4" spans="1:10" s="5" customFormat="1" ht="24.95" customHeight="1" x14ac:dyDescent="0.3">
      <c r="A4" s="2" t="s">
        <v>97</v>
      </c>
      <c r="B4" s="2" t="s">
        <v>98</v>
      </c>
      <c r="C4" s="2" t="s">
        <v>15</v>
      </c>
      <c r="D4" s="2" t="s">
        <v>8</v>
      </c>
      <c r="E4" s="8">
        <f t="shared" ca="1" si="0"/>
        <v>2020</v>
      </c>
      <c r="F4" s="8">
        <f t="shared" ca="1" si="1"/>
        <v>8</v>
      </c>
      <c r="G4" s="2" t="s">
        <v>16</v>
      </c>
      <c r="H4" s="2"/>
      <c r="I4" s="2" t="s">
        <v>17</v>
      </c>
      <c r="J4" s="5" t="s">
        <v>18</v>
      </c>
    </row>
    <row r="5" spans="1:10" s="5" customFormat="1" ht="24.95" customHeight="1" x14ac:dyDescent="0.3">
      <c r="A5" s="2" t="s">
        <v>97</v>
      </c>
      <c r="B5" s="2" t="s">
        <v>98</v>
      </c>
      <c r="C5" s="2" t="s">
        <v>19</v>
      </c>
      <c r="D5" s="2" t="s">
        <v>8</v>
      </c>
      <c r="E5" s="8">
        <f t="shared" ca="1" si="0"/>
        <v>2023</v>
      </c>
      <c r="F5" s="8">
        <f t="shared" ca="1" si="1"/>
        <v>3</v>
      </c>
      <c r="G5" s="2" t="s">
        <v>20</v>
      </c>
      <c r="H5" s="2"/>
      <c r="I5" s="2" t="s">
        <v>10</v>
      </c>
    </row>
    <row r="6" spans="1:10" s="5" customFormat="1" ht="24.95" customHeight="1" x14ac:dyDescent="0.3">
      <c r="A6" s="2" t="s">
        <v>97</v>
      </c>
      <c r="B6" s="2" t="s">
        <v>98</v>
      </c>
      <c r="C6" s="2" t="s">
        <v>21</v>
      </c>
      <c r="D6" s="2" t="s">
        <v>8</v>
      </c>
      <c r="E6" s="8">
        <f t="shared" ca="1" si="0"/>
        <v>2020</v>
      </c>
      <c r="F6" s="8">
        <f t="shared" ca="1" si="1"/>
        <v>4</v>
      </c>
      <c r="G6" s="2" t="s">
        <v>22</v>
      </c>
      <c r="H6" s="2"/>
      <c r="I6" s="2" t="s">
        <v>23</v>
      </c>
      <c r="J6" s="5" t="s">
        <v>24</v>
      </c>
    </row>
    <row r="7" spans="1:10" s="5" customFormat="1" ht="24.95" customHeight="1" x14ac:dyDescent="0.3">
      <c r="A7" s="2" t="s">
        <v>97</v>
      </c>
      <c r="B7" s="2" t="s">
        <v>98</v>
      </c>
      <c r="C7" s="2" t="s">
        <v>25</v>
      </c>
      <c r="D7" s="2" t="s">
        <v>8</v>
      </c>
      <c r="E7" s="8">
        <f t="shared" ca="1" si="0"/>
        <v>2021</v>
      </c>
      <c r="F7" s="8">
        <f t="shared" ca="1" si="1"/>
        <v>4</v>
      </c>
      <c r="G7" s="2" t="s">
        <v>26</v>
      </c>
      <c r="H7" s="2"/>
      <c r="I7" s="2" t="s">
        <v>27</v>
      </c>
      <c r="J7" s="5" t="s">
        <v>28</v>
      </c>
    </row>
    <row r="8" spans="1:10" s="5" customFormat="1" ht="24.95" hidden="1" customHeight="1" x14ac:dyDescent="0.3">
      <c r="A8" s="2" t="s">
        <v>97</v>
      </c>
      <c r="B8" s="2"/>
      <c r="C8" s="2" t="s">
        <v>29</v>
      </c>
      <c r="D8" s="2" t="s">
        <v>8</v>
      </c>
      <c r="E8" s="3">
        <v>45170</v>
      </c>
      <c r="F8" s="3"/>
      <c r="G8" s="2" t="s">
        <v>30</v>
      </c>
      <c r="H8" s="2" t="s">
        <v>31</v>
      </c>
      <c r="I8" s="2" t="s">
        <v>32</v>
      </c>
      <c r="J8" s="5" t="s">
        <v>33</v>
      </c>
    </row>
    <row r="9" spans="1:10" s="5" customFormat="1" ht="24.95" customHeight="1" x14ac:dyDescent="0.3">
      <c r="A9" s="2" t="s">
        <v>97</v>
      </c>
      <c r="B9" s="2" t="s">
        <v>98</v>
      </c>
      <c r="C9" s="2" t="s">
        <v>34</v>
      </c>
      <c r="D9" s="2" t="s">
        <v>8</v>
      </c>
      <c r="E9" s="8">
        <f t="shared" ref="E9:E12" ca="1" si="2">RANDBETWEEN(2020,2025)</f>
        <v>2020</v>
      </c>
      <c r="F9" s="8">
        <f t="shared" ref="F9:F12" ca="1" si="3">RANDBETWEEN(1,12)</f>
        <v>7</v>
      </c>
      <c r="G9" s="2" t="s">
        <v>35</v>
      </c>
      <c r="H9" s="2"/>
      <c r="I9" s="2" t="s">
        <v>36</v>
      </c>
      <c r="J9" s="5" t="s">
        <v>37</v>
      </c>
    </row>
    <row r="10" spans="1:10" s="5" customFormat="1" ht="24.95" customHeight="1" x14ac:dyDescent="0.3">
      <c r="A10" s="2" t="s">
        <v>97</v>
      </c>
      <c r="B10" s="2" t="s">
        <v>98</v>
      </c>
      <c r="C10" s="2" t="s">
        <v>38</v>
      </c>
      <c r="D10" s="2" t="s">
        <v>8</v>
      </c>
      <c r="E10" s="8">
        <f t="shared" ca="1" si="2"/>
        <v>2023</v>
      </c>
      <c r="F10" s="8">
        <f t="shared" ca="1" si="3"/>
        <v>1</v>
      </c>
      <c r="G10" s="2" t="s">
        <v>39</v>
      </c>
      <c r="H10" s="2"/>
      <c r="I10" s="2"/>
      <c r="J10" s="5" t="s">
        <v>40</v>
      </c>
    </row>
    <row r="11" spans="1:10" s="5" customFormat="1" ht="24.95" customHeight="1" x14ac:dyDescent="0.3">
      <c r="A11" s="2" t="s">
        <v>97</v>
      </c>
      <c r="B11" s="2" t="s">
        <v>98</v>
      </c>
      <c r="C11" s="2" t="s">
        <v>7</v>
      </c>
      <c r="D11" s="2" t="s">
        <v>8</v>
      </c>
      <c r="E11" s="8">
        <f t="shared" ca="1" si="2"/>
        <v>2025</v>
      </c>
      <c r="F11" s="8">
        <f t="shared" ca="1" si="3"/>
        <v>6</v>
      </c>
      <c r="G11" s="2" t="s">
        <v>41</v>
      </c>
      <c r="H11" s="2"/>
      <c r="I11" s="2" t="s">
        <v>42</v>
      </c>
    </row>
    <row r="12" spans="1:10" s="5" customFormat="1" ht="24.95" customHeight="1" x14ac:dyDescent="0.3">
      <c r="A12" s="2" t="s">
        <v>97</v>
      </c>
      <c r="B12" s="2" t="s">
        <v>98</v>
      </c>
      <c r="C12" s="2" t="s">
        <v>43</v>
      </c>
      <c r="D12" s="2" t="s">
        <v>8</v>
      </c>
      <c r="E12" s="8">
        <f t="shared" ca="1" si="2"/>
        <v>2020</v>
      </c>
      <c r="F12" s="8">
        <f t="shared" ca="1" si="3"/>
        <v>8</v>
      </c>
      <c r="G12" s="2" t="s">
        <v>44</v>
      </c>
      <c r="H12" s="2"/>
      <c r="I12" s="2" t="s">
        <v>45</v>
      </c>
    </row>
    <row r="13" spans="1:10" s="5" customFormat="1" ht="24.95" customHeight="1" x14ac:dyDescent="0.3">
      <c r="A13" s="2" t="s">
        <v>97</v>
      </c>
      <c r="B13" s="2" t="s">
        <v>98</v>
      </c>
      <c r="C13" s="2" t="s">
        <v>46</v>
      </c>
      <c r="D13" s="2" t="s">
        <v>8</v>
      </c>
      <c r="E13" s="3" t="s">
        <v>47</v>
      </c>
      <c r="F13" s="3" t="s">
        <v>47</v>
      </c>
      <c r="G13" s="2" t="s">
        <v>48</v>
      </c>
      <c r="H13" s="2"/>
      <c r="I13" s="2"/>
    </row>
    <row r="14" spans="1:10" s="5" customFormat="1" ht="24.95" customHeight="1" x14ac:dyDescent="0.3">
      <c r="A14" s="2" t="s">
        <v>97</v>
      </c>
      <c r="B14" s="2" t="s">
        <v>98</v>
      </c>
      <c r="C14" s="2" t="s">
        <v>49</v>
      </c>
      <c r="D14" s="2" t="s">
        <v>8</v>
      </c>
      <c r="E14" s="3" t="s">
        <v>47</v>
      </c>
      <c r="F14" s="3" t="s">
        <v>47</v>
      </c>
      <c r="G14" s="2" t="s">
        <v>50</v>
      </c>
      <c r="H14" s="2"/>
      <c r="I14" s="2"/>
      <c r="J14" s="5" t="s">
        <v>51</v>
      </c>
    </row>
    <row r="15" spans="1:10" s="5" customFormat="1" ht="24.95" customHeight="1" x14ac:dyDescent="0.3">
      <c r="A15" s="2" t="s">
        <v>97</v>
      </c>
      <c r="B15" s="2" t="s">
        <v>98</v>
      </c>
      <c r="C15" s="2" t="s">
        <v>52</v>
      </c>
      <c r="D15" s="2" t="s">
        <v>8</v>
      </c>
      <c r="E15" s="8">
        <f t="shared" ref="E15:E17" ca="1" si="4">RANDBETWEEN(2020,2025)</f>
        <v>2025</v>
      </c>
      <c r="F15" s="8">
        <f t="shared" ref="F15:F17" ca="1" si="5">RANDBETWEEN(1,12)</f>
        <v>2</v>
      </c>
      <c r="G15" s="2" t="s">
        <v>53</v>
      </c>
      <c r="H15" s="2"/>
      <c r="I15" s="2" t="s">
        <v>54</v>
      </c>
      <c r="J15" s="5" t="s">
        <v>55</v>
      </c>
    </row>
    <row r="16" spans="1:10" s="5" customFormat="1" ht="24.95" customHeight="1" x14ac:dyDescent="0.3">
      <c r="A16" s="2" t="s">
        <v>97</v>
      </c>
      <c r="B16" s="2" t="s">
        <v>98</v>
      </c>
      <c r="C16" s="2" t="s">
        <v>56</v>
      </c>
      <c r="D16" s="2" t="s">
        <v>8</v>
      </c>
      <c r="E16" s="8">
        <f t="shared" ca="1" si="4"/>
        <v>2022</v>
      </c>
      <c r="F16" s="8">
        <f t="shared" ca="1" si="5"/>
        <v>8</v>
      </c>
      <c r="G16" s="2" t="s">
        <v>57</v>
      </c>
      <c r="H16" s="2" t="s">
        <v>58</v>
      </c>
      <c r="I16" s="2" t="s">
        <v>59</v>
      </c>
      <c r="J16" s="5" t="s">
        <v>60</v>
      </c>
    </row>
    <row r="17" spans="1:10" s="5" customFormat="1" ht="24.95" customHeight="1" x14ac:dyDescent="0.3">
      <c r="A17" s="2" t="s">
        <v>97</v>
      </c>
      <c r="B17" s="2" t="s">
        <v>98</v>
      </c>
      <c r="C17" s="2" t="s">
        <v>61</v>
      </c>
      <c r="D17" s="2" t="s">
        <v>8</v>
      </c>
      <c r="E17" s="8">
        <f t="shared" ca="1" si="4"/>
        <v>2022</v>
      </c>
      <c r="F17" s="8">
        <f t="shared" ca="1" si="5"/>
        <v>9</v>
      </c>
      <c r="G17" s="2" t="s">
        <v>62</v>
      </c>
      <c r="H17" s="2"/>
      <c r="I17" s="2" t="s">
        <v>63</v>
      </c>
      <c r="J17" s="5" t="s">
        <v>64</v>
      </c>
    </row>
    <row r="18" spans="1:10" s="5" customFormat="1" ht="24.95" hidden="1" customHeight="1" x14ac:dyDescent="0.3">
      <c r="A18" s="2" t="s">
        <v>97</v>
      </c>
      <c r="B18" s="2"/>
      <c r="C18" s="2" t="s">
        <v>65</v>
      </c>
      <c r="D18" s="2" t="s">
        <v>66</v>
      </c>
      <c r="E18" s="3">
        <v>45658</v>
      </c>
      <c r="F18" s="3"/>
      <c r="G18" s="2" t="s">
        <v>67</v>
      </c>
      <c r="H18" s="2" t="s">
        <v>58</v>
      </c>
      <c r="I18" s="2" t="s">
        <v>68</v>
      </c>
      <c r="J18" s="5" t="s">
        <v>69</v>
      </c>
    </row>
    <row r="19" spans="1:10" s="5" customFormat="1" ht="24.95" hidden="1" customHeight="1" x14ac:dyDescent="0.3">
      <c r="A19" s="2" t="s">
        <v>97</v>
      </c>
      <c r="B19" s="2"/>
      <c r="C19" s="2" t="s">
        <v>70</v>
      </c>
      <c r="D19" s="2" t="s">
        <v>66</v>
      </c>
      <c r="E19" s="3">
        <v>45658</v>
      </c>
      <c r="F19" s="3"/>
      <c r="G19" s="2" t="s">
        <v>71</v>
      </c>
      <c r="H19" s="2"/>
      <c r="I19" s="2" t="s">
        <v>54</v>
      </c>
      <c r="J19" s="5" t="s">
        <v>72</v>
      </c>
    </row>
    <row r="20" spans="1:10" s="5" customFormat="1" ht="24.95" customHeight="1" x14ac:dyDescent="0.3">
      <c r="A20" s="2" t="s">
        <v>97</v>
      </c>
      <c r="B20" s="2" t="s">
        <v>98</v>
      </c>
      <c r="C20" s="2"/>
      <c r="D20" s="2" t="s">
        <v>8</v>
      </c>
      <c r="E20" s="8">
        <f t="shared" ref="E20:E22" ca="1" si="6">RANDBETWEEN(2020,2025)</f>
        <v>2023</v>
      </c>
      <c r="F20" s="8">
        <f t="shared" ref="F20:F22" ca="1" si="7">RANDBETWEEN(1,12)</f>
        <v>7</v>
      </c>
      <c r="G20" s="2" t="s">
        <v>73</v>
      </c>
      <c r="H20" s="2"/>
      <c r="I20" s="2" t="s">
        <v>54</v>
      </c>
      <c r="J20" s="5" t="s">
        <v>74</v>
      </c>
    </row>
    <row r="21" spans="1:10" s="5" customFormat="1" ht="24.95" customHeight="1" x14ac:dyDescent="0.3">
      <c r="A21" s="2" t="s">
        <v>97</v>
      </c>
      <c r="B21" s="2" t="s">
        <v>98</v>
      </c>
      <c r="C21" s="2" t="s">
        <v>75</v>
      </c>
      <c r="D21" s="2" t="s">
        <v>8</v>
      </c>
      <c r="E21" s="8">
        <f t="shared" ca="1" si="6"/>
        <v>2025</v>
      </c>
      <c r="F21" s="8">
        <f t="shared" ca="1" si="7"/>
        <v>4</v>
      </c>
      <c r="G21" s="2" t="s">
        <v>12</v>
      </c>
      <c r="H21" s="2"/>
      <c r="I21" s="2" t="s">
        <v>76</v>
      </c>
      <c r="J21" s="5" t="s">
        <v>77</v>
      </c>
    </row>
    <row r="22" spans="1:10" s="5" customFormat="1" ht="24.95" customHeight="1" x14ac:dyDescent="0.3">
      <c r="A22" s="2" t="s">
        <v>97</v>
      </c>
      <c r="B22" s="2" t="s">
        <v>98</v>
      </c>
      <c r="C22" s="2" t="s">
        <v>78</v>
      </c>
      <c r="D22" s="2" t="s">
        <v>8</v>
      </c>
      <c r="E22" s="8">
        <f t="shared" ca="1" si="6"/>
        <v>2024</v>
      </c>
      <c r="F22" s="8">
        <f t="shared" ca="1" si="7"/>
        <v>6</v>
      </c>
      <c r="G22" s="2" t="s">
        <v>79</v>
      </c>
      <c r="H22" s="2" t="s">
        <v>58</v>
      </c>
      <c r="I22" s="2" t="s">
        <v>54</v>
      </c>
      <c r="J22" s="5" t="s">
        <v>80</v>
      </c>
    </row>
    <row r="23" spans="1:10" s="5" customFormat="1" ht="24.95" customHeight="1" x14ac:dyDescent="0.3">
      <c r="A23" s="2" t="s">
        <v>97</v>
      </c>
      <c r="B23" s="2" t="s">
        <v>98</v>
      </c>
      <c r="C23" s="2" t="s">
        <v>81</v>
      </c>
      <c r="D23" s="2" t="s">
        <v>8</v>
      </c>
      <c r="E23" s="3" t="s">
        <v>47</v>
      </c>
      <c r="F23" s="3" t="s">
        <v>47</v>
      </c>
      <c r="G23" s="2" t="s">
        <v>82</v>
      </c>
      <c r="H23" s="2"/>
      <c r="I23" s="2" t="s">
        <v>83</v>
      </c>
    </row>
    <row r="24" spans="1:10" s="5" customFormat="1" ht="24.95" customHeight="1" x14ac:dyDescent="0.3">
      <c r="A24" s="2" t="s">
        <v>97</v>
      </c>
      <c r="B24" s="2" t="s">
        <v>98</v>
      </c>
      <c r="C24" s="2" t="s">
        <v>84</v>
      </c>
      <c r="D24" s="2" t="s">
        <v>66</v>
      </c>
      <c r="E24" s="3" t="s">
        <v>47</v>
      </c>
      <c r="F24" s="3" t="s">
        <v>47</v>
      </c>
      <c r="G24" s="2" t="s">
        <v>57</v>
      </c>
      <c r="H24" s="2"/>
      <c r="I24" s="2"/>
    </row>
    <row r="25" spans="1:10" s="5" customFormat="1" ht="24.95" customHeight="1" x14ac:dyDescent="0.3">
      <c r="A25" s="2" t="s">
        <v>97</v>
      </c>
      <c r="B25" s="2" t="s">
        <v>98</v>
      </c>
      <c r="C25" s="2" t="s">
        <v>85</v>
      </c>
      <c r="D25" s="2" t="s">
        <v>8</v>
      </c>
      <c r="E25" s="3"/>
      <c r="F25" s="3"/>
      <c r="G25" s="2" t="s">
        <v>57</v>
      </c>
      <c r="H25" s="2"/>
      <c r="I25" s="2" t="s">
        <v>86</v>
      </c>
      <c r="J25" s="5" t="s">
        <v>87</v>
      </c>
    </row>
    <row r="26" spans="1:10" s="5" customFormat="1" ht="24.95" customHeight="1" x14ac:dyDescent="0.3">
      <c r="A26" s="2" t="s">
        <v>97</v>
      </c>
      <c r="B26" s="2" t="s">
        <v>98</v>
      </c>
      <c r="C26" s="2" t="s">
        <v>88</v>
      </c>
      <c r="D26" s="2" t="s">
        <v>8</v>
      </c>
      <c r="E26" s="3"/>
      <c r="F26" s="3"/>
      <c r="G26" s="2" t="s">
        <v>89</v>
      </c>
      <c r="H26" s="2"/>
      <c r="I26" s="2" t="s">
        <v>90</v>
      </c>
      <c r="J26" s="5" t="s">
        <v>91</v>
      </c>
    </row>
    <row r="27" spans="1:10" s="5" customFormat="1" ht="24.95" customHeight="1" x14ac:dyDescent="0.3">
      <c r="A27" s="2" t="s">
        <v>97</v>
      </c>
      <c r="B27" s="2" t="s">
        <v>98</v>
      </c>
      <c r="C27" s="2" t="s">
        <v>92</v>
      </c>
      <c r="D27" s="2" t="s">
        <v>93</v>
      </c>
      <c r="E27" s="3"/>
      <c r="F27" s="3"/>
      <c r="G27" s="2" t="s">
        <v>94</v>
      </c>
      <c r="H27" s="2"/>
      <c r="I27" s="2" t="s">
        <v>95</v>
      </c>
      <c r="J27" s="5" t="s">
        <v>96</v>
      </c>
    </row>
  </sheetData>
  <autoFilter ref="A1:J27" xr:uid="{00000000-0009-0000-0000-00001C000000}">
    <filterColumn colId="1">
      <customFilters>
        <customFilter operator="notEqual" val=" "/>
      </customFilters>
    </filterColumn>
  </autoFilter>
  <mergeCells count="1">
    <mergeCell ref="E1:F1"/>
  </mergeCells>
  <phoneticPr fontId="3" type="noConversion"/>
  <hyperlinks>
    <hyperlink ref="J8" r:id="rId1" xr:uid="{00A24B0E-FA10-4276-A70A-C542F378FEF4}"/>
    <hyperlink ref="J9" r:id="rId2" xr:uid="{48942796-9AB3-4943-B5E7-6424CD909DD4}"/>
    <hyperlink ref="J4" r:id="rId3" xr:uid="{F48313B1-E205-4F9F-83D2-2CFAC1A4B420}"/>
    <hyperlink ref="J3" r:id="rId4" xr:uid="{151F8ECB-2A5D-41DA-B77E-F9A2031F1EC6}"/>
    <hyperlink ref="J6" r:id="rId5" xr:uid="{3DAD2C81-1C4D-4A98-84CA-2DAC8D3F9ED3}"/>
    <hyperlink ref="J7" r:id="rId6" xr:uid="{8F3BAF82-88B1-46CB-B755-C570D440B5F7}"/>
    <hyperlink ref="J16" r:id="rId7" xr:uid="{A5C28DB2-2C60-4631-B6A7-3A76CE74F718}"/>
    <hyperlink ref="J15" r:id="rId8" xr:uid="{FFDA5E72-A991-4B0D-A4F9-F159F0AFB7F3}"/>
    <hyperlink ref="J10" r:id="rId9" xr:uid="{45BE32CA-9D4F-4DD0-9A21-D4DB369D252D}"/>
    <hyperlink ref="J14" r:id="rId10" xr:uid="{178BD930-8251-4A83-91C9-B96552E56973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电解槽-测试平台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Xiao Liu [cn19xl]</dc:creator>
  <cp:lastModifiedBy>Xiao Liu [cn19xl]</cp:lastModifiedBy>
  <dcterms:created xsi:type="dcterms:W3CDTF">2026-05-25T08:59:25Z</dcterms:created>
  <dcterms:modified xsi:type="dcterms:W3CDTF">2026-05-26T08:21:35Z</dcterms:modified>
</cp:coreProperties>
</file>