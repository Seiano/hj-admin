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4.其他数据表\"/>
    </mc:Choice>
  </mc:AlternateContent>
  <xr:revisionPtr revIDLastSave="0" documentId="13_ncr:1_{20C92223-7616-4276-B800-4CEFEE70DF13}" xr6:coauthVersionLast="47" xr6:coauthVersionMax="47" xr10:uidLastSave="{00000000-0000-0000-0000-000000000000}"/>
  <bookViews>
    <workbookView xWindow="-98" yWindow="-98" windowWidth="22695" windowHeight="14476" xr2:uid="{B19EF8CB-8E67-4219-B994-2F47E0D9912C}"/>
  </bookViews>
  <sheets>
    <sheet name="制-副产氢供氢中心" sheetId="1" r:id="rId1"/>
  </sheets>
  <definedNames>
    <definedName name="_xlnm._FilterDatabase" localSheetId="0" hidden="1">'制-副产氢供氢中心'!$A$1:$M$106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1" i="1" l="1"/>
  <c r="N62" i="1"/>
  <c r="M61" i="1"/>
  <c r="M62" i="1"/>
  <c r="N54" i="1"/>
  <c r="N55" i="1"/>
  <c r="N56" i="1"/>
  <c r="N57" i="1"/>
  <c r="M54" i="1"/>
  <c r="M55" i="1"/>
  <c r="M56" i="1"/>
  <c r="M57" i="1"/>
  <c r="M46" i="1"/>
  <c r="M47" i="1"/>
  <c r="N32" i="1"/>
  <c r="M32" i="1"/>
  <c r="N6" i="1"/>
  <c r="N7" i="1"/>
  <c r="N8" i="1"/>
  <c r="N9" i="1"/>
  <c r="M9" i="1"/>
  <c r="M8" i="1"/>
  <c r="M7" i="1"/>
  <c r="M6" i="1"/>
  <c r="M4" i="1"/>
  <c r="M3" i="1"/>
  <c r="M2" i="1"/>
  <c r="N4" i="1"/>
  <c r="N3" i="1"/>
  <c r="N2" i="1"/>
  <c r="N80" i="1"/>
  <c r="N63" i="1"/>
  <c r="N60" i="1"/>
  <c r="N59" i="1"/>
  <c r="N58" i="1"/>
  <c r="N53" i="1"/>
  <c r="N52" i="1"/>
  <c r="N51" i="1"/>
  <c r="N50" i="1"/>
  <c r="N49" i="1"/>
  <c r="N48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5" i="1"/>
  <c r="M80" i="1"/>
  <c r="M63" i="1"/>
  <c r="M60" i="1"/>
  <c r="M59" i="1"/>
  <c r="M58" i="1"/>
  <c r="M53" i="1"/>
  <c r="M52" i="1"/>
  <c r="M51" i="1"/>
  <c r="M50" i="1"/>
  <c r="M49" i="1"/>
  <c r="M48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5" i="1"/>
  <c r="I106" i="1"/>
  <c r="I104" i="1"/>
  <c r="I76" i="1"/>
  <c r="I74" i="1"/>
  <c r="I73" i="1"/>
  <c r="I72" i="1"/>
  <c r="I71" i="1"/>
  <c r="I70" i="1"/>
  <c r="I63" i="1"/>
  <c r="I61" i="1"/>
  <c r="I48" i="1"/>
  <c r="I36" i="1"/>
  <c r="I34" i="1"/>
  <c r="I31" i="1"/>
  <c r="I13" i="1"/>
  <c r="I8" i="1"/>
  <c r="H105" i="1"/>
  <c r="H104" i="1"/>
  <c r="H103" i="1"/>
  <c r="H102" i="1"/>
  <c r="H101" i="1"/>
  <c r="H100" i="1"/>
  <c r="H99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<sst xmlns="http://schemas.openxmlformats.org/spreadsheetml/2006/main" count="738" uniqueCount="242">
  <si>
    <t>省（直辖市）</t>
  </si>
  <si>
    <t>市</t>
  </si>
  <si>
    <t>业主单位</t>
  </si>
  <si>
    <t>装置名称</t>
  </si>
  <si>
    <t>规模（Nm3/h）</t>
  </si>
  <si>
    <t>规模（吨/年）</t>
  </si>
  <si>
    <t>原料</t>
  </si>
  <si>
    <t>氢气纯度（%）</t>
  </si>
  <si>
    <t>运行时间</t>
  </si>
  <si>
    <t>广钢气体（广州）有限公司</t>
  </si>
  <si>
    <t>300Nm3/h氢能源生产装置</t>
  </si>
  <si>
    <t>甲醇裂解制氢</t>
  </si>
  <si>
    <t>化石能源</t>
  </si>
  <si>
    <t>1000Nm3/h氢能源生产装置</t>
  </si>
  <si>
    <t>北京环宇京辉京城气体科技有限公司</t>
  </si>
  <si>
    <t>天然气制氢装置</t>
  </si>
  <si>
    <t>天然气制氢</t>
  </si>
  <si>
    <t>水电解制氢装置</t>
  </si>
  <si>
    <t>水电解制氢</t>
  </si>
  <si>
    <t>水</t>
  </si>
  <si>
    <t>英德市西洲气体有限公司</t>
  </si>
  <si>
    <t>甲醇制氢</t>
  </si>
  <si>
    <t>林德气体（广州）有限公司</t>
  </si>
  <si>
    <t>甲醇裂解制氢装置</t>
  </si>
  <si>
    <t>中国石油化工股份有限公司北京燕山分公司</t>
  </si>
  <si>
    <t>氢气新能源保供项目</t>
  </si>
  <si>
    <t>乙烯副产氢</t>
  </si>
  <si>
    <t>副产氢</t>
  </si>
  <si>
    <t>广东联悦氢能有限公司</t>
  </si>
  <si>
    <t>1500Nm3/h天然气转化制氢</t>
  </si>
  <si>
    <t>旭阳集团有限公司</t>
  </si>
  <si>
    <t>旭阳集团定州园区氢气纯化及充装系统</t>
  </si>
  <si>
    <t>工业副产氢</t>
  </si>
  <si>
    <t>中国石化上海高桥石油化工有限公司</t>
  </si>
  <si>
    <t>高纯氢气生产示范装置</t>
  </si>
  <si>
    <t>炼厂副产氢</t>
  </si>
  <si>
    <t>陕西旭强瑞清洁能源有限公司</t>
  </si>
  <si>
    <t>焦炉煤气制高纯氢项目</t>
  </si>
  <si>
    <t>焦炉煤气</t>
  </si>
  <si>
    <t>中国石油化工股份有限公司广州分公司</t>
  </si>
  <si>
    <t>燃料电池供氢中心</t>
  </si>
  <si>
    <t>苯乙烯含氢尾气</t>
  </si>
  <si>
    <t>淄博齐塑环保科技有限公司</t>
  </si>
  <si>
    <t>副产氢提纯项目</t>
  </si>
  <si>
    <t>中国石化海南炼油化工有限公司</t>
  </si>
  <si>
    <t>凯美特充装设施</t>
  </si>
  <si>
    <t>山西美锦华盛化工新材料有限公司</t>
  </si>
  <si>
    <t>华盛化工工业高纯氢项目</t>
  </si>
  <si>
    <t>乙二醇产品氢</t>
  </si>
  <si>
    <t>中国石油化工股份有限公司浙江石油分公司</t>
  </si>
  <si>
    <t>镇海炼化加氢站</t>
  </si>
  <si>
    <t>航锦科技股份有限公司</t>
  </si>
  <si>
    <t>高纯氢气充装站</t>
  </si>
  <si>
    <t>烧碱生产副产氢</t>
  </si>
  <si>
    <t>中国石化上海石油化工股份有限公司</t>
  </si>
  <si>
    <t>上海石化氢燃料电池供氢中心</t>
  </si>
  <si>
    <t>中国石油化工股份有限公司天津分公司</t>
  </si>
  <si>
    <t>天津石化炼油部燃料电池氢单元</t>
  </si>
  <si>
    <t>炼厂废气回收</t>
  </si>
  <si>
    <t>东华能源（宁波）新材料有限公司</t>
  </si>
  <si>
    <t>东华能源宁波氢气充装站</t>
  </si>
  <si>
    <t>PDH副产氢</t>
  </si>
  <si>
    <t>中国石化青岛炼油化工有限责任公司</t>
  </si>
  <si>
    <t>青岛市氢能资源基地</t>
  </si>
  <si>
    <t>中国石化股份有限公司齐鲁分公司</t>
  </si>
  <si>
    <t>齐鲁石化氢气压缩充装项目</t>
  </si>
  <si>
    <t>电解原盐制氢</t>
  </si>
  <si>
    <t>中国石油天然气股份有限公司华北石化分公司</t>
  </si>
  <si>
    <t>华北石化副产氢提纯项目</t>
  </si>
  <si>
    <t>旭阳集团邢台园区制氢装置</t>
  </si>
  <si>
    <t>中国石油玉门油田公司</t>
  </si>
  <si>
    <t>氢气压缩装车系统和储氢设施于一体的氢气加注站</t>
  </si>
  <si>
    <t>江苏华昌化工股份有限公司</t>
  </si>
  <si>
    <t>氢气充装站项目</t>
  </si>
  <si>
    <t>安徽中科昊海气体科技有限公司</t>
  </si>
  <si>
    <t>氢气PSA纯化回收装置</t>
  </si>
  <si>
    <t>化工副产氢</t>
  </si>
  <si>
    <t>华北石化燃料电池氢撬装项目</t>
  </si>
  <si>
    <t>天津新氢能源发展有限公司</t>
  </si>
  <si>
    <t>加氢母站项目</t>
  </si>
  <si>
    <t>焦炉煤气副产氢</t>
  </si>
  <si>
    <t>鞍钢能源科技有限公司</t>
  </si>
  <si>
    <t>鞍钢能源科技有限公司氢气加压充装站</t>
  </si>
  <si>
    <t>工业副产煤气</t>
  </si>
  <si>
    <t>未知</t>
  </si>
  <si>
    <t>山东滨华氢能源有限公司</t>
  </si>
  <si>
    <t>高纯氢装置</t>
  </si>
  <si>
    <t>氯碱副产氢</t>
  </si>
  <si>
    <t>攀枝花钢企欣宇化工有限公司</t>
  </si>
  <si>
    <t>氯碱副产氢提纯技术升级改造项目</t>
  </si>
  <si>
    <t>河南宗惠氢气有限公司</t>
  </si>
  <si>
    <t>高纯氢项目</t>
  </si>
  <si>
    <t>山西郑旺氢能源科技有限公司</t>
  </si>
  <si>
    <t>鹏湾氢港2万吨/年焦炉煤气制氢项目</t>
  </si>
  <si>
    <t>河北旭阳能源有限公司</t>
  </si>
  <si>
    <t>氢能综合利用项目</t>
  </si>
  <si>
    <t>甲醇驰放气</t>
  </si>
  <si>
    <t>宝泰隆新材料股份有限公司</t>
  </si>
  <si>
    <t>燃料电池氢项目</t>
  </si>
  <si>
    <t>重庆万盛煤化有限责任公司</t>
  </si>
  <si>
    <t>甲醇合成放空尾气</t>
  </si>
  <si>
    <t>格尔氢能科技（潍坊）有限公司</t>
  </si>
  <si>
    <t>氢气提纯及充装母站项目</t>
  </si>
  <si>
    <t>中国石油化工股份有限公司茂名分公司</t>
  </si>
  <si>
    <t>茂名石化氢燃料电池供氢中心</t>
  </si>
  <si>
    <t>蒲城清洁能源化工有限责任公司</t>
  </si>
  <si>
    <t>甲醇回收气</t>
  </si>
  <si>
    <t>河南利源煤焦集团有限公司</t>
  </si>
  <si>
    <t>四川虹加气体有限公司</t>
  </si>
  <si>
    <t>纯氢/高纯氢装置</t>
  </si>
  <si>
    <t>成都汉尊能源有限公司</t>
  </si>
  <si>
    <t>高纯氢</t>
  </si>
  <si>
    <t>梧州市联溢化工有限公司</t>
  </si>
  <si>
    <t>离子膜烧碱生产线</t>
  </si>
  <si>
    <t>江西联悦氢能有限公司</t>
  </si>
  <si>
    <t>氢能综合利用项目（一期）</t>
  </si>
  <si>
    <t>氯碱尾气回收</t>
  </si>
  <si>
    <t>中国石油四川石化有限责任公司</t>
  </si>
  <si>
    <t>高纯度氢气制备成套装置</t>
  </si>
  <si>
    <t>炼化一体化装置工业氢</t>
  </si>
  <si>
    <t>河北启明氢能源发展有限公司</t>
  </si>
  <si>
    <t>氢能源综合利用项目</t>
  </si>
  <si>
    <t>唐山中溶科技有限公司</t>
  </si>
  <si>
    <t>焦炉煤气制电池燃料氢项目</t>
  </si>
  <si>
    <t>广东宝氢科技有限公司</t>
  </si>
  <si>
    <t>韶钢产业园制氢（一期）工程</t>
  </si>
  <si>
    <t>焦炉煤气制氢</t>
  </si>
  <si>
    <t>淮北矿业集团临涣焦化公司</t>
  </si>
  <si>
    <t>弛放气制备高纯氢项目</t>
  </si>
  <si>
    <t>弛放气</t>
  </si>
  <si>
    <t>中国石油长庆石化公司</t>
  </si>
  <si>
    <t>氢气提纯装置及充装系统</t>
  </si>
  <si>
    <t>瀚蓝（佛山）新能源运营有限公司</t>
  </si>
  <si>
    <t>瀚蓝可再生能源（沼气）制氢加氢母站</t>
  </si>
  <si>
    <t>沼气</t>
  </si>
  <si>
    <t>天然气</t>
  </si>
  <si>
    <t>铝灰渣处置过程富氢尾气</t>
  </si>
  <si>
    <t>2500Nm3/h甲醇制氢装置</t>
  </si>
  <si>
    <t>中国石化集团重庆川维化工有限公司</t>
  </si>
  <si>
    <t>氢燃料电池供氢项目</t>
  </si>
  <si>
    <t>天然气副产氢气</t>
  </si>
  <si>
    <t>旭阳集团呼和浩特园区</t>
  </si>
  <si>
    <t>呼和浩特园区PSA制氢装置</t>
  </si>
  <si>
    <t>脱碳气</t>
  </si>
  <si>
    <t>燃料电池供氢中心扩能改造项目</t>
  </si>
  <si>
    <t>天津新源氢能有限公司</t>
  </si>
  <si>
    <t>加氢母站二期项目</t>
  </si>
  <si>
    <t>丙烷脱氢副产氢</t>
  </si>
  <si>
    <t>中国石油庆阳石化公司</t>
  </si>
  <si>
    <t>氢气提纯项目</t>
  </si>
  <si>
    <t>燕山分公司氢气提纯设施完善建设项目</t>
  </si>
  <si>
    <t>金宏气体股份有限公司</t>
  </si>
  <si>
    <t>制氢装置</t>
  </si>
  <si>
    <t>投产</t>
  </si>
  <si>
    <t>张家港金宏气体有限公司</t>
  </si>
  <si>
    <t>重庆金苏化工有限公司</t>
  </si>
  <si>
    <t>江门市联悦工业气体有限公司</t>
  </si>
  <si>
    <t>氯碱副产制氢</t>
  </si>
  <si>
    <t>建成</t>
  </si>
  <si>
    <t>蒙西正和集团/汇能煤化工公司</t>
  </si>
  <si>
    <t>山东华邑氢通新能源有限公司</t>
  </si>
  <si>
    <t>5000吨/年氢气充装项目</t>
  </si>
  <si>
    <t>异丁烷脱氢副产氢</t>
  </si>
  <si>
    <t>空气化工产品（淄博）有限公司</t>
  </si>
  <si>
    <t>淄博东岳氢能综合利用项目</t>
  </si>
  <si>
    <t>2025年1月建成</t>
  </si>
  <si>
    <t>上海化学工业区工业气体有限公司</t>
  </si>
  <si>
    <t>制氢装置（配套CCUS）</t>
  </si>
  <si>
    <t>2025年3月投产</t>
  </si>
  <si>
    <t>裂解装置和苯乙烯装置副产氢</t>
  </si>
  <si>
    <t>液化空气（中国）投资有限公司</t>
  </si>
  <si>
    <t>天津氢能保供基地项目（一期）</t>
  </si>
  <si>
    <t>原名：天津氢能保供基地项目</t>
  </si>
  <si>
    <t>2025年7月投产</t>
  </si>
  <si>
    <t>唐山旭阳化工有限公司</t>
  </si>
  <si>
    <t>苯乙烯装置副产脱氢尾气</t>
  </si>
  <si>
    <t>2025年9月投产</t>
  </si>
  <si>
    <t>中盐安徽红四方股份有限公司</t>
  </si>
  <si>
    <t>电解副产氢气综合利用项目</t>
  </si>
  <si>
    <t>2025年9月完成验收</t>
  </si>
  <si>
    <t>成都文澜智谷氢蓝科技有限公司</t>
  </si>
  <si>
    <t>合成氨尾气制氢项目</t>
  </si>
  <si>
    <t>合成氨尾气</t>
  </si>
  <si>
    <t>2025年11月投产</t>
  </si>
  <si>
    <t>中石油克拉玛依石化有限责任公司</t>
  </si>
  <si>
    <t>2025年12月中交</t>
  </si>
  <si>
    <t>新开源（焦作）高分子材料有限公司</t>
  </si>
  <si>
    <t>GBL副产氢提纯设备及充装站项目</t>
  </si>
  <si>
    <t>陕西渭河煤化工集团有限责任公司</t>
  </si>
  <si>
    <t>甲醇合成驰放气制氢项目</t>
  </si>
  <si>
    <t>3000Nm3/h天然气转化制氢装置</t>
  </si>
  <si>
    <t>在建</t>
  </si>
  <si>
    <t>湖北葛化中极氢能源有限公司</t>
  </si>
  <si>
    <t>株洲湘钢梅塞尔气体产品有限公司</t>
  </si>
  <si>
    <t>天然气制氢项目</t>
  </si>
  <si>
    <t>金能科技股份有限公司</t>
  </si>
  <si>
    <t>新材料与氢能源综合利用项目二期</t>
  </si>
  <si>
    <t>齐鲁氢能（山东）发展有限公司</t>
  </si>
  <si>
    <t>氢能一体化及储氢装备制造项目</t>
  </si>
  <si>
    <t>申能（集团）有限公司</t>
  </si>
  <si>
    <t>包头市氢能产业与可再生能源一体化项目</t>
  </si>
  <si>
    <t>山西长申氢能发展有限公司</t>
  </si>
  <si>
    <t>长申氢能燃料电池汽车能源保障基地及加氢站项目</t>
  </si>
  <si>
    <t>金发科技股份有限公司</t>
  </si>
  <si>
    <t>宁波金发氢能综合利用项目（一期）</t>
  </si>
  <si>
    <t>年产2亿标方焦炉煤气制氢项目</t>
  </si>
  <si>
    <t>内蒙古汇能煤化工有限公司</t>
  </si>
  <si>
    <t>煤制天然气装置副产氢提纯项目</t>
  </si>
  <si>
    <t>煤制天然气液化装置闪蒸气回收氢气</t>
  </si>
  <si>
    <t>鞍钢中集（营口）新能源科技有限公司</t>
  </si>
  <si>
    <t>营口焦炉煤气制氢联产LNG项目</t>
  </si>
  <si>
    <t>原名：鞍钢中集（营口）新能源科技有限公司</t>
  </si>
  <si>
    <t>2024年初投产</t>
  </si>
  <si>
    <t>株洲市华龙特种气体有限公司</t>
  </si>
  <si>
    <t>内蒙古特弘煤电集团</t>
  </si>
  <si>
    <t>鄂尔多斯中极新能源4000万方/年制氢加氢一体化项目</t>
  </si>
  <si>
    <t>榆林华秦新能源科技有限公司</t>
  </si>
  <si>
    <t>华秦氢能产业园（一期）</t>
  </si>
  <si>
    <t>新疆信汇峡清洁能源有限公司</t>
  </si>
  <si>
    <t>氢气提纯技术改造项目</t>
  </si>
  <si>
    <t>规划</t>
  </si>
  <si>
    <t>氢能综合利用项目（二期）（1）</t>
  </si>
  <si>
    <t>氢能综合利用项目（二期）（2）</t>
  </si>
  <si>
    <t>陕西宝光联悦氢能发展有限公司</t>
  </si>
  <si>
    <t>天然气制氢工厂</t>
  </si>
  <si>
    <t>中集安瑞科，首钢水城钢铁（集团）有限责任公司合资公司</t>
  </si>
  <si>
    <t>六盘水焦炉煤气制氢联产LNG项目</t>
  </si>
  <si>
    <t>2025年建成投产</t>
  </si>
  <si>
    <t>安徽创联新能源有限公司</t>
  </si>
  <si>
    <t>广东粤华发电有限责任公司氢能综合利用项目</t>
  </si>
  <si>
    <t>大连福佳大化石油化工股份有限公司</t>
  </si>
  <si>
    <t>氢器提纯装置</t>
  </si>
  <si>
    <t>中触媒新材料股份有限公司</t>
  </si>
  <si>
    <t>氢枫、杭氧集团股份有限公司、洛阳龙泽能源有限公司</t>
  </si>
  <si>
    <t>绿色循环燃料电池级氢气综合利用项目</t>
  </si>
  <si>
    <t>氢能源综合利用项目（二期）</t>
  </si>
  <si>
    <t>山西福裕焦化有限公司</t>
  </si>
  <si>
    <t>LNG富氢尾气制高纯氢项目</t>
  </si>
  <si>
    <t>地区</t>
    <phoneticPr fontId="3" type="noConversion"/>
  </si>
  <si>
    <t>省A</t>
    <phoneticPr fontId="3" type="noConversion"/>
  </si>
  <si>
    <t>市A</t>
    <phoneticPr fontId="3" type="noConversion"/>
  </si>
  <si>
    <t>地区A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</si>
</sst>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C00000"/>
      <name val="微软雅黑"/>
      <family val="2"/>
      <charset val="134"/>
    </font>
    <font>
      <b/>
      <sz val="9"/>
      <color rgb="FFC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40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57" fontId="2" fillId="0" borderId="1" xfId="1" applyNumberFormat="1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57" fontId="10" fillId="0" borderId="1" xfId="1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33" xfId="1" xr:uid="{BB10CDC4-675B-4B9E-9DD9-3FC5C8BDB0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91F6-46E0-4D78-B9FB-3258B0B043FE}">
  <dimension ref="A1:N106"/>
  <sheetViews>
    <sheetView tabSelected="1" zoomScale="70" zoomScaleNormal="70" workbookViewId="0">
      <pane ySplit="1" topLeftCell="A2" activePane="bottomLeft" state="frozen"/>
      <selection pane="bottomLeft" activeCell="P11" sqref="P11"/>
    </sheetView>
  </sheetViews>
  <sheetFormatPr defaultColWidth="15.59765625" defaultRowHeight="24.95" customHeight="1" x14ac:dyDescent="0.3"/>
  <cols>
    <col min="1" max="1" width="5.59765625" style="7" customWidth="1"/>
    <col min="2" max="4" width="10.59765625" style="4" customWidth="1"/>
    <col min="5" max="5" width="35.59765625" style="4" customWidth="1"/>
    <col min="6" max="6" width="30.59765625" style="4" customWidth="1"/>
    <col min="7" max="7" width="10.59765625" style="4" customWidth="1"/>
    <col min="8" max="9" width="15.59765625" style="4"/>
    <col min="10" max="10" width="18.1328125" style="7" customWidth="1"/>
    <col min="11" max="12" width="15.59765625" style="4"/>
    <col min="13" max="13" width="15.59765625" style="4" customWidth="1"/>
    <col min="14" max="17" width="15.59765625" style="4"/>
    <col min="18" max="18" width="50.59765625" style="4" customWidth="1"/>
    <col min="19" max="16384" width="15.59765625" style="4"/>
  </cols>
  <sheetData>
    <row r="1" spans="1:14" ht="24.95" customHeight="1" x14ac:dyDescent="0.3">
      <c r="A1" s="1"/>
      <c r="B1" s="2" t="s">
        <v>0</v>
      </c>
      <c r="C1" s="2" t="s">
        <v>1</v>
      </c>
      <c r="D1" s="2" t="s">
        <v>238</v>
      </c>
      <c r="E1" s="2" t="s">
        <v>2</v>
      </c>
      <c r="F1" s="2" t="s">
        <v>3</v>
      </c>
      <c r="G1" s="2"/>
      <c r="H1" s="3" t="s">
        <v>4</v>
      </c>
      <c r="I1" s="2" t="s">
        <v>5</v>
      </c>
      <c r="J1" s="2" t="s">
        <v>6</v>
      </c>
      <c r="K1" s="3" t="s">
        <v>6</v>
      </c>
      <c r="L1" s="2" t="s">
        <v>7</v>
      </c>
      <c r="M1" s="14" t="s">
        <v>8</v>
      </c>
      <c r="N1" s="15"/>
    </row>
    <row r="2" spans="1:14" s="8" customFormat="1" ht="24.95" customHeight="1" x14ac:dyDescent="0.3">
      <c r="A2" s="5">
        <f>ROW()-1</f>
        <v>1</v>
      </c>
      <c r="B2" s="6" t="s">
        <v>239</v>
      </c>
      <c r="C2" s="6" t="s">
        <v>240</v>
      </c>
      <c r="D2" s="6" t="s">
        <v>241</v>
      </c>
      <c r="E2" s="6" t="s">
        <v>9</v>
      </c>
      <c r="F2" s="6" t="s">
        <v>10</v>
      </c>
      <c r="G2" s="6"/>
      <c r="H2" s="6">
        <f ca="1">RANDBETWEEN(500,10000)</f>
        <v>6135</v>
      </c>
      <c r="I2" s="6"/>
      <c r="J2" s="6" t="s">
        <v>11</v>
      </c>
      <c r="K2" s="6" t="s">
        <v>12</v>
      </c>
      <c r="L2" s="6"/>
      <c r="M2" s="5">
        <f t="shared" ref="M2:M4" ca="1" si="0">RANDBETWEEN(2000,2025)</f>
        <v>2010</v>
      </c>
      <c r="N2" s="5">
        <f t="shared" ref="N2:N4" ca="1" si="1">RANDBETWEEN(1,12)</f>
        <v>9</v>
      </c>
    </row>
    <row r="3" spans="1:14" ht="24.95" customHeight="1" x14ac:dyDescent="0.3">
      <c r="A3" s="5">
        <f t="shared" ref="A3:A66" si="2">ROW()-1</f>
        <v>2</v>
      </c>
      <c r="B3" s="5" t="s">
        <v>239</v>
      </c>
      <c r="C3" s="5" t="s">
        <v>240</v>
      </c>
      <c r="D3" s="9" t="s">
        <v>241</v>
      </c>
      <c r="E3" s="5" t="s">
        <v>9</v>
      </c>
      <c r="F3" s="5" t="s">
        <v>13</v>
      </c>
      <c r="G3" s="5"/>
      <c r="H3" s="5">
        <f ca="1">RANDBETWEEN(500,10000)</f>
        <v>2920</v>
      </c>
      <c r="I3" s="5"/>
      <c r="J3" s="5" t="s">
        <v>11</v>
      </c>
      <c r="K3" s="5" t="s">
        <v>12</v>
      </c>
      <c r="L3" s="5"/>
      <c r="M3" s="5">
        <f t="shared" ca="1" si="0"/>
        <v>2023</v>
      </c>
      <c r="N3" s="5">
        <f t="shared" ca="1" si="1"/>
        <v>1</v>
      </c>
    </row>
    <row r="4" spans="1:14" ht="24.95" customHeight="1" x14ac:dyDescent="0.3">
      <c r="A4" s="5">
        <f t="shared" si="2"/>
        <v>3</v>
      </c>
      <c r="B4" s="5" t="s">
        <v>239</v>
      </c>
      <c r="C4" s="5"/>
      <c r="D4" s="9" t="s">
        <v>241</v>
      </c>
      <c r="E4" s="5" t="s">
        <v>14</v>
      </c>
      <c r="F4" s="5" t="s">
        <v>15</v>
      </c>
      <c r="G4" s="5"/>
      <c r="H4" s="5">
        <f t="shared" ref="H4:H67" ca="1" si="3">RANDBETWEEN(500,10000)</f>
        <v>3253</v>
      </c>
      <c r="I4" s="5"/>
      <c r="J4" s="5" t="s">
        <v>16</v>
      </c>
      <c r="K4" s="5" t="s">
        <v>12</v>
      </c>
      <c r="L4" s="5"/>
      <c r="M4" s="5">
        <f t="shared" ca="1" si="0"/>
        <v>2025</v>
      </c>
      <c r="N4" s="5">
        <f t="shared" ca="1" si="1"/>
        <v>8</v>
      </c>
    </row>
    <row r="5" spans="1:14" ht="24.95" customHeight="1" x14ac:dyDescent="0.3">
      <c r="A5" s="5">
        <f t="shared" si="2"/>
        <v>4</v>
      </c>
      <c r="B5" s="5" t="s">
        <v>239</v>
      </c>
      <c r="C5" s="5"/>
      <c r="D5" s="9" t="s">
        <v>241</v>
      </c>
      <c r="E5" s="5" t="s">
        <v>14</v>
      </c>
      <c r="F5" s="5" t="s">
        <v>17</v>
      </c>
      <c r="G5" s="5"/>
      <c r="H5" s="5">
        <f t="shared" ca="1" si="3"/>
        <v>7311</v>
      </c>
      <c r="I5" s="5"/>
      <c r="J5" s="5" t="s">
        <v>18</v>
      </c>
      <c r="K5" s="5" t="s">
        <v>19</v>
      </c>
      <c r="L5" s="5">
        <v>99.998999999999995</v>
      </c>
      <c r="M5" s="5">
        <f ca="1">RANDBETWEEN(2000,2025)</f>
        <v>2025</v>
      </c>
      <c r="N5" s="5">
        <f ca="1">RANDBETWEEN(1,12)</f>
        <v>5</v>
      </c>
    </row>
    <row r="6" spans="1:14" ht="24.95" customHeight="1" x14ac:dyDescent="0.3">
      <c r="A6" s="5">
        <f t="shared" si="2"/>
        <v>5</v>
      </c>
      <c r="B6" s="5" t="s">
        <v>239</v>
      </c>
      <c r="C6" s="5" t="s">
        <v>240</v>
      </c>
      <c r="D6" s="9" t="s">
        <v>241</v>
      </c>
      <c r="E6" s="5" t="s">
        <v>20</v>
      </c>
      <c r="F6" s="5" t="s">
        <v>21</v>
      </c>
      <c r="G6" s="5"/>
      <c r="H6" s="5">
        <f t="shared" ca="1" si="3"/>
        <v>1929</v>
      </c>
      <c r="I6" s="5"/>
      <c r="J6" s="5" t="s">
        <v>11</v>
      </c>
      <c r="K6" s="5" t="s">
        <v>12</v>
      </c>
      <c r="L6" s="5"/>
      <c r="M6" s="5">
        <f t="shared" ref="M6:M9" ca="1" si="4">RANDBETWEEN(2000,2025)</f>
        <v>2009</v>
      </c>
      <c r="N6" s="5">
        <f t="shared" ref="N6:N9" ca="1" si="5">RANDBETWEEN(1,12)</f>
        <v>9</v>
      </c>
    </row>
    <row r="7" spans="1:14" ht="24.95" customHeight="1" x14ac:dyDescent="0.3">
      <c r="A7" s="5">
        <f t="shared" si="2"/>
        <v>6</v>
      </c>
      <c r="B7" s="5" t="s">
        <v>239</v>
      </c>
      <c r="C7" s="5" t="s">
        <v>240</v>
      </c>
      <c r="D7" s="9" t="s">
        <v>241</v>
      </c>
      <c r="E7" s="5" t="s">
        <v>22</v>
      </c>
      <c r="F7" s="5" t="s">
        <v>23</v>
      </c>
      <c r="G7" s="5"/>
      <c r="H7" s="5">
        <f t="shared" ca="1" si="3"/>
        <v>6394</v>
      </c>
      <c r="I7" s="5"/>
      <c r="J7" s="5" t="s">
        <v>11</v>
      </c>
      <c r="K7" s="5" t="s">
        <v>12</v>
      </c>
      <c r="L7" s="5"/>
      <c r="M7" s="5">
        <f t="shared" ca="1" si="4"/>
        <v>2004</v>
      </c>
      <c r="N7" s="5">
        <f t="shared" ca="1" si="5"/>
        <v>10</v>
      </c>
    </row>
    <row r="8" spans="1:14" ht="24.95" customHeight="1" x14ac:dyDescent="0.3">
      <c r="A8" s="5">
        <f t="shared" si="2"/>
        <v>7</v>
      </c>
      <c r="B8" s="5" t="s">
        <v>239</v>
      </c>
      <c r="C8" s="5"/>
      <c r="D8" s="9" t="s">
        <v>241</v>
      </c>
      <c r="E8" s="5" t="s">
        <v>24</v>
      </c>
      <c r="F8" s="5" t="s">
        <v>25</v>
      </c>
      <c r="G8" s="5"/>
      <c r="H8" s="5">
        <f t="shared" ca="1" si="3"/>
        <v>2770</v>
      </c>
      <c r="I8" s="5">
        <f ca="1">RANDBETWEEN(500,10000)</f>
        <v>7293</v>
      </c>
      <c r="J8" s="5" t="s">
        <v>26</v>
      </c>
      <c r="K8" s="5" t="s">
        <v>27</v>
      </c>
      <c r="L8" s="5">
        <v>99.998999999999995</v>
      </c>
      <c r="M8" s="5">
        <f t="shared" ca="1" si="4"/>
        <v>2016</v>
      </c>
      <c r="N8" s="5">
        <f t="shared" ca="1" si="5"/>
        <v>12</v>
      </c>
    </row>
    <row r="9" spans="1:14" ht="24.95" customHeight="1" x14ac:dyDescent="0.3">
      <c r="A9" s="5">
        <f t="shared" si="2"/>
        <v>8</v>
      </c>
      <c r="B9" s="5" t="s">
        <v>239</v>
      </c>
      <c r="C9" s="5" t="s">
        <v>240</v>
      </c>
      <c r="D9" s="9" t="s">
        <v>241</v>
      </c>
      <c r="E9" s="5" t="s">
        <v>28</v>
      </c>
      <c r="F9" s="5" t="s">
        <v>29</v>
      </c>
      <c r="G9" s="5"/>
      <c r="H9" s="5">
        <f t="shared" ca="1" si="3"/>
        <v>8961</v>
      </c>
      <c r="I9" s="5"/>
      <c r="J9" s="5" t="s">
        <v>16</v>
      </c>
      <c r="K9" s="5" t="s">
        <v>12</v>
      </c>
      <c r="L9" s="5"/>
      <c r="M9" s="5">
        <f t="shared" ca="1" si="4"/>
        <v>2023</v>
      </c>
      <c r="N9" s="5">
        <f t="shared" ca="1" si="5"/>
        <v>11</v>
      </c>
    </row>
    <row r="10" spans="1:14" ht="24.95" customHeight="1" x14ac:dyDescent="0.3">
      <c r="A10" s="5">
        <f t="shared" si="2"/>
        <v>9</v>
      </c>
      <c r="B10" s="5" t="s">
        <v>239</v>
      </c>
      <c r="C10" s="5" t="s">
        <v>240</v>
      </c>
      <c r="D10" s="9" t="s">
        <v>241</v>
      </c>
      <c r="E10" s="5" t="s">
        <v>30</v>
      </c>
      <c r="F10" s="5" t="s">
        <v>31</v>
      </c>
      <c r="G10" s="5"/>
      <c r="H10" s="5">
        <f t="shared" ca="1" si="3"/>
        <v>2823</v>
      </c>
      <c r="I10" s="5"/>
      <c r="J10" s="5" t="s">
        <v>32</v>
      </c>
      <c r="K10" s="5" t="s">
        <v>27</v>
      </c>
      <c r="L10" s="5">
        <v>99.998999999999995</v>
      </c>
      <c r="M10" s="5">
        <f t="shared" ref="M10:M32" ca="1" si="6">RANDBETWEEN(2000,2025)</f>
        <v>2000</v>
      </c>
      <c r="N10" s="5">
        <f t="shared" ref="N10:N32" ca="1" si="7">RANDBETWEEN(1,12)</f>
        <v>3</v>
      </c>
    </row>
    <row r="11" spans="1:14" ht="24.95" customHeight="1" x14ac:dyDescent="0.3">
      <c r="A11" s="5">
        <f t="shared" si="2"/>
        <v>10</v>
      </c>
      <c r="B11" s="5" t="s">
        <v>239</v>
      </c>
      <c r="C11" s="5"/>
      <c r="D11" s="9" t="s">
        <v>241</v>
      </c>
      <c r="E11" s="5" t="s">
        <v>33</v>
      </c>
      <c r="F11" s="5" t="s">
        <v>34</v>
      </c>
      <c r="G11" s="5"/>
      <c r="H11" s="5">
        <f t="shared" ca="1" si="3"/>
        <v>2778</v>
      </c>
      <c r="I11" s="5"/>
      <c r="J11" s="5" t="s">
        <v>35</v>
      </c>
      <c r="K11" s="5" t="s">
        <v>12</v>
      </c>
      <c r="L11" s="5">
        <v>99.998999999999995</v>
      </c>
      <c r="M11" s="5">
        <f t="shared" ca="1" si="6"/>
        <v>2019</v>
      </c>
      <c r="N11" s="5">
        <f t="shared" ca="1" si="7"/>
        <v>7</v>
      </c>
    </row>
    <row r="12" spans="1:14" ht="24.95" customHeight="1" x14ac:dyDescent="0.3">
      <c r="A12" s="5">
        <f t="shared" si="2"/>
        <v>11</v>
      </c>
      <c r="B12" s="5" t="s">
        <v>239</v>
      </c>
      <c r="C12" s="5" t="s">
        <v>240</v>
      </c>
      <c r="D12" s="9" t="s">
        <v>241</v>
      </c>
      <c r="E12" s="5" t="s">
        <v>36</v>
      </c>
      <c r="F12" s="5" t="s">
        <v>37</v>
      </c>
      <c r="G12" s="5"/>
      <c r="H12" s="5">
        <f t="shared" ca="1" si="3"/>
        <v>5126</v>
      </c>
      <c r="I12" s="5"/>
      <c r="J12" s="5" t="s">
        <v>38</v>
      </c>
      <c r="K12" s="5" t="s">
        <v>27</v>
      </c>
      <c r="L12" s="5">
        <v>99.998999999999995</v>
      </c>
      <c r="M12" s="5">
        <f t="shared" ca="1" si="6"/>
        <v>2011</v>
      </c>
      <c r="N12" s="5">
        <f t="shared" ca="1" si="7"/>
        <v>5</v>
      </c>
    </row>
    <row r="13" spans="1:14" ht="24.95" customHeight="1" x14ac:dyDescent="0.3">
      <c r="A13" s="5">
        <f t="shared" si="2"/>
        <v>12</v>
      </c>
      <c r="B13" s="5" t="s">
        <v>239</v>
      </c>
      <c r="C13" s="5" t="s">
        <v>240</v>
      </c>
      <c r="D13" s="9" t="s">
        <v>241</v>
      </c>
      <c r="E13" s="5" t="s">
        <v>39</v>
      </c>
      <c r="F13" s="5" t="s">
        <v>40</v>
      </c>
      <c r="G13" s="5"/>
      <c r="H13" s="5">
        <f t="shared" ca="1" si="3"/>
        <v>7956</v>
      </c>
      <c r="I13" s="5">
        <f ca="1">RANDBETWEEN(500,10000)</f>
        <v>5867</v>
      </c>
      <c r="J13" s="5" t="s">
        <v>41</v>
      </c>
      <c r="K13" s="5" t="s">
        <v>27</v>
      </c>
      <c r="L13" s="5">
        <v>99.998999999999995</v>
      </c>
      <c r="M13" s="5">
        <f t="shared" ca="1" si="6"/>
        <v>2010</v>
      </c>
      <c r="N13" s="5">
        <f t="shared" ca="1" si="7"/>
        <v>9</v>
      </c>
    </row>
    <row r="14" spans="1:14" ht="24.95" customHeight="1" x14ac:dyDescent="0.3">
      <c r="A14" s="5">
        <f t="shared" si="2"/>
        <v>13</v>
      </c>
      <c r="B14" s="5" t="s">
        <v>239</v>
      </c>
      <c r="C14" s="5" t="s">
        <v>240</v>
      </c>
      <c r="D14" s="9" t="s">
        <v>241</v>
      </c>
      <c r="E14" s="5" t="s">
        <v>42</v>
      </c>
      <c r="F14" s="5" t="s">
        <v>43</v>
      </c>
      <c r="G14" s="5"/>
      <c r="H14" s="5">
        <f t="shared" ca="1" si="3"/>
        <v>6576</v>
      </c>
      <c r="I14" s="5"/>
      <c r="J14" s="5" t="s">
        <v>32</v>
      </c>
      <c r="K14" s="5" t="s">
        <v>27</v>
      </c>
      <c r="L14" s="5">
        <v>99.998999999999995</v>
      </c>
      <c r="M14" s="5">
        <f t="shared" ca="1" si="6"/>
        <v>2024</v>
      </c>
      <c r="N14" s="5">
        <f t="shared" ca="1" si="7"/>
        <v>11</v>
      </c>
    </row>
    <row r="15" spans="1:14" ht="24.95" customHeight="1" x14ac:dyDescent="0.3">
      <c r="A15" s="5">
        <f t="shared" si="2"/>
        <v>14</v>
      </c>
      <c r="B15" s="5" t="s">
        <v>239</v>
      </c>
      <c r="C15" s="5" t="s">
        <v>240</v>
      </c>
      <c r="D15" s="9" t="s">
        <v>241</v>
      </c>
      <c r="E15" s="5" t="s">
        <v>44</v>
      </c>
      <c r="F15" s="5" t="s">
        <v>45</v>
      </c>
      <c r="G15" s="5"/>
      <c r="H15" s="5">
        <f t="shared" ca="1" si="3"/>
        <v>1500</v>
      </c>
      <c r="I15" s="5"/>
      <c r="J15" s="5" t="s">
        <v>35</v>
      </c>
      <c r="K15" s="5" t="s">
        <v>12</v>
      </c>
      <c r="L15" s="5">
        <v>99.998999999999995</v>
      </c>
      <c r="M15" s="5">
        <f t="shared" ca="1" si="6"/>
        <v>2002</v>
      </c>
      <c r="N15" s="5">
        <f t="shared" ca="1" si="7"/>
        <v>12</v>
      </c>
    </row>
    <row r="16" spans="1:14" ht="24.95" customHeight="1" x14ac:dyDescent="0.3">
      <c r="A16" s="5">
        <f t="shared" si="2"/>
        <v>15</v>
      </c>
      <c r="B16" s="5" t="s">
        <v>239</v>
      </c>
      <c r="C16" s="5" t="s">
        <v>240</v>
      </c>
      <c r="D16" s="9" t="s">
        <v>241</v>
      </c>
      <c r="E16" s="5" t="s">
        <v>46</v>
      </c>
      <c r="F16" s="5" t="s">
        <v>47</v>
      </c>
      <c r="G16" s="5"/>
      <c r="H16" s="5">
        <f t="shared" ca="1" si="3"/>
        <v>8042</v>
      </c>
      <c r="I16" s="5"/>
      <c r="J16" s="5" t="s">
        <v>48</v>
      </c>
      <c r="K16" s="5" t="s">
        <v>27</v>
      </c>
      <c r="L16" s="5">
        <v>99.998999999999995</v>
      </c>
      <c r="M16" s="5">
        <f t="shared" ca="1" si="6"/>
        <v>2010</v>
      </c>
      <c r="N16" s="5">
        <f t="shared" ca="1" si="7"/>
        <v>2</v>
      </c>
    </row>
    <row r="17" spans="1:14" ht="24.95" customHeight="1" x14ac:dyDescent="0.3">
      <c r="A17" s="5">
        <f t="shared" si="2"/>
        <v>16</v>
      </c>
      <c r="B17" s="5" t="s">
        <v>239</v>
      </c>
      <c r="C17" s="5" t="s">
        <v>240</v>
      </c>
      <c r="D17" s="9" t="s">
        <v>241</v>
      </c>
      <c r="E17" s="5" t="s">
        <v>49</v>
      </c>
      <c r="F17" s="5" t="s">
        <v>50</v>
      </c>
      <c r="G17" s="5"/>
      <c r="H17" s="5">
        <f t="shared" ca="1" si="3"/>
        <v>7588</v>
      </c>
      <c r="I17" s="5"/>
      <c r="J17" s="5" t="s">
        <v>27</v>
      </c>
      <c r="K17" s="5" t="s">
        <v>27</v>
      </c>
      <c r="L17" s="5">
        <v>99.998999999999995</v>
      </c>
      <c r="M17" s="5">
        <f t="shared" ca="1" si="6"/>
        <v>2015</v>
      </c>
      <c r="N17" s="5">
        <f t="shared" ca="1" si="7"/>
        <v>4</v>
      </c>
    </row>
    <row r="18" spans="1:14" ht="24.95" customHeight="1" x14ac:dyDescent="0.3">
      <c r="A18" s="5">
        <f t="shared" si="2"/>
        <v>17</v>
      </c>
      <c r="B18" s="5" t="s">
        <v>239</v>
      </c>
      <c r="C18" s="5" t="s">
        <v>240</v>
      </c>
      <c r="D18" s="9" t="s">
        <v>241</v>
      </c>
      <c r="E18" s="5" t="s">
        <v>42</v>
      </c>
      <c r="F18" s="5" t="s">
        <v>43</v>
      </c>
      <c r="G18" s="5"/>
      <c r="H18" s="5">
        <f t="shared" ca="1" si="3"/>
        <v>6274</v>
      </c>
      <c r="I18" s="5"/>
      <c r="J18" s="5" t="s">
        <v>32</v>
      </c>
      <c r="K18" s="5" t="s">
        <v>27</v>
      </c>
      <c r="L18" s="5">
        <v>99.998999999999995</v>
      </c>
      <c r="M18" s="5">
        <f t="shared" ca="1" si="6"/>
        <v>2002</v>
      </c>
      <c r="N18" s="5">
        <f t="shared" ca="1" si="7"/>
        <v>2</v>
      </c>
    </row>
    <row r="19" spans="1:14" ht="24.95" customHeight="1" x14ac:dyDescent="0.3">
      <c r="A19" s="5">
        <f t="shared" si="2"/>
        <v>18</v>
      </c>
      <c r="B19" s="5" t="s">
        <v>239</v>
      </c>
      <c r="C19" s="5" t="s">
        <v>240</v>
      </c>
      <c r="D19" s="9" t="s">
        <v>241</v>
      </c>
      <c r="E19" s="5" t="s">
        <v>51</v>
      </c>
      <c r="F19" s="5" t="s">
        <v>52</v>
      </c>
      <c r="G19" s="5"/>
      <c r="H19" s="5">
        <f t="shared" ca="1" si="3"/>
        <v>4839</v>
      </c>
      <c r="I19" s="5"/>
      <c r="J19" s="5" t="s">
        <v>53</v>
      </c>
      <c r="K19" s="5" t="s">
        <v>27</v>
      </c>
      <c r="L19" s="5">
        <v>99.998999999999995</v>
      </c>
      <c r="M19" s="5">
        <f t="shared" ca="1" si="6"/>
        <v>2020</v>
      </c>
      <c r="N19" s="5">
        <f t="shared" ca="1" si="7"/>
        <v>7</v>
      </c>
    </row>
    <row r="20" spans="1:14" ht="24.95" customHeight="1" x14ac:dyDescent="0.3">
      <c r="A20" s="5">
        <f t="shared" si="2"/>
        <v>19</v>
      </c>
      <c r="B20" s="5" t="s">
        <v>239</v>
      </c>
      <c r="C20" s="5"/>
      <c r="D20" s="9" t="s">
        <v>241</v>
      </c>
      <c r="E20" s="5" t="s">
        <v>54</v>
      </c>
      <c r="F20" s="5" t="s">
        <v>55</v>
      </c>
      <c r="G20" s="5"/>
      <c r="H20" s="5">
        <f t="shared" ca="1" si="3"/>
        <v>6010</v>
      </c>
      <c r="I20" s="5"/>
      <c r="J20" s="5" t="s">
        <v>32</v>
      </c>
      <c r="K20" s="5" t="s">
        <v>27</v>
      </c>
      <c r="L20" s="5">
        <v>99.998999999999995</v>
      </c>
      <c r="M20" s="5">
        <f t="shared" ca="1" si="6"/>
        <v>2022</v>
      </c>
      <c r="N20" s="5">
        <f t="shared" ca="1" si="7"/>
        <v>1</v>
      </c>
    </row>
    <row r="21" spans="1:14" ht="24.95" customHeight="1" x14ac:dyDescent="0.3">
      <c r="A21" s="5">
        <f t="shared" si="2"/>
        <v>20</v>
      </c>
      <c r="B21" s="5" t="s">
        <v>239</v>
      </c>
      <c r="C21" s="5"/>
      <c r="D21" s="9" t="s">
        <v>241</v>
      </c>
      <c r="E21" s="5" t="s">
        <v>56</v>
      </c>
      <c r="F21" s="5" t="s">
        <v>57</v>
      </c>
      <c r="G21" s="5"/>
      <c r="H21" s="5">
        <f t="shared" ca="1" si="3"/>
        <v>5620</v>
      </c>
      <c r="I21" s="5"/>
      <c r="J21" s="5" t="s">
        <v>58</v>
      </c>
      <c r="K21" s="5" t="s">
        <v>12</v>
      </c>
      <c r="L21" s="5">
        <v>99.998999999999995</v>
      </c>
      <c r="M21" s="5">
        <f t="shared" ca="1" si="6"/>
        <v>2024</v>
      </c>
      <c r="N21" s="5">
        <f t="shared" ca="1" si="7"/>
        <v>10</v>
      </c>
    </row>
    <row r="22" spans="1:14" ht="24.95" customHeight="1" x14ac:dyDescent="0.3">
      <c r="A22" s="5">
        <f t="shared" si="2"/>
        <v>21</v>
      </c>
      <c r="B22" s="5" t="s">
        <v>239</v>
      </c>
      <c r="C22" s="5" t="s">
        <v>240</v>
      </c>
      <c r="D22" s="9" t="s">
        <v>241</v>
      </c>
      <c r="E22" s="5" t="s">
        <v>59</v>
      </c>
      <c r="F22" s="5" t="s">
        <v>60</v>
      </c>
      <c r="G22" s="5"/>
      <c r="H22" s="5">
        <f t="shared" ca="1" si="3"/>
        <v>1538</v>
      </c>
      <c r="I22" s="5"/>
      <c r="J22" s="5" t="s">
        <v>61</v>
      </c>
      <c r="K22" s="5" t="s">
        <v>27</v>
      </c>
      <c r="L22" s="5">
        <v>99.998999999999995</v>
      </c>
      <c r="M22" s="5">
        <f t="shared" ca="1" si="6"/>
        <v>2012</v>
      </c>
      <c r="N22" s="5">
        <f t="shared" ca="1" si="7"/>
        <v>8</v>
      </c>
    </row>
    <row r="23" spans="1:14" ht="24.95" customHeight="1" x14ac:dyDescent="0.3">
      <c r="A23" s="5">
        <f t="shared" si="2"/>
        <v>22</v>
      </c>
      <c r="B23" s="5" t="s">
        <v>239</v>
      </c>
      <c r="C23" s="5" t="s">
        <v>240</v>
      </c>
      <c r="D23" s="9" t="s">
        <v>241</v>
      </c>
      <c r="E23" s="5" t="s">
        <v>62</v>
      </c>
      <c r="F23" s="5" t="s">
        <v>63</v>
      </c>
      <c r="G23" s="5"/>
      <c r="H23" s="5">
        <f t="shared" ca="1" si="3"/>
        <v>7954</v>
      </c>
      <c r="I23" s="5"/>
      <c r="J23" s="5" t="s">
        <v>41</v>
      </c>
      <c r="K23" s="5" t="s">
        <v>27</v>
      </c>
      <c r="L23" s="5">
        <v>99.998999999999995</v>
      </c>
      <c r="M23" s="5">
        <f t="shared" ca="1" si="6"/>
        <v>2016</v>
      </c>
      <c r="N23" s="5">
        <f t="shared" ca="1" si="7"/>
        <v>4</v>
      </c>
    </row>
    <row r="24" spans="1:14" ht="24.95" customHeight="1" x14ac:dyDescent="0.3">
      <c r="A24" s="5">
        <f t="shared" si="2"/>
        <v>23</v>
      </c>
      <c r="B24" s="5" t="s">
        <v>239</v>
      </c>
      <c r="C24" s="5" t="s">
        <v>240</v>
      </c>
      <c r="D24" s="9" t="s">
        <v>241</v>
      </c>
      <c r="E24" s="5" t="s">
        <v>64</v>
      </c>
      <c r="F24" s="5" t="s">
        <v>65</v>
      </c>
      <c r="G24" s="5"/>
      <c r="H24" s="5">
        <f t="shared" ca="1" si="3"/>
        <v>1069</v>
      </c>
      <c r="I24" s="5"/>
      <c r="J24" s="5" t="s">
        <v>66</v>
      </c>
      <c r="K24" s="5" t="s">
        <v>27</v>
      </c>
      <c r="L24" s="5">
        <v>99.998999999999995</v>
      </c>
      <c r="M24" s="5">
        <f t="shared" ca="1" si="6"/>
        <v>2007</v>
      </c>
      <c r="N24" s="5">
        <f t="shared" ca="1" si="7"/>
        <v>9</v>
      </c>
    </row>
    <row r="25" spans="1:14" ht="24.95" customHeight="1" x14ac:dyDescent="0.3">
      <c r="A25" s="5">
        <f t="shared" si="2"/>
        <v>24</v>
      </c>
      <c r="B25" s="5" t="s">
        <v>239</v>
      </c>
      <c r="C25" s="5" t="s">
        <v>240</v>
      </c>
      <c r="D25" s="9" t="s">
        <v>241</v>
      </c>
      <c r="E25" s="5" t="s">
        <v>67</v>
      </c>
      <c r="F25" s="5" t="s">
        <v>68</v>
      </c>
      <c r="G25" s="5"/>
      <c r="H25" s="5">
        <f t="shared" ca="1" si="3"/>
        <v>6165</v>
      </c>
      <c r="I25" s="5"/>
      <c r="J25" s="5" t="s">
        <v>32</v>
      </c>
      <c r="K25" s="5" t="s">
        <v>27</v>
      </c>
      <c r="L25" s="5">
        <v>99.998999999999995</v>
      </c>
      <c r="M25" s="5">
        <f t="shared" ca="1" si="6"/>
        <v>2015</v>
      </c>
      <c r="N25" s="5">
        <f t="shared" ca="1" si="7"/>
        <v>5</v>
      </c>
    </row>
    <row r="26" spans="1:14" ht="24.95" customHeight="1" x14ac:dyDescent="0.3">
      <c r="A26" s="5">
        <f t="shared" si="2"/>
        <v>25</v>
      </c>
      <c r="B26" s="5" t="s">
        <v>239</v>
      </c>
      <c r="C26" s="5" t="s">
        <v>240</v>
      </c>
      <c r="D26" s="9" t="s">
        <v>241</v>
      </c>
      <c r="E26" s="5" t="s">
        <v>30</v>
      </c>
      <c r="F26" s="5" t="s">
        <v>69</v>
      </c>
      <c r="G26" s="5"/>
      <c r="H26" s="5">
        <f t="shared" ca="1" si="3"/>
        <v>3113</v>
      </c>
      <c r="I26" s="5"/>
      <c r="J26" s="5" t="s">
        <v>32</v>
      </c>
      <c r="K26" s="5" t="s">
        <v>27</v>
      </c>
      <c r="L26" s="5">
        <v>99.998999999999995</v>
      </c>
      <c r="M26" s="5">
        <f t="shared" ca="1" si="6"/>
        <v>2002</v>
      </c>
      <c r="N26" s="5">
        <f t="shared" ca="1" si="7"/>
        <v>6</v>
      </c>
    </row>
    <row r="27" spans="1:14" ht="24.95" customHeight="1" x14ac:dyDescent="0.3">
      <c r="A27" s="5">
        <f t="shared" si="2"/>
        <v>26</v>
      </c>
      <c r="B27" s="5" t="s">
        <v>239</v>
      </c>
      <c r="C27" s="5" t="s">
        <v>240</v>
      </c>
      <c r="D27" s="9" t="s">
        <v>241</v>
      </c>
      <c r="E27" s="5" t="s">
        <v>70</v>
      </c>
      <c r="F27" s="5" t="s">
        <v>71</v>
      </c>
      <c r="G27" s="5"/>
      <c r="H27" s="5">
        <f t="shared" ca="1" si="3"/>
        <v>5325</v>
      </c>
      <c r="I27" s="5"/>
      <c r="J27" s="5" t="s">
        <v>35</v>
      </c>
      <c r="K27" s="5" t="s">
        <v>12</v>
      </c>
      <c r="L27" s="5">
        <v>99.998999999999995</v>
      </c>
      <c r="M27" s="5">
        <f t="shared" ca="1" si="6"/>
        <v>2023</v>
      </c>
      <c r="N27" s="5">
        <f t="shared" ca="1" si="7"/>
        <v>2</v>
      </c>
    </row>
    <row r="28" spans="1:14" ht="24.95" customHeight="1" x14ac:dyDescent="0.3">
      <c r="A28" s="5">
        <f t="shared" si="2"/>
        <v>27</v>
      </c>
      <c r="B28" s="5" t="s">
        <v>239</v>
      </c>
      <c r="C28" s="5" t="s">
        <v>240</v>
      </c>
      <c r="D28" s="9" t="s">
        <v>241</v>
      </c>
      <c r="E28" s="5" t="s">
        <v>72</v>
      </c>
      <c r="F28" s="5" t="s">
        <v>73</v>
      </c>
      <c r="G28" s="5"/>
      <c r="H28" s="5">
        <f t="shared" ca="1" si="3"/>
        <v>2960</v>
      </c>
      <c r="I28" s="5"/>
      <c r="J28" s="5" t="s">
        <v>32</v>
      </c>
      <c r="K28" s="5" t="s">
        <v>27</v>
      </c>
      <c r="L28" s="5">
        <v>99.998999999999995</v>
      </c>
      <c r="M28" s="5">
        <f t="shared" ca="1" si="6"/>
        <v>2009</v>
      </c>
      <c r="N28" s="5">
        <f t="shared" ca="1" si="7"/>
        <v>5</v>
      </c>
    </row>
    <row r="29" spans="1:14" ht="24.95" customHeight="1" x14ac:dyDescent="0.3">
      <c r="A29" s="5">
        <f t="shared" si="2"/>
        <v>28</v>
      </c>
      <c r="B29" s="5" t="s">
        <v>239</v>
      </c>
      <c r="C29" s="5" t="s">
        <v>240</v>
      </c>
      <c r="D29" s="9" t="s">
        <v>241</v>
      </c>
      <c r="E29" s="5" t="s">
        <v>74</v>
      </c>
      <c r="F29" s="5" t="s">
        <v>75</v>
      </c>
      <c r="G29" s="5"/>
      <c r="H29" s="5">
        <f t="shared" ca="1" si="3"/>
        <v>7724</v>
      </c>
      <c r="I29" s="5"/>
      <c r="J29" s="5" t="s">
        <v>76</v>
      </c>
      <c r="K29" s="5" t="s">
        <v>27</v>
      </c>
      <c r="L29" s="5">
        <v>99.998999999999995</v>
      </c>
      <c r="M29" s="5">
        <f t="shared" ca="1" si="6"/>
        <v>2014</v>
      </c>
      <c r="N29" s="5">
        <f t="shared" ca="1" si="7"/>
        <v>9</v>
      </c>
    </row>
    <row r="30" spans="1:14" ht="24.95" customHeight="1" x14ac:dyDescent="0.3">
      <c r="A30" s="5">
        <f t="shared" si="2"/>
        <v>29</v>
      </c>
      <c r="B30" s="5" t="s">
        <v>239</v>
      </c>
      <c r="C30" s="5" t="s">
        <v>240</v>
      </c>
      <c r="D30" s="9" t="s">
        <v>241</v>
      </c>
      <c r="E30" s="5" t="s">
        <v>67</v>
      </c>
      <c r="F30" s="5" t="s">
        <v>77</v>
      </c>
      <c r="G30" s="5"/>
      <c r="H30" s="5">
        <f t="shared" ca="1" si="3"/>
        <v>6221</v>
      </c>
      <c r="I30" s="5"/>
      <c r="J30" s="5" t="s">
        <v>32</v>
      </c>
      <c r="K30" s="5" t="s">
        <v>27</v>
      </c>
      <c r="L30" s="5">
        <v>99.998999999999995</v>
      </c>
      <c r="M30" s="5">
        <f t="shared" ca="1" si="6"/>
        <v>2020</v>
      </c>
      <c r="N30" s="5">
        <f t="shared" ca="1" si="7"/>
        <v>6</v>
      </c>
    </row>
    <row r="31" spans="1:14" ht="24.95" customHeight="1" x14ac:dyDescent="0.3">
      <c r="A31" s="5">
        <f t="shared" si="2"/>
        <v>30</v>
      </c>
      <c r="B31" s="5" t="s">
        <v>239</v>
      </c>
      <c r="C31" s="5"/>
      <c r="D31" s="9" t="s">
        <v>241</v>
      </c>
      <c r="E31" s="5" t="s">
        <v>78</v>
      </c>
      <c r="F31" s="5" t="s">
        <v>79</v>
      </c>
      <c r="G31" s="5"/>
      <c r="H31" s="5">
        <f t="shared" ca="1" si="3"/>
        <v>3096</v>
      </c>
      <c r="I31" s="5">
        <f ca="1">RANDBETWEEN(500,10000)</f>
        <v>2774</v>
      </c>
      <c r="J31" s="5" t="s">
        <v>80</v>
      </c>
      <c r="K31" s="5" t="s">
        <v>27</v>
      </c>
      <c r="L31" s="5">
        <v>99.998999999999995</v>
      </c>
      <c r="M31" s="5">
        <f t="shared" ca="1" si="6"/>
        <v>2015</v>
      </c>
      <c r="N31" s="5">
        <f t="shared" ca="1" si="7"/>
        <v>4</v>
      </c>
    </row>
    <row r="32" spans="1:14" ht="24.95" customHeight="1" x14ac:dyDescent="0.3">
      <c r="A32" s="5">
        <f t="shared" si="2"/>
        <v>31</v>
      </c>
      <c r="B32" s="5" t="s">
        <v>239</v>
      </c>
      <c r="C32" s="5" t="s">
        <v>240</v>
      </c>
      <c r="D32" s="9" t="s">
        <v>241</v>
      </c>
      <c r="E32" s="5" t="s">
        <v>81</v>
      </c>
      <c r="F32" s="5" t="s">
        <v>82</v>
      </c>
      <c r="G32" s="5"/>
      <c r="H32" s="5">
        <f t="shared" ca="1" si="3"/>
        <v>5347</v>
      </c>
      <c r="I32" s="5"/>
      <c r="J32" s="5" t="s">
        <v>83</v>
      </c>
      <c r="K32" s="5" t="s">
        <v>27</v>
      </c>
      <c r="L32" s="5" t="s">
        <v>84</v>
      </c>
      <c r="M32" s="5">
        <f t="shared" ca="1" si="6"/>
        <v>2024</v>
      </c>
      <c r="N32" s="5">
        <f t="shared" ca="1" si="7"/>
        <v>1</v>
      </c>
    </row>
    <row r="33" spans="1:14" ht="24.95" customHeight="1" x14ac:dyDescent="0.3">
      <c r="A33" s="5">
        <f t="shared" si="2"/>
        <v>32</v>
      </c>
      <c r="B33" s="5" t="s">
        <v>239</v>
      </c>
      <c r="C33" s="5" t="s">
        <v>240</v>
      </c>
      <c r="D33" s="9" t="s">
        <v>241</v>
      </c>
      <c r="E33" s="5" t="s">
        <v>85</v>
      </c>
      <c r="F33" s="5" t="s">
        <v>86</v>
      </c>
      <c r="G33" s="5"/>
      <c r="H33" s="5">
        <f t="shared" ca="1" si="3"/>
        <v>3637</v>
      </c>
      <c r="I33" s="5"/>
      <c r="J33" s="5" t="s">
        <v>87</v>
      </c>
      <c r="K33" s="5" t="s">
        <v>27</v>
      </c>
      <c r="L33" s="5">
        <v>99.998999999999995</v>
      </c>
      <c r="M33" s="5">
        <f t="shared" ref="M33:M47" ca="1" si="8">RANDBETWEEN(2000,2025)</f>
        <v>2011</v>
      </c>
      <c r="N33" s="5">
        <f t="shared" ref="N33:N45" ca="1" si="9">RANDBETWEEN(1,12)</f>
        <v>12</v>
      </c>
    </row>
    <row r="34" spans="1:14" ht="24.95" customHeight="1" x14ac:dyDescent="0.3">
      <c r="A34" s="5">
        <f t="shared" si="2"/>
        <v>33</v>
      </c>
      <c r="B34" s="5" t="s">
        <v>239</v>
      </c>
      <c r="C34" s="5" t="s">
        <v>240</v>
      </c>
      <c r="D34" s="9" t="s">
        <v>241</v>
      </c>
      <c r="E34" s="5" t="s">
        <v>88</v>
      </c>
      <c r="F34" s="5" t="s">
        <v>89</v>
      </c>
      <c r="G34" s="5"/>
      <c r="H34" s="5">
        <f t="shared" ca="1" si="3"/>
        <v>2049</v>
      </c>
      <c r="I34" s="5">
        <f ca="1">RANDBETWEEN(500,10000)</f>
        <v>7352</v>
      </c>
      <c r="J34" s="5" t="s">
        <v>87</v>
      </c>
      <c r="K34" s="5" t="s">
        <v>27</v>
      </c>
      <c r="L34" s="5">
        <v>99.998999999999995</v>
      </c>
      <c r="M34" s="5">
        <f t="shared" ca="1" si="8"/>
        <v>2009</v>
      </c>
      <c r="N34" s="5">
        <f t="shared" ca="1" si="9"/>
        <v>1</v>
      </c>
    </row>
    <row r="35" spans="1:14" ht="24.95" customHeight="1" x14ac:dyDescent="0.3">
      <c r="A35" s="5">
        <f t="shared" si="2"/>
        <v>34</v>
      </c>
      <c r="B35" s="5" t="s">
        <v>239</v>
      </c>
      <c r="C35" s="5" t="s">
        <v>240</v>
      </c>
      <c r="D35" s="9" t="s">
        <v>241</v>
      </c>
      <c r="E35" s="5" t="s">
        <v>90</v>
      </c>
      <c r="F35" s="5" t="s">
        <v>91</v>
      </c>
      <c r="G35" s="5"/>
      <c r="H35" s="5">
        <f t="shared" ca="1" si="3"/>
        <v>3002</v>
      </c>
      <c r="I35" s="5"/>
      <c r="J35" s="5" t="s">
        <v>27</v>
      </c>
      <c r="K35" s="5" t="s">
        <v>27</v>
      </c>
      <c r="L35" s="5">
        <v>99.998999999999995</v>
      </c>
      <c r="M35" s="5">
        <f t="shared" ca="1" si="8"/>
        <v>2021</v>
      </c>
      <c r="N35" s="5">
        <f t="shared" ca="1" si="9"/>
        <v>7</v>
      </c>
    </row>
    <row r="36" spans="1:14" ht="24.95" customHeight="1" x14ac:dyDescent="0.3">
      <c r="A36" s="5">
        <f t="shared" si="2"/>
        <v>35</v>
      </c>
      <c r="B36" s="5" t="s">
        <v>239</v>
      </c>
      <c r="C36" s="5" t="s">
        <v>240</v>
      </c>
      <c r="D36" s="9" t="s">
        <v>241</v>
      </c>
      <c r="E36" s="5" t="s">
        <v>92</v>
      </c>
      <c r="F36" s="5" t="s">
        <v>93</v>
      </c>
      <c r="G36" s="5"/>
      <c r="H36" s="5">
        <f t="shared" ca="1" si="3"/>
        <v>3190</v>
      </c>
      <c r="I36" s="5">
        <f ca="1">RANDBETWEEN(500,10000)</f>
        <v>5280</v>
      </c>
      <c r="J36" s="5" t="s">
        <v>80</v>
      </c>
      <c r="K36" s="5" t="s">
        <v>27</v>
      </c>
      <c r="L36" s="5">
        <v>99.998999999999995</v>
      </c>
      <c r="M36" s="5">
        <f t="shared" ca="1" si="8"/>
        <v>2012</v>
      </c>
      <c r="N36" s="5">
        <f t="shared" ca="1" si="9"/>
        <v>10</v>
      </c>
    </row>
    <row r="37" spans="1:14" ht="24.95" customHeight="1" x14ac:dyDescent="0.3">
      <c r="A37" s="5">
        <f t="shared" si="2"/>
        <v>36</v>
      </c>
      <c r="B37" s="5" t="s">
        <v>239</v>
      </c>
      <c r="C37" s="5" t="s">
        <v>240</v>
      </c>
      <c r="D37" s="9" t="s">
        <v>241</v>
      </c>
      <c r="E37" s="5" t="s">
        <v>94</v>
      </c>
      <c r="F37" s="5" t="s">
        <v>95</v>
      </c>
      <c r="G37" s="5"/>
      <c r="H37" s="5">
        <f t="shared" ca="1" si="3"/>
        <v>8210</v>
      </c>
      <c r="I37" s="5"/>
      <c r="J37" s="5" t="s">
        <v>96</v>
      </c>
      <c r="K37" s="5" t="s">
        <v>12</v>
      </c>
      <c r="L37" s="5">
        <v>99.998999999999995</v>
      </c>
      <c r="M37" s="5">
        <f t="shared" ca="1" si="8"/>
        <v>2008</v>
      </c>
      <c r="N37" s="5">
        <f t="shared" ca="1" si="9"/>
        <v>8</v>
      </c>
    </row>
    <row r="38" spans="1:14" ht="24.95" customHeight="1" x14ac:dyDescent="0.3">
      <c r="A38" s="5">
        <f t="shared" si="2"/>
        <v>37</v>
      </c>
      <c r="B38" s="5" t="s">
        <v>239</v>
      </c>
      <c r="C38" s="5" t="s">
        <v>240</v>
      </c>
      <c r="D38" s="9" t="s">
        <v>241</v>
      </c>
      <c r="E38" s="5" t="s">
        <v>97</v>
      </c>
      <c r="F38" s="5" t="s">
        <v>98</v>
      </c>
      <c r="G38" s="5"/>
      <c r="H38" s="5">
        <f t="shared" ca="1" si="3"/>
        <v>4864</v>
      </c>
      <c r="I38" s="5"/>
      <c r="J38" s="5" t="s">
        <v>27</v>
      </c>
      <c r="K38" s="5" t="s">
        <v>27</v>
      </c>
      <c r="L38" s="5">
        <v>99.998999999999995</v>
      </c>
      <c r="M38" s="5">
        <f t="shared" ca="1" si="8"/>
        <v>2023</v>
      </c>
      <c r="N38" s="5">
        <f t="shared" ca="1" si="9"/>
        <v>11</v>
      </c>
    </row>
    <row r="39" spans="1:14" ht="24.95" customHeight="1" x14ac:dyDescent="0.3">
      <c r="A39" s="5">
        <f t="shared" si="2"/>
        <v>38</v>
      </c>
      <c r="B39" s="5" t="s">
        <v>239</v>
      </c>
      <c r="C39" s="5"/>
      <c r="D39" s="9" t="s">
        <v>241</v>
      </c>
      <c r="E39" s="5" t="s">
        <v>99</v>
      </c>
      <c r="F39" s="5" t="s">
        <v>91</v>
      </c>
      <c r="G39" s="5"/>
      <c r="H39" s="5">
        <f t="shared" ca="1" si="3"/>
        <v>3515</v>
      </c>
      <c r="I39" s="5"/>
      <c r="J39" s="5" t="s">
        <v>100</v>
      </c>
      <c r="K39" s="5" t="s">
        <v>12</v>
      </c>
      <c r="L39" s="5">
        <v>99.998999999999995</v>
      </c>
      <c r="M39" s="5">
        <f t="shared" ca="1" si="8"/>
        <v>2018</v>
      </c>
      <c r="N39" s="5">
        <f t="shared" ca="1" si="9"/>
        <v>3</v>
      </c>
    </row>
    <row r="40" spans="1:14" ht="24.95" customHeight="1" x14ac:dyDescent="0.3">
      <c r="A40" s="5">
        <f t="shared" si="2"/>
        <v>39</v>
      </c>
      <c r="B40" s="5" t="s">
        <v>239</v>
      </c>
      <c r="C40" s="5" t="s">
        <v>240</v>
      </c>
      <c r="D40" s="9" t="s">
        <v>241</v>
      </c>
      <c r="E40" s="5" t="s">
        <v>101</v>
      </c>
      <c r="F40" s="5" t="s">
        <v>102</v>
      </c>
      <c r="G40" s="5"/>
      <c r="H40" s="5">
        <f t="shared" ca="1" si="3"/>
        <v>7124</v>
      </c>
      <c r="I40" s="5"/>
      <c r="J40" s="5" t="s">
        <v>27</v>
      </c>
      <c r="K40" s="5" t="s">
        <v>27</v>
      </c>
      <c r="L40" s="5">
        <v>99.998999999999995</v>
      </c>
      <c r="M40" s="5">
        <f t="shared" ca="1" si="8"/>
        <v>2011</v>
      </c>
      <c r="N40" s="5">
        <f t="shared" ca="1" si="9"/>
        <v>10</v>
      </c>
    </row>
    <row r="41" spans="1:14" ht="24.95" customHeight="1" x14ac:dyDescent="0.3">
      <c r="A41" s="5">
        <f t="shared" si="2"/>
        <v>40</v>
      </c>
      <c r="B41" s="5" t="s">
        <v>239</v>
      </c>
      <c r="C41" s="5" t="s">
        <v>240</v>
      </c>
      <c r="D41" s="9" t="s">
        <v>241</v>
      </c>
      <c r="E41" s="5" t="s">
        <v>103</v>
      </c>
      <c r="F41" s="5" t="s">
        <v>104</v>
      </c>
      <c r="G41" s="5"/>
      <c r="H41" s="5">
        <f t="shared" ca="1" si="3"/>
        <v>9710</v>
      </c>
      <c r="I41" s="5"/>
      <c r="J41" s="5" t="s">
        <v>41</v>
      </c>
      <c r="K41" s="5" t="s">
        <v>27</v>
      </c>
      <c r="L41" s="5">
        <v>99.998999999999995</v>
      </c>
      <c r="M41" s="5">
        <f t="shared" ca="1" si="8"/>
        <v>2018</v>
      </c>
      <c r="N41" s="5">
        <f t="shared" ca="1" si="9"/>
        <v>3</v>
      </c>
    </row>
    <row r="42" spans="1:14" ht="24.95" customHeight="1" x14ac:dyDescent="0.3">
      <c r="A42" s="5">
        <f t="shared" si="2"/>
        <v>41</v>
      </c>
      <c r="B42" s="5" t="s">
        <v>239</v>
      </c>
      <c r="C42" s="5" t="s">
        <v>240</v>
      </c>
      <c r="D42" s="9" t="s">
        <v>241</v>
      </c>
      <c r="E42" s="5" t="s">
        <v>105</v>
      </c>
      <c r="F42" s="5" t="s">
        <v>86</v>
      </c>
      <c r="G42" s="5"/>
      <c r="H42" s="5">
        <f t="shared" ca="1" si="3"/>
        <v>5152</v>
      </c>
      <c r="I42" s="5"/>
      <c r="J42" s="5" t="s">
        <v>106</v>
      </c>
      <c r="K42" s="5" t="s">
        <v>12</v>
      </c>
      <c r="L42" s="5">
        <v>99.998999999999995</v>
      </c>
      <c r="M42" s="5">
        <f t="shared" ca="1" si="8"/>
        <v>2001</v>
      </c>
      <c r="N42" s="5">
        <f t="shared" ca="1" si="9"/>
        <v>3</v>
      </c>
    </row>
    <row r="43" spans="1:14" ht="24.95" customHeight="1" x14ac:dyDescent="0.3">
      <c r="A43" s="5">
        <f t="shared" si="2"/>
        <v>42</v>
      </c>
      <c r="B43" s="5" t="s">
        <v>239</v>
      </c>
      <c r="C43" s="5" t="s">
        <v>240</v>
      </c>
      <c r="D43" s="9" t="s">
        <v>241</v>
      </c>
      <c r="E43" s="5" t="s">
        <v>107</v>
      </c>
      <c r="F43" s="5"/>
      <c r="G43" s="5"/>
      <c r="H43" s="5">
        <f t="shared" ca="1" si="3"/>
        <v>9555</v>
      </c>
      <c r="I43" s="5"/>
      <c r="J43" s="5"/>
      <c r="K43" s="5" t="s">
        <v>27</v>
      </c>
      <c r="L43" s="5">
        <v>99.998999999999995</v>
      </c>
      <c r="M43" s="5">
        <f t="shared" ca="1" si="8"/>
        <v>2017</v>
      </c>
      <c r="N43" s="5">
        <f t="shared" ca="1" si="9"/>
        <v>7</v>
      </c>
    </row>
    <row r="44" spans="1:14" ht="24.95" customHeight="1" x14ac:dyDescent="0.3">
      <c r="A44" s="5">
        <f t="shared" si="2"/>
        <v>43</v>
      </c>
      <c r="B44" s="5" t="s">
        <v>239</v>
      </c>
      <c r="C44" s="5" t="s">
        <v>240</v>
      </c>
      <c r="D44" s="9" t="s">
        <v>241</v>
      </c>
      <c r="E44" s="5" t="s">
        <v>108</v>
      </c>
      <c r="F44" s="5" t="s">
        <v>109</v>
      </c>
      <c r="G44" s="5"/>
      <c r="H44" s="5">
        <f t="shared" ca="1" si="3"/>
        <v>4416</v>
      </c>
      <c r="I44" s="5"/>
      <c r="J44" s="5" t="s">
        <v>27</v>
      </c>
      <c r="K44" s="5" t="s">
        <v>27</v>
      </c>
      <c r="L44" s="5">
        <v>99.998999999999995</v>
      </c>
      <c r="M44" s="5">
        <f t="shared" ca="1" si="8"/>
        <v>2013</v>
      </c>
      <c r="N44" s="5">
        <f t="shared" ca="1" si="9"/>
        <v>9</v>
      </c>
    </row>
    <row r="45" spans="1:14" ht="24.95" customHeight="1" x14ac:dyDescent="0.3">
      <c r="A45" s="5">
        <f t="shared" si="2"/>
        <v>44</v>
      </c>
      <c r="B45" s="5" t="s">
        <v>239</v>
      </c>
      <c r="C45" s="5" t="s">
        <v>240</v>
      </c>
      <c r="D45" s="9" t="s">
        <v>241</v>
      </c>
      <c r="E45" s="5" t="s">
        <v>110</v>
      </c>
      <c r="F45" s="5" t="s">
        <v>111</v>
      </c>
      <c r="G45" s="5"/>
      <c r="H45" s="5">
        <f t="shared" ca="1" si="3"/>
        <v>2178</v>
      </c>
      <c r="I45" s="5"/>
      <c r="J45" s="5" t="s">
        <v>16</v>
      </c>
      <c r="K45" s="5" t="s">
        <v>12</v>
      </c>
      <c r="L45" s="5">
        <v>99.998999999999995</v>
      </c>
      <c r="M45" s="5">
        <f t="shared" ca="1" si="8"/>
        <v>2012</v>
      </c>
      <c r="N45" s="5">
        <f t="shared" ca="1" si="9"/>
        <v>7</v>
      </c>
    </row>
    <row r="46" spans="1:14" ht="24.95" customHeight="1" x14ac:dyDescent="0.3">
      <c r="A46" s="5">
        <f t="shared" si="2"/>
        <v>45</v>
      </c>
      <c r="B46" s="5" t="s">
        <v>239</v>
      </c>
      <c r="C46" s="5" t="s">
        <v>240</v>
      </c>
      <c r="D46" s="9" t="s">
        <v>241</v>
      </c>
      <c r="E46" s="5" t="s">
        <v>112</v>
      </c>
      <c r="F46" s="5" t="s">
        <v>113</v>
      </c>
      <c r="G46" s="5"/>
      <c r="H46" s="5">
        <f t="shared" ca="1" si="3"/>
        <v>1810</v>
      </c>
      <c r="I46" s="5"/>
      <c r="J46" s="5" t="s">
        <v>87</v>
      </c>
      <c r="K46" s="5" t="s">
        <v>27</v>
      </c>
      <c r="L46" s="5"/>
      <c r="M46" s="5">
        <f t="shared" ca="1" si="8"/>
        <v>2018</v>
      </c>
      <c r="N46" s="16"/>
    </row>
    <row r="47" spans="1:14" ht="24.95" customHeight="1" x14ac:dyDescent="0.3">
      <c r="A47" s="5">
        <f t="shared" si="2"/>
        <v>46</v>
      </c>
      <c r="B47" s="5" t="s">
        <v>239</v>
      </c>
      <c r="C47" s="5" t="s">
        <v>240</v>
      </c>
      <c r="D47" s="9" t="s">
        <v>241</v>
      </c>
      <c r="E47" s="5" t="s">
        <v>114</v>
      </c>
      <c r="F47" s="5" t="s">
        <v>115</v>
      </c>
      <c r="G47" s="5"/>
      <c r="H47" s="5">
        <f t="shared" ca="1" si="3"/>
        <v>8237</v>
      </c>
      <c r="I47" s="5"/>
      <c r="J47" s="5" t="s">
        <v>116</v>
      </c>
      <c r="K47" s="5" t="s">
        <v>27</v>
      </c>
      <c r="L47" s="5"/>
      <c r="M47" s="5">
        <f t="shared" ca="1" si="8"/>
        <v>2011</v>
      </c>
      <c r="N47" s="16"/>
    </row>
    <row r="48" spans="1:14" ht="24.95" customHeight="1" x14ac:dyDescent="0.3">
      <c r="A48" s="5">
        <f t="shared" si="2"/>
        <v>47</v>
      </c>
      <c r="B48" s="5" t="s">
        <v>239</v>
      </c>
      <c r="C48" s="5" t="s">
        <v>240</v>
      </c>
      <c r="D48" s="9" t="s">
        <v>241</v>
      </c>
      <c r="E48" s="5" t="s">
        <v>117</v>
      </c>
      <c r="F48" s="5" t="s">
        <v>118</v>
      </c>
      <c r="G48" s="5"/>
      <c r="H48" s="5">
        <f t="shared" ca="1" si="3"/>
        <v>1859</v>
      </c>
      <c r="I48" s="5">
        <f ca="1">RANDBETWEEN(500,10000)</f>
        <v>4758</v>
      </c>
      <c r="J48" s="5" t="s">
        <v>119</v>
      </c>
      <c r="K48" s="5" t="s">
        <v>12</v>
      </c>
      <c r="L48" s="5">
        <v>99.998999999999995</v>
      </c>
      <c r="M48" s="5">
        <f t="shared" ref="M48:M57" ca="1" si="10">RANDBETWEEN(2000,2025)</f>
        <v>2008</v>
      </c>
      <c r="N48" s="5">
        <f t="shared" ref="N48:N57" ca="1" si="11">RANDBETWEEN(1,12)</f>
        <v>7</v>
      </c>
    </row>
    <row r="49" spans="1:14" ht="24.95" customHeight="1" x14ac:dyDescent="0.3">
      <c r="A49" s="5">
        <f t="shared" si="2"/>
        <v>48</v>
      </c>
      <c r="B49" s="5" t="s">
        <v>239</v>
      </c>
      <c r="C49" s="5" t="s">
        <v>240</v>
      </c>
      <c r="D49" s="9" t="s">
        <v>241</v>
      </c>
      <c r="E49" s="5" t="s">
        <v>120</v>
      </c>
      <c r="F49" s="5" t="s">
        <v>121</v>
      </c>
      <c r="G49" s="5"/>
      <c r="H49" s="5">
        <f t="shared" ca="1" si="3"/>
        <v>2921</v>
      </c>
      <c r="I49" s="5"/>
      <c r="J49" s="5" t="s">
        <v>27</v>
      </c>
      <c r="K49" s="5" t="s">
        <v>27</v>
      </c>
      <c r="L49" s="5">
        <v>99.998999999999995</v>
      </c>
      <c r="M49" s="5">
        <f t="shared" ca="1" si="10"/>
        <v>2009</v>
      </c>
      <c r="N49" s="5">
        <f t="shared" ca="1" si="11"/>
        <v>9</v>
      </c>
    </row>
    <row r="50" spans="1:14" ht="24.95" customHeight="1" x14ac:dyDescent="0.3">
      <c r="A50" s="5">
        <f t="shared" si="2"/>
        <v>49</v>
      </c>
      <c r="B50" s="5" t="s">
        <v>239</v>
      </c>
      <c r="C50" s="5" t="s">
        <v>240</v>
      </c>
      <c r="D50" s="9" t="s">
        <v>241</v>
      </c>
      <c r="E50" s="5" t="s">
        <v>122</v>
      </c>
      <c r="F50" s="5" t="s">
        <v>123</v>
      </c>
      <c r="G50" s="5"/>
      <c r="H50" s="5">
        <f t="shared" ca="1" si="3"/>
        <v>3627</v>
      </c>
      <c r="I50" s="5"/>
      <c r="J50" s="5" t="s">
        <v>27</v>
      </c>
      <c r="K50" s="5" t="s">
        <v>27</v>
      </c>
      <c r="L50" s="5">
        <v>99.998999999999995</v>
      </c>
      <c r="M50" s="5">
        <f t="shared" ca="1" si="10"/>
        <v>2019</v>
      </c>
      <c r="N50" s="5">
        <f t="shared" ca="1" si="11"/>
        <v>5</v>
      </c>
    </row>
    <row r="51" spans="1:14" ht="24.95" customHeight="1" x14ac:dyDescent="0.3">
      <c r="A51" s="5">
        <f t="shared" si="2"/>
        <v>50</v>
      </c>
      <c r="B51" s="5" t="s">
        <v>239</v>
      </c>
      <c r="C51" s="5" t="s">
        <v>240</v>
      </c>
      <c r="D51" s="9" t="s">
        <v>241</v>
      </c>
      <c r="E51" s="5" t="s">
        <v>124</v>
      </c>
      <c r="F51" s="5" t="s">
        <v>125</v>
      </c>
      <c r="G51" s="5"/>
      <c r="H51" s="5">
        <f t="shared" ca="1" si="3"/>
        <v>3274</v>
      </c>
      <c r="I51" s="5"/>
      <c r="J51" s="5" t="s">
        <v>126</v>
      </c>
      <c r="K51" s="5" t="s">
        <v>27</v>
      </c>
      <c r="L51" s="5">
        <v>99.998999999999995</v>
      </c>
      <c r="M51" s="5">
        <f t="shared" ca="1" si="10"/>
        <v>2000</v>
      </c>
      <c r="N51" s="5">
        <f t="shared" ca="1" si="11"/>
        <v>2</v>
      </c>
    </row>
    <row r="52" spans="1:14" ht="24.95" customHeight="1" x14ac:dyDescent="0.3">
      <c r="A52" s="5">
        <f t="shared" si="2"/>
        <v>51</v>
      </c>
      <c r="B52" s="5" t="s">
        <v>239</v>
      </c>
      <c r="C52" s="5" t="s">
        <v>240</v>
      </c>
      <c r="D52" s="9" t="s">
        <v>241</v>
      </c>
      <c r="E52" s="5" t="s">
        <v>127</v>
      </c>
      <c r="F52" s="5" t="s">
        <v>128</v>
      </c>
      <c r="G52" s="5"/>
      <c r="H52" s="5">
        <f t="shared" ca="1" si="3"/>
        <v>2717</v>
      </c>
      <c r="I52" s="5"/>
      <c r="J52" s="5" t="s">
        <v>129</v>
      </c>
      <c r="K52" s="5" t="s">
        <v>12</v>
      </c>
      <c r="L52" s="5">
        <v>99.998999999999995</v>
      </c>
      <c r="M52" s="5">
        <f t="shared" ca="1" si="10"/>
        <v>2010</v>
      </c>
      <c r="N52" s="5">
        <f t="shared" ca="1" si="11"/>
        <v>2</v>
      </c>
    </row>
    <row r="53" spans="1:14" ht="24.95" customHeight="1" x14ac:dyDescent="0.3">
      <c r="A53" s="5">
        <f t="shared" si="2"/>
        <v>52</v>
      </c>
      <c r="B53" s="5" t="s">
        <v>239</v>
      </c>
      <c r="C53" s="5" t="s">
        <v>240</v>
      </c>
      <c r="D53" s="9" t="s">
        <v>241</v>
      </c>
      <c r="E53" s="5" t="s">
        <v>130</v>
      </c>
      <c r="F53" s="5" t="s">
        <v>131</v>
      </c>
      <c r="G53" s="5"/>
      <c r="H53" s="5">
        <f t="shared" ca="1" si="3"/>
        <v>6848</v>
      </c>
      <c r="I53" s="5"/>
      <c r="J53" s="5" t="s">
        <v>27</v>
      </c>
      <c r="K53" s="5" t="s">
        <v>27</v>
      </c>
      <c r="L53" s="5">
        <v>99.998999999999995</v>
      </c>
      <c r="M53" s="5">
        <f t="shared" ca="1" si="10"/>
        <v>2017</v>
      </c>
      <c r="N53" s="5">
        <f t="shared" ca="1" si="11"/>
        <v>5</v>
      </c>
    </row>
    <row r="54" spans="1:14" ht="24.95" customHeight="1" x14ac:dyDescent="0.3">
      <c r="A54" s="5">
        <f t="shared" si="2"/>
        <v>53</v>
      </c>
      <c r="B54" s="5" t="s">
        <v>239</v>
      </c>
      <c r="C54" s="5" t="s">
        <v>240</v>
      </c>
      <c r="D54" s="9" t="s">
        <v>241</v>
      </c>
      <c r="E54" s="5" t="s">
        <v>132</v>
      </c>
      <c r="F54" s="5" t="s">
        <v>133</v>
      </c>
      <c r="G54" s="5"/>
      <c r="H54" s="5">
        <f t="shared" ca="1" si="3"/>
        <v>2981</v>
      </c>
      <c r="I54" s="5"/>
      <c r="J54" s="5" t="s">
        <v>134</v>
      </c>
      <c r="K54" s="5" t="s">
        <v>12</v>
      </c>
      <c r="L54" s="5"/>
      <c r="M54" s="5">
        <f t="shared" ca="1" si="10"/>
        <v>2025</v>
      </c>
      <c r="N54" s="5">
        <f t="shared" ca="1" si="11"/>
        <v>4</v>
      </c>
    </row>
    <row r="55" spans="1:14" ht="24.95" customHeight="1" x14ac:dyDescent="0.3">
      <c r="A55" s="5">
        <f t="shared" si="2"/>
        <v>54</v>
      </c>
      <c r="B55" s="5" t="s">
        <v>239</v>
      </c>
      <c r="C55" s="5" t="s">
        <v>240</v>
      </c>
      <c r="D55" s="9" t="s">
        <v>241</v>
      </c>
      <c r="E55" s="5" t="s">
        <v>132</v>
      </c>
      <c r="F55" s="5" t="s">
        <v>133</v>
      </c>
      <c r="G55" s="5"/>
      <c r="H55" s="5">
        <f t="shared" ca="1" si="3"/>
        <v>2846</v>
      </c>
      <c r="I55" s="5"/>
      <c r="J55" s="5" t="s">
        <v>135</v>
      </c>
      <c r="K55" s="5" t="s">
        <v>12</v>
      </c>
      <c r="L55" s="5"/>
      <c r="M55" s="5">
        <f t="shared" ca="1" si="10"/>
        <v>2020</v>
      </c>
      <c r="N55" s="5">
        <f t="shared" ca="1" si="11"/>
        <v>10</v>
      </c>
    </row>
    <row r="56" spans="1:14" ht="24.95" customHeight="1" x14ac:dyDescent="0.3">
      <c r="A56" s="5">
        <f t="shared" si="2"/>
        <v>55</v>
      </c>
      <c r="B56" s="5" t="s">
        <v>239</v>
      </c>
      <c r="C56" s="5" t="s">
        <v>240</v>
      </c>
      <c r="D56" s="9" t="s">
        <v>241</v>
      </c>
      <c r="E56" s="5" t="s">
        <v>132</v>
      </c>
      <c r="F56" s="5" t="s">
        <v>133</v>
      </c>
      <c r="G56" s="5"/>
      <c r="H56" s="5">
        <f t="shared" ca="1" si="3"/>
        <v>8543</v>
      </c>
      <c r="I56" s="5"/>
      <c r="J56" s="5" t="s">
        <v>136</v>
      </c>
      <c r="K56" s="5" t="s">
        <v>27</v>
      </c>
      <c r="L56" s="5"/>
      <c r="M56" s="5">
        <f t="shared" ca="1" si="10"/>
        <v>2019</v>
      </c>
      <c r="N56" s="5">
        <f t="shared" ca="1" si="11"/>
        <v>3</v>
      </c>
    </row>
    <row r="57" spans="1:14" ht="24.95" customHeight="1" x14ac:dyDescent="0.3">
      <c r="A57" s="5">
        <f t="shared" si="2"/>
        <v>56</v>
      </c>
      <c r="B57" s="5" t="s">
        <v>239</v>
      </c>
      <c r="C57" s="5" t="s">
        <v>240</v>
      </c>
      <c r="D57" s="9" t="s">
        <v>241</v>
      </c>
      <c r="E57" s="5" t="s">
        <v>9</v>
      </c>
      <c r="F57" s="5" t="s">
        <v>137</v>
      </c>
      <c r="G57" s="5"/>
      <c r="H57" s="5">
        <f t="shared" ca="1" si="3"/>
        <v>7114</v>
      </c>
      <c r="I57" s="5"/>
      <c r="J57" s="5" t="s">
        <v>11</v>
      </c>
      <c r="K57" s="5" t="s">
        <v>27</v>
      </c>
      <c r="L57" s="5"/>
      <c r="M57" s="5">
        <f t="shared" ca="1" si="10"/>
        <v>2001</v>
      </c>
      <c r="N57" s="5">
        <f t="shared" ca="1" si="11"/>
        <v>9</v>
      </c>
    </row>
    <row r="58" spans="1:14" ht="24.95" customHeight="1" x14ac:dyDescent="0.3">
      <c r="A58" s="5">
        <f t="shared" si="2"/>
        <v>57</v>
      </c>
      <c r="B58" s="5" t="s">
        <v>239</v>
      </c>
      <c r="C58" s="5"/>
      <c r="D58" s="9" t="s">
        <v>241</v>
      </c>
      <c r="E58" s="5" t="s">
        <v>138</v>
      </c>
      <c r="F58" s="5" t="s">
        <v>139</v>
      </c>
      <c r="G58" s="5"/>
      <c r="H58" s="5">
        <f t="shared" ca="1" si="3"/>
        <v>7897</v>
      </c>
      <c r="I58" s="5"/>
      <c r="J58" s="5" t="s">
        <v>140</v>
      </c>
      <c r="K58" s="5" t="s">
        <v>12</v>
      </c>
      <c r="L58" s="5">
        <v>99.998999999999995</v>
      </c>
      <c r="M58" s="5">
        <f t="shared" ref="M58:M62" ca="1" si="12">RANDBETWEEN(2000,2025)</f>
        <v>2022</v>
      </c>
      <c r="N58" s="5">
        <f t="shared" ref="N58:N62" ca="1" si="13">RANDBETWEEN(1,12)</f>
        <v>11</v>
      </c>
    </row>
    <row r="59" spans="1:14" ht="24.95" customHeight="1" x14ac:dyDescent="0.3">
      <c r="A59" s="5">
        <f t="shared" si="2"/>
        <v>58</v>
      </c>
      <c r="B59" s="5" t="s">
        <v>239</v>
      </c>
      <c r="C59" s="5" t="s">
        <v>240</v>
      </c>
      <c r="D59" s="9" t="s">
        <v>241</v>
      </c>
      <c r="E59" s="5" t="s">
        <v>141</v>
      </c>
      <c r="F59" s="5" t="s">
        <v>142</v>
      </c>
      <c r="G59" s="5"/>
      <c r="H59" s="5">
        <f t="shared" ca="1" si="3"/>
        <v>5486</v>
      </c>
      <c r="I59" s="5"/>
      <c r="J59" s="5" t="s">
        <v>143</v>
      </c>
      <c r="K59" s="5" t="s">
        <v>12</v>
      </c>
      <c r="L59" s="5">
        <v>99.998999999999995</v>
      </c>
      <c r="M59" s="5">
        <f t="shared" ca="1" si="12"/>
        <v>2023</v>
      </c>
      <c r="N59" s="5">
        <f t="shared" ca="1" si="13"/>
        <v>5</v>
      </c>
    </row>
    <row r="60" spans="1:14" ht="24.95" customHeight="1" x14ac:dyDescent="0.3">
      <c r="A60" s="5">
        <f t="shared" si="2"/>
        <v>59</v>
      </c>
      <c r="B60" s="5" t="s">
        <v>239</v>
      </c>
      <c r="C60" s="5" t="s">
        <v>240</v>
      </c>
      <c r="D60" s="9" t="s">
        <v>241</v>
      </c>
      <c r="E60" s="5" t="s">
        <v>39</v>
      </c>
      <c r="F60" s="5" t="s">
        <v>144</v>
      </c>
      <c r="G60" s="5"/>
      <c r="H60" s="5">
        <f t="shared" ca="1" si="3"/>
        <v>3211</v>
      </c>
      <c r="I60" s="5"/>
      <c r="J60" s="5" t="s">
        <v>41</v>
      </c>
      <c r="K60" s="5" t="s">
        <v>27</v>
      </c>
      <c r="L60" s="5">
        <v>99.998999999999995</v>
      </c>
      <c r="M60" s="5">
        <f t="shared" ca="1" si="12"/>
        <v>2015</v>
      </c>
      <c r="N60" s="5">
        <f t="shared" ca="1" si="13"/>
        <v>5</v>
      </c>
    </row>
    <row r="61" spans="1:14" ht="24.95" customHeight="1" x14ac:dyDescent="0.3">
      <c r="A61" s="5">
        <f t="shared" si="2"/>
        <v>60</v>
      </c>
      <c r="B61" s="5" t="s">
        <v>239</v>
      </c>
      <c r="C61" s="5"/>
      <c r="D61" s="9" t="s">
        <v>241</v>
      </c>
      <c r="E61" s="5" t="s">
        <v>145</v>
      </c>
      <c r="F61" s="5" t="s">
        <v>146</v>
      </c>
      <c r="G61" s="5"/>
      <c r="H61" s="5">
        <f t="shared" ca="1" si="3"/>
        <v>3521</v>
      </c>
      <c r="I61" s="5">
        <f ca="1">RANDBETWEEN(500,10000)</f>
        <v>2808</v>
      </c>
      <c r="J61" s="5" t="s">
        <v>147</v>
      </c>
      <c r="K61" s="5" t="s">
        <v>27</v>
      </c>
      <c r="L61" s="5"/>
      <c r="M61" s="5">
        <f t="shared" ca="1" si="12"/>
        <v>2004</v>
      </c>
      <c r="N61" s="5">
        <f t="shared" ca="1" si="13"/>
        <v>10</v>
      </c>
    </row>
    <row r="62" spans="1:14" ht="24.95" customHeight="1" x14ac:dyDescent="0.3">
      <c r="A62" s="5">
        <f t="shared" si="2"/>
        <v>61</v>
      </c>
      <c r="B62" s="5" t="s">
        <v>239</v>
      </c>
      <c r="C62" s="5" t="s">
        <v>240</v>
      </c>
      <c r="D62" s="9" t="s">
        <v>241</v>
      </c>
      <c r="E62" s="5" t="s">
        <v>148</v>
      </c>
      <c r="F62" s="5" t="s">
        <v>149</v>
      </c>
      <c r="G62" s="5"/>
      <c r="H62" s="5">
        <f t="shared" ca="1" si="3"/>
        <v>9875</v>
      </c>
      <c r="I62" s="5"/>
      <c r="J62" s="5"/>
      <c r="K62" s="5" t="s">
        <v>27</v>
      </c>
      <c r="L62" s="5"/>
      <c r="M62" s="5">
        <f t="shared" ca="1" si="12"/>
        <v>2002</v>
      </c>
      <c r="N62" s="5">
        <f t="shared" ca="1" si="13"/>
        <v>10</v>
      </c>
    </row>
    <row r="63" spans="1:14" ht="24.95" customHeight="1" x14ac:dyDescent="0.3">
      <c r="A63" s="5">
        <f t="shared" si="2"/>
        <v>62</v>
      </c>
      <c r="B63" s="5" t="s">
        <v>239</v>
      </c>
      <c r="C63" s="5"/>
      <c r="D63" s="9" t="s">
        <v>241</v>
      </c>
      <c r="E63" s="5" t="s">
        <v>24</v>
      </c>
      <c r="F63" s="5" t="s">
        <v>150</v>
      </c>
      <c r="G63" s="5"/>
      <c r="H63" s="5">
        <f t="shared" ca="1" si="3"/>
        <v>7919</v>
      </c>
      <c r="I63" s="5">
        <f ca="1">RANDBETWEEN(500,10000)</f>
        <v>764</v>
      </c>
      <c r="J63" s="5" t="s">
        <v>26</v>
      </c>
      <c r="K63" s="5" t="s">
        <v>27</v>
      </c>
      <c r="L63" s="5">
        <v>99.998999999999995</v>
      </c>
      <c r="M63" s="5">
        <f ca="1">RANDBETWEEN(2000,2025)</f>
        <v>2022</v>
      </c>
      <c r="N63" s="5">
        <f ca="1">RANDBETWEEN(1,12)</f>
        <v>12</v>
      </c>
    </row>
    <row r="64" spans="1:14" ht="24.95" customHeight="1" x14ac:dyDescent="0.3">
      <c r="A64" s="5">
        <f t="shared" si="2"/>
        <v>63</v>
      </c>
      <c r="B64" s="5" t="s">
        <v>239</v>
      </c>
      <c r="C64" s="5" t="s">
        <v>240</v>
      </c>
      <c r="D64" s="9" t="s">
        <v>241</v>
      </c>
      <c r="E64" s="5" t="s">
        <v>151</v>
      </c>
      <c r="F64" s="5" t="s">
        <v>152</v>
      </c>
      <c r="G64" s="5"/>
      <c r="H64" s="5">
        <f t="shared" ca="1" si="3"/>
        <v>7499</v>
      </c>
      <c r="I64" s="5"/>
      <c r="J64" s="5" t="s">
        <v>16</v>
      </c>
      <c r="K64" s="5" t="s">
        <v>12</v>
      </c>
      <c r="L64" s="5">
        <v>99.998999999999995</v>
      </c>
      <c r="M64" s="10" t="s">
        <v>153</v>
      </c>
      <c r="N64" s="16"/>
    </row>
    <row r="65" spans="1:14" ht="24.95" customHeight="1" x14ac:dyDescent="0.3">
      <c r="A65" s="5">
        <f t="shared" si="2"/>
        <v>64</v>
      </c>
      <c r="B65" s="5" t="s">
        <v>239</v>
      </c>
      <c r="C65" s="5" t="s">
        <v>240</v>
      </c>
      <c r="D65" s="9" t="s">
        <v>241</v>
      </c>
      <c r="E65" s="5" t="s">
        <v>154</v>
      </c>
      <c r="F65" s="5" t="s">
        <v>152</v>
      </c>
      <c r="G65" s="5"/>
      <c r="H65" s="5">
        <f t="shared" ca="1" si="3"/>
        <v>7097</v>
      </c>
      <c r="I65" s="5"/>
      <c r="J65" s="5" t="s">
        <v>147</v>
      </c>
      <c r="K65" s="5" t="s">
        <v>27</v>
      </c>
      <c r="L65" s="5">
        <v>99.998999999999995</v>
      </c>
      <c r="M65" s="10" t="s">
        <v>153</v>
      </c>
      <c r="N65" s="16"/>
    </row>
    <row r="66" spans="1:14" ht="24.95" customHeight="1" x14ac:dyDescent="0.3">
      <c r="A66" s="5">
        <f t="shared" si="2"/>
        <v>65</v>
      </c>
      <c r="B66" s="5" t="s">
        <v>239</v>
      </c>
      <c r="C66" s="5"/>
      <c r="D66" s="9" t="s">
        <v>241</v>
      </c>
      <c r="E66" s="5" t="s">
        <v>155</v>
      </c>
      <c r="F66" s="5" t="s">
        <v>152</v>
      </c>
      <c r="G66" s="5"/>
      <c r="H66" s="5">
        <f t="shared" ca="1" si="3"/>
        <v>1359</v>
      </c>
      <c r="I66" s="5"/>
      <c r="J66" s="5" t="s">
        <v>116</v>
      </c>
      <c r="K66" s="5" t="s">
        <v>27</v>
      </c>
      <c r="L66" s="5">
        <v>99.998999999999995</v>
      </c>
      <c r="M66" s="10" t="s">
        <v>153</v>
      </c>
      <c r="N66" s="16"/>
    </row>
    <row r="67" spans="1:14" ht="24.95" customHeight="1" x14ac:dyDescent="0.3">
      <c r="A67" s="5">
        <f t="shared" ref="A67:A78" si="14">ROW()-1</f>
        <v>66</v>
      </c>
      <c r="B67" s="5" t="s">
        <v>239</v>
      </c>
      <c r="C67" s="5" t="s">
        <v>240</v>
      </c>
      <c r="D67" s="9" t="s">
        <v>241</v>
      </c>
      <c r="E67" s="5" t="s">
        <v>156</v>
      </c>
      <c r="F67" s="5" t="s">
        <v>157</v>
      </c>
      <c r="G67" s="5"/>
      <c r="H67" s="5">
        <f t="shared" ca="1" si="3"/>
        <v>6100</v>
      </c>
      <c r="I67" s="5"/>
      <c r="J67" s="5" t="s">
        <v>116</v>
      </c>
      <c r="K67" s="5" t="s">
        <v>27</v>
      </c>
      <c r="L67" s="5"/>
      <c r="M67" s="10" t="s">
        <v>153</v>
      </c>
      <c r="N67" s="16"/>
    </row>
    <row r="68" spans="1:14" ht="24.95" customHeight="1" x14ac:dyDescent="0.3">
      <c r="A68" s="5">
        <f t="shared" si="14"/>
        <v>67</v>
      </c>
      <c r="B68" s="5" t="s">
        <v>239</v>
      </c>
      <c r="C68" s="5" t="s">
        <v>240</v>
      </c>
      <c r="D68" s="9" t="s">
        <v>241</v>
      </c>
      <c r="E68" s="5" t="s">
        <v>42</v>
      </c>
      <c r="F68" s="5" t="s">
        <v>43</v>
      </c>
      <c r="G68" s="5"/>
      <c r="H68" s="5">
        <f t="shared" ref="H68:I78" ca="1" si="15">RANDBETWEEN(500,10000)</f>
        <v>4653</v>
      </c>
      <c r="I68" s="5"/>
      <c r="J68" s="5" t="s">
        <v>32</v>
      </c>
      <c r="K68" s="5" t="s">
        <v>27</v>
      </c>
      <c r="L68" s="5">
        <v>99.998999999999995</v>
      </c>
      <c r="M68" s="10" t="s">
        <v>158</v>
      </c>
      <c r="N68" s="16"/>
    </row>
    <row r="69" spans="1:14" ht="24.95" customHeight="1" x14ac:dyDescent="0.3">
      <c r="A69" s="5">
        <f t="shared" si="14"/>
        <v>68</v>
      </c>
      <c r="B69" s="5" t="s">
        <v>239</v>
      </c>
      <c r="C69" s="5" t="s">
        <v>240</v>
      </c>
      <c r="D69" s="9" t="s">
        <v>241</v>
      </c>
      <c r="E69" s="5" t="s">
        <v>159</v>
      </c>
      <c r="F69" s="5" t="s">
        <v>43</v>
      </c>
      <c r="G69" s="5"/>
      <c r="H69" s="5">
        <f t="shared" ca="1" si="15"/>
        <v>519</v>
      </c>
      <c r="I69" s="5"/>
      <c r="J69" s="5" t="s">
        <v>27</v>
      </c>
      <c r="K69" s="5" t="s">
        <v>27</v>
      </c>
      <c r="L69" s="5">
        <v>99.998999999999995</v>
      </c>
      <c r="M69" s="10" t="s">
        <v>153</v>
      </c>
      <c r="N69" s="16"/>
    </row>
    <row r="70" spans="1:14" ht="24.95" customHeight="1" x14ac:dyDescent="0.3">
      <c r="A70" s="5">
        <f t="shared" si="14"/>
        <v>69</v>
      </c>
      <c r="B70" s="5" t="s">
        <v>239</v>
      </c>
      <c r="C70" s="5" t="s">
        <v>240</v>
      </c>
      <c r="D70" s="9" t="s">
        <v>241</v>
      </c>
      <c r="E70" s="5" t="s">
        <v>160</v>
      </c>
      <c r="F70" s="5" t="s">
        <v>161</v>
      </c>
      <c r="G70" s="5"/>
      <c r="H70" s="5">
        <f t="shared" ca="1" si="15"/>
        <v>4309</v>
      </c>
      <c r="I70" s="5">
        <f t="shared" ca="1" si="15"/>
        <v>4732</v>
      </c>
      <c r="J70" s="5" t="s">
        <v>162</v>
      </c>
      <c r="K70" s="5" t="s">
        <v>27</v>
      </c>
      <c r="L70" s="5">
        <v>99.998999999999995</v>
      </c>
      <c r="M70" s="10" t="s">
        <v>153</v>
      </c>
      <c r="N70" s="16"/>
    </row>
    <row r="71" spans="1:14" ht="24.95" customHeight="1" x14ac:dyDescent="0.3">
      <c r="A71" s="5">
        <f t="shared" si="14"/>
        <v>70</v>
      </c>
      <c r="B71" s="5" t="s">
        <v>239</v>
      </c>
      <c r="C71" s="5" t="s">
        <v>240</v>
      </c>
      <c r="D71" s="9" t="s">
        <v>241</v>
      </c>
      <c r="E71" s="5" t="s">
        <v>163</v>
      </c>
      <c r="F71" s="5" t="s">
        <v>164</v>
      </c>
      <c r="G71" s="5"/>
      <c r="H71" s="5">
        <f t="shared" ca="1" si="15"/>
        <v>3592</v>
      </c>
      <c r="I71" s="5">
        <f t="shared" ca="1" si="15"/>
        <v>8177</v>
      </c>
      <c r="J71" s="5" t="s">
        <v>87</v>
      </c>
      <c r="K71" s="5" t="s">
        <v>27</v>
      </c>
      <c r="L71" s="5"/>
      <c r="M71" s="10" t="s">
        <v>165</v>
      </c>
      <c r="N71" s="16"/>
    </row>
    <row r="72" spans="1:14" ht="24.95" customHeight="1" x14ac:dyDescent="0.3">
      <c r="A72" s="5">
        <f t="shared" si="14"/>
        <v>71</v>
      </c>
      <c r="B72" s="5" t="s">
        <v>239</v>
      </c>
      <c r="C72" s="5"/>
      <c r="D72" s="9" t="s">
        <v>241</v>
      </c>
      <c r="E72" s="5" t="s">
        <v>166</v>
      </c>
      <c r="F72" s="5" t="s">
        <v>167</v>
      </c>
      <c r="G72" s="5"/>
      <c r="H72" s="5">
        <f t="shared" ca="1" si="15"/>
        <v>1671</v>
      </c>
      <c r="I72" s="5">
        <f t="shared" ca="1" si="15"/>
        <v>3863</v>
      </c>
      <c r="J72" s="5"/>
      <c r="K72" s="5" t="s">
        <v>84</v>
      </c>
      <c r="L72" s="5"/>
      <c r="M72" s="10" t="s">
        <v>168</v>
      </c>
      <c r="N72" s="16"/>
    </row>
    <row r="73" spans="1:14" ht="24.95" customHeight="1" x14ac:dyDescent="0.3">
      <c r="A73" s="5">
        <f t="shared" si="14"/>
        <v>72</v>
      </c>
      <c r="B73" s="5" t="s">
        <v>239</v>
      </c>
      <c r="C73" s="5" t="s">
        <v>240</v>
      </c>
      <c r="D73" s="9" t="s">
        <v>241</v>
      </c>
      <c r="E73" s="5" t="s">
        <v>39</v>
      </c>
      <c r="F73" s="5" t="s">
        <v>144</v>
      </c>
      <c r="G73" s="5"/>
      <c r="H73" s="5">
        <f t="shared" ca="1" si="15"/>
        <v>7094</v>
      </c>
      <c r="I73" s="5">
        <f t="shared" ca="1" si="15"/>
        <v>1741</v>
      </c>
      <c r="J73" s="5" t="s">
        <v>169</v>
      </c>
      <c r="K73" s="5" t="s">
        <v>27</v>
      </c>
      <c r="L73" s="5">
        <v>99.998999999999995</v>
      </c>
      <c r="M73" s="10" t="s">
        <v>168</v>
      </c>
      <c r="N73" s="16"/>
    </row>
    <row r="74" spans="1:14" ht="24.95" customHeight="1" x14ac:dyDescent="0.3">
      <c r="A74" s="5">
        <f t="shared" si="14"/>
        <v>73</v>
      </c>
      <c r="B74" s="5" t="s">
        <v>239</v>
      </c>
      <c r="C74" s="5"/>
      <c r="D74" s="9" t="s">
        <v>241</v>
      </c>
      <c r="E74" s="5" t="s">
        <v>170</v>
      </c>
      <c r="F74" s="5" t="s">
        <v>171</v>
      </c>
      <c r="G74" s="5" t="s">
        <v>172</v>
      </c>
      <c r="H74" s="5">
        <f t="shared" ca="1" si="15"/>
        <v>2481</v>
      </c>
      <c r="I74" s="5">
        <f t="shared" ca="1" si="15"/>
        <v>8660</v>
      </c>
      <c r="J74" s="5" t="s">
        <v>32</v>
      </c>
      <c r="K74" s="5" t="s">
        <v>27</v>
      </c>
      <c r="L74" s="5">
        <v>99.998999999999995</v>
      </c>
      <c r="M74" s="10" t="s">
        <v>173</v>
      </c>
      <c r="N74" s="16"/>
    </row>
    <row r="75" spans="1:14" ht="24.95" customHeight="1" x14ac:dyDescent="0.3">
      <c r="A75" s="5">
        <f t="shared" si="14"/>
        <v>74</v>
      </c>
      <c r="B75" s="5" t="s">
        <v>239</v>
      </c>
      <c r="C75" s="5" t="s">
        <v>240</v>
      </c>
      <c r="D75" s="9" t="s">
        <v>241</v>
      </c>
      <c r="E75" s="5" t="s">
        <v>174</v>
      </c>
      <c r="F75" s="5" t="s">
        <v>43</v>
      </c>
      <c r="G75" s="5"/>
      <c r="H75" s="5">
        <f t="shared" ca="1" si="15"/>
        <v>5221</v>
      </c>
      <c r="I75" s="5"/>
      <c r="J75" s="5" t="s">
        <v>175</v>
      </c>
      <c r="K75" s="5" t="s">
        <v>27</v>
      </c>
      <c r="L75" s="5"/>
      <c r="M75" s="10" t="s">
        <v>176</v>
      </c>
      <c r="N75" s="16"/>
    </row>
    <row r="76" spans="1:14" ht="24.95" customHeight="1" x14ac:dyDescent="0.3">
      <c r="A76" s="5">
        <f t="shared" si="14"/>
        <v>75</v>
      </c>
      <c r="B76" s="5" t="s">
        <v>239</v>
      </c>
      <c r="C76" s="5" t="s">
        <v>240</v>
      </c>
      <c r="D76" s="9" t="s">
        <v>241</v>
      </c>
      <c r="E76" s="5" t="s">
        <v>177</v>
      </c>
      <c r="F76" s="5" t="s">
        <v>178</v>
      </c>
      <c r="G76" s="5"/>
      <c r="H76" s="5">
        <f t="shared" ca="1" si="15"/>
        <v>6077</v>
      </c>
      <c r="I76" s="5">
        <f ca="1">RANDBETWEEN(500,10000)</f>
        <v>9059</v>
      </c>
      <c r="J76" s="5" t="s">
        <v>27</v>
      </c>
      <c r="K76" s="5" t="s">
        <v>27</v>
      </c>
      <c r="L76" s="5">
        <v>99.998999999999995</v>
      </c>
      <c r="M76" s="10" t="s">
        <v>179</v>
      </c>
      <c r="N76" s="16"/>
    </row>
    <row r="77" spans="1:14" ht="24.95" customHeight="1" x14ac:dyDescent="0.3">
      <c r="A77" s="5">
        <f t="shared" si="14"/>
        <v>76</v>
      </c>
      <c r="B77" s="5" t="s">
        <v>239</v>
      </c>
      <c r="C77" s="5" t="s">
        <v>240</v>
      </c>
      <c r="D77" s="9" t="s">
        <v>241</v>
      </c>
      <c r="E77" s="5" t="s">
        <v>180</v>
      </c>
      <c r="F77" s="5" t="s">
        <v>181</v>
      </c>
      <c r="G77" s="5"/>
      <c r="H77" s="5">
        <f t="shared" ca="1" si="15"/>
        <v>4082</v>
      </c>
      <c r="I77" s="5"/>
      <c r="J77" s="5" t="s">
        <v>182</v>
      </c>
      <c r="K77" s="5" t="s">
        <v>27</v>
      </c>
      <c r="L77" s="5">
        <v>99.998999999999995</v>
      </c>
      <c r="M77" s="10" t="s">
        <v>183</v>
      </c>
      <c r="N77" s="16"/>
    </row>
    <row r="78" spans="1:14" ht="24.95" customHeight="1" x14ac:dyDescent="0.3">
      <c r="A78" s="5">
        <f t="shared" si="14"/>
        <v>77</v>
      </c>
      <c r="B78" s="5" t="s">
        <v>239</v>
      </c>
      <c r="C78" s="5" t="s">
        <v>240</v>
      </c>
      <c r="D78" s="9" t="s">
        <v>241</v>
      </c>
      <c r="E78" s="5" t="s">
        <v>184</v>
      </c>
      <c r="F78" s="5" t="s">
        <v>149</v>
      </c>
      <c r="G78" s="5"/>
      <c r="H78" s="5">
        <f t="shared" ca="1" si="15"/>
        <v>4662</v>
      </c>
      <c r="I78" s="5"/>
      <c r="J78" s="5" t="s">
        <v>27</v>
      </c>
      <c r="K78" s="5" t="s">
        <v>27</v>
      </c>
      <c r="L78" s="5">
        <v>99.998999999999995</v>
      </c>
      <c r="M78" s="10" t="s">
        <v>185</v>
      </c>
      <c r="N78" s="16"/>
    </row>
    <row r="79" spans="1:14" s="11" customFormat="1" ht="24.95" customHeight="1" x14ac:dyDescent="0.3">
      <c r="A79" s="5"/>
      <c r="B79" s="5" t="s">
        <v>239</v>
      </c>
      <c r="C79" s="5" t="s">
        <v>240</v>
      </c>
      <c r="D79" s="9" t="s">
        <v>241</v>
      </c>
      <c r="E79" s="12" t="s">
        <v>186</v>
      </c>
      <c r="F79" s="12" t="s">
        <v>187</v>
      </c>
      <c r="G79" s="12"/>
      <c r="H79" s="12"/>
      <c r="I79" s="12"/>
      <c r="J79" s="12"/>
      <c r="K79" s="5"/>
      <c r="L79" s="12"/>
      <c r="M79" s="13"/>
      <c r="N79" s="17"/>
    </row>
    <row r="80" spans="1:14" s="11" customFormat="1" ht="24.95" customHeight="1" x14ac:dyDescent="0.3">
      <c r="A80" s="5"/>
      <c r="B80" s="5" t="s">
        <v>239</v>
      </c>
      <c r="C80" s="5" t="s">
        <v>240</v>
      </c>
      <c r="D80" s="9" t="s">
        <v>241</v>
      </c>
      <c r="E80" s="12" t="s">
        <v>188</v>
      </c>
      <c r="F80" s="12" t="s">
        <v>189</v>
      </c>
      <c r="G80" s="12"/>
      <c r="H80" s="5">
        <f t="shared" ref="H80:H97" ca="1" si="16">RANDBETWEEN(500,10000)</f>
        <v>6568</v>
      </c>
      <c r="I80" s="12"/>
      <c r="J80" s="12" t="s">
        <v>96</v>
      </c>
      <c r="K80" s="5" t="s">
        <v>27</v>
      </c>
      <c r="L80" s="5">
        <v>99.998999999999995</v>
      </c>
      <c r="M80" s="5">
        <f ca="1">RANDBETWEEN(2000,2025)</f>
        <v>2006</v>
      </c>
      <c r="N80" s="5">
        <f ca="1">RANDBETWEEN(1,12)</f>
        <v>12</v>
      </c>
    </row>
    <row r="81" spans="1:14" ht="24.95" customHeight="1" x14ac:dyDescent="0.3">
      <c r="A81" s="5">
        <f t="shared" ref="A81:A106" si="17">ROW()-1</f>
        <v>80</v>
      </c>
      <c r="B81" s="5" t="s">
        <v>239</v>
      </c>
      <c r="C81" s="5" t="s">
        <v>240</v>
      </c>
      <c r="D81" s="5"/>
      <c r="E81" s="5" t="s">
        <v>28</v>
      </c>
      <c r="F81" s="5" t="s">
        <v>190</v>
      </c>
      <c r="G81" s="5"/>
      <c r="H81" s="5">
        <f t="shared" ca="1" si="16"/>
        <v>5043</v>
      </c>
      <c r="I81" s="5"/>
      <c r="J81" s="5" t="s">
        <v>16</v>
      </c>
      <c r="K81" s="5" t="s">
        <v>12</v>
      </c>
      <c r="L81" s="5">
        <v>99.998999999999995</v>
      </c>
      <c r="M81" s="10" t="s">
        <v>191</v>
      </c>
      <c r="N81" s="16"/>
    </row>
    <row r="82" spans="1:14" ht="24.95" customHeight="1" x14ac:dyDescent="0.3">
      <c r="A82" s="5">
        <f t="shared" si="17"/>
        <v>81</v>
      </c>
      <c r="B82" s="5" t="s">
        <v>239</v>
      </c>
      <c r="C82" s="5" t="s">
        <v>240</v>
      </c>
      <c r="D82" s="5"/>
      <c r="E82" s="5" t="s">
        <v>192</v>
      </c>
      <c r="F82" s="5" t="s">
        <v>86</v>
      </c>
      <c r="G82" s="5"/>
      <c r="H82" s="5">
        <f t="shared" ca="1" si="16"/>
        <v>5710</v>
      </c>
      <c r="I82" s="5"/>
      <c r="J82" s="5"/>
      <c r="K82" s="5" t="s">
        <v>27</v>
      </c>
      <c r="L82" s="5">
        <v>99.998999999999995</v>
      </c>
      <c r="M82" s="10" t="s">
        <v>191</v>
      </c>
      <c r="N82" s="16"/>
    </row>
    <row r="83" spans="1:14" ht="24.95" customHeight="1" x14ac:dyDescent="0.3">
      <c r="A83" s="5">
        <f t="shared" si="17"/>
        <v>82</v>
      </c>
      <c r="B83" s="5" t="s">
        <v>239</v>
      </c>
      <c r="C83" s="5" t="s">
        <v>240</v>
      </c>
      <c r="D83" s="5"/>
      <c r="E83" s="5" t="s">
        <v>193</v>
      </c>
      <c r="F83" s="5" t="s">
        <v>194</v>
      </c>
      <c r="G83" s="5"/>
      <c r="H83" s="5">
        <f t="shared" ca="1" si="16"/>
        <v>6303</v>
      </c>
      <c r="I83" s="5"/>
      <c r="J83" s="5"/>
      <c r="K83" s="5" t="s">
        <v>27</v>
      </c>
      <c r="L83" s="5"/>
      <c r="M83" s="10" t="s">
        <v>191</v>
      </c>
      <c r="N83" s="16"/>
    </row>
    <row r="84" spans="1:14" ht="24.95" customHeight="1" x14ac:dyDescent="0.3">
      <c r="A84" s="5">
        <f t="shared" si="17"/>
        <v>83</v>
      </c>
      <c r="B84" s="5" t="s">
        <v>239</v>
      </c>
      <c r="C84" s="5" t="s">
        <v>240</v>
      </c>
      <c r="D84" s="5"/>
      <c r="E84" s="5" t="s">
        <v>195</v>
      </c>
      <c r="F84" s="5" t="s">
        <v>196</v>
      </c>
      <c r="G84" s="5"/>
      <c r="H84" s="5">
        <f t="shared" ca="1" si="16"/>
        <v>4964</v>
      </c>
      <c r="I84" s="5"/>
      <c r="J84" s="5" t="s">
        <v>27</v>
      </c>
      <c r="K84" s="5" t="s">
        <v>27</v>
      </c>
      <c r="L84" s="5"/>
      <c r="M84" s="10" t="s">
        <v>191</v>
      </c>
      <c r="N84" s="16"/>
    </row>
    <row r="85" spans="1:14" ht="24.95" customHeight="1" x14ac:dyDescent="0.3">
      <c r="A85" s="5">
        <f t="shared" si="17"/>
        <v>84</v>
      </c>
      <c r="B85" s="5" t="s">
        <v>239</v>
      </c>
      <c r="C85" s="5" t="s">
        <v>240</v>
      </c>
      <c r="D85" s="5"/>
      <c r="E85" s="5" t="s">
        <v>197</v>
      </c>
      <c r="F85" s="5" t="s">
        <v>198</v>
      </c>
      <c r="G85" s="5"/>
      <c r="H85" s="5">
        <f t="shared" ca="1" si="16"/>
        <v>5426</v>
      </c>
      <c r="I85" s="5"/>
      <c r="J85" s="5" t="s">
        <v>27</v>
      </c>
      <c r="K85" s="5" t="s">
        <v>27</v>
      </c>
      <c r="L85" s="5">
        <v>99.998999999999995</v>
      </c>
      <c r="M85" s="10" t="s">
        <v>191</v>
      </c>
      <c r="N85" s="16"/>
    </row>
    <row r="86" spans="1:14" ht="24.95" customHeight="1" x14ac:dyDescent="0.3">
      <c r="A86" s="5">
        <f t="shared" si="17"/>
        <v>85</v>
      </c>
      <c r="B86" s="5" t="s">
        <v>239</v>
      </c>
      <c r="C86" s="5" t="s">
        <v>240</v>
      </c>
      <c r="D86" s="5"/>
      <c r="E86" s="5" t="s">
        <v>199</v>
      </c>
      <c r="F86" s="5" t="s">
        <v>200</v>
      </c>
      <c r="G86" s="5"/>
      <c r="H86" s="5">
        <f t="shared" ca="1" si="16"/>
        <v>8852</v>
      </c>
      <c r="I86" s="5"/>
      <c r="J86" s="5" t="s">
        <v>27</v>
      </c>
      <c r="K86" s="5" t="s">
        <v>27</v>
      </c>
      <c r="L86" s="5"/>
      <c r="M86" s="10" t="s">
        <v>191</v>
      </c>
      <c r="N86" s="16"/>
    </row>
    <row r="87" spans="1:14" ht="24.95" customHeight="1" x14ac:dyDescent="0.3">
      <c r="A87" s="5">
        <f t="shared" si="17"/>
        <v>86</v>
      </c>
      <c r="B87" s="5" t="s">
        <v>239</v>
      </c>
      <c r="C87" s="5" t="s">
        <v>240</v>
      </c>
      <c r="D87" s="5"/>
      <c r="E87" s="5" t="s">
        <v>201</v>
      </c>
      <c r="F87" s="5" t="s">
        <v>202</v>
      </c>
      <c r="G87" s="5"/>
      <c r="H87" s="5">
        <f t="shared" ca="1" si="16"/>
        <v>3801</v>
      </c>
      <c r="I87" s="5"/>
      <c r="J87" s="5" t="s">
        <v>27</v>
      </c>
      <c r="K87" s="5" t="s">
        <v>27</v>
      </c>
      <c r="L87" s="5"/>
      <c r="M87" s="10" t="s">
        <v>191</v>
      </c>
      <c r="N87" s="16"/>
    </row>
    <row r="88" spans="1:14" ht="24.95" customHeight="1" x14ac:dyDescent="0.3">
      <c r="A88" s="5">
        <f t="shared" si="17"/>
        <v>87</v>
      </c>
      <c r="B88" s="5" t="s">
        <v>239</v>
      </c>
      <c r="C88" s="5" t="s">
        <v>240</v>
      </c>
      <c r="D88" s="5"/>
      <c r="E88" s="5" t="s">
        <v>203</v>
      </c>
      <c r="F88" s="5" t="s">
        <v>204</v>
      </c>
      <c r="G88" s="5"/>
      <c r="H88" s="5">
        <f t="shared" ca="1" si="16"/>
        <v>638</v>
      </c>
      <c r="I88" s="5"/>
      <c r="J88" s="5" t="s">
        <v>27</v>
      </c>
      <c r="K88" s="5" t="s">
        <v>27</v>
      </c>
      <c r="L88" s="5">
        <v>99.998999999999995</v>
      </c>
      <c r="M88" s="10" t="s">
        <v>191</v>
      </c>
      <c r="N88" s="16"/>
    </row>
    <row r="89" spans="1:14" ht="24.95" customHeight="1" x14ac:dyDescent="0.3">
      <c r="A89" s="5">
        <f t="shared" si="17"/>
        <v>88</v>
      </c>
      <c r="B89" s="5" t="s">
        <v>239</v>
      </c>
      <c r="C89" s="5" t="s">
        <v>240</v>
      </c>
      <c r="D89" s="5"/>
      <c r="E89" s="5" t="s">
        <v>36</v>
      </c>
      <c r="F89" s="5" t="s">
        <v>205</v>
      </c>
      <c r="G89" s="5"/>
      <c r="H89" s="5">
        <f t="shared" ca="1" si="16"/>
        <v>7043</v>
      </c>
      <c r="I89" s="5"/>
      <c r="J89" s="5" t="s">
        <v>126</v>
      </c>
      <c r="K89" s="5" t="s">
        <v>27</v>
      </c>
      <c r="L89" s="5">
        <v>99.998999999999995</v>
      </c>
      <c r="M89" s="10" t="s">
        <v>191</v>
      </c>
      <c r="N89" s="16"/>
    </row>
    <row r="90" spans="1:14" ht="24.95" customHeight="1" x14ac:dyDescent="0.3">
      <c r="A90" s="5">
        <f t="shared" si="17"/>
        <v>89</v>
      </c>
      <c r="B90" s="5" t="s">
        <v>239</v>
      </c>
      <c r="C90" s="5" t="s">
        <v>240</v>
      </c>
      <c r="D90" s="5"/>
      <c r="E90" s="5" t="s">
        <v>206</v>
      </c>
      <c r="F90" s="5" t="s">
        <v>207</v>
      </c>
      <c r="G90" s="5"/>
      <c r="H90" s="5">
        <f t="shared" ca="1" si="16"/>
        <v>2167</v>
      </c>
      <c r="I90" s="5"/>
      <c r="J90" s="5" t="s">
        <v>208</v>
      </c>
      <c r="K90" s="5" t="s">
        <v>27</v>
      </c>
      <c r="L90" s="5">
        <v>99.998999999999995</v>
      </c>
      <c r="M90" s="10" t="s">
        <v>191</v>
      </c>
      <c r="N90" s="16"/>
    </row>
    <row r="91" spans="1:14" ht="24.95" customHeight="1" x14ac:dyDescent="0.3">
      <c r="A91" s="5">
        <f t="shared" si="17"/>
        <v>90</v>
      </c>
      <c r="B91" s="5" t="s">
        <v>239</v>
      </c>
      <c r="C91" s="5" t="s">
        <v>240</v>
      </c>
      <c r="D91" s="5"/>
      <c r="E91" s="5" t="s">
        <v>209</v>
      </c>
      <c r="F91" s="5" t="s">
        <v>210</v>
      </c>
      <c r="G91" s="5" t="s">
        <v>211</v>
      </c>
      <c r="H91" s="5">
        <f t="shared" ca="1" si="16"/>
        <v>3854</v>
      </c>
      <c r="I91" s="5"/>
      <c r="J91" s="5" t="s">
        <v>126</v>
      </c>
      <c r="K91" s="5" t="s">
        <v>27</v>
      </c>
      <c r="L91" s="5">
        <v>99.998999999999995</v>
      </c>
      <c r="M91" s="10" t="s">
        <v>212</v>
      </c>
      <c r="N91" s="16"/>
    </row>
    <row r="92" spans="1:14" ht="24.95" customHeight="1" x14ac:dyDescent="0.3">
      <c r="A92" s="5">
        <f t="shared" si="17"/>
        <v>91</v>
      </c>
      <c r="B92" s="5" t="s">
        <v>239</v>
      </c>
      <c r="C92" s="5" t="s">
        <v>240</v>
      </c>
      <c r="D92" s="5"/>
      <c r="E92" s="5" t="s">
        <v>213</v>
      </c>
      <c r="F92" s="5" t="s">
        <v>152</v>
      </c>
      <c r="G92" s="5"/>
      <c r="H92" s="5">
        <f t="shared" ca="1" si="16"/>
        <v>5333</v>
      </c>
      <c r="I92" s="5"/>
      <c r="J92" s="5" t="s">
        <v>16</v>
      </c>
      <c r="K92" s="5" t="s">
        <v>12</v>
      </c>
      <c r="L92" s="5">
        <v>99.998999999999995</v>
      </c>
      <c r="M92" s="10" t="s">
        <v>191</v>
      </c>
      <c r="N92" s="16"/>
    </row>
    <row r="93" spans="1:14" ht="24.95" customHeight="1" x14ac:dyDescent="0.3">
      <c r="A93" s="5">
        <f t="shared" si="17"/>
        <v>92</v>
      </c>
      <c r="B93" s="5" t="s">
        <v>239</v>
      </c>
      <c r="C93" s="5" t="s">
        <v>240</v>
      </c>
      <c r="D93" s="5"/>
      <c r="E93" s="5" t="s">
        <v>214</v>
      </c>
      <c r="F93" s="5" t="s">
        <v>215</v>
      </c>
      <c r="G93" s="5"/>
      <c r="H93" s="5">
        <f t="shared" ca="1" si="16"/>
        <v>4776</v>
      </c>
      <c r="I93" s="5"/>
      <c r="J93" s="5" t="s">
        <v>27</v>
      </c>
      <c r="K93" s="5" t="s">
        <v>27</v>
      </c>
      <c r="L93" s="5"/>
      <c r="M93" s="10" t="s">
        <v>191</v>
      </c>
      <c r="N93" s="16"/>
    </row>
    <row r="94" spans="1:14" ht="24.95" customHeight="1" x14ac:dyDescent="0.3">
      <c r="A94" s="5">
        <f t="shared" si="17"/>
        <v>93</v>
      </c>
      <c r="B94" s="5" t="s">
        <v>239</v>
      </c>
      <c r="C94" s="5" t="s">
        <v>240</v>
      </c>
      <c r="D94" s="5"/>
      <c r="E94" s="5" t="s">
        <v>216</v>
      </c>
      <c r="F94" s="5" t="s">
        <v>217</v>
      </c>
      <c r="G94" s="5"/>
      <c r="H94" s="5">
        <f t="shared" ca="1" si="16"/>
        <v>5147</v>
      </c>
      <c r="I94" s="5"/>
      <c r="J94" s="5" t="s">
        <v>27</v>
      </c>
      <c r="K94" s="5" t="s">
        <v>27</v>
      </c>
      <c r="L94" s="5"/>
      <c r="M94" s="10" t="s">
        <v>191</v>
      </c>
      <c r="N94" s="16"/>
    </row>
    <row r="95" spans="1:14" ht="24.95" customHeight="1" x14ac:dyDescent="0.3">
      <c r="A95" s="5">
        <f t="shared" si="17"/>
        <v>94</v>
      </c>
      <c r="B95" s="5" t="s">
        <v>239</v>
      </c>
      <c r="C95" s="5" t="s">
        <v>240</v>
      </c>
      <c r="D95" s="5"/>
      <c r="E95" s="5" t="s">
        <v>218</v>
      </c>
      <c r="F95" s="5" t="s">
        <v>219</v>
      </c>
      <c r="G95" s="5"/>
      <c r="H95" s="5">
        <f t="shared" ca="1" si="16"/>
        <v>2929</v>
      </c>
      <c r="I95" s="5"/>
      <c r="J95" s="5" t="s">
        <v>27</v>
      </c>
      <c r="K95" s="5" t="s">
        <v>27</v>
      </c>
      <c r="L95" s="5"/>
      <c r="M95" s="10" t="s">
        <v>220</v>
      </c>
      <c r="N95" s="16"/>
    </row>
    <row r="96" spans="1:14" ht="24.95" customHeight="1" x14ac:dyDescent="0.3">
      <c r="A96" s="5">
        <f t="shared" si="17"/>
        <v>95</v>
      </c>
      <c r="B96" s="5" t="s">
        <v>239</v>
      </c>
      <c r="C96" s="5" t="s">
        <v>240</v>
      </c>
      <c r="D96" s="5"/>
      <c r="E96" s="5" t="s">
        <v>114</v>
      </c>
      <c r="F96" s="5" t="s">
        <v>221</v>
      </c>
      <c r="G96" s="5"/>
      <c r="H96" s="5">
        <f t="shared" ca="1" si="16"/>
        <v>1310</v>
      </c>
      <c r="I96" s="5"/>
      <c r="J96" s="5" t="s">
        <v>116</v>
      </c>
      <c r="K96" s="5" t="s">
        <v>27</v>
      </c>
      <c r="L96" s="5"/>
      <c r="M96" s="10" t="s">
        <v>191</v>
      </c>
      <c r="N96" s="16"/>
    </row>
    <row r="97" spans="1:14" ht="24.95" customHeight="1" x14ac:dyDescent="0.3">
      <c r="A97" s="5">
        <f t="shared" si="17"/>
        <v>96</v>
      </c>
      <c r="B97" s="5" t="s">
        <v>239</v>
      </c>
      <c r="C97" s="5" t="s">
        <v>240</v>
      </c>
      <c r="D97" s="5"/>
      <c r="E97" s="5" t="s">
        <v>114</v>
      </c>
      <c r="F97" s="5" t="s">
        <v>222</v>
      </c>
      <c r="G97" s="5"/>
      <c r="H97" s="5">
        <f t="shared" ca="1" si="16"/>
        <v>5297</v>
      </c>
      <c r="I97" s="5"/>
      <c r="J97" s="5" t="s">
        <v>16</v>
      </c>
      <c r="K97" s="5" t="s">
        <v>12</v>
      </c>
      <c r="L97" s="5"/>
      <c r="M97" s="10" t="s">
        <v>220</v>
      </c>
      <c r="N97" s="16"/>
    </row>
    <row r="98" spans="1:14" ht="24.95" customHeight="1" x14ac:dyDescent="0.3">
      <c r="A98" s="5">
        <f t="shared" si="17"/>
        <v>97</v>
      </c>
      <c r="B98" s="5" t="s">
        <v>239</v>
      </c>
      <c r="C98" s="5" t="s">
        <v>240</v>
      </c>
      <c r="D98" s="5"/>
      <c r="E98" s="5" t="s">
        <v>223</v>
      </c>
      <c r="F98" s="5" t="s">
        <v>224</v>
      </c>
      <c r="G98" s="5"/>
      <c r="H98" s="5"/>
      <c r="I98" s="5"/>
      <c r="J98" s="5"/>
      <c r="K98" s="5"/>
      <c r="L98" s="5"/>
      <c r="M98" s="10"/>
      <c r="N98" s="16"/>
    </row>
    <row r="99" spans="1:14" ht="24.95" customHeight="1" x14ac:dyDescent="0.3">
      <c r="A99" s="5">
        <f t="shared" si="17"/>
        <v>98</v>
      </c>
      <c r="B99" s="5" t="s">
        <v>239</v>
      </c>
      <c r="C99" s="5" t="s">
        <v>240</v>
      </c>
      <c r="D99" s="5"/>
      <c r="E99" s="5" t="s">
        <v>225</v>
      </c>
      <c r="F99" s="5" t="s">
        <v>226</v>
      </c>
      <c r="G99" s="5"/>
      <c r="H99" s="5">
        <f t="shared" ref="H99:H105" ca="1" si="18">RANDBETWEEN(500,10000)</f>
        <v>1106</v>
      </c>
      <c r="I99" s="5"/>
      <c r="J99" s="5" t="s">
        <v>126</v>
      </c>
      <c r="K99" s="5" t="s">
        <v>27</v>
      </c>
      <c r="L99" s="5"/>
      <c r="M99" s="10" t="s">
        <v>227</v>
      </c>
      <c r="N99" s="16"/>
    </row>
    <row r="100" spans="1:14" ht="24.95" customHeight="1" x14ac:dyDescent="0.3">
      <c r="A100" s="5">
        <f t="shared" si="17"/>
        <v>99</v>
      </c>
      <c r="B100" s="5" t="s">
        <v>239</v>
      </c>
      <c r="C100" s="5" t="s">
        <v>240</v>
      </c>
      <c r="D100" s="5"/>
      <c r="E100" s="5" t="s">
        <v>228</v>
      </c>
      <c r="F100" s="5" t="s">
        <v>224</v>
      </c>
      <c r="G100" s="5"/>
      <c r="H100" s="5">
        <f t="shared" ca="1" si="18"/>
        <v>8956</v>
      </c>
      <c r="I100" s="5"/>
      <c r="J100" s="5" t="s">
        <v>16</v>
      </c>
      <c r="K100" s="5" t="s">
        <v>12</v>
      </c>
      <c r="L100" s="5"/>
      <c r="M100" s="10"/>
      <c r="N100" s="16"/>
    </row>
    <row r="101" spans="1:14" ht="24.95" customHeight="1" x14ac:dyDescent="0.3">
      <c r="A101" s="5">
        <f t="shared" si="17"/>
        <v>100</v>
      </c>
      <c r="B101" s="5" t="s">
        <v>239</v>
      </c>
      <c r="C101" s="5" t="s">
        <v>240</v>
      </c>
      <c r="D101" s="5"/>
      <c r="E101" s="5" t="s">
        <v>229</v>
      </c>
      <c r="F101" s="5" t="s">
        <v>17</v>
      </c>
      <c r="G101" s="5"/>
      <c r="H101" s="5">
        <f t="shared" ca="1" si="18"/>
        <v>4292</v>
      </c>
      <c r="I101" s="5"/>
      <c r="J101" s="5" t="s">
        <v>18</v>
      </c>
      <c r="K101" s="5" t="s">
        <v>19</v>
      </c>
      <c r="L101" s="5"/>
      <c r="M101" s="10" t="s">
        <v>220</v>
      </c>
      <c r="N101" s="16"/>
    </row>
    <row r="102" spans="1:14" ht="24.95" customHeight="1" x14ac:dyDescent="0.3">
      <c r="A102" s="5">
        <f t="shared" si="17"/>
        <v>101</v>
      </c>
      <c r="B102" s="5" t="s">
        <v>239</v>
      </c>
      <c r="C102" s="5" t="s">
        <v>240</v>
      </c>
      <c r="D102" s="5"/>
      <c r="E102" s="5" t="s">
        <v>230</v>
      </c>
      <c r="F102" s="5" t="s">
        <v>231</v>
      </c>
      <c r="G102" s="5"/>
      <c r="H102" s="5">
        <f t="shared" ca="1" si="18"/>
        <v>8386</v>
      </c>
      <c r="I102" s="5"/>
      <c r="J102" s="5" t="s">
        <v>27</v>
      </c>
      <c r="K102" s="5" t="s">
        <v>27</v>
      </c>
      <c r="L102" s="5">
        <v>99.998999999999995</v>
      </c>
      <c r="M102" s="10" t="s">
        <v>220</v>
      </c>
      <c r="N102" s="16"/>
    </row>
    <row r="103" spans="1:14" ht="24.95" customHeight="1" x14ac:dyDescent="0.3">
      <c r="A103" s="5">
        <f t="shared" si="17"/>
        <v>102</v>
      </c>
      <c r="B103" s="5" t="s">
        <v>239</v>
      </c>
      <c r="C103" s="5" t="s">
        <v>240</v>
      </c>
      <c r="D103" s="5"/>
      <c r="E103" s="5" t="s">
        <v>232</v>
      </c>
      <c r="F103" s="5" t="s">
        <v>23</v>
      </c>
      <c r="G103" s="5"/>
      <c r="H103" s="5">
        <f t="shared" ca="1" si="18"/>
        <v>7159</v>
      </c>
      <c r="I103" s="5"/>
      <c r="J103" s="5" t="s">
        <v>21</v>
      </c>
      <c r="K103" s="5" t="s">
        <v>12</v>
      </c>
      <c r="L103" s="5">
        <v>99.998999999999995</v>
      </c>
      <c r="M103" s="10" t="s">
        <v>220</v>
      </c>
      <c r="N103" s="16"/>
    </row>
    <row r="104" spans="1:14" s="11" customFormat="1" ht="24.95" customHeight="1" x14ac:dyDescent="0.3">
      <c r="A104" s="5">
        <f t="shared" si="17"/>
        <v>103</v>
      </c>
      <c r="B104" s="5" t="s">
        <v>239</v>
      </c>
      <c r="C104" s="5" t="s">
        <v>240</v>
      </c>
      <c r="D104" s="12"/>
      <c r="E104" s="12" t="s">
        <v>233</v>
      </c>
      <c r="F104" s="12" t="s">
        <v>234</v>
      </c>
      <c r="G104" s="12"/>
      <c r="H104" s="5">
        <f t="shared" ca="1" si="18"/>
        <v>5165</v>
      </c>
      <c r="I104" s="5">
        <f ca="1">RANDBETWEEN(500,10000)</f>
        <v>1125</v>
      </c>
      <c r="J104" s="12" t="s">
        <v>38</v>
      </c>
      <c r="K104" s="12" t="s">
        <v>27</v>
      </c>
      <c r="L104" s="5">
        <v>99.998999999999995</v>
      </c>
      <c r="M104" s="13" t="s">
        <v>191</v>
      </c>
      <c r="N104" s="17"/>
    </row>
    <row r="105" spans="1:14" s="11" customFormat="1" ht="24.95" customHeight="1" x14ac:dyDescent="0.3">
      <c r="A105" s="5">
        <f t="shared" si="17"/>
        <v>104</v>
      </c>
      <c r="B105" s="5" t="s">
        <v>239</v>
      </c>
      <c r="C105" s="5" t="s">
        <v>240</v>
      </c>
      <c r="D105" s="12"/>
      <c r="E105" s="12" t="s">
        <v>120</v>
      </c>
      <c r="F105" s="12" t="s">
        <v>235</v>
      </c>
      <c r="G105" s="12"/>
      <c r="H105" s="5">
        <f t="shared" ca="1" si="18"/>
        <v>4233</v>
      </c>
      <c r="I105" s="12"/>
      <c r="J105" s="12" t="s">
        <v>27</v>
      </c>
      <c r="K105" s="12" t="s">
        <v>27</v>
      </c>
      <c r="L105" s="5">
        <v>99.998999999999995</v>
      </c>
      <c r="M105" s="13" t="s">
        <v>191</v>
      </c>
      <c r="N105" s="17"/>
    </row>
    <row r="106" spans="1:14" s="11" customFormat="1" ht="24.95" customHeight="1" x14ac:dyDescent="0.3">
      <c r="A106" s="5">
        <f t="shared" si="17"/>
        <v>105</v>
      </c>
      <c r="B106" s="5" t="s">
        <v>239</v>
      </c>
      <c r="C106" s="5" t="s">
        <v>240</v>
      </c>
      <c r="D106" s="12"/>
      <c r="E106" s="12" t="s">
        <v>236</v>
      </c>
      <c r="F106" s="12" t="s">
        <v>237</v>
      </c>
      <c r="G106" s="12"/>
      <c r="H106" s="12"/>
      <c r="I106" s="5">
        <f ca="1">RANDBETWEEN(500,10000)</f>
        <v>9713</v>
      </c>
      <c r="J106" s="12" t="s">
        <v>38</v>
      </c>
      <c r="K106" s="12" t="s">
        <v>27</v>
      </c>
      <c r="L106" s="5">
        <v>99.998999999999995</v>
      </c>
      <c r="M106" s="13" t="s">
        <v>191</v>
      </c>
      <c r="N106" s="17"/>
    </row>
  </sheetData>
  <autoFilter ref="A1:M106" xr:uid="{00000000-0009-0000-0000-000024000000}"/>
  <mergeCells count="1">
    <mergeCell ref="M1:N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制-副产氢供氢中心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2026-05-25T09:12:32Z</dcterms:created>
  <dcterms:modified xsi:type="dcterms:W3CDTF">2026-05-26T08:53:52Z</dcterms:modified>
</cp:coreProperties>
</file>