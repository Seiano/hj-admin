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 氢能研究院\数智化工作\企业库\数据表-给博英\4.其他数据表\"/>
    </mc:Choice>
  </mc:AlternateContent>
  <xr:revisionPtr revIDLastSave="0" documentId="13_ncr:1_{4C84A3A4-3558-4699-B682-F494C33299F8}" xr6:coauthVersionLast="47" xr6:coauthVersionMax="47" xr10:uidLastSave="{00000000-0000-0000-0000-000000000000}"/>
  <bookViews>
    <workbookView xWindow="-98" yWindow="-98" windowWidth="22695" windowHeight="14476" xr2:uid="{9A741AC7-91AB-4522-8BE5-C209F42993BF}"/>
  </bookViews>
  <sheets>
    <sheet name="氢能园区" sheetId="1" r:id="rId1"/>
  </sheets>
  <definedNames>
    <definedName name="_xlnm._FilterDatabase" localSheetId="0" hidden="1">氢能园区!$A$1:$P$211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09" i="1" l="1"/>
  <c r="J163" i="1"/>
  <c r="J155" i="1"/>
  <c r="J140" i="1"/>
  <c r="J139" i="1"/>
  <c r="J137" i="1"/>
  <c r="J136" i="1"/>
  <c r="J132" i="1"/>
  <c r="J116" i="1"/>
  <c r="J115" i="1"/>
  <c r="J114" i="1"/>
  <c r="J105" i="1"/>
  <c r="J90" i="1"/>
  <c r="J75" i="1"/>
  <c r="J61" i="1"/>
  <c r="J60" i="1"/>
  <c r="J50" i="1"/>
  <c r="J34" i="1"/>
  <c r="J30" i="1"/>
  <c r="J26" i="1"/>
  <c r="K155" i="1"/>
  <c r="K137" i="1"/>
  <c r="J9" i="1"/>
  <c r="I208" i="1"/>
  <c r="I206" i="1"/>
  <c r="I202" i="1"/>
  <c r="I192" i="1"/>
  <c r="I190" i="1"/>
  <c r="I186" i="1"/>
  <c r="I166" i="1"/>
  <c r="I165" i="1"/>
  <c r="I163" i="1"/>
  <c r="I162" i="1"/>
  <c r="I160" i="1"/>
  <c r="I157" i="1"/>
  <c r="I156" i="1"/>
  <c r="I155" i="1"/>
  <c r="I143" i="1"/>
  <c r="I142" i="1"/>
  <c r="I140" i="1"/>
  <c r="I139" i="1"/>
  <c r="I138" i="1"/>
  <c r="I137" i="1"/>
  <c r="I136" i="1"/>
  <c r="I132" i="1"/>
  <c r="I126" i="1"/>
  <c r="I116" i="1"/>
  <c r="I113" i="1"/>
  <c r="I110" i="1"/>
  <c r="I105" i="1"/>
  <c r="I98" i="1"/>
  <c r="I89" i="1"/>
  <c r="I88" i="1"/>
  <c r="I78" i="1"/>
  <c r="I77" i="1"/>
  <c r="I76" i="1"/>
  <c r="I75" i="1"/>
  <c r="I74" i="1"/>
  <c r="I72" i="1"/>
  <c r="I71" i="1"/>
  <c r="I70" i="1"/>
  <c r="I66" i="1"/>
  <c r="I64" i="1"/>
  <c r="I61" i="1"/>
  <c r="I60" i="1"/>
  <c r="I58" i="1"/>
  <c r="I57" i="1"/>
  <c r="I54" i="1"/>
  <c r="I53" i="1"/>
  <c r="I52" i="1"/>
  <c r="I50" i="1"/>
  <c r="I42" i="1"/>
  <c r="I41" i="1"/>
  <c r="I38" i="1"/>
  <c r="I37" i="1"/>
  <c r="I34" i="1"/>
  <c r="I31" i="1"/>
  <c r="I30" i="1"/>
  <c r="I28" i="1"/>
  <c r="I27" i="1"/>
  <c r="I26" i="1"/>
  <c r="I19" i="1"/>
  <c r="I16" i="1"/>
  <c r="I15" i="1"/>
  <c r="I14" i="1"/>
  <c r="I11" i="1"/>
  <c r="I10" i="1"/>
  <c r="I9" i="1"/>
  <c r="I5" i="1"/>
  <c r="H209" i="1"/>
  <c r="H208" i="1"/>
  <c r="H207" i="1"/>
  <c r="H206" i="1"/>
  <c r="H205" i="1"/>
  <c r="H202" i="1"/>
  <c r="H192" i="1"/>
  <c r="H190" i="1"/>
  <c r="H186" i="1"/>
  <c r="H182" i="1"/>
  <c r="H179" i="1"/>
  <c r="H167" i="1"/>
  <c r="H163" i="1"/>
  <c r="H162" i="1"/>
  <c r="H160" i="1"/>
  <c r="H156" i="1"/>
  <c r="H155" i="1"/>
  <c r="H144" i="1"/>
  <c r="H140" i="1"/>
  <c r="H139" i="1"/>
  <c r="H138" i="1"/>
  <c r="H136" i="1"/>
  <c r="H132" i="1"/>
  <c r="H131" i="1"/>
  <c r="H124" i="1"/>
  <c r="H123" i="1"/>
  <c r="H121" i="1"/>
  <c r="H116" i="1"/>
  <c r="H115" i="1"/>
  <c r="H114" i="1"/>
  <c r="H113" i="1"/>
  <c r="H112" i="1"/>
  <c r="H111" i="1"/>
  <c r="H110" i="1"/>
  <c r="H105" i="1"/>
  <c r="H104" i="1"/>
  <c r="H103" i="1"/>
  <c r="H101" i="1"/>
  <c r="H100" i="1"/>
  <c r="H99" i="1"/>
  <c r="H98" i="1"/>
  <c r="H90" i="1"/>
  <c r="H89" i="1"/>
  <c r="H88" i="1"/>
  <c r="H76" i="1"/>
  <c r="H75" i="1"/>
  <c r="H73" i="1"/>
  <c r="H72" i="1"/>
  <c r="H71" i="1"/>
  <c r="H70" i="1"/>
  <c r="H64" i="1"/>
  <c r="H60" i="1"/>
  <c r="H58" i="1"/>
  <c r="H57" i="1"/>
  <c r="H54" i="1"/>
  <c r="H50" i="1"/>
  <c r="H43" i="1"/>
  <c r="H42" i="1"/>
  <c r="H41" i="1"/>
  <c r="H37" i="1"/>
  <c r="H34" i="1"/>
  <c r="H30" i="1"/>
  <c r="H27" i="1"/>
  <c r="H26" i="1"/>
  <c r="H20" i="1"/>
  <c r="H18" i="1"/>
  <c r="H16" i="1"/>
  <c r="H15" i="1"/>
  <c r="H14" i="1"/>
  <c r="H9" i="1"/>
  <c r="F211" i="1"/>
  <c r="F210" i="1"/>
  <c r="F209" i="1"/>
  <c r="F208" i="1"/>
  <c r="F207" i="1"/>
  <c r="F206" i="1"/>
  <c r="F205" i="1"/>
  <c r="F202" i="1"/>
  <c r="F193" i="1"/>
  <c r="F192" i="1"/>
  <c r="F191" i="1"/>
  <c r="F190" i="1"/>
  <c r="F187" i="1"/>
  <c r="F186" i="1"/>
  <c r="F182" i="1"/>
  <c r="F179" i="1"/>
  <c r="F176" i="1"/>
  <c r="F175" i="1"/>
  <c r="F174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7" i="1"/>
  <c r="F156" i="1"/>
  <c r="F155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3" i="1"/>
  <c r="F132" i="1"/>
  <c r="F131" i="1"/>
  <c r="F130" i="1"/>
  <c r="F127" i="1"/>
  <c r="F126" i="1"/>
  <c r="F125" i="1"/>
  <c r="F124" i="1"/>
  <c r="F123" i="1"/>
  <c r="F122" i="1"/>
  <c r="F121" i="1"/>
  <c r="F118" i="1"/>
  <c r="F117" i="1"/>
  <c r="F116" i="1"/>
  <c r="F115" i="1"/>
  <c r="F114" i="1"/>
  <c r="F113" i="1"/>
  <c r="F112" i="1"/>
  <c r="F111" i="1"/>
  <c r="F110" i="1"/>
  <c r="F107" i="1"/>
  <c r="F106" i="1"/>
  <c r="F105" i="1"/>
  <c r="F104" i="1"/>
  <c r="F103" i="1"/>
  <c r="F102" i="1"/>
  <c r="F101" i="1"/>
  <c r="F100" i="1"/>
  <c r="F99" i="1"/>
  <c r="F98" i="1"/>
  <c r="F95" i="1"/>
  <c r="F94" i="1"/>
  <c r="F91" i="1"/>
  <c r="F90" i="1"/>
  <c r="F89" i="1"/>
  <c r="F88" i="1"/>
  <c r="F85" i="1"/>
  <c r="F84" i="1"/>
  <c r="F81" i="1"/>
  <c r="F80" i="1"/>
  <c r="F79" i="1"/>
  <c r="F78" i="1"/>
  <c r="F77" i="1"/>
  <c r="F76" i="1"/>
  <c r="F75" i="1"/>
  <c r="F74" i="1"/>
  <c r="F73" i="1"/>
  <c r="F72" i="1"/>
  <c r="F71" i="1"/>
  <c r="F70" i="1"/>
  <c r="F66" i="1"/>
  <c r="F65" i="1"/>
  <c r="F64" i="1"/>
  <c r="F63" i="1"/>
  <c r="F62" i="1"/>
  <c r="F61" i="1"/>
  <c r="F60" i="1"/>
  <c r="F59" i="1"/>
  <c r="F58" i="1"/>
  <c r="F57" i="1"/>
  <c r="F54" i="1"/>
  <c r="F53" i="1"/>
  <c r="F52" i="1"/>
  <c r="F51" i="1"/>
  <c r="F50" i="1"/>
  <c r="F49" i="1"/>
  <c r="F46" i="1"/>
  <c r="F43" i="1"/>
  <c r="F42" i="1"/>
  <c r="F41" i="1"/>
  <c r="F38" i="1"/>
  <c r="F37" i="1"/>
  <c r="F36" i="1"/>
  <c r="F35" i="1"/>
  <c r="F34" i="1"/>
  <c r="F31" i="1"/>
  <c r="F30" i="1"/>
  <c r="F29" i="1"/>
  <c r="F28" i="1"/>
  <c r="F27" i="1"/>
  <c r="F26" i="1"/>
  <c r="F23" i="1"/>
  <c r="F22" i="1"/>
  <c r="F21" i="1"/>
  <c r="F20" i="1"/>
  <c r="F19" i="1"/>
  <c r="F18" i="1"/>
  <c r="F17" i="1"/>
  <c r="F16" i="1"/>
  <c r="F15" i="1"/>
  <c r="F14" i="1"/>
  <c r="F11" i="1"/>
  <c r="F10" i="1"/>
  <c r="F9" i="1"/>
  <c r="F6" i="1"/>
  <c r="F5" i="1"/>
  <c r="F4" i="1"/>
</calcChain>
</file>

<file path=xl/sharedStrings.xml><?xml version="1.0" encoding="utf-8"?>
<sst xmlns="http://schemas.openxmlformats.org/spreadsheetml/2006/main" count="848" uniqueCount="325">
  <si>
    <t>序号</t>
  </si>
  <si>
    <t>地点</t>
  </si>
  <si>
    <t>园区名称</t>
  </si>
  <si>
    <t>设立时间</t>
  </si>
  <si>
    <t>当前状态</t>
  </si>
  <si>
    <t>总投资/亿元</t>
  </si>
  <si>
    <t>占地面积/
平方米</t>
  </si>
  <si>
    <t>产值目标/亿元</t>
  </si>
  <si>
    <t>重点企业（举例）</t>
  </si>
  <si>
    <t>园区内重点企业</t>
  </si>
  <si>
    <t>省/直辖市</t>
  </si>
  <si>
    <t>市</t>
  </si>
  <si>
    <t>区</t>
  </si>
  <si>
    <t>2025年</t>
  </si>
  <si>
    <t>2030年</t>
  </si>
  <si>
    <t>制</t>
  </si>
  <si>
    <t>储</t>
  </si>
  <si>
    <t>输</t>
  </si>
  <si>
    <t>用</t>
  </si>
  <si>
    <t>服</t>
  </si>
  <si>
    <t>延庆氢能产业园（延庆区）</t>
  </si>
  <si>
    <t>拆除</t>
  </si>
  <si>
    <t>中国电力国际发展有限公司</t>
  </si>
  <si>
    <t>大兴国际氢能示范区（大兴区）</t>
  </si>
  <si>
    <t>运行</t>
  </si>
  <si>
    <t>北京亿华通科技股份有限公司</t>
  </si>
  <si>
    <t>中关村（房山）氢能产业园（房山区）</t>
  </si>
  <si>
    <t>北京环宇京辉京城气体科技有限公司</t>
  </si>
  <si>
    <t>氢能示范产业园（滨海新区）</t>
  </si>
  <si>
    <t>天津新氢能源发展有限公司</t>
  </si>
  <si>
    <t>天津新氢动力科技有限公司，北京氢璞创能科技有限公司</t>
  </si>
  <si>
    <t>氢能产业园（东丽区）</t>
  </si>
  <si>
    <t>规划</t>
  </si>
  <si>
    <t>中汽研新能源汽车检验中心</t>
  </si>
  <si>
    <t>渤天—应急氢能产业示范园区项目（经开区）</t>
  </si>
  <si>
    <t>天津渤天化工有限责任公司</t>
  </si>
  <si>
    <t>中兴科工（天津）智慧城市运营服务有限公司，海华绿氢（天津）科技发展有限公司</t>
  </si>
  <si>
    <t>氢能源产业园-中国气谷（邯郸）</t>
  </si>
  <si>
    <t>中船（邯郸）派瑞氢能科技有限公司</t>
  </si>
  <si>
    <t>新兴能源装备股份有限公司</t>
  </si>
  <si>
    <t>氢能产业创新园区（张家口）</t>
  </si>
  <si>
    <t>河北昊安青源装备科技有限公司</t>
  </si>
  <si>
    <t>张家口聚通科技有限公司，亿华通科技股份有限公司</t>
  </si>
  <si>
    <t>氢能燃料电池产业园（迁安）</t>
  </si>
  <si>
    <t>建设</t>
  </si>
  <si>
    <t>氢能产业园（武安）</t>
  </si>
  <si>
    <t>上海重塑能源集团有限公司，北京氢璞创能科技有限公司</t>
  </si>
  <si>
    <t>绿色氢能产业园（邯郸）</t>
  </si>
  <si>
    <t>氢能产业园（曹妃甸）</t>
  </si>
  <si>
    <t>未势能源科技有限公司</t>
  </si>
  <si>
    <t>华丰公司氢能产业园（武安）</t>
  </si>
  <si>
    <t>上海重塑，氢璞创能</t>
  </si>
  <si>
    <t>新源动力氢能装备产业园（武安）</t>
  </si>
  <si>
    <t>中船派瑞氢能装备产业园建设一期（邯郸）</t>
  </si>
  <si>
    <t>广平县河北中威氢能产业园（邯郸）</t>
  </si>
  <si>
    <t>雄韬氢雄氢能产业园（大同）</t>
  </si>
  <si>
    <t>暂停</t>
  </si>
  <si>
    <t>大同氢雄云鼎氢能科技有限公司</t>
  </si>
  <si>
    <t>华熵氢能产业园（大同）</t>
  </si>
  <si>
    <t>上海华熵能源科技有限公司</t>
  </si>
  <si>
    <t>美锦氢能产业园（晋中）</t>
  </si>
  <si>
    <t>山西美锦能源股份有限公司</t>
  </si>
  <si>
    <t>美锦氢能产业园（兴县）</t>
  </si>
  <si>
    <t>鹏湾氢港氢能产业园（吕梁）</t>
  </si>
  <si>
    <t>山西鹏飞集团有限公司</t>
  </si>
  <si>
    <t>香港诚丰氢能产业园（应县）</t>
  </si>
  <si>
    <t>华朔新能源有限公司</t>
  </si>
  <si>
    <t>氢能源小镇（大连）</t>
  </si>
  <si>
    <t>氢能源小镇（抚顺）</t>
  </si>
  <si>
    <t>辽宁沐与康氢能科技产业发展有限公司</t>
  </si>
  <si>
    <t>绿色制氢产业示范基地（瓦房店）</t>
  </si>
  <si>
    <t>“氢湾风港”新能源产业园项目（太平湾）</t>
  </si>
  <si>
    <t>中石化北方能源（大连）有限公司，国创氢能科技有限公司</t>
  </si>
  <si>
    <t>大连金普新区氢能产业园（金普新区）</t>
  </si>
  <si>
    <t>国创氢能、洺源科技、大检集团氢能检测中心、中石化综合加能站</t>
  </si>
  <si>
    <t>中国北方氢谷（白城）</t>
  </si>
  <si>
    <t>国家电投长春氢能产业基地项目（长春）</t>
  </si>
  <si>
    <t>国家电投</t>
  </si>
  <si>
    <t>中能建松原氢能产业园（松原）</t>
  </si>
  <si>
    <t>中能建</t>
  </si>
  <si>
    <t>寒地氢能产业先行示范区（哈尔滨）</t>
  </si>
  <si>
    <t>氢能与燃料电池产业园（嘉定）</t>
  </si>
  <si>
    <t>嘉定氢能港（嘉定）</t>
  </si>
  <si>
    <t>彼欧蓝能（上海）能源科技有限公司</t>
  </si>
  <si>
    <t>上海捷氢科技股份有限公司</t>
  </si>
  <si>
    <t>2019年6月揭牌</t>
  </si>
  <si>
    <t>氢能特色产业园（青浦）</t>
  </si>
  <si>
    <t>上海翼迅创能新能源科技有限公司</t>
  </si>
  <si>
    <t>中国宝武吴淞氢能产业园（宝山）</t>
  </si>
  <si>
    <t>中国宝武钢铁集团有限公司</t>
  </si>
  <si>
    <t>上海汽车集团股份有限公司</t>
  </si>
  <si>
    <t>国际氢能谷（临港）</t>
  </si>
  <si>
    <t>康明斯（中国）投资有限公司</t>
  </si>
  <si>
    <t>浙江蓝能氢能科技股份有限公司</t>
  </si>
  <si>
    <t>上海氢晨新能源科技有限公司</t>
  </si>
  <si>
    <t>国际氢能产业基地（安亭）</t>
  </si>
  <si>
    <t>谷川集团</t>
  </si>
  <si>
    <t>氢能源产业园（丹徒）</t>
  </si>
  <si>
    <t>未知</t>
  </si>
  <si>
    <t>2012年成立</t>
  </si>
  <si>
    <t>江苏乾景新能源产业技术研究院、 江苏中靖新能源科技有限公司、江苏中赢绿色能源科技有限公司、精功镇江汽车制造有限公司新能源汽车项目、 氢能轻型车示范运营和生产项目、江苏科技大学新能源与船用推进系统研发中心、中科华泰新能源产业设备研究院、南京工业大学材料科学与工程研发中心</t>
  </si>
  <si>
    <t>氢能小镇（如皋）</t>
  </si>
  <si>
    <t>百应能源、南通泽禾、安思卓、神华集团、江苏清能、江苏金通灵氢能机械科技、上海瀚氢动力科技、势加透博、氢燃料电池汽车研究检测中心等</t>
  </si>
  <si>
    <t>氢能产业示范园（张家港）</t>
  </si>
  <si>
    <t>国富氢能、华昌化工、南京大学昆山创新研究院、圣达因、氢云新能源研究院等。产业链涉及制氢、储氢、运氢、氢燃料电池系统和氢燃料电池动力总成系统</t>
  </si>
  <si>
    <t>氢燃料电池汽车产业园（常熟）</t>
  </si>
  <si>
    <t>法液空（法国）、金宏气体、华昌化工等一批制氢企业；重塑能源以及丰田汽车</t>
  </si>
  <si>
    <t>淮海氢谷（新沂）</t>
  </si>
  <si>
    <t>恒盛化肥、利民化工、新河化工、维尤纳特、苏北化轻等。</t>
  </si>
  <si>
    <t>中车氢能产业园（张家港）</t>
  </si>
  <si>
    <t>苏州中车氢能动力技术有限公司</t>
  </si>
  <si>
    <t>江阴临港氢能产业园（无锡）</t>
  </si>
  <si>
    <t>2022年11月揭牌</t>
  </si>
  <si>
    <t>江苏清能氢燃料电池电堆和系统总成项目、上海华熵能源空压机和回氧泵项目、青岛奥扬新能源车载供氢系统项目、申氢宸科技成套喷氢系统项目、远景制氢装备项目、双良集团绿电制氢系统项目等十个重点项目于当天签约</t>
  </si>
  <si>
    <t>常州氢湾（常州）</t>
  </si>
  <si>
    <t>江苏省特检院国家氢能产品质量检验检测中心</t>
  </si>
  <si>
    <t>江苏省特检院国家氢能产品质量检验检测中心项目，常州氢湾中石化油氢合建项目，联德电子固体氧化物燃料电池项目，氢湾国际创新社区项目，常州中海电力新能源检测装备项目，常州市氢能产业协会总部项目，湖南百利科技燃料电池核心零部件项目，北京格睿新能源检测装备项目，国家氢能产品质量检验检测中心项目</t>
  </si>
  <si>
    <t>江苏零碳科技（氢能）产业园</t>
  </si>
  <si>
    <t>中集绿氢零碳装备产业园（扬州）</t>
  </si>
  <si>
    <t>氢能小镇（台州）</t>
  </si>
  <si>
    <t>淳华氢能科技股份有限公司</t>
  </si>
  <si>
    <t>2016年规划</t>
  </si>
  <si>
    <t>、上海淳大集团、腾达建设集团</t>
  </si>
  <si>
    <t>浙江氢谷新能源汽车产业园（湖州）</t>
  </si>
  <si>
    <t>浙江氢谷新能源汽车有限公司</t>
  </si>
  <si>
    <t>2018年规划</t>
  </si>
  <si>
    <t>氢能源产业园（嘉兴）</t>
  </si>
  <si>
    <t>中国石化</t>
  </si>
  <si>
    <t>爱德曼氢能源装备有限公司</t>
  </si>
  <si>
    <t>氢谷（金华）</t>
  </si>
  <si>
    <t>1000000（一期）</t>
  </si>
  <si>
    <t>深圳国氢新能源科技有限公司</t>
  </si>
  <si>
    <t>2019年规划</t>
  </si>
  <si>
    <t>深圳国氢新能源等</t>
  </si>
  <si>
    <t>氢能源及配套产业园基地（嘉兴）</t>
  </si>
  <si>
    <t>8（美元）</t>
  </si>
  <si>
    <t>空气产品公司</t>
  </si>
  <si>
    <t>2019年签约建设</t>
  </si>
  <si>
    <t>氢能科技产业园（嘉兴）</t>
  </si>
  <si>
    <t>美锦国鸿（浙江）氢能科技有限公司</t>
  </si>
  <si>
    <t>美锦国鸿（浙江）氢能科技有限公司氢动力总成生产项目</t>
  </si>
  <si>
    <t>浙能集团-长广集团氢能装备制造产业园（湖州）</t>
  </si>
  <si>
    <t>浙能集团、长广集团</t>
  </si>
  <si>
    <t>白马湖实验室</t>
  </si>
  <si>
    <t>长三角（嘉兴）氢能产业园</t>
  </si>
  <si>
    <t>三江化工、嘉化能源、华泓新材料</t>
  </si>
  <si>
    <t>温州苍南绿能小镇</t>
  </si>
  <si>
    <t>台州湾氢能产业园</t>
  </si>
  <si>
    <t>100亩</t>
  </si>
  <si>
    <t>“招宝氢谷”氢能产业园</t>
  </si>
  <si>
    <t>杭氧集团氢能源装备产业基地项目</t>
  </si>
  <si>
    <t>氢能无人机产业园</t>
  </si>
  <si>
    <t>江西省吉安市/电气井冈山先进氢能装备产业园</t>
  </si>
  <si>
    <t>明天氢能产业园（六安）</t>
  </si>
  <si>
    <t>安徽明天新能源科技有限公司</t>
  </si>
  <si>
    <t>濉芜双创（氢能）产业园（淮北）</t>
  </si>
  <si>
    <t>2020年2月揭牌，但无后文</t>
  </si>
  <si>
    <t>氢能产业科技园（阜阳）</t>
  </si>
  <si>
    <t>东方电气集团</t>
  </si>
  <si>
    <t>G60科创走廊新能源（氢能）产业园</t>
  </si>
  <si>
    <t>氢能源产业园（仙游县）</t>
  </si>
  <si>
    <t>100+</t>
  </si>
  <si>
    <t>台湾氢能科学研究院、中华新能源科技股份有限公司等</t>
  </si>
  <si>
    <t>福建泉州惠安光储制氢一体化产业园</t>
  </si>
  <si>
    <t>中国氢谷（济南）</t>
  </si>
  <si>
    <t>山东重工、中国重汽、东岳集团、吉利汽车、世能氢电、山东赛克赛斯等</t>
  </si>
  <si>
    <t>美锦氢能小镇（西海岸）</t>
  </si>
  <si>
    <t>美锦能源</t>
  </si>
  <si>
    <t>国家电投黄河流域氢能产业基地崔赛产业园（济南）</t>
  </si>
  <si>
    <t>氢能核心装备产业园（烟台）</t>
  </si>
  <si>
    <t>烟台东德实业有限公司</t>
  </si>
  <si>
    <t>青岛市氢能产业园（西海岸）</t>
  </si>
  <si>
    <t>东德实业氢能核心装备产业园（黄渤海新区）</t>
  </si>
  <si>
    <t>东德实业</t>
  </si>
  <si>
    <t>2023年9月开建</t>
  </si>
  <si>
    <t>氢装上阵（昌乐）物联科技产业园（昌乐县）</t>
  </si>
  <si>
    <t>氢装上阵（上海）供应链科技有限公司</t>
  </si>
  <si>
    <t>2023年11月开建</t>
  </si>
  <si>
    <t>临沂钢投新能源有限公司氢能产业基地项目（临沂）</t>
  </si>
  <si>
    <t>建成</t>
  </si>
  <si>
    <t>临沂钢投新能源有限公司</t>
  </si>
  <si>
    <t>华邑氢能产业园</t>
  </si>
  <si>
    <t>西海岸氢能产业园</t>
  </si>
  <si>
    <t>氢能产业园（新乡）</t>
  </si>
  <si>
    <t>河南豫氢动力有限公司、河南豫氢装备有限公司</t>
  </si>
  <si>
    <t>河南氢璞创能科技有限公司</t>
  </si>
  <si>
    <t>河南氢璞创能科技有限公司、河南豫氢动力有限公司、河南豫氢装备有限公司</t>
  </si>
  <si>
    <t>氢能产业园（焦作）</t>
  </si>
  <si>
    <t>河南兰兴电力机械有限公司</t>
  </si>
  <si>
    <t>2021年6月签约</t>
  </si>
  <si>
    <t>英国洛根能源、河南兰兴电力机械有限公司</t>
  </si>
  <si>
    <t>氢能产业园（灵宝）</t>
  </si>
  <si>
    <t>2021年7月签约</t>
  </si>
  <si>
    <t>中国华能集团、国网综合能源服务集团、灵宝市政府</t>
  </si>
  <si>
    <t>氢能电机装备产业园（洛阳）</t>
  </si>
  <si>
    <t>东旭集团、氢沄（河南）新能源科技有限公司</t>
  </si>
  <si>
    <t>2022年4月签约</t>
  </si>
  <si>
    <t>氢能产业园（濮阳）</t>
  </si>
  <si>
    <t>中沁泰康科技能源集团（濮阳）有限公司</t>
  </si>
  <si>
    <t>国鸿氢能科技产业园（濮阳）</t>
  </si>
  <si>
    <t>国鸿氢能</t>
  </si>
  <si>
    <t>新能源及制氢设备产业园项目（洛阳）</t>
  </si>
  <si>
    <t>2022年12月签约</t>
  </si>
  <si>
    <t>东旭集团</t>
  </si>
  <si>
    <t>陕耀东方氢能产业发展孵化园项目（濮阳）</t>
  </si>
  <si>
    <t>上海陕耀、广东国鸿、海特力森</t>
  </si>
  <si>
    <t>郑州经开区氢能装备制造产业园（郑州）</t>
  </si>
  <si>
    <t>雄韬氢雄产业园（武汉）</t>
  </si>
  <si>
    <t>氢能科技产业园（老河口）</t>
  </si>
  <si>
    <t>本源醇氢氢能装备产业园（天门）</t>
  </si>
  <si>
    <t>浙江本源醇氢科技有限公司</t>
  </si>
  <si>
    <t>氢能产业园（黄石）</t>
  </si>
  <si>
    <t>中科院武汉岩土力学研究所，中冶武勘工程技术有限公司</t>
  </si>
  <si>
    <t>氢能产业园区（武汉青山区）</t>
  </si>
  <si>
    <t>武汉氢能科技产业园（经开区）</t>
  </si>
  <si>
    <t>东风汽车，国家电投，理工氢电，康明斯</t>
  </si>
  <si>
    <t>2024年8月，揭牌+建设</t>
  </si>
  <si>
    <t>大冶市临空氢能源产业基地</t>
  </si>
  <si>
    <t>氢能示范生态产业园（株洲高新区）</t>
  </si>
  <si>
    <t>湖南振邦氢能科技有限公司、湖南行智聚能源公司、振邦氢能公司、中车时代电动汽车、株洲正拓标氢气体、新奥燃气公司等</t>
  </si>
  <si>
    <t>光伏氢能一体化产业园（宁乡高新区）</t>
  </si>
  <si>
    <t>湖南牛晶科技有限公司</t>
  </si>
  <si>
    <t>氢能装备产业园（湘潭高新区）</t>
  </si>
  <si>
    <t>北京中电丰业技术开发有限公司</t>
  </si>
  <si>
    <t>淳华氢能科技基地</t>
  </si>
  <si>
    <t>氢能小镇（云浮）</t>
  </si>
  <si>
    <t>国鸿、飞驰、</t>
  </si>
  <si>
    <t>氢气检测</t>
  </si>
  <si>
    <t>国鸿氢能、飞驰汽车、云浮舜为、国鸿巴拉德、国能联盛等</t>
  </si>
  <si>
    <t>仙湖氢谷（佛山）</t>
  </si>
  <si>
    <t>250+</t>
  </si>
  <si>
    <t>仙湖实验室</t>
  </si>
  <si>
    <t>长江汽车、广顺新能源、广东国鸿、广东重塑、爱德曼、泰罗斯、佛山索弗克、广东清极氢能等</t>
  </si>
  <si>
    <t>湾区氢谷（广州）</t>
  </si>
  <si>
    <t>雄川氢能科技（广州）有限责任公司</t>
  </si>
  <si>
    <t>恒运集团、中国石化广州石化、鸿基创能、雄川氢能、广州氢丰能源、广东氢能创新研究院等</t>
  </si>
  <si>
    <t>氢能产业基地（茂名）</t>
  </si>
  <si>
    <t>国信创谷、中氢科技氢能源高新技术研发中心、燃料电池检测联合实验室、东华能源</t>
  </si>
  <si>
    <t>国青氢谷（东莞）</t>
  </si>
  <si>
    <t>2019年开工建设</t>
  </si>
  <si>
    <t>淳华氢能、东莞东沣科技公司、东莞市熔岩创业投资合伙企业、中国智慧农谷控股有限公司</t>
  </si>
  <si>
    <t>氢燃料电池电源系统产业园（广州）</t>
  </si>
  <si>
    <t>氢电中科（广州）新能源设备有限公司</t>
  </si>
  <si>
    <t>2021年4月签约</t>
  </si>
  <si>
    <t>、广州番禺雅居乐房地产开发有限公司</t>
  </si>
  <si>
    <t>国际氢能产业园（广州）</t>
  </si>
  <si>
    <t>现代汽车、鸿基创能、雄韬氢恒、雄川氢能、广州舜华、群翌能源、摩氢科技</t>
  </si>
  <si>
    <t>国际氢能产业园（深圳）</t>
  </si>
  <si>
    <t>中广核资本控股有限公司</t>
  </si>
  <si>
    <t>2022年10月揭牌</t>
  </si>
  <si>
    <t>深圳氢时代新能源科技有限公司、深圳国氢新能源科技有限公司、广东众智检验检测有限公司、深圳氢蓝科技有限公司、中氢新能（深圳）新技术有限公司、国氢新源（深圳）新能源科技有限公司、深圳市氢璞创能科技有限公司、华永国氢（深圳）新能源科技有限公司、深圳市氢港燃料电池科技有限公司、中能国氢（深圳）科技开发有限公司、深圳国信德塔科技信息股份有限公司、深圳市氢艇新能源科技有限公司、众智（深圳）检验检测有限公司</t>
  </si>
  <si>
    <t>雄韬氢燃料电池产业园（深圳）</t>
  </si>
  <si>
    <t>深圳市雄韬电源科技股份有限公司</t>
  </si>
  <si>
    <t>东华能源-中核集团零碳产业园（广东）</t>
  </si>
  <si>
    <t>中国核工业集团有限公司</t>
  </si>
  <si>
    <t>2022年9月签约</t>
  </si>
  <si>
    <t>东华能源，中核集团</t>
  </si>
  <si>
    <t>氢能产业园（广州）</t>
  </si>
  <si>
    <t>2023年10月，规划方案正在征求意见</t>
  </si>
  <si>
    <t>美锦能源氢能科技园（佛山）</t>
  </si>
  <si>
    <t>广州国际氢能产业园制氢项目</t>
  </si>
  <si>
    <t>宝武清能（阳江）绿氢产业园</t>
  </si>
  <si>
    <t>中国西部（重庆）氢谷（九龙坡区）</t>
  </si>
  <si>
    <t>四川省燃料电池重点实验室</t>
  </si>
  <si>
    <t>广东国鸿氢能科技有限公司、鸿基创能科技(广州)有限公司、势加透博（北京）科技有限公司、理工清科（北京）科技有限公司、苏州瑞驱电动科技有限公司、群翌能源股份有限公司</t>
  </si>
  <si>
    <t>氢能中心（两江新区）</t>
  </si>
  <si>
    <t>明天氢能</t>
  </si>
  <si>
    <t>重庆两江新区氢能中心</t>
  </si>
  <si>
    <t>国鸿氢能科技产业园（九龙坡区）</t>
  </si>
  <si>
    <t>预计近期启动，2027年12月完工</t>
  </si>
  <si>
    <t>东方电气中欧合作氢能产业园（成都）</t>
  </si>
  <si>
    <t>国家市场监管技术创新中心（氢储运加注装备）</t>
  </si>
  <si>
    <t>2023年12月投产</t>
  </si>
  <si>
    <t>东方氢能燃料电池公司、江苏国富氢能技术装备有限公司、势加透博洁净动力有限公司、中国测试技术研究院、四川省特种设备检验研究院、烟台东德实业有限公司</t>
  </si>
  <si>
    <t>氢能综合智慧园区（德阳）</t>
  </si>
  <si>
    <t>中国东方电气集团有限公司、东方锅炉、东方锅炉、东方物产、大件物流、东方氢能、德阳发展控股集团</t>
  </si>
  <si>
    <t>厚普氢能装备产业园（成都）</t>
  </si>
  <si>
    <t>厚普清洁能源（集团）股份有限公司</t>
  </si>
  <si>
    <t>西部氢能产业园（成都）</t>
  </si>
  <si>
    <t>氢能主题产业园（成都）</t>
  </si>
  <si>
    <t>蜀道氢能装备制造产业园项目（自流井）</t>
  </si>
  <si>
    <t>蜀道装备</t>
  </si>
  <si>
    <t>东方锅炉氢能装备产业园（自流井）</t>
  </si>
  <si>
    <t>东方电气</t>
  </si>
  <si>
    <t>氢能装备产业园项目（天府新区）</t>
  </si>
  <si>
    <t>四川金星清洁能源装备集团股份有限公司</t>
  </si>
  <si>
    <t>预计2024年10月开建，2027年10月前建成投运</t>
  </si>
  <si>
    <t>攀枝花氢能产业园</t>
  </si>
  <si>
    <t>东方氢能产业园</t>
  </si>
  <si>
    <t>87亩</t>
  </si>
  <si>
    <t>氢能科创都市产业园</t>
  </si>
  <si>
    <t>宜宾翠屏经开区（筹）绿氢产业园</t>
  </si>
  <si>
    <t>氢能产业园（丽江）</t>
  </si>
  <si>
    <t>全国氢能应用科研机构及东方电气、云内动力、武汉众宇、重塑科技等</t>
  </si>
  <si>
    <t>新氢动力产业园（昆明）</t>
  </si>
  <si>
    <t>天津新氢动力科技有限公司及其供应链合作方共7家企业</t>
  </si>
  <si>
    <t>南华县绿氢园区</t>
  </si>
  <si>
    <t>东方电气氢能产业园（经开区）</t>
  </si>
  <si>
    <t>山南市氢能应用示范产业园（山南）</t>
  </si>
  <si>
    <t>2025年1月启动</t>
  </si>
  <si>
    <t>氢能产业园（兰州新区）</t>
  </si>
  <si>
    <t>中国能源建设集团有限公司</t>
  </si>
  <si>
    <t>武汉众宇动力系统科技有限公司</t>
  </si>
  <si>
    <t>中能绿电制氢加氢示范项目</t>
  </si>
  <si>
    <t>张掖经开区氢能零碳产业园（张掖）</t>
  </si>
  <si>
    <t>中国西部氢谷（榆林）氢能产业园（榆林）</t>
  </si>
  <si>
    <t>陕氢（西安）氢能装备制造产业基地（西咸新区）</t>
  </si>
  <si>
    <t>氢能应用示范基地（郴州）</t>
  </si>
  <si>
    <t>榆林零碳产业园氢能（制氢）示范项目</t>
  </si>
  <si>
    <t>伊吾县氢能产业园（哈密）（一期）</t>
  </si>
  <si>
    <t>新疆鲲华新能源科技有限公司</t>
  </si>
  <si>
    <t>千万千瓦级储氢氨一体化零碳产业园（通辽）</t>
  </si>
  <si>
    <t>中国天楹股份有限公司</t>
  </si>
  <si>
    <t>国鸿</t>
  </si>
  <si>
    <t>美锦国鸿氢能科技产业园（鄂尔多斯）</t>
  </si>
  <si>
    <t>内蒙古捷氢氢能产业园（伊金霍洛旗）</t>
  </si>
  <si>
    <t>捷氢科技</t>
  </si>
  <si>
    <t>氢能装备制造产业园（包头）</t>
  </si>
  <si>
    <t>氢能产业园（呼和浩特经开区）</t>
  </si>
  <si>
    <t>山东华硕能源科技有限公司</t>
  </si>
  <si>
    <t>远景赤峰零碳氢能产业园</t>
  </si>
  <si>
    <t>鄂尔多斯空港物流园区绿氢生态创新区</t>
  </si>
  <si>
    <t>省A</t>
    <phoneticPr fontId="2" type="noConversion"/>
  </si>
  <si>
    <t>市A</t>
    <phoneticPr fontId="2" type="noConversion"/>
  </si>
  <si>
    <t>区/县A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</si>
</sst>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family val="3"/>
      <charset val="134"/>
      <scheme val="minor"/>
    </font>
    <font>
      <b/>
      <sz val="9"/>
      <color theme="0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9"/>
      <color rgb="FFFF0000"/>
      <name val="微软雅黑"/>
      <family val="2"/>
      <charset val="134"/>
    </font>
    <font>
      <b/>
      <sz val="9"/>
      <name val="微软雅黑"/>
      <family val="2"/>
      <charset val="134"/>
    </font>
    <font>
      <u/>
      <sz val="11"/>
      <color rgb="FF0000FF"/>
      <name val="宋体"/>
      <family val="3"/>
      <charset val="134"/>
      <scheme val="minor"/>
    </font>
    <font>
      <u/>
      <sz val="1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9"/>
      <color rgb="FF00B050"/>
      <name val="微软雅黑"/>
      <family val="2"/>
      <charset val="134"/>
    </font>
    <font>
      <sz val="11"/>
      <color rgb="FF00B050"/>
      <name val="宋体"/>
      <family val="3"/>
      <charset val="134"/>
      <scheme val="minor"/>
    </font>
    <font>
      <sz val="11"/>
      <color rgb="FF00B0F0"/>
      <name val="宋体"/>
      <family val="3"/>
      <charset val="134"/>
      <scheme val="minor"/>
    </font>
    <font>
      <sz val="11"/>
      <color rgb="FFC0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4098"/>
        <bgColor indexed="64"/>
      </patternFill>
    </fill>
    <fill>
      <patternFill patternType="solid">
        <fgColor rgb="FFFFCC66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6" fillId="3" borderId="6" xfId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7" fillId="0" borderId="0" xfId="0" applyFont="1">
      <alignment vertical="center"/>
    </xf>
    <xf numFmtId="0" fontId="4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9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982CF-4461-4ED0-B6CD-37B96C5BCFBF}">
  <dimension ref="A1:R211"/>
  <sheetViews>
    <sheetView tabSelected="1" zoomScale="55" zoomScaleNormal="55" workbookViewId="0">
      <pane ySplit="2" topLeftCell="A186" activePane="bottomLeft" state="frozen"/>
      <selection pane="bottomLeft" activeCell="I206" sqref="I206"/>
    </sheetView>
  </sheetViews>
  <sheetFormatPr defaultColWidth="15.59765625" defaultRowHeight="24.95" customHeight="1" x14ac:dyDescent="0.3"/>
  <cols>
    <col min="1" max="1" width="8.59765625" style="12" customWidth="1"/>
    <col min="2" max="4" width="13.1328125" style="12" customWidth="1"/>
    <col min="5" max="5" width="35.59765625" style="12" customWidth="1"/>
    <col min="6" max="9" width="10.59765625" style="12" customWidth="1"/>
    <col min="10" max="11" width="10.59765625" style="13" customWidth="1"/>
    <col min="12" max="16" width="30.59765625" style="14" customWidth="1"/>
    <col min="17" max="17" width="30.59765625" style="15" customWidth="1"/>
    <col min="18" max="18" width="100.59765625" style="16" customWidth="1"/>
  </cols>
  <sheetData>
    <row r="1" spans="1:18" ht="24.95" customHeight="1" x14ac:dyDescent="0.3">
      <c r="A1" s="17" t="s">
        <v>0</v>
      </c>
      <c r="B1" s="19" t="s">
        <v>1</v>
      </c>
      <c r="C1" s="21"/>
      <c r="D1" s="20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9" t="s">
        <v>7</v>
      </c>
      <c r="K1" s="20"/>
      <c r="L1" s="19" t="s">
        <v>8</v>
      </c>
      <c r="M1" s="21"/>
      <c r="N1" s="21"/>
      <c r="O1" s="21"/>
      <c r="P1" s="20"/>
      <c r="Q1" s="2"/>
      <c r="R1" s="1" t="s">
        <v>9</v>
      </c>
    </row>
    <row r="2" spans="1:18" ht="24.95" customHeight="1" x14ac:dyDescent="0.3">
      <c r="A2" s="18"/>
      <c r="B2" s="1" t="s">
        <v>10</v>
      </c>
      <c r="C2" s="1" t="s">
        <v>11</v>
      </c>
      <c r="D2" s="1" t="s">
        <v>12</v>
      </c>
      <c r="E2" s="18"/>
      <c r="F2" s="18"/>
      <c r="G2" s="18"/>
      <c r="H2" s="18"/>
      <c r="I2" s="18"/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2"/>
      <c r="R2" s="2"/>
    </row>
    <row r="3" spans="1:18" s="6" customFormat="1" ht="24.95" customHeight="1" x14ac:dyDescent="0.3">
      <c r="A3" s="3"/>
      <c r="B3" s="3"/>
      <c r="C3" s="3"/>
      <c r="D3" s="3"/>
      <c r="E3" s="4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5"/>
    </row>
    <row r="4" spans="1:18" s="6" customFormat="1" ht="24.95" customHeight="1" x14ac:dyDescent="0.3">
      <c r="A4" s="7">
        <v>1</v>
      </c>
      <c r="B4" s="7" t="s">
        <v>322</v>
      </c>
      <c r="C4" s="7" t="s">
        <v>323</v>
      </c>
      <c r="D4" s="7"/>
      <c r="E4" s="7" t="s">
        <v>20</v>
      </c>
      <c r="F4" s="7">
        <f ca="1">RANDBETWEEN(2010,2025)</f>
        <v>2017</v>
      </c>
      <c r="G4" s="8" t="s">
        <v>21</v>
      </c>
      <c r="H4" s="7"/>
      <c r="I4" s="7"/>
      <c r="J4" s="7"/>
      <c r="K4" s="7"/>
      <c r="L4" s="7"/>
      <c r="M4" s="7"/>
      <c r="N4" s="7"/>
      <c r="O4" s="7" t="s">
        <v>22</v>
      </c>
      <c r="P4" s="7"/>
      <c r="Q4" s="7"/>
      <c r="R4" s="9"/>
    </row>
    <row r="5" spans="1:18" s="6" customFormat="1" ht="24.95" customHeight="1" x14ac:dyDescent="0.3">
      <c r="A5" s="7">
        <v>2</v>
      </c>
      <c r="B5" s="7" t="s">
        <v>322</v>
      </c>
      <c r="C5" s="7" t="s">
        <v>323</v>
      </c>
      <c r="D5" s="7"/>
      <c r="E5" s="7" t="s">
        <v>23</v>
      </c>
      <c r="F5" s="7">
        <f t="shared" ref="F5:F6" ca="1" si="0">RANDBETWEEN(2010,2025)</f>
        <v>2022</v>
      </c>
      <c r="G5" s="7" t="s">
        <v>24</v>
      </c>
      <c r="H5" s="7"/>
      <c r="I5" s="7">
        <f ca="1">RANDBETWEEN(1,10000)</f>
        <v>9725</v>
      </c>
      <c r="J5" s="7"/>
      <c r="K5" s="7"/>
      <c r="L5" s="7"/>
      <c r="M5" s="7"/>
      <c r="N5" s="7"/>
      <c r="O5" s="7" t="s">
        <v>25</v>
      </c>
      <c r="P5" s="7"/>
      <c r="Q5" s="7"/>
      <c r="R5" s="9"/>
    </row>
    <row r="6" spans="1:18" s="6" customFormat="1" ht="24.95" customHeight="1" x14ac:dyDescent="0.3">
      <c r="A6" s="7">
        <v>3</v>
      </c>
      <c r="B6" s="7" t="s">
        <v>322</v>
      </c>
      <c r="C6" s="7" t="s">
        <v>323</v>
      </c>
      <c r="D6" s="7"/>
      <c r="E6" s="7" t="s">
        <v>26</v>
      </c>
      <c r="F6" s="7">
        <f t="shared" ca="1" si="0"/>
        <v>2011</v>
      </c>
      <c r="G6" s="7" t="s">
        <v>24</v>
      </c>
      <c r="H6" s="7"/>
      <c r="I6" s="7"/>
      <c r="J6" s="7"/>
      <c r="K6" s="7"/>
      <c r="L6" s="7" t="s">
        <v>27</v>
      </c>
      <c r="M6" s="7"/>
      <c r="N6" s="7"/>
      <c r="O6" s="7"/>
      <c r="P6" s="7"/>
      <c r="Q6" s="7"/>
      <c r="R6" s="9"/>
    </row>
    <row r="7" spans="1:18" s="6" customFormat="1" ht="24.95" customHeight="1" x14ac:dyDescent="0.3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9"/>
    </row>
    <row r="8" spans="1:18" s="6" customFormat="1" ht="24.95" customHeigh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5"/>
    </row>
    <row r="9" spans="1:18" s="6" customFormat="1" ht="24.95" customHeight="1" x14ac:dyDescent="0.3">
      <c r="A9" s="7">
        <v>1</v>
      </c>
      <c r="B9" s="7" t="s">
        <v>322</v>
      </c>
      <c r="C9" s="7" t="s">
        <v>323</v>
      </c>
      <c r="D9" s="7"/>
      <c r="E9" s="7" t="s">
        <v>28</v>
      </c>
      <c r="F9" s="7">
        <f t="shared" ref="F9:F11" ca="1" si="1">RANDBETWEEN(2010,2025)</f>
        <v>2025</v>
      </c>
      <c r="G9" s="7" t="s">
        <v>24</v>
      </c>
      <c r="H9" s="7">
        <f ca="1">RANDBETWEEN(1,100)</f>
        <v>92</v>
      </c>
      <c r="I9" s="7">
        <f t="shared" ref="I9:I11" ca="1" si="2">RANDBETWEEN(1,10000)</f>
        <v>4116</v>
      </c>
      <c r="J9" s="7">
        <f ca="1">RANDBETWEEN(1,100)</f>
        <v>18</v>
      </c>
      <c r="K9" s="7"/>
      <c r="L9" s="7" t="s">
        <v>29</v>
      </c>
      <c r="M9" s="7"/>
      <c r="N9" s="7"/>
      <c r="O9" s="7" t="s">
        <v>30</v>
      </c>
      <c r="P9" s="7"/>
      <c r="Q9" s="7"/>
      <c r="R9" s="9"/>
    </row>
    <row r="10" spans="1:18" s="6" customFormat="1" ht="24.95" customHeight="1" x14ac:dyDescent="0.3">
      <c r="A10" s="7">
        <v>2</v>
      </c>
      <c r="B10" s="7" t="s">
        <v>322</v>
      </c>
      <c r="C10" s="7" t="s">
        <v>323</v>
      </c>
      <c r="D10" s="7"/>
      <c r="E10" s="7" t="s">
        <v>31</v>
      </c>
      <c r="F10" s="7">
        <f t="shared" ca="1" si="1"/>
        <v>2024</v>
      </c>
      <c r="G10" s="7" t="s">
        <v>32</v>
      </c>
      <c r="H10" s="7"/>
      <c r="I10" s="7">
        <f t="shared" ca="1" si="2"/>
        <v>5590</v>
      </c>
      <c r="J10" s="7"/>
      <c r="K10" s="7"/>
      <c r="L10" s="7"/>
      <c r="M10" s="7"/>
      <c r="N10" s="7"/>
      <c r="O10" s="7"/>
      <c r="P10" s="7" t="s">
        <v>33</v>
      </c>
      <c r="Q10" s="7"/>
      <c r="R10" s="9"/>
    </row>
    <row r="11" spans="1:18" s="6" customFormat="1" ht="24.95" customHeight="1" x14ac:dyDescent="0.3">
      <c r="A11" s="7">
        <v>3</v>
      </c>
      <c r="B11" s="7" t="s">
        <v>322</v>
      </c>
      <c r="C11" s="7" t="s">
        <v>323</v>
      </c>
      <c r="D11" s="7"/>
      <c r="E11" s="7" t="s">
        <v>34</v>
      </c>
      <c r="F11" s="7">
        <f t="shared" ca="1" si="1"/>
        <v>2010</v>
      </c>
      <c r="G11" s="7" t="s">
        <v>32</v>
      </c>
      <c r="H11" s="7"/>
      <c r="I11" s="7">
        <f t="shared" ca="1" si="2"/>
        <v>7460</v>
      </c>
      <c r="J11" s="7"/>
      <c r="K11" s="7"/>
      <c r="L11" s="7" t="s">
        <v>35</v>
      </c>
      <c r="M11" s="7"/>
      <c r="N11" s="7"/>
      <c r="O11" s="7"/>
      <c r="P11" s="7" t="s">
        <v>36</v>
      </c>
      <c r="Q11" s="7"/>
      <c r="R11" s="9"/>
    </row>
    <row r="12" spans="1:18" s="6" customFormat="1" ht="24.95" customHeight="1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9"/>
    </row>
    <row r="13" spans="1:18" s="6" customFormat="1" ht="24.9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5"/>
    </row>
    <row r="14" spans="1:18" s="6" customFormat="1" ht="24.95" customHeight="1" x14ac:dyDescent="0.3">
      <c r="A14" s="7">
        <v>1</v>
      </c>
      <c r="B14" s="7" t="s">
        <v>322</v>
      </c>
      <c r="C14" s="7" t="s">
        <v>323</v>
      </c>
      <c r="D14" s="7" t="s">
        <v>324</v>
      </c>
      <c r="E14" s="7" t="s">
        <v>37</v>
      </c>
      <c r="F14" s="7">
        <f t="shared" ref="F14:F23" ca="1" si="3">RANDBETWEEN(2010,2025)</f>
        <v>2016</v>
      </c>
      <c r="G14" s="7" t="s">
        <v>24</v>
      </c>
      <c r="H14" s="7">
        <f t="shared" ref="H14:H16" ca="1" si="4">RANDBETWEEN(1,100)</f>
        <v>51</v>
      </c>
      <c r="I14" s="7">
        <f t="shared" ref="I14:I16" ca="1" si="5">RANDBETWEEN(1,10000)</f>
        <v>8011</v>
      </c>
      <c r="J14" s="7"/>
      <c r="K14" s="7"/>
      <c r="L14" s="7" t="s">
        <v>38</v>
      </c>
      <c r="M14" s="7" t="s">
        <v>39</v>
      </c>
      <c r="N14" s="7" t="s">
        <v>39</v>
      </c>
      <c r="O14" s="7"/>
      <c r="P14" s="7"/>
      <c r="Q14" s="7"/>
      <c r="R14" s="9"/>
    </row>
    <row r="15" spans="1:18" s="6" customFormat="1" ht="24.95" customHeight="1" x14ac:dyDescent="0.3">
      <c r="A15" s="7">
        <v>2</v>
      </c>
      <c r="B15" s="7" t="s">
        <v>322</v>
      </c>
      <c r="C15" s="7" t="s">
        <v>323</v>
      </c>
      <c r="D15" s="7" t="s">
        <v>324</v>
      </c>
      <c r="E15" s="7" t="s">
        <v>40</v>
      </c>
      <c r="F15" s="7">
        <f t="shared" ca="1" si="3"/>
        <v>2022</v>
      </c>
      <c r="G15" s="7" t="s">
        <v>24</v>
      </c>
      <c r="H15" s="7">
        <f t="shared" ca="1" si="4"/>
        <v>100</v>
      </c>
      <c r="I15" s="7">
        <f t="shared" ca="1" si="5"/>
        <v>2464</v>
      </c>
      <c r="J15" s="7"/>
      <c r="K15" s="7"/>
      <c r="L15" s="7"/>
      <c r="M15" s="7" t="s">
        <v>41</v>
      </c>
      <c r="N15" s="7" t="s">
        <v>41</v>
      </c>
      <c r="O15" s="7" t="s">
        <v>42</v>
      </c>
      <c r="P15" s="7"/>
      <c r="Q15" s="7"/>
      <c r="R15" s="9"/>
    </row>
    <row r="16" spans="1:18" s="6" customFormat="1" ht="24.95" customHeight="1" x14ac:dyDescent="0.3">
      <c r="A16" s="7">
        <v>3</v>
      </c>
      <c r="B16" s="7" t="s">
        <v>322</v>
      </c>
      <c r="C16" s="7" t="s">
        <v>323</v>
      </c>
      <c r="D16" s="7" t="s">
        <v>324</v>
      </c>
      <c r="E16" s="7" t="s">
        <v>43</v>
      </c>
      <c r="F16" s="7">
        <f t="shared" ca="1" si="3"/>
        <v>2015</v>
      </c>
      <c r="G16" s="7" t="s">
        <v>44</v>
      </c>
      <c r="H16" s="7">
        <f t="shared" ca="1" si="4"/>
        <v>74</v>
      </c>
      <c r="I16" s="7">
        <f t="shared" ca="1" si="5"/>
        <v>1258</v>
      </c>
      <c r="J16" s="7"/>
      <c r="K16" s="7"/>
      <c r="L16" s="7"/>
      <c r="M16" s="7"/>
      <c r="N16" s="7"/>
      <c r="O16" s="7"/>
      <c r="P16" s="7"/>
      <c r="Q16" s="7"/>
      <c r="R16" s="9"/>
    </row>
    <row r="17" spans="1:18" s="6" customFormat="1" ht="24.95" customHeight="1" x14ac:dyDescent="0.3">
      <c r="A17" s="7">
        <v>4</v>
      </c>
      <c r="B17" s="7" t="s">
        <v>322</v>
      </c>
      <c r="C17" s="7" t="s">
        <v>323</v>
      </c>
      <c r="D17" s="7" t="s">
        <v>324</v>
      </c>
      <c r="E17" s="7" t="s">
        <v>45</v>
      </c>
      <c r="F17" s="7">
        <f t="shared" ca="1" si="3"/>
        <v>2016</v>
      </c>
      <c r="G17" s="7" t="s">
        <v>32</v>
      </c>
      <c r="H17" s="7"/>
      <c r="I17" s="7"/>
      <c r="J17" s="7"/>
      <c r="K17" s="7"/>
      <c r="L17" s="7"/>
      <c r="M17" s="7"/>
      <c r="N17" s="7"/>
      <c r="O17" s="7" t="s">
        <v>46</v>
      </c>
      <c r="P17" s="7"/>
      <c r="Q17" s="7"/>
      <c r="R17" s="9"/>
    </row>
    <row r="18" spans="1:18" s="6" customFormat="1" ht="24.95" customHeight="1" x14ac:dyDescent="0.3">
      <c r="A18" s="7">
        <v>5</v>
      </c>
      <c r="B18" s="7" t="s">
        <v>322</v>
      </c>
      <c r="C18" s="7" t="s">
        <v>323</v>
      </c>
      <c r="D18" s="7"/>
      <c r="E18" s="7" t="s">
        <v>47</v>
      </c>
      <c r="F18" s="7">
        <f t="shared" ca="1" si="3"/>
        <v>2012</v>
      </c>
      <c r="G18" s="7" t="s">
        <v>32</v>
      </c>
      <c r="H18" s="7">
        <f ca="1">RANDBETWEEN(1,100)</f>
        <v>1</v>
      </c>
      <c r="I18" s="7"/>
      <c r="J18" s="7"/>
      <c r="K18" s="7"/>
      <c r="L18" s="7"/>
      <c r="M18" s="7"/>
      <c r="N18" s="7"/>
      <c r="O18" s="7"/>
      <c r="P18" s="7"/>
      <c r="Q18" s="7"/>
      <c r="R18" s="9"/>
    </row>
    <row r="19" spans="1:18" s="6" customFormat="1" ht="24.95" customHeight="1" x14ac:dyDescent="0.3">
      <c r="A19" s="7">
        <v>6</v>
      </c>
      <c r="B19" s="7" t="s">
        <v>322</v>
      </c>
      <c r="C19" s="7" t="s">
        <v>323</v>
      </c>
      <c r="D19" s="7" t="s">
        <v>324</v>
      </c>
      <c r="E19" s="7" t="s">
        <v>48</v>
      </c>
      <c r="F19" s="7">
        <f t="shared" ca="1" si="3"/>
        <v>2017</v>
      </c>
      <c r="G19" s="7" t="s">
        <v>24</v>
      </c>
      <c r="H19" s="7"/>
      <c r="I19" s="7">
        <f ca="1">RANDBETWEEN(1,10000)</f>
        <v>4391</v>
      </c>
      <c r="J19" s="7"/>
      <c r="K19" s="7"/>
      <c r="L19" s="7"/>
      <c r="M19" s="7" t="s">
        <v>49</v>
      </c>
      <c r="N19" s="7" t="s">
        <v>49</v>
      </c>
      <c r="O19" s="7" t="s">
        <v>49</v>
      </c>
      <c r="P19" s="7"/>
      <c r="Q19" s="7"/>
      <c r="R19" s="9"/>
    </row>
    <row r="20" spans="1:18" s="6" customFormat="1" ht="24.95" customHeight="1" x14ac:dyDescent="0.3">
      <c r="A20" s="7">
        <v>7</v>
      </c>
      <c r="B20" s="7" t="s">
        <v>322</v>
      </c>
      <c r="C20" s="7" t="s">
        <v>323</v>
      </c>
      <c r="D20" s="7" t="s">
        <v>324</v>
      </c>
      <c r="E20" s="7" t="s">
        <v>50</v>
      </c>
      <c r="F20" s="7">
        <f t="shared" ca="1" si="3"/>
        <v>2011</v>
      </c>
      <c r="G20" s="7" t="s">
        <v>32</v>
      </c>
      <c r="H20" s="7">
        <f ca="1">RANDBETWEEN(1,100)</f>
        <v>16</v>
      </c>
      <c r="I20" s="7"/>
      <c r="J20" s="7"/>
      <c r="K20" s="7"/>
      <c r="L20" s="7"/>
      <c r="M20" s="7"/>
      <c r="N20" s="7"/>
      <c r="O20" s="7" t="s">
        <v>51</v>
      </c>
      <c r="P20" s="7"/>
      <c r="Q20" s="7"/>
      <c r="R20" s="9"/>
    </row>
    <row r="21" spans="1:18" s="11" customFormat="1" ht="24.95" customHeight="1" x14ac:dyDescent="0.3">
      <c r="A21" s="8">
        <v>8</v>
      </c>
      <c r="B21" s="7" t="s">
        <v>322</v>
      </c>
      <c r="C21" s="7" t="s">
        <v>323</v>
      </c>
      <c r="D21" s="7" t="s">
        <v>324</v>
      </c>
      <c r="E21" s="8" t="s">
        <v>52</v>
      </c>
      <c r="F21" s="7">
        <f t="shared" ca="1" si="3"/>
        <v>2015</v>
      </c>
      <c r="G21" s="8" t="s">
        <v>32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10"/>
    </row>
    <row r="22" spans="1:18" s="11" customFormat="1" ht="24.95" customHeight="1" x14ac:dyDescent="0.3">
      <c r="A22" s="8">
        <v>9</v>
      </c>
      <c r="B22" s="7" t="s">
        <v>322</v>
      </c>
      <c r="C22" s="7" t="s">
        <v>323</v>
      </c>
      <c r="D22" s="8"/>
      <c r="E22" s="8" t="s">
        <v>53</v>
      </c>
      <c r="F22" s="7">
        <f t="shared" ca="1" si="3"/>
        <v>2020</v>
      </c>
      <c r="G22" s="8" t="s">
        <v>32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10"/>
    </row>
    <row r="23" spans="1:18" s="11" customFormat="1" ht="24.95" customHeight="1" x14ac:dyDescent="0.3">
      <c r="A23" s="8">
        <v>10</v>
      </c>
      <c r="B23" s="7" t="s">
        <v>322</v>
      </c>
      <c r="C23" s="7" t="s">
        <v>323</v>
      </c>
      <c r="D23" s="8"/>
      <c r="E23" s="8" t="s">
        <v>54</v>
      </c>
      <c r="F23" s="7">
        <f t="shared" ca="1" si="3"/>
        <v>2019</v>
      </c>
      <c r="G23" s="8" t="s">
        <v>32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10"/>
    </row>
    <row r="24" spans="1:18" s="6" customFormat="1" ht="24.95" customHeight="1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9"/>
    </row>
    <row r="25" spans="1:18" s="6" customFormat="1" ht="24.9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5"/>
    </row>
    <row r="26" spans="1:18" s="6" customFormat="1" ht="24.95" customHeight="1" x14ac:dyDescent="0.3">
      <c r="A26" s="7">
        <v>1</v>
      </c>
      <c r="B26" s="7" t="s">
        <v>322</v>
      </c>
      <c r="C26" s="7" t="s">
        <v>323</v>
      </c>
      <c r="D26" s="7"/>
      <c r="E26" s="7" t="s">
        <v>55</v>
      </c>
      <c r="F26" s="7">
        <f t="shared" ref="F26:F31" ca="1" si="6">RANDBETWEEN(2010,2025)</f>
        <v>2023</v>
      </c>
      <c r="G26" s="7" t="s">
        <v>56</v>
      </c>
      <c r="H26" s="7">
        <f t="shared" ref="H26:H27" ca="1" si="7">RANDBETWEEN(1,100)</f>
        <v>36</v>
      </c>
      <c r="I26" s="7">
        <f t="shared" ref="I26:I28" ca="1" si="8">RANDBETWEEN(1,10000)</f>
        <v>2870</v>
      </c>
      <c r="J26" s="7">
        <f ca="1">RANDBETWEEN(1,100)</f>
        <v>10</v>
      </c>
      <c r="K26" s="7"/>
      <c r="L26" s="7"/>
      <c r="M26" s="7"/>
      <c r="N26" s="7"/>
      <c r="O26" s="7" t="s">
        <v>57</v>
      </c>
      <c r="P26" s="7"/>
      <c r="Q26" s="7"/>
      <c r="R26" s="9"/>
    </row>
    <row r="27" spans="1:18" s="6" customFormat="1" ht="24.95" customHeight="1" x14ac:dyDescent="0.3">
      <c r="A27" s="7">
        <v>2</v>
      </c>
      <c r="B27" s="7" t="s">
        <v>322</v>
      </c>
      <c r="C27" s="7" t="s">
        <v>323</v>
      </c>
      <c r="D27" s="7"/>
      <c r="E27" s="7" t="s">
        <v>58</v>
      </c>
      <c r="F27" s="7">
        <f t="shared" ca="1" si="6"/>
        <v>2017</v>
      </c>
      <c r="G27" s="7" t="s">
        <v>56</v>
      </c>
      <c r="H27" s="7">
        <f t="shared" ca="1" si="7"/>
        <v>77</v>
      </c>
      <c r="I27" s="7">
        <f t="shared" ca="1" si="8"/>
        <v>3223</v>
      </c>
      <c r="J27" s="7"/>
      <c r="K27" s="7"/>
      <c r="L27" s="7"/>
      <c r="M27" s="7"/>
      <c r="N27" s="7"/>
      <c r="O27" s="7" t="s">
        <v>59</v>
      </c>
      <c r="P27" s="7"/>
      <c r="Q27" s="7"/>
      <c r="R27" s="9"/>
    </row>
    <row r="28" spans="1:18" s="6" customFormat="1" ht="24.95" customHeight="1" x14ac:dyDescent="0.3">
      <c r="A28" s="7">
        <v>3</v>
      </c>
      <c r="B28" s="7" t="s">
        <v>322</v>
      </c>
      <c r="C28" s="7" t="s">
        <v>323</v>
      </c>
      <c r="D28" s="7" t="s">
        <v>324</v>
      </c>
      <c r="E28" s="7" t="s">
        <v>60</v>
      </c>
      <c r="F28" s="7">
        <f t="shared" ca="1" si="6"/>
        <v>2017</v>
      </c>
      <c r="G28" s="7" t="s">
        <v>24</v>
      </c>
      <c r="H28" s="7"/>
      <c r="I28" s="7">
        <f t="shared" ca="1" si="8"/>
        <v>9706</v>
      </c>
      <c r="J28" s="7"/>
      <c r="K28" s="7"/>
      <c r="L28" s="7" t="s">
        <v>61</v>
      </c>
      <c r="M28" s="7"/>
      <c r="N28" s="7"/>
      <c r="O28" s="7" t="s">
        <v>61</v>
      </c>
      <c r="P28" s="7"/>
      <c r="Q28" s="7"/>
      <c r="R28" s="9"/>
    </row>
    <row r="29" spans="1:18" s="6" customFormat="1" ht="24.95" customHeight="1" x14ac:dyDescent="0.3">
      <c r="A29" s="7">
        <v>4</v>
      </c>
      <c r="B29" s="7" t="s">
        <v>322</v>
      </c>
      <c r="C29" s="7" t="s">
        <v>323</v>
      </c>
      <c r="D29" s="7" t="s">
        <v>324</v>
      </c>
      <c r="E29" s="7" t="s">
        <v>62</v>
      </c>
      <c r="F29" s="7">
        <f t="shared" ca="1" si="6"/>
        <v>2016</v>
      </c>
      <c r="G29" s="7" t="s">
        <v>32</v>
      </c>
      <c r="H29" s="7"/>
      <c r="I29" s="7"/>
      <c r="J29" s="7"/>
      <c r="K29" s="7"/>
      <c r="L29" s="7" t="s">
        <v>61</v>
      </c>
      <c r="M29" s="7"/>
      <c r="N29" s="7"/>
      <c r="O29" s="7" t="s">
        <v>61</v>
      </c>
      <c r="P29" s="7"/>
      <c r="Q29" s="7"/>
      <c r="R29" s="9"/>
    </row>
    <row r="30" spans="1:18" s="6" customFormat="1" ht="24.95" customHeight="1" x14ac:dyDescent="0.3">
      <c r="A30" s="7">
        <v>5</v>
      </c>
      <c r="B30" s="7" t="s">
        <v>322</v>
      </c>
      <c r="C30" s="7" t="s">
        <v>323</v>
      </c>
      <c r="D30" s="7" t="s">
        <v>324</v>
      </c>
      <c r="E30" s="7" t="s">
        <v>63</v>
      </c>
      <c r="F30" s="7">
        <f t="shared" ca="1" si="6"/>
        <v>2016</v>
      </c>
      <c r="G30" s="7" t="s">
        <v>24</v>
      </c>
      <c r="H30" s="7">
        <f ca="1">RANDBETWEEN(1,100)</f>
        <v>18</v>
      </c>
      <c r="I30" s="7">
        <f t="shared" ref="I30:I31" ca="1" si="9">RANDBETWEEN(1,10000)</f>
        <v>8378</v>
      </c>
      <c r="J30" s="7">
        <f ca="1">RANDBETWEEN(1,100)</f>
        <v>90</v>
      </c>
      <c r="K30" s="7"/>
      <c r="L30" s="7" t="s">
        <v>64</v>
      </c>
      <c r="M30" s="7"/>
      <c r="N30" s="7"/>
      <c r="O30" s="7"/>
      <c r="P30" s="7"/>
      <c r="Q30" s="7"/>
      <c r="R30" s="9"/>
    </row>
    <row r="31" spans="1:18" s="6" customFormat="1" ht="24.95" customHeight="1" x14ac:dyDescent="0.3">
      <c r="A31" s="7">
        <v>6</v>
      </c>
      <c r="B31" s="7" t="s">
        <v>322</v>
      </c>
      <c r="C31" s="7" t="s">
        <v>323</v>
      </c>
      <c r="D31" s="7" t="s">
        <v>324</v>
      </c>
      <c r="E31" s="7" t="s">
        <v>65</v>
      </c>
      <c r="F31" s="7">
        <f t="shared" ca="1" si="6"/>
        <v>2025</v>
      </c>
      <c r="G31" s="7" t="s">
        <v>32</v>
      </c>
      <c r="H31" s="7"/>
      <c r="I31" s="7">
        <f t="shared" ca="1" si="9"/>
        <v>539</v>
      </c>
      <c r="J31" s="7"/>
      <c r="K31" s="7"/>
      <c r="L31" s="7" t="s">
        <v>66</v>
      </c>
      <c r="M31" s="7"/>
      <c r="N31" s="7"/>
      <c r="O31" s="7"/>
      <c r="P31" s="7"/>
      <c r="Q31" s="7"/>
      <c r="R31" s="9"/>
    </row>
    <row r="32" spans="1:18" s="6" customFormat="1" ht="24.95" customHeight="1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9"/>
    </row>
    <row r="33" spans="1:18" s="6" customFormat="1" ht="24.9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5"/>
    </row>
    <row r="34" spans="1:18" s="6" customFormat="1" ht="24.95" customHeight="1" x14ac:dyDescent="0.3">
      <c r="A34" s="7">
        <v>1</v>
      </c>
      <c r="B34" s="7" t="s">
        <v>322</v>
      </c>
      <c r="C34" s="7" t="s">
        <v>323</v>
      </c>
      <c r="D34" s="7" t="s">
        <v>324</v>
      </c>
      <c r="E34" s="7" t="s">
        <v>67</v>
      </c>
      <c r="F34" s="7">
        <f t="shared" ref="F34:F38" ca="1" si="10">RANDBETWEEN(2010,2025)</f>
        <v>2012</v>
      </c>
      <c r="G34" s="7" t="s">
        <v>56</v>
      </c>
      <c r="H34" s="7">
        <f ca="1">RANDBETWEEN(1,100)</f>
        <v>58</v>
      </c>
      <c r="I34" s="7">
        <f ca="1">RANDBETWEEN(1,10000)</f>
        <v>4182</v>
      </c>
      <c r="J34" s="7">
        <f ca="1">RANDBETWEEN(1,100)</f>
        <v>29</v>
      </c>
      <c r="K34" s="7"/>
      <c r="L34" s="7"/>
      <c r="M34" s="7"/>
      <c r="N34" s="7"/>
      <c r="O34" s="7"/>
      <c r="P34" s="7"/>
      <c r="Q34" s="7"/>
      <c r="R34" s="9"/>
    </row>
    <row r="35" spans="1:18" s="6" customFormat="1" ht="24.95" customHeight="1" x14ac:dyDescent="0.3">
      <c r="A35" s="7">
        <v>2</v>
      </c>
      <c r="B35" s="7" t="s">
        <v>322</v>
      </c>
      <c r="C35" s="7" t="s">
        <v>323</v>
      </c>
      <c r="D35" s="7" t="s">
        <v>324</v>
      </c>
      <c r="E35" s="7" t="s">
        <v>68</v>
      </c>
      <c r="F35" s="7">
        <f t="shared" ca="1" si="10"/>
        <v>2013</v>
      </c>
      <c r="G35" s="7" t="s">
        <v>56</v>
      </c>
      <c r="H35" s="7"/>
      <c r="I35" s="7"/>
      <c r="J35" s="7"/>
      <c r="K35" s="7"/>
      <c r="L35" s="7"/>
      <c r="M35" s="7"/>
      <c r="N35" s="7"/>
      <c r="O35" s="7" t="s">
        <v>69</v>
      </c>
      <c r="P35" s="7"/>
      <c r="Q35" s="7"/>
      <c r="R35" s="9"/>
    </row>
    <row r="36" spans="1:18" s="6" customFormat="1" ht="24.95" customHeight="1" x14ac:dyDescent="0.3">
      <c r="A36" s="7">
        <v>3</v>
      </c>
      <c r="B36" s="7" t="s">
        <v>322</v>
      </c>
      <c r="C36" s="7" t="s">
        <v>323</v>
      </c>
      <c r="D36" s="7" t="s">
        <v>324</v>
      </c>
      <c r="E36" s="7" t="s">
        <v>70</v>
      </c>
      <c r="F36" s="7">
        <f t="shared" ca="1" si="10"/>
        <v>2014</v>
      </c>
      <c r="G36" s="7" t="s">
        <v>32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9"/>
    </row>
    <row r="37" spans="1:18" s="6" customFormat="1" ht="24.95" customHeight="1" x14ac:dyDescent="0.3">
      <c r="A37" s="7">
        <v>4</v>
      </c>
      <c r="B37" s="7" t="s">
        <v>322</v>
      </c>
      <c r="C37" s="7" t="s">
        <v>323</v>
      </c>
      <c r="D37" s="7" t="s">
        <v>324</v>
      </c>
      <c r="E37" s="7" t="s">
        <v>71</v>
      </c>
      <c r="F37" s="7">
        <f t="shared" ca="1" si="10"/>
        <v>2020</v>
      </c>
      <c r="G37" s="7" t="s">
        <v>24</v>
      </c>
      <c r="H37" s="7">
        <f ca="1">RANDBETWEEN(1,100)</f>
        <v>53</v>
      </c>
      <c r="I37" s="7">
        <f t="shared" ref="I37:I38" ca="1" si="11">RANDBETWEEN(1,10000)</f>
        <v>3726</v>
      </c>
      <c r="J37" s="7"/>
      <c r="K37" s="7"/>
      <c r="L37" s="7"/>
      <c r="M37" s="7"/>
      <c r="N37" s="7"/>
      <c r="O37" s="7" t="s">
        <v>72</v>
      </c>
      <c r="P37" s="7"/>
      <c r="Q37" s="7"/>
      <c r="R37" s="9"/>
    </row>
    <row r="38" spans="1:18" s="11" customFormat="1" ht="24.95" customHeight="1" x14ac:dyDescent="0.3">
      <c r="A38" s="8">
        <v>5</v>
      </c>
      <c r="B38" s="7" t="s">
        <v>322</v>
      </c>
      <c r="C38" s="7" t="s">
        <v>323</v>
      </c>
      <c r="D38" s="7" t="s">
        <v>324</v>
      </c>
      <c r="E38" s="8" t="s">
        <v>73</v>
      </c>
      <c r="F38" s="7">
        <f t="shared" ca="1" si="10"/>
        <v>2023</v>
      </c>
      <c r="G38" s="8" t="s">
        <v>24</v>
      </c>
      <c r="H38" s="8"/>
      <c r="I38" s="7">
        <f t="shared" ca="1" si="11"/>
        <v>7634</v>
      </c>
      <c r="J38" s="8"/>
      <c r="K38" s="8"/>
      <c r="L38" s="8"/>
      <c r="M38" s="8"/>
      <c r="N38" s="8"/>
      <c r="O38" s="8" t="s">
        <v>74</v>
      </c>
      <c r="P38" s="8"/>
      <c r="Q38" s="8"/>
      <c r="R38" s="10"/>
    </row>
    <row r="39" spans="1:18" s="6" customFormat="1" ht="24.95" customHeight="1" x14ac:dyDescent="0.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9"/>
    </row>
    <row r="40" spans="1:18" s="6" customFormat="1" ht="24.9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5"/>
    </row>
    <row r="41" spans="1:18" s="6" customFormat="1" ht="24.95" customHeight="1" x14ac:dyDescent="0.3">
      <c r="A41" s="7">
        <v>1</v>
      </c>
      <c r="B41" s="7" t="s">
        <v>322</v>
      </c>
      <c r="C41" s="7" t="s">
        <v>323</v>
      </c>
      <c r="D41" s="7"/>
      <c r="E41" s="7" t="s">
        <v>75</v>
      </c>
      <c r="F41" s="7">
        <f t="shared" ref="F41:F43" ca="1" si="12">RANDBETWEEN(2010,2025)</f>
        <v>2025</v>
      </c>
      <c r="G41" s="7" t="s">
        <v>44</v>
      </c>
      <c r="H41" s="7">
        <f t="shared" ref="H41:H43" ca="1" si="13">RANDBETWEEN(1,100)</f>
        <v>46</v>
      </c>
      <c r="I41" s="7">
        <f t="shared" ref="I41:I42" ca="1" si="14">RANDBETWEEN(1,10000)</f>
        <v>8110</v>
      </c>
      <c r="J41" s="7"/>
      <c r="K41" s="7"/>
      <c r="L41" s="7"/>
      <c r="M41" s="7"/>
      <c r="N41" s="7"/>
      <c r="O41" s="7"/>
      <c r="P41" s="7"/>
      <c r="Q41" s="7"/>
      <c r="R41" s="9"/>
    </row>
    <row r="42" spans="1:18" s="6" customFormat="1" ht="24.95" customHeight="1" x14ac:dyDescent="0.3">
      <c r="A42" s="7">
        <v>2</v>
      </c>
      <c r="B42" s="7" t="s">
        <v>322</v>
      </c>
      <c r="C42" s="7" t="s">
        <v>323</v>
      </c>
      <c r="D42" s="7"/>
      <c r="E42" s="7" t="s">
        <v>76</v>
      </c>
      <c r="F42" s="7">
        <f t="shared" ca="1" si="12"/>
        <v>2014</v>
      </c>
      <c r="G42" s="7" t="s">
        <v>44</v>
      </c>
      <c r="H42" s="7">
        <f t="shared" ca="1" si="13"/>
        <v>46</v>
      </c>
      <c r="I42" s="7">
        <f t="shared" ca="1" si="14"/>
        <v>9890</v>
      </c>
      <c r="J42" s="7"/>
      <c r="K42" s="7"/>
      <c r="L42" s="7" t="s">
        <v>77</v>
      </c>
      <c r="M42" s="7"/>
      <c r="N42" s="7"/>
      <c r="O42" s="7" t="s">
        <v>77</v>
      </c>
      <c r="P42" s="7"/>
      <c r="Q42" s="7"/>
      <c r="R42" s="9"/>
    </row>
    <row r="43" spans="1:18" s="6" customFormat="1" ht="24.95" customHeight="1" x14ac:dyDescent="0.3">
      <c r="A43" s="7">
        <v>3</v>
      </c>
      <c r="B43" s="7" t="s">
        <v>322</v>
      </c>
      <c r="C43" s="7" t="s">
        <v>323</v>
      </c>
      <c r="D43" s="7" t="s">
        <v>324</v>
      </c>
      <c r="E43" s="7" t="s">
        <v>78</v>
      </c>
      <c r="F43" s="7">
        <f t="shared" ca="1" si="12"/>
        <v>2014</v>
      </c>
      <c r="G43" s="8" t="s">
        <v>24</v>
      </c>
      <c r="H43" s="7">
        <f t="shared" ca="1" si="13"/>
        <v>78</v>
      </c>
      <c r="I43" s="7"/>
      <c r="J43" s="7"/>
      <c r="K43" s="7"/>
      <c r="L43" s="7" t="s">
        <v>79</v>
      </c>
      <c r="M43" s="7"/>
      <c r="N43" s="7"/>
      <c r="O43" s="7" t="s">
        <v>79</v>
      </c>
      <c r="P43" s="7"/>
      <c r="Q43" s="7"/>
      <c r="R43" s="9"/>
    </row>
    <row r="44" spans="1:18" s="6" customFormat="1" ht="24.95" customHeight="1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9"/>
    </row>
    <row r="45" spans="1:18" s="6" customFormat="1" ht="24.9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5"/>
    </row>
    <row r="46" spans="1:18" s="6" customFormat="1" ht="24.95" customHeight="1" x14ac:dyDescent="0.3">
      <c r="A46" s="7">
        <v>1</v>
      </c>
      <c r="B46" s="7" t="s">
        <v>322</v>
      </c>
      <c r="C46" s="7" t="s">
        <v>323</v>
      </c>
      <c r="D46" s="7"/>
      <c r="E46" s="7" t="s">
        <v>80</v>
      </c>
      <c r="F46" s="7">
        <f ca="1">RANDBETWEEN(2010,2025)</f>
        <v>2017</v>
      </c>
      <c r="G46" s="7" t="s">
        <v>32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9"/>
    </row>
    <row r="47" spans="1:18" s="6" customFormat="1" ht="24.95" customHeight="1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9"/>
    </row>
    <row r="48" spans="1:18" s="6" customFormat="1" ht="24.9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5"/>
    </row>
    <row r="49" spans="1:18" s="6" customFormat="1" ht="24.95" customHeight="1" x14ac:dyDescent="0.3">
      <c r="A49" s="7">
        <v>1</v>
      </c>
      <c r="B49" s="7" t="s">
        <v>322</v>
      </c>
      <c r="C49" s="7" t="s">
        <v>323</v>
      </c>
      <c r="D49" s="7"/>
      <c r="E49" s="7" t="s">
        <v>81</v>
      </c>
      <c r="F49" s="7">
        <f t="shared" ref="F49:F54" ca="1" si="15">RANDBETWEEN(2010,2025)</f>
        <v>2022</v>
      </c>
      <c r="G49" s="7" t="s">
        <v>56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9"/>
    </row>
    <row r="50" spans="1:18" s="6" customFormat="1" ht="24.95" customHeight="1" x14ac:dyDescent="0.3">
      <c r="A50" s="7">
        <v>2</v>
      </c>
      <c r="B50" s="7" t="s">
        <v>322</v>
      </c>
      <c r="C50" s="7" t="s">
        <v>323</v>
      </c>
      <c r="D50" s="7" t="s">
        <v>324</v>
      </c>
      <c r="E50" s="7" t="s">
        <v>82</v>
      </c>
      <c r="F50" s="7">
        <f t="shared" ca="1" si="15"/>
        <v>2010</v>
      </c>
      <c r="G50" s="7" t="s">
        <v>24</v>
      </c>
      <c r="H50" s="7">
        <f ca="1">RANDBETWEEN(1,100)</f>
        <v>73</v>
      </c>
      <c r="I50" s="7">
        <f ca="1">RANDBETWEEN(1,10000)</f>
        <v>314</v>
      </c>
      <c r="J50" s="7">
        <f ca="1">RANDBETWEEN(1,100)</f>
        <v>50</v>
      </c>
      <c r="K50" s="7"/>
      <c r="L50" s="7"/>
      <c r="M50" s="7" t="s">
        <v>83</v>
      </c>
      <c r="N50" s="7"/>
      <c r="O50" s="7" t="s">
        <v>84</v>
      </c>
      <c r="P50" s="7"/>
      <c r="Q50" s="7" t="s">
        <v>85</v>
      </c>
      <c r="R50" s="9"/>
    </row>
    <row r="51" spans="1:18" s="6" customFormat="1" ht="24.95" customHeight="1" x14ac:dyDescent="0.3">
      <c r="A51" s="7">
        <v>3</v>
      </c>
      <c r="B51" s="7" t="s">
        <v>322</v>
      </c>
      <c r="C51" s="7" t="s">
        <v>323</v>
      </c>
      <c r="D51" s="7"/>
      <c r="E51" s="7" t="s">
        <v>86</v>
      </c>
      <c r="F51" s="7">
        <f t="shared" ca="1" si="15"/>
        <v>2023</v>
      </c>
      <c r="G51" s="7" t="s">
        <v>24</v>
      </c>
      <c r="H51" s="7"/>
      <c r="I51" s="7"/>
      <c r="J51" s="7"/>
      <c r="K51" s="7"/>
      <c r="L51" s="7"/>
      <c r="M51" s="7"/>
      <c r="N51" s="7"/>
      <c r="O51" s="7" t="s">
        <v>87</v>
      </c>
      <c r="P51" s="7"/>
      <c r="Q51" s="7"/>
      <c r="R51" s="9"/>
    </row>
    <row r="52" spans="1:18" s="6" customFormat="1" ht="24.95" customHeight="1" x14ac:dyDescent="0.3">
      <c r="A52" s="7">
        <v>4</v>
      </c>
      <c r="B52" s="7" t="s">
        <v>322</v>
      </c>
      <c r="C52" s="7" t="s">
        <v>323</v>
      </c>
      <c r="D52" s="7"/>
      <c r="E52" s="7" t="s">
        <v>88</v>
      </c>
      <c r="F52" s="7">
        <f t="shared" ca="1" si="15"/>
        <v>2022</v>
      </c>
      <c r="G52" s="7" t="s">
        <v>56</v>
      </c>
      <c r="H52" s="7"/>
      <c r="I52" s="7">
        <f t="shared" ref="I52:I54" ca="1" si="16">RANDBETWEEN(1,10000)</f>
        <v>8214</v>
      </c>
      <c r="J52" s="7"/>
      <c r="K52" s="7"/>
      <c r="L52" s="7" t="s">
        <v>89</v>
      </c>
      <c r="M52" s="7"/>
      <c r="N52" s="7"/>
      <c r="O52" s="7" t="s">
        <v>90</v>
      </c>
      <c r="P52" s="7"/>
      <c r="Q52" s="7"/>
      <c r="R52" s="9"/>
    </row>
    <row r="53" spans="1:18" s="6" customFormat="1" ht="24.95" customHeight="1" x14ac:dyDescent="0.3">
      <c r="A53" s="7">
        <v>5</v>
      </c>
      <c r="B53" s="7" t="s">
        <v>322</v>
      </c>
      <c r="C53" s="7" t="s">
        <v>323</v>
      </c>
      <c r="D53" s="7" t="s">
        <v>324</v>
      </c>
      <c r="E53" s="7" t="s">
        <v>91</v>
      </c>
      <c r="F53" s="7">
        <f t="shared" ca="1" si="15"/>
        <v>2013</v>
      </c>
      <c r="G53" s="7" t="s">
        <v>24</v>
      </c>
      <c r="H53" s="7"/>
      <c r="I53" s="7">
        <f t="shared" ca="1" si="16"/>
        <v>3696</v>
      </c>
      <c r="J53" s="7"/>
      <c r="K53" s="7"/>
      <c r="L53" s="7" t="s">
        <v>92</v>
      </c>
      <c r="M53" s="7" t="s">
        <v>93</v>
      </c>
      <c r="N53" s="7" t="s">
        <v>93</v>
      </c>
      <c r="O53" s="7" t="s">
        <v>94</v>
      </c>
      <c r="P53" s="7"/>
      <c r="Q53" s="7"/>
      <c r="R53" s="9"/>
    </row>
    <row r="54" spans="1:18" s="6" customFormat="1" ht="24.95" customHeight="1" x14ac:dyDescent="0.3">
      <c r="A54" s="7">
        <v>6</v>
      </c>
      <c r="B54" s="7" t="s">
        <v>322</v>
      </c>
      <c r="C54" s="7" t="s">
        <v>323</v>
      </c>
      <c r="D54" s="7" t="s">
        <v>324</v>
      </c>
      <c r="E54" s="7" t="s">
        <v>95</v>
      </c>
      <c r="F54" s="7">
        <f t="shared" ca="1" si="15"/>
        <v>2018</v>
      </c>
      <c r="G54" s="7" t="s">
        <v>44</v>
      </c>
      <c r="H54" s="7">
        <f ca="1">RANDBETWEEN(1,100)</f>
        <v>36</v>
      </c>
      <c r="I54" s="7">
        <f t="shared" ca="1" si="16"/>
        <v>2239</v>
      </c>
      <c r="J54" s="7"/>
      <c r="K54" s="7">
        <v>10</v>
      </c>
      <c r="L54" s="7"/>
      <c r="M54" s="7"/>
      <c r="N54" s="7"/>
      <c r="O54" s="7"/>
      <c r="P54" s="7" t="s">
        <v>96</v>
      </c>
      <c r="Q54" s="7"/>
      <c r="R54" s="9"/>
    </row>
    <row r="55" spans="1:18" s="6" customFormat="1" ht="24.95" customHeight="1" x14ac:dyDescent="0.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9"/>
    </row>
    <row r="56" spans="1:18" s="6" customFormat="1" ht="24.9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5"/>
    </row>
    <row r="57" spans="1:18" s="6" customFormat="1" ht="24.95" customHeight="1" x14ac:dyDescent="0.3">
      <c r="A57" s="7">
        <v>1</v>
      </c>
      <c r="B57" s="7" t="s">
        <v>322</v>
      </c>
      <c r="C57" s="7" t="s">
        <v>323</v>
      </c>
      <c r="D57" s="7" t="s">
        <v>324</v>
      </c>
      <c r="E57" s="7" t="s">
        <v>97</v>
      </c>
      <c r="F57" s="7">
        <f t="shared" ref="F57:F66" ca="1" si="17">RANDBETWEEN(2010,2025)</f>
        <v>2021</v>
      </c>
      <c r="G57" s="7" t="s">
        <v>98</v>
      </c>
      <c r="H57" s="7">
        <f t="shared" ref="H57:H58" ca="1" si="18">RANDBETWEEN(1,100)</f>
        <v>76</v>
      </c>
      <c r="I57" s="7">
        <f t="shared" ref="I57:I58" ca="1" si="19">RANDBETWEEN(1,10000)</f>
        <v>2100</v>
      </c>
      <c r="J57" s="7"/>
      <c r="K57" s="7"/>
      <c r="L57" s="7"/>
      <c r="M57" s="7"/>
      <c r="N57" s="7"/>
      <c r="O57" s="7"/>
      <c r="P57" s="7"/>
      <c r="Q57" s="7" t="s">
        <v>99</v>
      </c>
      <c r="R57" s="9" t="s">
        <v>100</v>
      </c>
    </row>
    <row r="58" spans="1:18" s="6" customFormat="1" ht="24.95" customHeight="1" x14ac:dyDescent="0.3">
      <c r="A58" s="7">
        <v>2</v>
      </c>
      <c r="B58" s="7" t="s">
        <v>322</v>
      </c>
      <c r="C58" s="7" t="s">
        <v>323</v>
      </c>
      <c r="D58" s="7" t="s">
        <v>324</v>
      </c>
      <c r="E58" s="7" t="s">
        <v>101</v>
      </c>
      <c r="F58" s="7">
        <f t="shared" ca="1" si="17"/>
        <v>2020</v>
      </c>
      <c r="G58" s="7" t="s">
        <v>24</v>
      </c>
      <c r="H58" s="7">
        <f t="shared" ca="1" si="18"/>
        <v>49</v>
      </c>
      <c r="I58" s="7">
        <f t="shared" ca="1" si="19"/>
        <v>23</v>
      </c>
      <c r="J58" s="7"/>
      <c r="K58" s="7"/>
      <c r="L58" s="7"/>
      <c r="M58" s="7"/>
      <c r="N58" s="7"/>
      <c r="O58" s="7"/>
      <c r="P58" s="7"/>
      <c r="Q58" s="7"/>
      <c r="R58" s="9" t="s">
        <v>102</v>
      </c>
    </row>
    <row r="59" spans="1:18" s="6" customFormat="1" ht="24.95" customHeight="1" x14ac:dyDescent="0.3">
      <c r="A59" s="7">
        <v>3</v>
      </c>
      <c r="B59" s="7" t="s">
        <v>322</v>
      </c>
      <c r="C59" s="7" t="s">
        <v>323</v>
      </c>
      <c r="D59" s="7"/>
      <c r="E59" s="7" t="s">
        <v>103</v>
      </c>
      <c r="F59" s="7">
        <f t="shared" ca="1" si="17"/>
        <v>2021</v>
      </c>
      <c r="G59" s="7" t="s">
        <v>24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9" t="s">
        <v>104</v>
      </c>
    </row>
    <row r="60" spans="1:18" s="6" customFormat="1" ht="24.95" customHeight="1" x14ac:dyDescent="0.3">
      <c r="A60" s="7">
        <v>4</v>
      </c>
      <c r="B60" s="7" t="s">
        <v>322</v>
      </c>
      <c r="C60" s="7" t="s">
        <v>323</v>
      </c>
      <c r="D60" s="7"/>
      <c r="E60" s="7" t="s">
        <v>105</v>
      </c>
      <c r="F60" s="7">
        <f t="shared" ca="1" si="17"/>
        <v>2020</v>
      </c>
      <c r="G60" s="7" t="s">
        <v>24</v>
      </c>
      <c r="H60" s="7">
        <f ca="1">RANDBETWEEN(1,100)</f>
        <v>60</v>
      </c>
      <c r="I60" s="7">
        <f t="shared" ref="I60:I61" ca="1" si="20">RANDBETWEEN(1,10000)</f>
        <v>1132</v>
      </c>
      <c r="J60" s="7">
        <f t="shared" ref="J60:J61" ca="1" si="21">RANDBETWEEN(1,100)</f>
        <v>49</v>
      </c>
      <c r="K60" s="7"/>
      <c r="L60" s="7"/>
      <c r="M60" s="7"/>
      <c r="N60" s="7"/>
      <c r="O60" s="7"/>
      <c r="P60" s="7"/>
      <c r="Q60" s="7"/>
      <c r="R60" s="9" t="s">
        <v>106</v>
      </c>
    </row>
    <row r="61" spans="1:18" s="6" customFormat="1" ht="24.95" customHeight="1" x14ac:dyDescent="0.3">
      <c r="A61" s="7">
        <v>5</v>
      </c>
      <c r="B61" s="7" t="s">
        <v>322</v>
      </c>
      <c r="C61" s="7" t="s">
        <v>323</v>
      </c>
      <c r="D61" s="7" t="s">
        <v>324</v>
      </c>
      <c r="E61" s="7" t="s">
        <v>107</v>
      </c>
      <c r="F61" s="7">
        <f t="shared" ca="1" si="17"/>
        <v>2023</v>
      </c>
      <c r="G61" s="7" t="s">
        <v>98</v>
      </c>
      <c r="H61" s="7"/>
      <c r="I61" s="7">
        <f t="shared" ca="1" si="20"/>
        <v>6585</v>
      </c>
      <c r="J61" s="7">
        <f t="shared" ca="1" si="21"/>
        <v>51</v>
      </c>
      <c r="K61" s="7"/>
      <c r="L61" s="7"/>
      <c r="M61" s="7"/>
      <c r="N61" s="7"/>
      <c r="O61" s="7"/>
      <c r="P61" s="7"/>
      <c r="Q61" s="7"/>
      <c r="R61" s="9" t="s">
        <v>108</v>
      </c>
    </row>
    <row r="62" spans="1:18" s="6" customFormat="1" ht="24.95" customHeight="1" x14ac:dyDescent="0.3">
      <c r="A62" s="7">
        <v>6</v>
      </c>
      <c r="B62" s="7" t="s">
        <v>322</v>
      </c>
      <c r="C62" s="7" t="s">
        <v>323</v>
      </c>
      <c r="D62" s="7"/>
      <c r="E62" s="7" t="s">
        <v>109</v>
      </c>
      <c r="F62" s="7">
        <f t="shared" ca="1" si="17"/>
        <v>2013</v>
      </c>
      <c r="G62" s="7" t="s">
        <v>24</v>
      </c>
      <c r="H62" s="7"/>
      <c r="I62" s="7"/>
      <c r="J62" s="7"/>
      <c r="K62" s="7"/>
      <c r="L62" s="7"/>
      <c r="M62" s="7"/>
      <c r="N62" s="7"/>
      <c r="O62" s="7"/>
      <c r="P62" s="7"/>
      <c r="Q62" s="7"/>
      <c r="R62" s="9" t="s">
        <v>110</v>
      </c>
    </row>
    <row r="63" spans="1:18" s="6" customFormat="1" ht="24.95" customHeight="1" x14ac:dyDescent="0.3">
      <c r="A63" s="7">
        <v>7</v>
      </c>
      <c r="B63" s="7" t="s">
        <v>322</v>
      </c>
      <c r="C63" s="7" t="s">
        <v>323</v>
      </c>
      <c r="D63" s="7" t="s">
        <v>324</v>
      </c>
      <c r="E63" s="8" t="s">
        <v>111</v>
      </c>
      <c r="F63" s="7">
        <f t="shared" ca="1" si="17"/>
        <v>2010</v>
      </c>
      <c r="G63" s="7" t="s">
        <v>98</v>
      </c>
      <c r="H63" s="7"/>
      <c r="I63" s="7"/>
      <c r="J63" s="7"/>
      <c r="K63" s="7"/>
      <c r="L63" s="7"/>
      <c r="M63" s="7"/>
      <c r="N63" s="7"/>
      <c r="O63" s="7"/>
      <c r="P63" s="7"/>
      <c r="Q63" s="7" t="s">
        <v>112</v>
      </c>
      <c r="R63" s="9" t="s">
        <v>113</v>
      </c>
    </row>
    <row r="64" spans="1:18" s="6" customFormat="1" ht="24.95" customHeight="1" x14ac:dyDescent="0.3">
      <c r="A64" s="7">
        <v>8</v>
      </c>
      <c r="B64" s="7" t="s">
        <v>322</v>
      </c>
      <c r="C64" s="7" t="s">
        <v>323</v>
      </c>
      <c r="D64" s="7"/>
      <c r="E64" s="7" t="s">
        <v>114</v>
      </c>
      <c r="F64" s="7">
        <f t="shared" ca="1" si="17"/>
        <v>2010</v>
      </c>
      <c r="G64" s="7" t="s">
        <v>44</v>
      </c>
      <c r="H64" s="7">
        <f ca="1">RANDBETWEEN(1,100)</f>
        <v>80</v>
      </c>
      <c r="I64" s="7">
        <f ca="1">RANDBETWEEN(1,10000)</f>
        <v>7230</v>
      </c>
      <c r="J64" s="7"/>
      <c r="K64" s="7"/>
      <c r="L64" s="7"/>
      <c r="M64" s="7"/>
      <c r="N64" s="7"/>
      <c r="O64" s="7"/>
      <c r="P64" s="7" t="s">
        <v>115</v>
      </c>
      <c r="Q64" s="7"/>
      <c r="R64" s="9" t="s">
        <v>116</v>
      </c>
    </row>
    <row r="65" spans="1:18" s="11" customFormat="1" ht="24.95" customHeight="1" x14ac:dyDescent="0.3">
      <c r="A65" s="8">
        <v>9</v>
      </c>
      <c r="B65" s="7" t="s">
        <v>322</v>
      </c>
      <c r="C65" s="7" t="s">
        <v>323</v>
      </c>
      <c r="D65" s="8"/>
      <c r="E65" s="8" t="s">
        <v>117</v>
      </c>
      <c r="F65" s="7">
        <f t="shared" ca="1" si="17"/>
        <v>2025</v>
      </c>
      <c r="G65" s="8" t="s">
        <v>44</v>
      </c>
      <c r="H65" s="8"/>
      <c r="I65" s="8"/>
      <c r="J65" s="8"/>
      <c r="K65" s="8"/>
      <c r="L65" s="8"/>
      <c r="M65" s="8"/>
      <c r="N65" s="8"/>
      <c r="O65" s="8"/>
      <c r="P65" s="8"/>
      <c r="Q65" s="8"/>
      <c r="R65" s="10"/>
    </row>
    <row r="66" spans="1:18" s="11" customFormat="1" ht="24.95" customHeight="1" x14ac:dyDescent="0.3">
      <c r="A66" s="8">
        <v>10</v>
      </c>
      <c r="B66" s="7" t="s">
        <v>322</v>
      </c>
      <c r="C66" s="7" t="s">
        <v>323</v>
      </c>
      <c r="D66" s="7" t="s">
        <v>324</v>
      </c>
      <c r="E66" s="8" t="s">
        <v>118</v>
      </c>
      <c r="F66" s="7">
        <f t="shared" ca="1" si="17"/>
        <v>2012</v>
      </c>
      <c r="G66" s="8" t="s">
        <v>44</v>
      </c>
      <c r="H66" s="8"/>
      <c r="I66" s="7">
        <f ca="1">RANDBETWEEN(1,10000)</f>
        <v>8468</v>
      </c>
      <c r="J66" s="8"/>
      <c r="K66" s="8"/>
      <c r="L66" s="8"/>
      <c r="M66" s="8"/>
      <c r="N66" s="8"/>
      <c r="O66" s="8"/>
      <c r="P66" s="8"/>
      <c r="Q66" s="8"/>
      <c r="R66" s="10"/>
    </row>
    <row r="67" spans="1:18" s="11" customFormat="1" ht="24.95" customHeight="1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10"/>
    </row>
    <row r="68" spans="1:18" s="6" customFormat="1" ht="24.95" customHeight="1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9"/>
    </row>
    <row r="69" spans="1:18" s="6" customFormat="1" ht="24.9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5"/>
    </row>
    <row r="70" spans="1:18" s="6" customFormat="1" ht="24.95" customHeight="1" x14ac:dyDescent="0.3">
      <c r="A70" s="7">
        <v>1</v>
      </c>
      <c r="B70" s="7" t="s">
        <v>322</v>
      </c>
      <c r="C70" s="7" t="s">
        <v>323</v>
      </c>
      <c r="D70" s="7" t="s">
        <v>324</v>
      </c>
      <c r="E70" s="7" t="s">
        <v>119</v>
      </c>
      <c r="F70" s="7">
        <f t="shared" ref="F70:F81" ca="1" si="22">RANDBETWEEN(2010,2025)</f>
        <v>2011</v>
      </c>
      <c r="G70" s="7" t="s">
        <v>98</v>
      </c>
      <c r="H70" s="7">
        <f t="shared" ref="H70:H73" ca="1" si="23">RANDBETWEEN(1,100)</f>
        <v>10</v>
      </c>
      <c r="I70" s="7">
        <f t="shared" ref="I70:I72" ca="1" si="24">RANDBETWEEN(1,10000)</f>
        <v>6697</v>
      </c>
      <c r="J70" s="7"/>
      <c r="K70" s="7"/>
      <c r="L70" s="7" t="s">
        <v>120</v>
      </c>
      <c r="M70" s="7"/>
      <c r="N70" s="7"/>
      <c r="O70" s="7"/>
      <c r="P70" s="7"/>
      <c r="Q70" s="7" t="s">
        <v>121</v>
      </c>
      <c r="R70" s="9" t="s">
        <v>122</v>
      </c>
    </row>
    <row r="71" spans="1:18" s="6" customFormat="1" ht="24.95" customHeight="1" x14ac:dyDescent="0.3">
      <c r="A71" s="7">
        <v>2</v>
      </c>
      <c r="B71" s="7" t="s">
        <v>322</v>
      </c>
      <c r="C71" s="7" t="s">
        <v>323</v>
      </c>
      <c r="D71" s="7" t="s">
        <v>324</v>
      </c>
      <c r="E71" s="7" t="s">
        <v>123</v>
      </c>
      <c r="F71" s="7">
        <f t="shared" ca="1" si="22"/>
        <v>2024</v>
      </c>
      <c r="G71" s="7" t="s">
        <v>98</v>
      </c>
      <c r="H71" s="7">
        <f t="shared" ca="1" si="23"/>
        <v>53</v>
      </c>
      <c r="I71" s="7">
        <f t="shared" ca="1" si="24"/>
        <v>5760</v>
      </c>
      <c r="J71" s="7"/>
      <c r="K71" s="7"/>
      <c r="L71" s="7"/>
      <c r="M71" s="7"/>
      <c r="N71" s="7"/>
      <c r="O71" s="7" t="s">
        <v>124</v>
      </c>
      <c r="P71" s="7"/>
      <c r="Q71" s="7" t="s">
        <v>125</v>
      </c>
      <c r="R71" s="9"/>
    </row>
    <row r="72" spans="1:18" s="6" customFormat="1" ht="24.95" customHeight="1" x14ac:dyDescent="0.3">
      <c r="A72" s="7">
        <v>3</v>
      </c>
      <c r="B72" s="7" t="s">
        <v>322</v>
      </c>
      <c r="C72" s="7" t="s">
        <v>323</v>
      </c>
      <c r="D72" s="7" t="s">
        <v>324</v>
      </c>
      <c r="E72" s="7" t="s">
        <v>126</v>
      </c>
      <c r="F72" s="7">
        <f t="shared" ca="1" si="22"/>
        <v>2019</v>
      </c>
      <c r="G72" s="7" t="s">
        <v>24</v>
      </c>
      <c r="H72" s="7">
        <f t="shared" ca="1" si="23"/>
        <v>55</v>
      </c>
      <c r="I72" s="7">
        <f t="shared" ca="1" si="24"/>
        <v>7743</v>
      </c>
      <c r="J72" s="7"/>
      <c r="K72" s="7"/>
      <c r="L72" s="7" t="s">
        <v>127</v>
      </c>
      <c r="M72" s="7"/>
      <c r="N72" s="7"/>
      <c r="O72" s="7" t="s">
        <v>128</v>
      </c>
      <c r="P72" s="7"/>
      <c r="Q72" s="7"/>
      <c r="R72" s="9"/>
    </row>
    <row r="73" spans="1:18" s="6" customFormat="1" ht="24.95" customHeight="1" x14ac:dyDescent="0.3">
      <c r="A73" s="7">
        <v>4</v>
      </c>
      <c r="B73" s="7" t="s">
        <v>322</v>
      </c>
      <c r="C73" s="7" t="s">
        <v>323</v>
      </c>
      <c r="D73" s="7" t="s">
        <v>324</v>
      </c>
      <c r="E73" s="7" t="s">
        <v>129</v>
      </c>
      <c r="F73" s="7">
        <f t="shared" ca="1" si="22"/>
        <v>2010</v>
      </c>
      <c r="G73" s="7" t="s">
        <v>24</v>
      </c>
      <c r="H73" s="7">
        <f t="shared" ca="1" si="23"/>
        <v>23</v>
      </c>
      <c r="I73" s="7" t="s">
        <v>130</v>
      </c>
      <c r="J73" s="7"/>
      <c r="K73" s="7">
        <v>200</v>
      </c>
      <c r="L73" s="7"/>
      <c r="M73" s="7"/>
      <c r="N73" s="7"/>
      <c r="O73" s="7" t="s">
        <v>131</v>
      </c>
      <c r="P73" s="7"/>
      <c r="Q73" s="7" t="s">
        <v>132</v>
      </c>
      <c r="R73" s="9" t="s">
        <v>133</v>
      </c>
    </row>
    <row r="74" spans="1:18" s="6" customFormat="1" ht="24.95" customHeight="1" x14ac:dyDescent="0.3">
      <c r="A74" s="7">
        <v>5</v>
      </c>
      <c r="B74" s="7" t="s">
        <v>322</v>
      </c>
      <c r="C74" s="7" t="s">
        <v>323</v>
      </c>
      <c r="D74" s="7" t="s">
        <v>324</v>
      </c>
      <c r="E74" s="7" t="s">
        <v>134</v>
      </c>
      <c r="F74" s="7">
        <f t="shared" ca="1" si="22"/>
        <v>2012</v>
      </c>
      <c r="G74" s="7" t="s">
        <v>44</v>
      </c>
      <c r="H74" s="7" t="s">
        <v>135</v>
      </c>
      <c r="I74" s="7">
        <f t="shared" ref="I74:I78" ca="1" si="25">RANDBETWEEN(1,10000)</f>
        <v>8697</v>
      </c>
      <c r="J74" s="7"/>
      <c r="K74" s="7"/>
      <c r="L74" s="7" t="s">
        <v>136</v>
      </c>
      <c r="M74" s="7"/>
      <c r="N74" s="7"/>
      <c r="O74" s="7"/>
      <c r="P74" s="7"/>
      <c r="Q74" s="7" t="s">
        <v>137</v>
      </c>
      <c r="R74" s="9"/>
    </row>
    <row r="75" spans="1:18" s="6" customFormat="1" ht="24.95" customHeight="1" x14ac:dyDescent="0.3">
      <c r="A75" s="7">
        <v>6</v>
      </c>
      <c r="B75" s="7" t="s">
        <v>322</v>
      </c>
      <c r="C75" s="7" t="s">
        <v>323</v>
      </c>
      <c r="D75" s="7" t="s">
        <v>324</v>
      </c>
      <c r="E75" s="7" t="s">
        <v>138</v>
      </c>
      <c r="F75" s="7">
        <f t="shared" ca="1" si="22"/>
        <v>2023</v>
      </c>
      <c r="G75" s="7" t="s">
        <v>24</v>
      </c>
      <c r="H75" s="7">
        <f t="shared" ref="H75:H76" ca="1" si="26">RANDBETWEEN(1,100)</f>
        <v>92</v>
      </c>
      <c r="I75" s="7">
        <f t="shared" ca="1" si="25"/>
        <v>67</v>
      </c>
      <c r="J75" s="7">
        <f ca="1">RANDBETWEEN(1,100)</f>
        <v>52</v>
      </c>
      <c r="K75" s="7"/>
      <c r="L75" s="7"/>
      <c r="M75" s="7"/>
      <c r="N75" s="7"/>
      <c r="O75" s="7" t="s">
        <v>139</v>
      </c>
      <c r="P75" s="7"/>
      <c r="Q75" s="7"/>
      <c r="R75" s="9" t="s">
        <v>140</v>
      </c>
    </row>
    <row r="76" spans="1:18" s="6" customFormat="1" ht="24.95" customHeight="1" x14ac:dyDescent="0.3">
      <c r="A76" s="7">
        <v>7</v>
      </c>
      <c r="B76" s="7" t="s">
        <v>322</v>
      </c>
      <c r="C76" s="7" t="s">
        <v>323</v>
      </c>
      <c r="D76" s="7" t="s">
        <v>324</v>
      </c>
      <c r="E76" s="7" t="s">
        <v>141</v>
      </c>
      <c r="F76" s="7">
        <f t="shared" ca="1" si="22"/>
        <v>2012</v>
      </c>
      <c r="G76" s="7" t="s">
        <v>24</v>
      </c>
      <c r="H76" s="7">
        <f t="shared" ca="1" si="26"/>
        <v>22</v>
      </c>
      <c r="I76" s="7">
        <f t="shared" ca="1" si="25"/>
        <v>8403</v>
      </c>
      <c r="J76" s="7"/>
      <c r="K76" s="7"/>
      <c r="L76" s="7" t="s">
        <v>142</v>
      </c>
      <c r="M76" s="7"/>
      <c r="N76" s="7"/>
      <c r="O76" s="7"/>
      <c r="P76" s="7" t="s">
        <v>143</v>
      </c>
      <c r="Q76" s="7"/>
      <c r="R76" s="9"/>
    </row>
    <row r="77" spans="1:18" s="6" customFormat="1" ht="24.95" customHeight="1" x14ac:dyDescent="0.3">
      <c r="A77" s="7">
        <v>8</v>
      </c>
      <c r="B77" s="7" t="s">
        <v>322</v>
      </c>
      <c r="C77" s="7" t="s">
        <v>323</v>
      </c>
      <c r="D77" s="7" t="s">
        <v>324</v>
      </c>
      <c r="E77" s="7" t="s">
        <v>144</v>
      </c>
      <c r="F77" s="7">
        <f t="shared" ca="1" si="22"/>
        <v>2017</v>
      </c>
      <c r="G77" s="7" t="s">
        <v>24</v>
      </c>
      <c r="H77" s="7"/>
      <c r="I77" s="7">
        <f t="shared" ca="1" si="25"/>
        <v>1759</v>
      </c>
      <c r="J77" s="7"/>
      <c r="K77" s="7"/>
      <c r="L77" s="7"/>
      <c r="M77" s="7"/>
      <c r="N77" s="7"/>
      <c r="O77" s="7"/>
      <c r="P77" s="7"/>
      <c r="Q77" s="7"/>
      <c r="R77" s="9" t="s">
        <v>145</v>
      </c>
    </row>
    <row r="78" spans="1:18" s="6" customFormat="1" ht="24.95" customHeight="1" x14ac:dyDescent="0.3">
      <c r="A78" s="7">
        <v>9</v>
      </c>
      <c r="B78" s="7" t="s">
        <v>322</v>
      </c>
      <c r="C78" s="7" t="s">
        <v>323</v>
      </c>
      <c r="D78" s="7"/>
      <c r="E78" s="7" t="s">
        <v>146</v>
      </c>
      <c r="F78" s="7">
        <f t="shared" ca="1" si="22"/>
        <v>2021</v>
      </c>
      <c r="G78" s="8" t="s">
        <v>44</v>
      </c>
      <c r="H78" s="7"/>
      <c r="I78" s="7">
        <f t="shared" ca="1" si="25"/>
        <v>9110</v>
      </c>
      <c r="J78" s="7"/>
      <c r="K78" s="7"/>
      <c r="L78" s="7"/>
      <c r="M78" s="7"/>
      <c r="N78" s="7"/>
      <c r="O78" s="7"/>
      <c r="P78" s="7"/>
      <c r="Q78" s="7"/>
      <c r="R78" s="9"/>
    </row>
    <row r="79" spans="1:18" s="11" customFormat="1" ht="24.95" customHeight="1" x14ac:dyDescent="0.3">
      <c r="A79" s="8">
        <v>10</v>
      </c>
      <c r="B79" s="7" t="s">
        <v>322</v>
      </c>
      <c r="C79" s="7" t="s">
        <v>323</v>
      </c>
      <c r="D79" s="8"/>
      <c r="E79" s="8" t="s">
        <v>147</v>
      </c>
      <c r="F79" s="7">
        <f t="shared" ca="1" si="22"/>
        <v>2017</v>
      </c>
      <c r="G79" s="8" t="s">
        <v>44</v>
      </c>
      <c r="H79" s="8"/>
      <c r="I79" s="8" t="s">
        <v>148</v>
      </c>
      <c r="J79" s="8"/>
      <c r="K79" s="8"/>
      <c r="L79" s="8"/>
      <c r="M79" s="8"/>
      <c r="N79" s="8"/>
      <c r="O79" s="8"/>
      <c r="P79" s="8"/>
      <c r="Q79" s="8"/>
      <c r="R79" s="10"/>
    </row>
    <row r="80" spans="1:18" s="11" customFormat="1" ht="24.95" customHeight="1" x14ac:dyDescent="0.3">
      <c r="A80" s="8">
        <v>11</v>
      </c>
      <c r="B80" s="7" t="s">
        <v>322</v>
      </c>
      <c r="C80" s="7" t="s">
        <v>323</v>
      </c>
      <c r="D80" s="8"/>
      <c r="E80" s="8" t="s">
        <v>149</v>
      </c>
      <c r="F80" s="7">
        <f t="shared" ca="1" si="22"/>
        <v>2019</v>
      </c>
      <c r="G80" s="8" t="s">
        <v>24</v>
      </c>
      <c r="H80" s="8"/>
      <c r="I80" s="8"/>
      <c r="J80" s="8"/>
      <c r="K80" s="8"/>
      <c r="L80" s="8"/>
      <c r="M80" s="8"/>
      <c r="N80" s="8"/>
      <c r="O80" s="8"/>
      <c r="P80" s="8"/>
      <c r="Q80" s="8"/>
      <c r="R80" s="10"/>
    </row>
    <row r="81" spans="1:18" s="11" customFormat="1" ht="24.95" customHeight="1" x14ac:dyDescent="0.3">
      <c r="A81" s="8">
        <v>12</v>
      </c>
      <c r="B81" s="7" t="s">
        <v>322</v>
      </c>
      <c r="C81" s="7" t="s">
        <v>323</v>
      </c>
      <c r="D81" s="8"/>
      <c r="E81" s="8" t="s">
        <v>150</v>
      </c>
      <c r="F81" s="7">
        <f t="shared" ca="1" si="22"/>
        <v>2018</v>
      </c>
      <c r="G81" s="8" t="s">
        <v>24</v>
      </c>
      <c r="H81" s="8"/>
      <c r="I81" s="8"/>
      <c r="J81" s="8"/>
      <c r="K81" s="8"/>
      <c r="L81" s="8"/>
      <c r="M81" s="8"/>
      <c r="N81" s="8"/>
      <c r="O81" s="8"/>
      <c r="P81" s="8"/>
      <c r="Q81" s="8"/>
      <c r="R81" s="10"/>
    </row>
    <row r="82" spans="1:18" s="6" customFormat="1" ht="24.95" customHeight="1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9"/>
    </row>
    <row r="83" spans="1:18" s="6" customFormat="1" ht="24.9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5"/>
    </row>
    <row r="84" spans="1:18" s="11" customFormat="1" ht="24.75" customHeight="1" x14ac:dyDescent="0.3">
      <c r="A84" s="8">
        <v>1</v>
      </c>
      <c r="B84" s="7" t="s">
        <v>322</v>
      </c>
      <c r="C84" s="7" t="s">
        <v>323</v>
      </c>
      <c r="D84" s="8"/>
      <c r="E84" s="8" t="s">
        <v>151</v>
      </c>
      <c r="F84" s="7">
        <f t="shared" ref="F84:F85" ca="1" si="27">RANDBETWEEN(2010,2025)</f>
        <v>2020</v>
      </c>
      <c r="G84" s="8" t="s">
        <v>32</v>
      </c>
      <c r="H84" s="8"/>
      <c r="I84" s="8"/>
      <c r="J84" s="8"/>
      <c r="K84" s="8"/>
      <c r="L84" s="8"/>
      <c r="M84" s="8"/>
      <c r="N84" s="8"/>
      <c r="O84" s="8"/>
      <c r="P84" s="8"/>
      <c r="Q84" s="8"/>
      <c r="R84" s="10"/>
    </row>
    <row r="85" spans="1:18" s="11" customFormat="1" ht="24.75" customHeight="1" x14ac:dyDescent="0.3">
      <c r="A85" s="8">
        <v>2</v>
      </c>
      <c r="B85" s="7" t="s">
        <v>322</v>
      </c>
      <c r="C85" s="7" t="s">
        <v>323</v>
      </c>
      <c r="D85" s="7" t="s">
        <v>324</v>
      </c>
      <c r="E85" s="8" t="s">
        <v>152</v>
      </c>
      <c r="F85" s="7">
        <f t="shared" ca="1" si="27"/>
        <v>2019</v>
      </c>
      <c r="G85" s="8" t="s">
        <v>32</v>
      </c>
      <c r="H85" s="8"/>
      <c r="I85" s="8"/>
      <c r="J85" s="8"/>
      <c r="K85" s="8"/>
      <c r="L85" s="8"/>
      <c r="M85" s="8"/>
      <c r="N85" s="8"/>
      <c r="O85" s="8"/>
      <c r="P85" s="8"/>
      <c r="Q85" s="8"/>
      <c r="R85" s="10"/>
    </row>
    <row r="86" spans="1:18" s="6" customFormat="1" ht="24.75" customHeight="1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9"/>
    </row>
    <row r="87" spans="1:18" s="6" customFormat="1" ht="24.9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5"/>
    </row>
    <row r="88" spans="1:18" s="6" customFormat="1" ht="24.95" customHeight="1" x14ac:dyDescent="0.3">
      <c r="A88" s="7">
        <v>1</v>
      </c>
      <c r="B88" s="7" t="s">
        <v>322</v>
      </c>
      <c r="C88" s="7" t="s">
        <v>323</v>
      </c>
      <c r="D88" s="7"/>
      <c r="E88" s="7" t="s">
        <v>153</v>
      </c>
      <c r="F88" s="7">
        <f t="shared" ref="F88:F91" ca="1" si="28">RANDBETWEEN(2010,2025)</f>
        <v>2017</v>
      </c>
      <c r="G88" s="7" t="s">
        <v>24</v>
      </c>
      <c r="H88" s="7">
        <f t="shared" ref="H88:H90" ca="1" si="29">RANDBETWEEN(1,100)</f>
        <v>41</v>
      </c>
      <c r="I88" s="7">
        <f t="shared" ref="I88:I89" ca="1" si="30">RANDBETWEEN(1,10000)</f>
        <v>6471</v>
      </c>
      <c r="J88" s="7"/>
      <c r="K88" s="7"/>
      <c r="L88" s="7"/>
      <c r="M88" s="7"/>
      <c r="N88" s="7"/>
      <c r="O88" s="7" t="s">
        <v>154</v>
      </c>
      <c r="P88" s="7"/>
      <c r="Q88" s="7"/>
      <c r="R88" s="9" t="s">
        <v>154</v>
      </c>
    </row>
    <row r="89" spans="1:18" s="6" customFormat="1" ht="24.95" customHeight="1" x14ac:dyDescent="0.3">
      <c r="A89" s="7">
        <v>2</v>
      </c>
      <c r="B89" s="7" t="s">
        <v>322</v>
      </c>
      <c r="C89" s="7" t="s">
        <v>323</v>
      </c>
      <c r="D89" s="7" t="s">
        <v>324</v>
      </c>
      <c r="E89" s="8" t="s">
        <v>155</v>
      </c>
      <c r="F89" s="7">
        <f t="shared" ca="1" si="28"/>
        <v>2022</v>
      </c>
      <c r="G89" s="7" t="s">
        <v>98</v>
      </c>
      <c r="H89" s="7">
        <f t="shared" ca="1" si="29"/>
        <v>70</v>
      </c>
      <c r="I89" s="7">
        <f t="shared" ca="1" si="30"/>
        <v>7992</v>
      </c>
      <c r="J89" s="7"/>
      <c r="K89" s="7"/>
      <c r="L89" s="7"/>
      <c r="M89" s="7"/>
      <c r="N89" s="7"/>
      <c r="O89" s="7"/>
      <c r="P89" s="7"/>
      <c r="Q89" s="7" t="s">
        <v>156</v>
      </c>
      <c r="R89" s="9"/>
    </row>
    <row r="90" spans="1:18" s="6" customFormat="1" ht="24.95" customHeight="1" x14ac:dyDescent="0.3">
      <c r="A90" s="7">
        <v>3</v>
      </c>
      <c r="B90" s="7" t="s">
        <v>322</v>
      </c>
      <c r="C90" s="7" t="s">
        <v>323</v>
      </c>
      <c r="D90" s="7"/>
      <c r="E90" s="7" t="s">
        <v>157</v>
      </c>
      <c r="F90" s="7">
        <f t="shared" ca="1" si="28"/>
        <v>2019</v>
      </c>
      <c r="G90" s="7" t="s">
        <v>32</v>
      </c>
      <c r="H90" s="7">
        <f t="shared" ca="1" si="29"/>
        <v>85</v>
      </c>
      <c r="I90" s="7"/>
      <c r="J90" s="7">
        <f ca="1">RANDBETWEEN(1,100)</f>
        <v>32</v>
      </c>
      <c r="K90" s="7"/>
      <c r="L90" s="7"/>
      <c r="M90" s="7"/>
      <c r="N90" s="7"/>
      <c r="O90" s="7"/>
      <c r="P90" s="7"/>
      <c r="Q90" s="7"/>
      <c r="R90" s="9" t="s">
        <v>158</v>
      </c>
    </row>
    <row r="91" spans="1:18" s="11" customFormat="1" ht="24.95" customHeight="1" x14ac:dyDescent="0.3">
      <c r="A91" s="8">
        <v>4</v>
      </c>
      <c r="B91" s="7" t="s">
        <v>322</v>
      </c>
      <c r="C91" s="7" t="s">
        <v>323</v>
      </c>
      <c r="D91" s="8"/>
      <c r="E91" s="8" t="s">
        <v>159</v>
      </c>
      <c r="F91" s="7">
        <f t="shared" ca="1" si="28"/>
        <v>2013</v>
      </c>
      <c r="G91" s="8" t="s">
        <v>44</v>
      </c>
      <c r="H91" s="8"/>
      <c r="I91" s="8"/>
      <c r="J91" s="8"/>
      <c r="K91" s="8"/>
      <c r="L91" s="8"/>
      <c r="M91" s="8"/>
      <c r="N91" s="8"/>
      <c r="O91" s="8"/>
      <c r="P91" s="8"/>
      <c r="Q91" s="8"/>
      <c r="R91" s="10"/>
    </row>
    <row r="92" spans="1:18" s="6" customFormat="1" ht="24.95" customHeight="1" x14ac:dyDescent="0.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9"/>
    </row>
    <row r="93" spans="1:18" s="6" customFormat="1" ht="24.9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5"/>
    </row>
    <row r="94" spans="1:18" s="6" customFormat="1" ht="24.95" customHeight="1" x14ac:dyDescent="0.3">
      <c r="A94" s="7">
        <v>1</v>
      </c>
      <c r="B94" s="7" t="s">
        <v>322</v>
      </c>
      <c r="C94" s="7" t="s">
        <v>323</v>
      </c>
      <c r="D94" s="7" t="s">
        <v>324</v>
      </c>
      <c r="E94" s="7" t="s">
        <v>160</v>
      </c>
      <c r="F94" s="7">
        <f t="shared" ref="F94:F95" ca="1" si="31">RANDBETWEEN(2010,2025)</f>
        <v>2016</v>
      </c>
      <c r="G94" s="7" t="s">
        <v>32</v>
      </c>
      <c r="H94" s="7" t="s">
        <v>161</v>
      </c>
      <c r="I94" s="7"/>
      <c r="J94" s="7"/>
      <c r="K94" s="7"/>
      <c r="L94" s="7"/>
      <c r="M94" s="7"/>
      <c r="N94" s="7"/>
      <c r="O94" s="7"/>
      <c r="P94" s="7"/>
      <c r="Q94" s="7"/>
      <c r="R94" s="9" t="s">
        <v>162</v>
      </c>
    </row>
    <row r="95" spans="1:18" s="11" customFormat="1" ht="24.95" customHeight="1" x14ac:dyDescent="0.3">
      <c r="A95" s="8">
        <v>2</v>
      </c>
      <c r="B95" s="7" t="s">
        <v>322</v>
      </c>
      <c r="C95" s="7" t="s">
        <v>323</v>
      </c>
      <c r="D95" s="8"/>
      <c r="E95" s="8" t="s">
        <v>163</v>
      </c>
      <c r="F95" s="7">
        <f t="shared" ca="1" si="31"/>
        <v>2016</v>
      </c>
      <c r="G95" s="8" t="s">
        <v>32</v>
      </c>
      <c r="H95" s="8"/>
      <c r="I95" s="8"/>
      <c r="J95" s="8"/>
      <c r="K95" s="8"/>
      <c r="L95" s="8"/>
      <c r="M95" s="8"/>
      <c r="N95" s="8"/>
      <c r="O95" s="8"/>
      <c r="P95" s="8"/>
      <c r="Q95" s="8"/>
      <c r="R95" s="10"/>
    </row>
    <row r="96" spans="1:18" s="6" customFormat="1" ht="24.95" customHeight="1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9"/>
    </row>
    <row r="97" spans="1:18" s="6" customFormat="1" ht="24.9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5"/>
    </row>
    <row r="98" spans="1:18" s="6" customFormat="1" ht="24.95" customHeight="1" x14ac:dyDescent="0.3">
      <c r="A98" s="7">
        <v>1</v>
      </c>
      <c r="B98" s="7" t="s">
        <v>322</v>
      </c>
      <c r="C98" s="7" t="s">
        <v>323</v>
      </c>
      <c r="D98" s="7"/>
      <c r="E98" s="7" t="s">
        <v>164</v>
      </c>
      <c r="F98" s="7">
        <f t="shared" ref="F98:F107" ca="1" si="32">RANDBETWEEN(2010,2025)</f>
        <v>2017</v>
      </c>
      <c r="G98" s="7" t="s">
        <v>24</v>
      </c>
      <c r="H98" s="7">
        <f t="shared" ref="H98:H101" ca="1" si="33">RANDBETWEEN(1,100)</f>
        <v>90</v>
      </c>
      <c r="I98" s="7">
        <f ca="1">RANDBETWEEN(1,10000)</f>
        <v>8743</v>
      </c>
      <c r="J98" s="7"/>
      <c r="K98" s="7"/>
      <c r="L98" s="7"/>
      <c r="M98" s="7"/>
      <c r="N98" s="7"/>
      <c r="O98" s="7"/>
      <c r="P98" s="7"/>
      <c r="Q98" s="7"/>
      <c r="R98" s="9" t="s">
        <v>165</v>
      </c>
    </row>
    <row r="99" spans="1:18" s="6" customFormat="1" ht="24.95" customHeight="1" x14ac:dyDescent="0.3">
      <c r="A99" s="7">
        <v>2</v>
      </c>
      <c r="B99" s="7" t="s">
        <v>322</v>
      </c>
      <c r="C99" s="7" t="s">
        <v>323</v>
      </c>
      <c r="D99" s="7" t="s">
        <v>324</v>
      </c>
      <c r="E99" s="7" t="s">
        <v>166</v>
      </c>
      <c r="F99" s="7">
        <f t="shared" ca="1" si="32"/>
        <v>2014</v>
      </c>
      <c r="G99" s="7" t="s">
        <v>24</v>
      </c>
      <c r="H99" s="7">
        <f t="shared" ca="1" si="33"/>
        <v>50</v>
      </c>
      <c r="I99" s="7"/>
      <c r="J99" s="7"/>
      <c r="K99" s="7"/>
      <c r="L99" s="7"/>
      <c r="M99" s="7"/>
      <c r="N99" s="7"/>
      <c r="O99" s="7"/>
      <c r="P99" s="7"/>
      <c r="Q99" s="7"/>
      <c r="R99" s="9" t="s">
        <v>167</v>
      </c>
    </row>
    <row r="100" spans="1:18" s="6" customFormat="1" ht="24.95" customHeight="1" x14ac:dyDescent="0.3">
      <c r="A100" s="7">
        <v>3</v>
      </c>
      <c r="B100" s="7" t="s">
        <v>322</v>
      </c>
      <c r="C100" s="7" t="s">
        <v>323</v>
      </c>
      <c r="D100" s="7"/>
      <c r="E100" s="7" t="s">
        <v>168</v>
      </c>
      <c r="F100" s="7">
        <f t="shared" ca="1" si="32"/>
        <v>2025</v>
      </c>
      <c r="G100" s="8" t="s">
        <v>24</v>
      </c>
      <c r="H100" s="7">
        <f t="shared" ca="1" si="33"/>
        <v>32</v>
      </c>
      <c r="I100" s="7"/>
      <c r="J100" s="7"/>
      <c r="K100" s="7"/>
      <c r="L100" s="7"/>
      <c r="M100" s="7"/>
      <c r="N100" s="7"/>
      <c r="O100" s="7"/>
      <c r="P100" s="7"/>
      <c r="Q100" s="7"/>
      <c r="R100" s="9"/>
    </row>
    <row r="101" spans="1:18" s="6" customFormat="1" ht="24.95" customHeight="1" x14ac:dyDescent="0.3">
      <c r="A101" s="7">
        <v>4</v>
      </c>
      <c r="B101" s="7" t="s">
        <v>322</v>
      </c>
      <c r="C101" s="7" t="s">
        <v>323</v>
      </c>
      <c r="D101" s="7"/>
      <c r="E101" s="7" t="s">
        <v>169</v>
      </c>
      <c r="F101" s="7">
        <f t="shared" ca="1" si="32"/>
        <v>2022</v>
      </c>
      <c r="G101" s="7" t="s">
        <v>44</v>
      </c>
      <c r="H101" s="7">
        <f t="shared" ca="1" si="33"/>
        <v>22</v>
      </c>
      <c r="I101" s="7"/>
      <c r="J101" s="7"/>
      <c r="K101" s="7"/>
      <c r="L101" s="7"/>
      <c r="M101" s="7"/>
      <c r="N101" s="7"/>
      <c r="O101" s="7"/>
      <c r="P101" s="7"/>
      <c r="Q101" s="7"/>
      <c r="R101" s="9" t="s">
        <v>170</v>
      </c>
    </row>
    <row r="102" spans="1:18" s="6" customFormat="1" ht="24.95" customHeight="1" x14ac:dyDescent="0.3">
      <c r="A102" s="7">
        <v>5</v>
      </c>
      <c r="B102" s="7" t="s">
        <v>322</v>
      </c>
      <c r="C102" s="7" t="s">
        <v>323</v>
      </c>
      <c r="D102" s="7" t="s">
        <v>324</v>
      </c>
      <c r="E102" s="7" t="s">
        <v>171</v>
      </c>
      <c r="F102" s="7">
        <f t="shared" ca="1" si="32"/>
        <v>2020</v>
      </c>
      <c r="G102" s="7" t="s">
        <v>32</v>
      </c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9"/>
    </row>
    <row r="103" spans="1:18" s="6" customFormat="1" ht="24.95" customHeight="1" x14ac:dyDescent="0.3">
      <c r="A103" s="7">
        <v>6</v>
      </c>
      <c r="B103" s="7" t="s">
        <v>322</v>
      </c>
      <c r="C103" s="7" t="s">
        <v>323</v>
      </c>
      <c r="D103" s="7" t="s">
        <v>324</v>
      </c>
      <c r="E103" s="7" t="s">
        <v>172</v>
      </c>
      <c r="F103" s="7">
        <f t="shared" ca="1" si="32"/>
        <v>2025</v>
      </c>
      <c r="G103" s="8" t="s">
        <v>24</v>
      </c>
      <c r="H103" s="7">
        <f t="shared" ref="H103:H105" ca="1" si="34">RANDBETWEEN(1,100)</f>
        <v>6</v>
      </c>
      <c r="I103" s="7"/>
      <c r="J103" s="7"/>
      <c r="K103" s="7"/>
      <c r="L103" s="7"/>
      <c r="M103" s="7"/>
      <c r="N103" s="7"/>
      <c r="O103" s="7" t="s">
        <v>173</v>
      </c>
      <c r="P103" s="7"/>
      <c r="Q103" s="7" t="s">
        <v>174</v>
      </c>
      <c r="R103" s="9"/>
    </row>
    <row r="104" spans="1:18" s="6" customFormat="1" ht="24.95" customHeight="1" x14ac:dyDescent="0.3">
      <c r="A104" s="7">
        <v>7</v>
      </c>
      <c r="B104" s="7" t="s">
        <v>322</v>
      </c>
      <c r="C104" s="7" t="s">
        <v>323</v>
      </c>
      <c r="D104" s="7" t="s">
        <v>324</v>
      </c>
      <c r="E104" s="7" t="s">
        <v>175</v>
      </c>
      <c r="F104" s="7">
        <f t="shared" ca="1" si="32"/>
        <v>2019</v>
      </c>
      <c r="G104" s="7" t="s">
        <v>44</v>
      </c>
      <c r="H104" s="7">
        <f t="shared" ca="1" si="34"/>
        <v>64</v>
      </c>
      <c r="I104" s="7"/>
      <c r="J104" s="7"/>
      <c r="K104" s="7"/>
      <c r="L104" s="7"/>
      <c r="M104" s="7"/>
      <c r="N104" s="7"/>
      <c r="O104" s="7"/>
      <c r="P104" s="7" t="s">
        <v>176</v>
      </c>
      <c r="Q104" s="7" t="s">
        <v>177</v>
      </c>
      <c r="R104" s="9"/>
    </row>
    <row r="105" spans="1:18" s="6" customFormat="1" ht="24.95" customHeight="1" x14ac:dyDescent="0.3">
      <c r="A105" s="7">
        <v>8</v>
      </c>
      <c r="B105" s="7" t="s">
        <v>322</v>
      </c>
      <c r="C105" s="7" t="s">
        <v>323</v>
      </c>
      <c r="D105" s="7"/>
      <c r="E105" s="7" t="s">
        <v>178</v>
      </c>
      <c r="F105" s="7">
        <f t="shared" ca="1" si="32"/>
        <v>2013</v>
      </c>
      <c r="G105" s="8" t="s">
        <v>179</v>
      </c>
      <c r="H105" s="7">
        <f t="shared" ca="1" si="34"/>
        <v>32</v>
      </c>
      <c r="I105" s="7">
        <f ca="1">RANDBETWEEN(1,10000)</f>
        <v>9791</v>
      </c>
      <c r="J105" s="7">
        <f ca="1">RANDBETWEEN(1,100)</f>
        <v>31</v>
      </c>
      <c r="K105" s="7"/>
      <c r="L105" s="7" t="s">
        <v>180</v>
      </c>
      <c r="M105" s="7"/>
      <c r="N105" s="7"/>
      <c r="O105" s="7"/>
      <c r="P105" s="7"/>
      <c r="Q105" s="7"/>
      <c r="R105" s="9"/>
    </row>
    <row r="106" spans="1:18" s="11" customFormat="1" ht="24.95" customHeight="1" x14ac:dyDescent="0.3">
      <c r="A106" s="8">
        <v>9</v>
      </c>
      <c r="B106" s="7" t="s">
        <v>322</v>
      </c>
      <c r="C106" s="7" t="s">
        <v>323</v>
      </c>
      <c r="D106" s="8"/>
      <c r="E106" s="8" t="s">
        <v>181</v>
      </c>
      <c r="F106" s="7">
        <f t="shared" ca="1" si="32"/>
        <v>2019</v>
      </c>
      <c r="G106" s="8" t="s">
        <v>24</v>
      </c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10"/>
    </row>
    <row r="107" spans="1:18" s="11" customFormat="1" ht="24.95" customHeight="1" x14ac:dyDescent="0.3">
      <c r="A107" s="8">
        <v>10</v>
      </c>
      <c r="B107" s="7" t="s">
        <v>322</v>
      </c>
      <c r="C107" s="7" t="s">
        <v>323</v>
      </c>
      <c r="D107" s="7" t="s">
        <v>324</v>
      </c>
      <c r="E107" s="8" t="s">
        <v>182</v>
      </c>
      <c r="F107" s="7">
        <f t="shared" ca="1" si="32"/>
        <v>2020</v>
      </c>
      <c r="G107" s="8" t="s">
        <v>44</v>
      </c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10"/>
    </row>
    <row r="108" spans="1:18" s="6" customFormat="1" ht="24.95" customHeight="1" x14ac:dyDescent="0.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9"/>
    </row>
    <row r="109" spans="1:18" s="6" customFormat="1" ht="24.9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5"/>
    </row>
    <row r="110" spans="1:18" s="6" customFormat="1" ht="24.95" customHeight="1" x14ac:dyDescent="0.3">
      <c r="A110" s="7">
        <v>1</v>
      </c>
      <c r="B110" s="7" t="s">
        <v>322</v>
      </c>
      <c r="C110" s="7" t="s">
        <v>323</v>
      </c>
      <c r="D110" s="7"/>
      <c r="E110" s="7" t="s">
        <v>183</v>
      </c>
      <c r="F110" s="7">
        <f t="shared" ref="F110:F118" ca="1" si="35">RANDBETWEEN(2010,2025)</f>
        <v>2010</v>
      </c>
      <c r="G110" s="7" t="s">
        <v>24</v>
      </c>
      <c r="H110" s="7">
        <f t="shared" ref="H110:H116" ca="1" si="36">RANDBETWEEN(1,100)</f>
        <v>27</v>
      </c>
      <c r="I110" s="7">
        <f ca="1">RANDBETWEEN(1,10000)</f>
        <v>7714</v>
      </c>
      <c r="J110" s="7"/>
      <c r="K110" s="7"/>
      <c r="L110" s="7" t="s">
        <v>184</v>
      </c>
      <c r="M110" s="7"/>
      <c r="N110" s="7"/>
      <c r="O110" s="7" t="s">
        <v>185</v>
      </c>
      <c r="P110" s="7"/>
      <c r="Q110" s="7"/>
      <c r="R110" s="9" t="s">
        <v>186</v>
      </c>
    </row>
    <row r="111" spans="1:18" s="6" customFormat="1" ht="24.95" customHeight="1" x14ac:dyDescent="0.3">
      <c r="A111" s="7">
        <v>2</v>
      </c>
      <c r="B111" s="7" t="s">
        <v>322</v>
      </c>
      <c r="C111" s="7" t="s">
        <v>323</v>
      </c>
      <c r="D111" s="7" t="s">
        <v>324</v>
      </c>
      <c r="E111" s="7" t="s">
        <v>187</v>
      </c>
      <c r="F111" s="7">
        <f t="shared" ca="1" si="35"/>
        <v>2015</v>
      </c>
      <c r="G111" s="7" t="s">
        <v>32</v>
      </c>
      <c r="H111" s="7">
        <f t="shared" ca="1" si="36"/>
        <v>50</v>
      </c>
      <c r="I111" s="7"/>
      <c r="J111" s="7"/>
      <c r="K111" s="7"/>
      <c r="L111" s="7"/>
      <c r="M111" s="7"/>
      <c r="N111" s="7"/>
      <c r="O111" s="7" t="s">
        <v>188</v>
      </c>
      <c r="P111" s="7"/>
      <c r="Q111" s="7" t="s">
        <v>189</v>
      </c>
      <c r="R111" s="9" t="s">
        <v>190</v>
      </c>
    </row>
    <row r="112" spans="1:18" s="6" customFormat="1" ht="24.95" customHeight="1" x14ac:dyDescent="0.3">
      <c r="A112" s="7">
        <v>3</v>
      </c>
      <c r="B112" s="7" t="s">
        <v>322</v>
      </c>
      <c r="C112" s="7" t="s">
        <v>323</v>
      </c>
      <c r="D112" s="7" t="s">
        <v>324</v>
      </c>
      <c r="E112" s="7" t="s">
        <v>191</v>
      </c>
      <c r="F112" s="7">
        <f t="shared" ca="1" si="35"/>
        <v>2024</v>
      </c>
      <c r="G112" s="7" t="s">
        <v>32</v>
      </c>
      <c r="H112" s="7">
        <f t="shared" ca="1" si="36"/>
        <v>42</v>
      </c>
      <c r="I112" s="7"/>
      <c r="J112" s="7"/>
      <c r="K112" s="7"/>
      <c r="L112" s="7"/>
      <c r="M112" s="7"/>
      <c r="N112" s="7"/>
      <c r="O112" s="7"/>
      <c r="P112" s="7"/>
      <c r="Q112" s="7" t="s">
        <v>192</v>
      </c>
      <c r="R112" s="9" t="s">
        <v>193</v>
      </c>
    </row>
    <row r="113" spans="1:18" s="6" customFormat="1" ht="24.95" customHeight="1" x14ac:dyDescent="0.3">
      <c r="A113" s="7">
        <v>4</v>
      </c>
      <c r="B113" s="7" t="s">
        <v>322</v>
      </c>
      <c r="C113" s="7" t="s">
        <v>323</v>
      </c>
      <c r="D113" s="7"/>
      <c r="E113" s="7" t="s">
        <v>194</v>
      </c>
      <c r="F113" s="7">
        <f t="shared" ca="1" si="35"/>
        <v>2013</v>
      </c>
      <c r="G113" s="7" t="s">
        <v>98</v>
      </c>
      <c r="H113" s="7">
        <f t="shared" ca="1" si="36"/>
        <v>31</v>
      </c>
      <c r="I113" s="7">
        <f ca="1">RANDBETWEEN(1,10000)</f>
        <v>3970</v>
      </c>
      <c r="J113" s="7"/>
      <c r="K113" s="7"/>
      <c r="L113" s="7"/>
      <c r="M113" s="7"/>
      <c r="N113" s="7"/>
      <c r="O113" s="7" t="s">
        <v>195</v>
      </c>
      <c r="P113" s="7"/>
      <c r="Q113" s="7" t="s">
        <v>196</v>
      </c>
      <c r="R113" s="9"/>
    </row>
    <row r="114" spans="1:18" s="6" customFormat="1" ht="24.95" customHeight="1" x14ac:dyDescent="0.3">
      <c r="A114" s="7">
        <v>5</v>
      </c>
      <c r="B114" s="7" t="s">
        <v>322</v>
      </c>
      <c r="C114" s="7" t="s">
        <v>323</v>
      </c>
      <c r="D114" s="7" t="s">
        <v>324</v>
      </c>
      <c r="E114" s="7" t="s">
        <v>197</v>
      </c>
      <c r="F114" s="7">
        <f t="shared" ca="1" si="35"/>
        <v>2013</v>
      </c>
      <c r="G114" s="7" t="s">
        <v>24</v>
      </c>
      <c r="H114" s="7">
        <f t="shared" ca="1" si="36"/>
        <v>74</v>
      </c>
      <c r="I114" s="7"/>
      <c r="J114" s="7">
        <f t="shared" ref="J114:J116" ca="1" si="37">RANDBETWEEN(1,100)</f>
        <v>91</v>
      </c>
      <c r="K114" s="7"/>
      <c r="L114" s="7"/>
      <c r="M114" s="7"/>
      <c r="N114" s="7"/>
      <c r="O114" s="7"/>
      <c r="P114" s="7"/>
      <c r="Q114" s="7"/>
      <c r="R114" s="9" t="s">
        <v>198</v>
      </c>
    </row>
    <row r="115" spans="1:18" s="6" customFormat="1" ht="24.95" customHeight="1" x14ac:dyDescent="0.3">
      <c r="A115" s="7">
        <v>6</v>
      </c>
      <c r="B115" s="7" t="s">
        <v>322</v>
      </c>
      <c r="C115" s="7" t="s">
        <v>323</v>
      </c>
      <c r="D115" s="7"/>
      <c r="E115" s="7" t="s">
        <v>199</v>
      </c>
      <c r="F115" s="7">
        <f t="shared" ca="1" si="35"/>
        <v>2018</v>
      </c>
      <c r="G115" s="7" t="s">
        <v>24</v>
      </c>
      <c r="H115" s="7">
        <f t="shared" ca="1" si="36"/>
        <v>91</v>
      </c>
      <c r="I115" s="7"/>
      <c r="J115" s="7">
        <f t="shared" ca="1" si="37"/>
        <v>80</v>
      </c>
      <c r="K115" s="7"/>
      <c r="L115" s="7"/>
      <c r="M115" s="7"/>
      <c r="N115" s="7"/>
      <c r="O115" s="7"/>
      <c r="P115" s="7"/>
      <c r="Q115" s="7"/>
      <c r="R115" s="9" t="s">
        <v>200</v>
      </c>
    </row>
    <row r="116" spans="1:18" s="6" customFormat="1" ht="24.95" customHeight="1" x14ac:dyDescent="0.3">
      <c r="A116" s="7">
        <v>7</v>
      </c>
      <c r="B116" s="7" t="s">
        <v>322</v>
      </c>
      <c r="C116" s="7" t="s">
        <v>323</v>
      </c>
      <c r="D116" s="7" t="s">
        <v>324</v>
      </c>
      <c r="E116" s="7" t="s">
        <v>201</v>
      </c>
      <c r="F116" s="7">
        <f t="shared" ca="1" si="35"/>
        <v>2010</v>
      </c>
      <c r="G116" s="7" t="s">
        <v>32</v>
      </c>
      <c r="H116" s="7">
        <f t="shared" ca="1" si="36"/>
        <v>61</v>
      </c>
      <c r="I116" s="7">
        <f ca="1">RANDBETWEEN(1,10000)</f>
        <v>7874</v>
      </c>
      <c r="J116" s="7">
        <f t="shared" ca="1" si="37"/>
        <v>84</v>
      </c>
      <c r="K116" s="7"/>
      <c r="L116" s="7"/>
      <c r="M116" s="7"/>
      <c r="N116" s="7"/>
      <c r="O116" s="7"/>
      <c r="P116" s="7"/>
      <c r="Q116" s="7" t="s">
        <v>202</v>
      </c>
      <c r="R116" s="9" t="s">
        <v>203</v>
      </c>
    </row>
    <row r="117" spans="1:18" s="6" customFormat="1" ht="24.95" customHeight="1" x14ac:dyDescent="0.3">
      <c r="A117" s="7">
        <v>8</v>
      </c>
      <c r="B117" s="7" t="s">
        <v>322</v>
      </c>
      <c r="C117" s="7" t="s">
        <v>323</v>
      </c>
      <c r="D117" s="7"/>
      <c r="E117" s="7" t="s">
        <v>204</v>
      </c>
      <c r="F117" s="7">
        <f t="shared" ca="1" si="35"/>
        <v>2013</v>
      </c>
      <c r="G117" s="7" t="s">
        <v>44</v>
      </c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9" t="s">
        <v>205</v>
      </c>
    </row>
    <row r="118" spans="1:18" s="11" customFormat="1" ht="24.95" customHeight="1" x14ac:dyDescent="0.3">
      <c r="A118" s="8">
        <v>9</v>
      </c>
      <c r="B118" s="7" t="s">
        <v>322</v>
      </c>
      <c r="C118" s="7" t="s">
        <v>323</v>
      </c>
      <c r="D118" s="7" t="s">
        <v>324</v>
      </c>
      <c r="E118" s="8" t="s">
        <v>206</v>
      </c>
      <c r="F118" s="7">
        <f t="shared" ca="1" si="35"/>
        <v>2011</v>
      </c>
      <c r="G118" s="8" t="s">
        <v>44</v>
      </c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10"/>
    </row>
    <row r="119" spans="1:18" s="6" customFormat="1" ht="24.95" customHeight="1" x14ac:dyDescent="0.3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9"/>
    </row>
    <row r="120" spans="1:18" s="6" customFormat="1" ht="24.9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5"/>
    </row>
    <row r="121" spans="1:18" s="6" customFormat="1" ht="24.95" customHeight="1" x14ac:dyDescent="0.3">
      <c r="A121" s="7">
        <v>1</v>
      </c>
      <c r="B121" s="7" t="s">
        <v>322</v>
      </c>
      <c r="C121" s="7" t="s">
        <v>323</v>
      </c>
      <c r="D121" s="7" t="s">
        <v>324</v>
      </c>
      <c r="E121" s="7" t="s">
        <v>207</v>
      </c>
      <c r="F121" s="7">
        <f t="shared" ref="F121:F127" ca="1" si="38">RANDBETWEEN(2010,2025)</f>
        <v>2016</v>
      </c>
      <c r="G121" s="7" t="s">
        <v>24</v>
      </c>
      <c r="H121" s="7">
        <f ca="1">RANDBETWEEN(1,100)</f>
        <v>65</v>
      </c>
      <c r="I121" s="7"/>
      <c r="J121" s="7"/>
      <c r="K121" s="7"/>
      <c r="L121" s="7"/>
      <c r="M121" s="7"/>
      <c r="N121" s="7"/>
      <c r="O121" s="7"/>
      <c r="P121" s="7"/>
      <c r="Q121" s="7"/>
      <c r="R121" s="9"/>
    </row>
    <row r="122" spans="1:18" s="6" customFormat="1" ht="24.95" customHeight="1" x14ac:dyDescent="0.3">
      <c r="A122" s="7">
        <v>2</v>
      </c>
      <c r="B122" s="7" t="s">
        <v>322</v>
      </c>
      <c r="C122" s="7" t="s">
        <v>323</v>
      </c>
      <c r="D122" s="7" t="s">
        <v>324</v>
      </c>
      <c r="E122" s="7" t="s">
        <v>208</v>
      </c>
      <c r="F122" s="7">
        <f t="shared" ca="1" si="38"/>
        <v>2013</v>
      </c>
      <c r="G122" s="7" t="s">
        <v>44</v>
      </c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9"/>
    </row>
    <row r="123" spans="1:18" s="6" customFormat="1" ht="24.95" customHeight="1" x14ac:dyDescent="0.3">
      <c r="A123" s="7">
        <v>3</v>
      </c>
      <c r="B123" s="7" t="s">
        <v>322</v>
      </c>
      <c r="C123" s="7" t="s">
        <v>323</v>
      </c>
      <c r="D123" s="7"/>
      <c r="E123" s="7" t="s">
        <v>209</v>
      </c>
      <c r="F123" s="7">
        <f t="shared" ca="1" si="38"/>
        <v>2010</v>
      </c>
      <c r="G123" s="7" t="s">
        <v>32</v>
      </c>
      <c r="H123" s="7">
        <f t="shared" ref="H123:H124" ca="1" si="39">RANDBETWEEN(1,100)</f>
        <v>26</v>
      </c>
      <c r="I123" s="7"/>
      <c r="J123" s="7"/>
      <c r="K123" s="7"/>
      <c r="L123" s="7" t="s">
        <v>210</v>
      </c>
      <c r="M123" s="7"/>
      <c r="N123" s="7"/>
      <c r="O123" s="7" t="s">
        <v>210</v>
      </c>
      <c r="P123" s="7"/>
      <c r="Q123" s="7"/>
      <c r="R123" s="9"/>
    </row>
    <row r="124" spans="1:18" s="6" customFormat="1" ht="24.95" customHeight="1" x14ac:dyDescent="0.3">
      <c r="A124" s="7">
        <v>4</v>
      </c>
      <c r="B124" s="7" t="s">
        <v>322</v>
      </c>
      <c r="C124" s="7" t="s">
        <v>323</v>
      </c>
      <c r="D124" s="7" t="s">
        <v>324</v>
      </c>
      <c r="E124" s="7" t="s">
        <v>211</v>
      </c>
      <c r="F124" s="7">
        <f t="shared" ca="1" si="38"/>
        <v>2014</v>
      </c>
      <c r="G124" s="8" t="s">
        <v>179</v>
      </c>
      <c r="H124" s="7">
        <f t="shared" ca="1" si="39"/>
        <v>45</v>
      </c>
      <c r="I124" s="7"/>
      <c r="J124" s="7"/>
      <c r="K124" s="7"/>
      <c r="L124" s="7" t="s">
        <v>212</v>
      </c>
      <c r="M124" s="7"/>
      <c r="N124" s="7"/>
      <c r="O124" s="7"/>
      <c r="P124" s="7"/>
      <c r="Q124" s="7"/>
      <c r="R124" s="9"/>
    </row>
    <row r="125" spans="1:18" s="6" customFormat="1" ht="24.95" customHeight="1" x14ac:dyDescent="0.3">
      <c r="A125" s="7">
        <v>5</v>
      </c>
      <c r="B125" s="7" t="s">
        <v>322</v>
      </c>
      <c r="C125" s="7" t="s">
        <v>323</v>
      </c>
      <c r="D125" s="7" t="s">
        <v>324</v>
      </c>
      <c r="E125" s="7" t="s">
        <v>213</v>
      </c>
      <c r="F125" s="7">
        <f t="shared" ca="1" si="38"/>
        <v>2011</v>
      </c>
      <c r="G125" s="7" t="s">
        <v>32</v>
      </c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9"/>
    </row>
    <row r="126" spans="1:18" s="6" customFormat="1" ht="24.95" customHeight="1" x14ac:dyDescent="0.3">
      <c r="A126" s="7">
        <v>6</v>
      </c>
      <c r="B126" s="7" t="s">
        <v>322</v>
      </c>
      <c r="C126" s="7" t="s">
        <v>323</v>
      </c>
      <c r="D126" s="7" t="s">
        <v>324</v>
      </c>
      <c r="E126" s="7" t="s">
        <v>214</v>
      </c>
      <c r="F126" s="7">
        <f t="shared" ca="1" si="38"/>
        <v>2011</v>
      </c>
      <c r="G126" s="7" t="s">
        <v>44</v>
      </c>
      <c r="H126" s="7"/>
      <c r="I126" s="7">
        <f ca="1">RANDBETWEEN(1,10000)</f>
        <v>7847</v>
      </c>
      <c r="J126" s="7"/>
      <c r="K126" s="7">
        <v>500</v>
      </c>
      <c r="L126" s="7"/>
      <c r="M126" s="7"/>
      <c r="N126" s="7"/>
      <c r="O126" s="7" t="s">
        <v>215</v>
      </c>
      <c r="P126" s="7"/>
      <c r="Q126" s="7" t="s">
        <v>216</v>
      </c>
      <c r="R126" s="9"/>
    </row>
    <row r="127" spans="1:18" s="11" customFormat="1" ht="24.95" customHeight="1" x14ac:dyDescent="0.3">
      <c r="A127" s="8">
        <v>7</v>
      </c>
      <c r="B127" s="7" t="s">
        <v>322</v>
      </c>
      <c r="C127" s="7" t="s">
        <v>323</v>
      </c>
      <c r="D127" s="7" t="s">
        <v>324</v>
      </c>
      <c r="E127" s="8" t="s">
        <v>217</v>
      </c>
      <c r="F127" s="7">
        <f t="shared" ca="1" si="38"/>
        <v>2020</v>
      </c>
      <c r="G127" s="8" t="s">
        <v>44</v>
      </c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10"/>
    </row>
    <row r="128" spans="1:18" s="6" customFormat="1" ht="24.95" customHeight="1" x14ac:dyDescent="0.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9"/>
    </row>
    <row r="129" spans="1:18" s="6" customFormat="1" ht="24.9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5"/>
    </row>
    <row r="130" spans="1:18" s="6" customFormat="1" ht="24.95" customHeight="1" x14ac:dyDescent="0.3">
      <c r="A130" s="7">
        <v>1</v>
      </c>
      <c r="B130" s="7" t="s">
        <v>322</v>
      </c>
      <c r="C130" s="7" t="s">
        <v>323</v>
      </c>
      <c r="D130" s="7" t="s">
        <v>324</v>
      </c>
      <c r="E130" s="7" t="s">
        <v>218</v>
      </c>
      <c r="F130" s="7">
        <f t="shared" ref="F130:F133" ca="1" si="40">RANDBETWEEN(2010,2025)</f>
        <v>2019</v>
      </c>
      <c r="G130" s="7" t="s">
        <v>98</v>
      </c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9" t="s">
        <v>219</v>
      </c>
    </row>
    <row r="131" spans="1:18" s="6" customFormat="1" ht="24.95" customHeight="1" x14ac:dyDescent="0.3">
      <c r="A131" s="7">
        <v>2</v>
      </c>
      <c r="B131" s="7" t="s">
        <v>322</v>
      </c>
      <c r="C131" s="7" t="s">
        <v>323</v>
      </c>
      <c r="D131" s="7" t="s">
        <v>324</v>
      </c>
      <c r="E131" s="7" t="s">
        <v>220</v>
      </c>
      <c r="F131" s="7">
        <f t="shared" ca="1" si="40"/>
        <v>2013</v>
      </c>
      <c r="G131" s="7" t="s">
        <v>98</v>
      </c>
      <c r="H131" s="7">
        <f t="shared" ref="H131:H132" ca="1" si="41">RANDBETWEEN(1,100)</f>
        <v>60</v>
      </c>
      <c r="I131" s="7"/>
      <c r="J131" s="7"/>
      <c r="K131" s="7"/>
      <c r="L131" s="7"/>
      <c r="M131" s="7"/>
      <c r="N131" s="7"/>
      <c r="O131" s="7"/>
      <c r="P131" s="7"/>
      <c r="Q131" s="7"/>
      <c r="R131" s="9" t="s">
        <v>221</v>
      </c>
    </row>
    <row r="132" spans="1:18" s="6" customFormat="1" ht="24.95" customHeight="1" x14ac:dyDescent="0.3">
      <c r="A132" s="7">
        <v>3</v>
      </c>
      <c r="B132" s="7" t="s">
        <v>322</v>
      </c>
      <c r="C132" s="7" t="s">
        <v>323</v>
      </c>
      <c r="D132" s="7" t="s">
        <v>324</v>
      </c>
      <c r="E132" s="7" t="s">
        <v>222</v>
      </c>
      <c r="F132" s="7">
        <f t="shared" ca="1" si="40"/>
        <v>2018</v>
      </c>
      <c r="G132" s="7" t="s">
        <v>32</v>
      </c>
      <c r="H132" s="7">
        <f t="shared" ca="1" si="41"/>
        <v>29</v>
      </c>
      <c r="I132" s="7">
        <f ca="1">RANDBETWEEN(1,10000)</f>
        <v>699</v>
      </c>
      <c r="J132" s="7">
        <f ca="1">RANDBETWEEN(1,100)</f>
        <v>4</v>
      </c>
      <c r="K132" s="7"/>
      <c r="L132" s="7" t="s">
        <v>223</v>
      </c>
      <c r="M132" s="7"/>
      <c r="N132" s="7"/>
      <c r="O132" s="7"/>
      <c r="P132" s="7"/>
      <c r="Q132" s="7"/>
      <c r="R132" s="9"/>
    </row>
    <row r="133" spans="1:18" s="11" customFormat="1" ht="24.95" customHeight="1" x14ac:dyDescent="0.3">
      <c r="A133" s="8">
        <v>4</v>
      </c>
      <c r="B133" s="7" t="s">
        <v>322</v>
      </c>
      <c r="C133" s="7" t="s">
        <v>323</v>
      </c>
      <c r="D133" s="8"/>
      <c r="E133" s="8" t="s">
        <v>224</v>
      </c>
      <c r="F133" s="7">
        <f t="shared" ca="1" si="40"/>
        <v>2015</v>
      </c>
      <c r="G133" s="8" t="s">
        <v>44</v>
      </c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10"/>
    </row>
    <row r="134" spans="1:18" s="6" customFormat="1" ht="24.95" customHeight="1" x14ac:dyDescent="0.3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9"/>
    </row>
    <row r="135" spans="1:18" s="6" customFormat="1" ht="24.9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5"/>
    </row>
    <row r="136" spans="1:18" s="6" customFormat="1" ht="24.95" customHeight="1" x14ac:dyDescent="0.3">
      <c r="A136" s="7">
        <v>1</v>
      </c>
      <c r="B136" s="7" t="s">
        <v>322</v>
      </c>
      <c r="C136" s="7" t="s">
        <v>323</v>
      </c>
      <c r="D136" s="7" t="s">
        <v>324</v>
      </c>
      <c r="E136" s="7" t="s">
        <v>225</v>
      </c>
      <c r="F136" s="7">
        <f t="shared" ref="F136:F149" ca="1" si="42">RANDBETWEEN(2010,2025)</f>
        <v>2017</v>
      </c>
      <c r="G136" s="7" t="s">
        <v>24</v>
      </c>
      <c r="H136" s="7">
        <f ca="1">RANDBETWEEN(1,100)</f>
        <v>32</v>
      </c>
      <c r="I136" s="7">
        <f t="shared" ref="I136:I140" ca="1" si="43">RANDBETWEEN(1,10000)</f>
        <v>7573</v>
      </c>
      <c r="J136" s="7">
        <f t="shared" ref="J136:J137" ca="1" si="44">RANDBETWEEN(1,100)</f>
        <v>49</v>
      </c>
      <c r="K136" s="7"/>
      <c r="L136" s="7"/>
      <c r="M136" s="7"/>
      <c r="N136" s="7"/>
      <c r="O136" s="7" t="s">
        <v>226</v>
      </c>
      <c r="P136" s="7" t="s">
        <v>227</v>
      </c>
      <c r="Q136" s="7"/>
      <c r="R136" s="9" t="s">
        <v>228</v>
      </c>
    </row>
    <row r="137" spans="1:18" s="6" customFormat="1" ht="24.95" customHeight="1" x14ac:dyDescent="0.3">
      <c r="A137" s="7">
        <v>2</v>
      </c>
      <c r="B137" s="7" t="s">
        <v>322</v>
      </c>
      <c r="C137" s="7" t="s">
        <v>323</v>
      </c>
      <c r="D137" s="7" t="s">
        <v>324</v>
      </c>
      <c r="E137" s="7" t="s">
        <v>229</v>
      </c>
      <c r="F137" s="7">
        <f t="shared" ca="1" si="42"/>
        <v>2020</v>
      </c>
      <c r="G137" s="7" t="s">
        <v>24</v>
      </c>
      <c r="H137" s="7" t="s">
        <v>230</v>
      </c>
      <c r="I137" s="7">
        <f t="shared" ca="1" si="43"/>
        <v>7747</v>
      </c>
      <c r="J137" s="7">
        <f t="shared" ca="1" si="44"/>
        <v>39</v>
      </c>
      <c r="K137" s="7">
        <f ca="1">RANDBETWEEN(1,100)</f>
        <v>83</v>
      </c>
      <c r="L137" s="7"/>
      <c r="M137" s="7"/>
      <c r="N137" s="7"/>
      <c r="O137" s="7"/>
      <c r="P137" s="7" t="s">
        <v>231</v>
      </c>
      <c r="Q137" s="7"/>
      <c r="R137" s="9" t="s">
        <v>232</v>
      </c>
    </row>
    <row r="138" spans="1:18" s="6" customFormat="1" ht="24.95" customHeight="1" x14ac:dyDescent="0.3">
      <c r="A138" s="7">
        <v>3</v>
      </c>
      <c r="B138" s="7" t="s">
        <v>322</v>
      </c>
      <c r="C138" s="7" t="s">
        <v>323</v>
      </c>
      <c r="D138" s="7" t="s">
        <v>324</v>
      </c>
      <c r="E138" s="7" t="s">
        <v>233</v>
      </c>
      <c r="F138" s="7">
        <f t="shared" ca="1" si="42"/>
        <v>2021</v>
      </c>
      <c r="G138" s="7" t="s">
        <v>24</v>
      </c>
      <c r="H138" s="7">
        <f t="shared" ref="H138:H140" ca="1" si="45">RANDBETWEEN(1,100)</f>
        <v>5</v>
      </c>
      <c r="I138" s="7">
        <f t="shared" ca="1" si="43"/>
        <v>5395</v>
      </c>
      <c r="J138" s="7"/>
      <c r="K138" s="7"/>
      <c r="L138" s="7"/>
      <c r="M138" s="7"/>
      <c r="N138" s="7"/>
      <c r="O138" s="7" t="s">
        <v>234</v>
      </c>
      <c r="P138" s="7"/>
      <c r="Q138" s="7"/>
      <c r="R138" s="9" t="s">
        <v>235</v>
      </c>
    </row>
    <row r="139" spans="1:18" s="6" customFormat="1" ht="24.95" customHeight="1" x14ac:dyDescent="0.3">
      <c r="A139" s="7">
        <v>4</v>
      </c>
      <c r="B139" s="7" t="s">
        <v>322</v>
      </c>
      <c r="C139" s="7" t="s">
        <v>323</v>
      </c>
      <c r="D139" s="7" t="s">
        <v>324</v>
      </c>
      <c r="E139" s="7" t="s">
        <v>236</v>
      </c>
      <c r="F139" s="7">
        <f t="shared" ca="1" si="42"/>
        <v>2022</v>
      </c>
      <c r="G139" s="7" t="s">
        <v>44</v>
      </c>
      <c r="H139" s="7">
        <f t="shared" ca="1" si="45"/>
        <v>74</v>
      </c>
      <c r="I139" s="7">
        <f t="shared" ca="1" si="43"/>
        <v>9690</v>
      </c>
      <c r="J139" s="7">
        <f t="shared" ref="J139:J140" ca="1" si="46">RANDBETWEEN(1,100)</f>
        <v>53</v>
      </c>
      <c r="K139" s="7"/>
      <c r="L139" s="7"/>
      <c r="M139" s="7"/>
      <c r="N139" s="7"/>
      <c r="O139" s="7"/>
      <c r="P139" s="7"/>
      <c r="Q139" s="7" t="s">
        <v>125</v>
      </c>
      <c r="R139" s="9" t="s">
        <v>237</v>
      </c>
    </row>
    <row r="140" spans="1:18" s="6" customFormat="1" ht="24.95" customHeight="1" x14ac:dyDescent="0.3">
      <c r="A140" s="7">
        <v>5</v>
      </c>
      <c r="B140" s="7" t="s">
        <v>322</v>
      </c>
      <c r="C140" s="7" t="s">
        <v>323</v>
      </c>
      <c r="D140" s="7" t="s">
        <v>324</v>
      </c>
      <c r="E140" s="7" t="s">
        <v>238</v>
      </c>
      <c r="F140" s="7">
        <f t="shared" ca="1" si="42"/>
        <v>2025</v>
      </c>
      <c r="G140" s="7" t="s">
        <v>44</v>
      </c>
      <c r="H140" s="7">
        <f t="shared" ca="1" si="45"/>
        <v>3</v>
      </c>
      <c r="I140" s="7">
        <f t="shared" ca="1" si="43"/>
        <v>753</v>
      </c>
      <c r="J140" s="7">
        <f t="shared" ca="1" si="46"/>
        <v>97</v>
      </c>
      <c r="K140" s="7"/>
      <c r="L140" s="7"/>
      <c r="M140" s="7"/>
      <c r="N140" s="7"/>
      <c r="O140" s="7"/>
      <c r="P140" s="7"/>
      <c r="Q140" s="7" t="s">
        <v>239</v>
      </c>
      <c r="R140" s="9" t="s">
        <v>240</v>
      </c>
    </row>
    <row r="141" spans="1:18" s="6" customFormat="1" ht="24.95" customHeight="1" x14ac:dyDescent="0.3">
      <c r="A141" s="7">
        <v>6</v>
      </c>
      <c r="B141" s="7" t="s">
        <v>322</v>
      </c>
      <c r="C141" s="7" t="s">
        <v>323</v>
      </c>
      <c r="D141" s="7" t="s">
        <v>324</v>
      </c>
      <c r="E141" s="7" t="s">
        <v>241</v>
      </c>
      <c r="F141" s="7">
        <f t="shared" ca="1" si="42"/>
        <v>2023</v>
      </c>
      <c r="G141" s="7" t="s">
        <v>32</v>
      </c>
      <c r="H141" s="7"/>
      <c r="I141" s="7"/>
      <c r="J141" s="7"/>
      <c r="K141" s="7"/>
      <c r="L141" s="7"/>
      <c r="M141" s="7"/>
      <c r="N141" s="7"/>
      <c r="O141" s="7" t="s">
        <v>242</v>
      </c>
      <c r="P141" s="7"/>
      <c r="Q141" s="7" t="s">
        <v>243</v>
      </c>
      <c r="R141" s="9" t="s">
        <v>244</v>
      </c>
    </row>
    <row r="142" spans="1:18" s="6" customFormat="1" ht="24.95" customHeight="1" x14ac:dyDescent="0.3">
      <c r="A142" s="7">
        <v>7</v>
      </c>
      <c r="B142" s="7" t="s">
        <v>322</v>
      </c>
      <c r="C142" s="7" t="s">
        <v>323</v>
      </c>
      <c r="D142" s="7" t="s">
        <v>324</v>
      </c>
      <c r="E142" s="7" t="s">
        <v>245</v>
      </c>
      <c r="F142" s="7">
        <f t="shared" ca="1" si="42"/>
        <v>2015</v>
      </c>
      <c r="G142" s="7" t="s">
        <v>24</v>
      </c>
      <c r="H142" s="7"/>
      <c r="I142" s="7">
        <f t="shared" ref="I142:I143" ca="1" si="47">RANDBETWEEN(1,10000)</f>
        <v>8957</v>
      </c>
      <c r="J142" s="7"/>
      <c r="K142" s="7"/>
      <c r="L142" s="7"/>
      <c r="M142" s="7"/>
      <c r="N142" s="7"/>
      <c r="O142" s="7"/>
      <c r="P142" s="7"/>
      <c r="Q142" s="7"/>
      <c r="R142" s="9" t="s">
        <v>246</v>
      </c>
    </row>
    <row r="143" spans="1:18" s="6" customFormat="1" ht="24.95" customHeight="1" x14ac:dyDescent="0.3">
      <c r="A143" s="7">
        <v>8</v>
      </c>
      <c r="B143" s="7" t="s">
        <v>322</v>
      </c>
      <c r="C143" s="7" t="s">
        <v>323</v>
      </c>
      <c r="D143" s="7" t="s">
        <v>324</v>
      </c>
      <c r="E143" s="7" t="s">
        <v>247</v>
      </c>
      <c r="F143" s="7">
        <f t="shared" ca="1" si="42"/>
        <v>2021</v>
      </c>
      <c r="G143" s="7" t="s">
        <v>24</v>
      </c>
      <c r="H143" s="7"/>
      <c r="I143" s="7">
        <f t="shared" ca="1" si="47"/>
        <v>2427</v>
      </c>
      <c r="J143" s="7"/>
      <c r="K143" s="7"/>
      <c r="L143" s="7"/>
      <c r="M143" s="7"/>
      <c r="N143" s="7"/>
      <c r="O143" s="7"/>
      <c r="P143" s="7" t="s">
        <v>248</v>
      </c>
      <c r="Q143" s="7" t="s">
        <v>249</v>
      </c>
      <c r="R143" s="9" t="s">
        <v>250</v>
      </c>
    </row>
    <row r="144" spans="1:18" s="6" customFormat="1" ht="24.95" customHeight="1" x14ac:dyDescent="0.3">
      <c r="A144" s="7">
        <v>9</v>
      </c>
      <c r="B144" s="7" t="s">
        <v>322</v>
      </c>
      <c r="C144" s="7" t="s">
        <v>323</v>
      </c>
      <c r="D144" s="7"/>
      <c r="E144" s="7" t="s">
        <v>251</v>
      </c>
      <c r="F144" s="7">
        <f t="shared" ca="1" si="42"/>
        <v>2016</v>
      </c>
      <c r="G144" s="7" t="s">
        <v>24</v>
      </c>
      <c r="H144" s="7">
        <f ca="1">RANDBETWEEN(1,100)</f>
        <v>45</v>
      </c>
      <c r="I144" s="7"/>
      <c r="J144" s="7"/>
      <c r="K144" s="7"/>
      <c r="L144" s="7"/>
      <c r="M144" s="7"/>
      <c r="N144" s="7"/>
      <c r="O144" s="7"/>
      <c r="P144" s="7"/>
      <c r="Q144" s="7"/>
      <c r="R144" s="9" t="s">
        <v>252</v>
      </c>
    </row>
    <row r="145" spans="1:18" s="6" customFormat="1" ht="24.95" customHeight="1" x14ac:dyDescent="0.3">
      <c r="A145" s="7">
        <v>10</v>
      </c>
      <c r="B145" s="7" t="s">
        <v>322</v>
      </c>
      <c r="C145" s="7"/>
      <c r="D145" s="7"/>
      <c r="E145" s="7" t="s">
        <v>253</v>
      </c>
      <c r="F145" s="7">
        <f t="shared" ca="1" si="42"/>
        <v>2023</v>
      </c>
      <c r="G145" s="7" t="s">
        <v>32</v>
      </c>
      <c r="H145" s="7"/>
      <c r="I145" s="7"/>
      <c r="J145" s="7"/>
      <c r="K145" s="7"/>
      <c r="L145" s="7" t="s">
        <v>254</v>
      </c>
      <c r="M145" s="7"/>
      <c r="N145" s="7"/>
      <c r="O145" s="7"/>
      <c r="P145" s="7"/>
      <c r="Q145" s="7" t="s">
        <v>255</v>
      </c>
      <c r="R145" s="9" t="s">
        <v>256</v>
      </c>
    </row>
    <row r="146" spans="1:18" s="6" customFormat="1" ht="24.95" customHeight="1" x14ac:dyDescent="0.3">
      <c r="A146" s="7">
        <v>11</v>
      </c>
      <c r="B146" s="7" t="s">
        <v>322</v>
      </c>
      <c r="C146" s="7" t="s">
        <v>323</v>
      </c>
      <c r="D146" s="7" t="s">
        <v>324</v>
      </c>
      <c r="E146" s="7" t="s">
        <v>257</v>
      </c>
      <c r="F146" s="7">
        <f t="shared" ca="1" si="42"/>
        <v>2017</v>
      </c>
      <c r="G146" s="7" t="s">
        <v>32</v>
      </c>
      <c r="H146" s="7"/>
      <c r="I146" s="7"/>
      <c r="J146" s="7"/>
      <c r="K146" s="7"/>
      <c r="L146" s="7"/>
      <c r="M146" s="7"/>
      <c r="N146" s="7"/>
      <c r="O146" s="7"/>
      <c r="P146" s="7"/>
      <c r="Q146" s="7" t="s">
        <v>258</v>
      </c>
      <c r="R146" s="9"/>
    </row>
    <row r="147" spans="1:18" s="6" customFormat="1" ht="24.95" customHeight="1" x14ac:dyDescent="0.3">
      <c r="A147" s="7">
        <v>12</v>
      </c>
      <c r="B147" s="7" t="s">
        <v>322</v>
      </c>
      <c r="C147" s="7" t="s">
        <v>323</v>
      </c>
      <c r="D147" s="7"/>
      <c r="E147" s="7" t="s">
        <v>259</v>
      </c>
      <c r="F147" s="7">
        <f t="shared" ca="1" si="42"/>
        <v>2013</v>
      </c>
      <c r="G147" s="7" t="s">
        <v>24</v>
      </c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9"/>
    </row>
    <row r="148" spans="1:18" s="11" customFormat="1" ht="24.95" customHeight="1" x14ac:dyDescent="0.3">
      <c r="A148" s="8"/>
      <c r="B148" s="7" t="s">
        <v>322</v>
      </c>
      <c r="C148" s="7" t="s">
        <v>323</v>
      </c>
      <c r="D148" s="8"/>
      <c r="E148" s="8" t="s">
        <v>260</v>
      </c>
      <c r="F148" s="7">
        <f t="shared" ca="1" si="42"/>
        <v>2012</v>
      </c>
      <c r="G148" s="8" t="s">
        <v>32</v>
      </c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10"/>
    </row>
    <row r="149" spans="1:18" s="11" customFormat="1" ht="24.95" customHeight="1" x14ac:dyDescent="0.3">
      <c r="A149" s="8">
        <v>14</v>
      </c>
      <c r="B149" s="7" t="s">
        <v>322</v>
      </c>
      <c r="C149" s="7" t="s">
        <v>323</v>
      </c>
      <c r="D149" s="8"/>
      <c r="E149" s="8" t="s">
        <v>261</v>
      </c>
      <c r="F149" s="7">
        <f t="shared" ca="1" si="42"/>
        <v>2023</v>
      </c>
      <c r="G149" s="8" t="s">
        <v>44</v>
      </c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10"/>
    </row>
    <row r="150" spans="1:18" s="6" customFormat="1" ht="24.95" customHeight="1" x14ac:dyDescent="0.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9"/>
    </row>
    <row r="151" spans="1:18" s="6" customFormat="1" ht="24.9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5"/>
    </row>
    <row r="152" spans="1:18" s="11" customFormat="1" ht="24.95" customHeight="1" x14ac:dyDescent="0.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10"/>
    </row>
    <row r="153" spans="1:18" s="6" customFormat="1" ht="24.95" customHeight="1" x14ac:dyDescent="0.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9"/>
    </row>
    <row r="154" spans="1:18" s="6" customFormat="1" ht="24.9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5"/>
    </row>
    <row r="155" spans="1:18" s="6" customFormat="1" ht="24.95" customHeight="1" x14ac:dyDescent="0.3">
      <c r="A155" s="7">
        <v>1</v>
      </c>
      <c r="B155" s="7" t="s">
        <v>322</v>
      </c>
      <c r="C155" s="7" t="s">
        <v>323</v>
      </c>
      <c r="D155" s="7"/>
      <c r="E155" s="7" t="s">
        <v>262</v>
      </c>
      <c r="F155" s="7">
        <f t="shared" ref="F155:F157" ca="1" si="48">RANDBETWEEN(2010,2025)</f>
        <v>2015</v>
      </c>
      <c r="G155" s="7" t="s">
        <v>44</v>
      </c>
      <c r="H155" s="7">
        <f t="shared" ref="H155:H156" ca="1" si="49">RANDBETWEEN(1,100)</f>
        <v>77</v>
      </c>
      <c r="I155" s="7">
        <f t="shared" ref="I155:I157" ca="1" si="50">RANDBETWEEN(1,10000)</f>
        <v>2439</v>
      </c>
      <c r="J155" s="7">
        <f ca="1">RANDBETWEEN(1,100)</f>
        <v>97</v>
      </c>
      <c r="K155" s="7">
        <f ca="1">RANDBETWEEN(1,100)</f>
        <v>29</v>
      </c>
      <c r="L155" s="7"/>
      <c r="M155" s="7"/>
      <c r="N155" s="7"/>
      <c r="O155" s="7"/>
      <c r="P155" s="7" t="s">
        <v>263</v>
      </c>
      <c r="Q155" s="7"/>
      <c r="R155" s="9" t="s">
        <v>264</v>
      </c>
    </row>
    <row r="156" spans="1:18" s="6" customFormat="1" ht="24.95" customHeight="1" x14ac:dyDescent="0.3">
      <c r="A156" s="7">
        <v>2</v>
      </c>
      <c r="B156" s="7" t="s">
        <v>322</v>
      </c>
      <c r="C156" s="7" t="s">
        <v>323</v>
      </c>
      <c r="D156" s="7"/>
      <c r="E156" s="7" t="s">
        <v>265</v>
      </c>
      <c r="F156" s="7">
        <f t="shared" ca="1" si="48"/>
        <v>2020</v>
      </c>
      <c r="G156" s="7" t="s">
        <v>24</v>
      </c>
      <c r="H156" s="7">
        <f t="shared" ca="1" si="49"/>
        <v>16</v>
      </c>
      <c r="I156" s="7">
        <f t="shared" ca="1" si="50"/>
        <v>8812</v>
      </c>
      <c r="J156" s="7"/>
      <c r="K156" s="7"/>
      <c r="L156" s="7"/>
      <c r="M156" s="7"/>
      <c r="N156" s="7"/>
      <c r="O156" s="7" t="s">
        <v>266</v>
      </c>
      <c r="P156" s="7" t="s">
        <v>267</v>
      </c>
      <c r="Q156" s="7"/>
      <c r="R156" s="9"/>
    </row>
    <row r="157" spans="1:18" s="6" customFormat="1" ht="24.95" customHeight="1" x14ac:dyDescent="0.3">
      <c r="A157" s="7"/>
      <c r="B157" s="7" t="s">
        <v>322</v>
      </c>
      <c r="C157" s="7" t="s">
        <v>323</v>
      </c>
      <c r="D157" s="7"/>
      <c r="E157" s="7" t="s">
        <v>268</v>
      </c>
      <c r="F157" s="7">
        <f t="shared" ca="1" si="48"/>
        <v>2016</v>
      </c>
      <c r="G157" s="7" t="s">
        <v>44</v>
      </c>
      <c r="H157" s="7"/>
      <c r="I157" s="7">
        <f t="shared" ca="1" si="50"/>
        <v>5867</v>
      </c>
      <c r="J157" s="7"/>
      <c r="K157" s="7"/>
      <c r="L157" s="7"/>
      <c r="M157" s="7"/>
      <c r="N157" s="7"/>
      <c r="O157" s="7" t="s">
        <v>200</v>
      </c>
      <c r="P157" s="7"/>
      <c r="Q157" s="7" t="s">
        <v>269</v>
      </c>
      <c r="R157" s="9"/>
    </row>
    <row r="158" spans="1:18" s="6" customFormat="1" ht="24.95" customHeight="1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9"/>
    </row>
    <row r="159" spans="1:18" s="6" customFormat="1" ht="24.9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5"/>
    </row>
    <row r="160" spans="1:18" s="6" customFormat="1" ht="24.95" customHeight="1" x14ac:dyDescent="0.3">
      <c r="A160" s="7">
        <v>1</v>
      </c>
      <c r="B160" s="7" t="s">
        <v>322</v>
      </c>
      <c r="C160" s="7" t="s">
        <v>323</v>
      </c>
      <c r="D160" s="7" t="s">
        <v>324</v>
      </c>
      <c r="E160" s="7" t="s">
        <v>270</v>
      </c>
      <c r="F160" s="7">
        <f t="shared" ref="F160:F171" ca="1" si="51">RANDBETWEEN(2010,2025)</f>
        <v>2013</v>
      </c>
      <c r="G160" s="7" t="s">
        <v>24</v>
      </c>
      <c r="H160" s="7">
        <f ca="1">RANDBETWEEN(1,100)</f>
        <v>79</v>
      </c>
      <c r="I160" s="7">
        <f ca="1">RANDBETWEEN(1,10000)</f>
        <v>9759</v>
      </c>
      <c r="J160" s="7"/>
      <c r="K160" s="7"/>
      <c r="L160" s="7"/>
      <c r="M160" s="7"/>
      <c r="N160" s="7"/>
      <c r="O160" s="7"/>
      <c r="P160" s="7" t="s">
        <v>271</v>
      </c>
      <c r="Q160" s="7" t="s">
        <v>272</v>
      </c>
      <c r="R160" s="9" t="s">
        <v>273</v>
      </c>
    </row>
    <row r="161" spans="1:18" s="6" customFormat="1" ht="24.95" customHeight="1" x14ac:dyDescent="0.3">
      <c r="A161" s="7">
        <v>2</v>
      </c>
      <c r="B161" s="7" t="s">
        <v>322</v>
      </c>
      <c r="C161" s="7" t="s">
        <v>323</v>
      </c>
      <c r="D161" s="7" t="s">
        <v>324</v>
      </c>
      <c r="E161" s="7" t="s">
        <v>274</v>
      </c>
      <c r="F161" s="7">
        <f t="shared" ca="1" si="51"/>
        <v>2021</v>
      </c>
      <c r="G161" s="7" t="s">
        <v>24</v>
      </c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9" t="s">
        <v>275</v>
      </c>
    </row>
    <row r="162" spans="1:18" s="6" customFormat="1" ht="24.95" customHeight="1" x14ac:dyDescent="0.3">
      <c r="A162" s="7">
        <v>3</v>
      </c>
      <c r="B162" s="7" t="s">
        <v>322</v>
      </c>
      <c r="C162" s="7" t="s">
        <v>323</v>
      </c>
      <c r="D162" s="7" t="s">
        <v>324</v>
      </c>
      <c r="E162" s="7" t="s">
        <v>276</v>
      </c>
      <c r="F162" s="7">
        <f t="shared" ca="1" si="51"/>
        <v>2014</v>
      </c>
      <c r="G162" s="7" t="s">
        <v>44</v>
      </c>
      <c r="H162" s="7">
        <f t="shared" ref="H162:H163" ca="1" si="52">RANDBETWEEN(1,100)</f>
        <v>28</v>
      </c>
      <c r="I162" s="7">
        <f t="shared" ref="I162:I163" ca="1" si="53">RANDBETWEEN(1,10000)</f>
        <v>4690</v>
      </c>
      <c r="J162" s="7"/>
      <c r="K162" s="7"/>
      <c r="L162" s="7"/>
      <c r="M162" s="7"/>
      <c r="N162" s="7"/>
      <c r="O162" s="7"/>
      <c r="P162" s="7"/>
      <c r="Q162" s="7"/>
      <c r="R162" s="9" t="s">
        <v>277</v>
      </c>
    </row>
    <row r="163" spans="1:18" s="6" customFormat="1" ht="24.95" customHeight="1" x14ac:dyDescent="0.3">
      <c r="A163" s="7">
        <v>4</v>
      </c>
      <c r="B163" s="7" t="s">
        <v>322</v>
      </c>
      <c r="C163" s="7" t="s">
        <v>323</v>
      </c>
      <c r="D163" s="7" t="s">
        <v>324</v>
      </c>
      <c r="E163" s="7" t="s">
        <v>278</v>
      </c>
      <c r="F163" s="7">
        <f t="shared" ca="1" si="51"/>
        <v>2022</v>
      </c>
      <c r="G163" s="8" t="s">
        <v>24</v>
      </c>
      <c r="H163" s="7">
        <f t="shared" ca="1" si="52"/>
        <v>8</v>
      </c>
      <c r="I163" s="7">
        <f t="shared" ca="1" si="53"/>
        <v>7555</v>
      </c>
      <c r="J163" s="7">
        <f ca="1">RANDBETWEEN(1,100)</f>
        <v>13</v>
      </c>
      <c r="K163" s="7"/>
      <c r="L163" s="7"/>
      <c r="M163" s="7"/>
      <c r="N163" s="7"/>
      <c r="O163" s="7"/>
      <c r="P163" s="7"/>
      <c r="Q163" s="7"/>
      <c r="R163" s="9"/>
    </row>
    <row r="164" spans="1:18" s="6" customFormat="1" ht="24.95" customHeight="1" x14ac:dyDescent="0.3">
      <c r="A164" s="7">
        <v>5</v>
      </c>
      <c r="B164" s="7" t="s">
        <v>322</v>
      </c>
      <c r="C164" s="7" t="s">
        <v>323</v>
      </c>
      <c r="D164" s="7" t="s">
        <v>324</v>
      </c>
      <c r="E164" s="7" t="s">
        <v>279</v>
      </c>
      <c r="F164" s="7">
        <f t="shared" ca="1" si="51"/>
        <v>2023</v>
      </c>
      <c r="G164" s="7" t="s">
        <v>32</v>
      </c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9" t="s">
        <v>234</v>
      </c>
    </row>
    <row r="165" spans="1:18" s="6" customFormat="1" ht="24.95" customHeight="1" x14ac:dyDescent="0.3">
      <c r="A165" s="7">
        <v>6</v>
      </c>
      <c r="B165" s="7" t="s">
        <v>322</v>
      </c>
      <c r="C165" s="7" t="s">
        <v>323</v>
      </c>
      <c r="D165" s="7" t="s">
        <v>324</v>
      </c>
      <c r="E165" s="7" t="s">
        <v>280</v>
      </c>
      <c r="F165" s="7">
        <f t="shared" ca="1" si="51"/>
        <v>2015</v>
      </c>
      <c r="G165" s="7" t="s">
        <v>32</v>
      </c>
      <c r="H165" s="7"/>
      <c r="I165" s="7">
        <f t="shared" ref="I165:I166" ca="1" si="54">RANDBETWEEN(1,10000)</f>
        <v>6645</v>
      </c>
      <c r="J165" s="7"/>
      <c r="K165" s="7"/>
      <c r="L165" s="7" t="s">
        <v>281</v>
      </c>
      <c r="M165" s="7"/>
      <c r="N165" s="7"/>
      <c r="O165" s="7"/>
      <c r="P165" s="7"/>
      <c r="Q165" s="7"/>
      <c r="R165" s="9"/>
    </row>
    <row r="166" spans="1:18" s="6" customFormat="1" ht="24.95" customHeight="1" x14ac:dyDescent="0.3">
      <c r="A166" s="7">
        <v>7</v>
      </c>
      <c r="B166" s="7" t="s">
        <v>322</v>
      </c>
      <c r="C166" s="7" t="s">
        <v>323</v>
      </c>
      <c r="D166" s="7" t="s">
        <v>324</v>
      </c>
      <c r="E166" s="7" t="s">
        <v>282</v>
      </c>
      <c r="F166" s="7">
        <f t="shared" ca="1" si="51"/>
        <v>2013</v>
      </c>
      <c r="G166" s="8" t="s">
        <v>44</v>
      </c>
      <c r="H166" s="7"/>
      <c r="I166" s="7">
        <f t="shared" ca="1" si="54"/>
        <v>4659</v>
      </c>
      <c r="J166" s="7"/>
      <c r="K166" s="7"/>
      <c r="L166" s="7"/>
      <c r="M166" s="7"/>
      <c r="N166" s="7"/>
      <c r="O166" s="7" t="s">
        <v>283</v>
      </c>
      <c r="P166" s="7"/>
      <c r="Q166" s="7"/>
      <c r="R166" s="9"/>
    </row>
    <row r="167" spans="1:18" s="6" customFormat="1" ht="24.95" customHeight="1" x14ac:dyDescent="0.3">
      <c r="A167" s="7">
        <v>8</v>
      </c>
      <c r="B167" s="7" t="s">
        <v>322</v>
      </c>
      <c r="C167" s="7" t="s">
        <v>323</v>
      </c>
      <c r="D167" s="7" t="s">
        <v>324</v>
      </c>
      <c r="E167" s="7" t="s">
        <v>284</v>
      </c>
      <c r="F167" s="7">
        <f t="shared" ca="1" si="51"/>
        <v>2017</v>
      </c>
      <c r="G167" s="7" t="s">
        <v>32</v>
      </c>
      <c r="H167" s="7">
        <f ca="1">RANDBETWEEN(1,100)</f>
        <v>99</v>
      </c>
      <c r="I167" s="7"/>
      <c r="J167" s="7"/>
      <c r="K167" s="7"/>
      <c r="L167" s="7"/>
      <c r="M167" s="7"/>
      <c r="N167" s="7"/>
      <c r="O167" s="7" t="s">
        <v>285</v>
      </c>
      <c r="P167" s="7" t="s">
        <v>285</v>
      </c>
      <c r="Q167" s="7" t="s">
        <v>286</v>
      </c>
      <c r="R167" s="9"/>
    </row>
    <row r="168" spans="1:18" s="11" customFormat="1" ht="24.95" customHeight="1" x14ac:dyDescent="0.3">
      <c r="A168" s="8">
        <v>9</v>
      </c>
      <c r="B168" s="7" t="s">
        <v>322</v>
      </c>
      <c r="C168" s="7" t="s">
        <v>323</v>
      </c>
      <c r="D168" s="8"/>
      <c r="E168" s="8" t="s">
        <v>287</v>
      </c>
      <c r="F168" s="7">
        <f t="shared" ca="1" si="51"/>
        <v>2015</v>
      </c>
      <c r="G168" s="8" t="s">
        <v>24</v>
      </c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10"/>
    </row>
    <row r="169" spans="1:18" s="11" customFormat="1" ht="24.95" customHeight="1" x14ac:dyDescent="0.3">
      <c r="A169" s="8">
        <v>10</v>
      </c>
      <c r="B169" s="7" t="s">
        <v>322</v>
      </c>
      <c r="C169" s="7" t="s">
        <v>323</v>
      </c>
      <c r="D169" s="8"/>
      <c r="E169" s="8" t="s">
        <v>288</v>
      </c>
      <c r="F169" s="7">
        <f t="shared" ca="1" si="51"/>
        <v>2017</v>
      </c>
      <c r="G169" s="8" t="s">
        <v>24</v>
      </c>
      <c r="H169" s="8"/>
      <c r="I169" s="8" t="s">
        <v>289</v>
      </c>
      <c r="J169" s="8"/>
      <c r="K169" s="8"/>
      <c r="L169" s="8"/>
      <c r="M169" s="8"/>
      <c r="N169" s="8"/>
      <c r="O169" s="8"/>
      <c r="P169" s="8"/>
      <c r="Q169" s="8"/>
      <c r="R169" s="10"/>
    </row>
    <row r="170" spans="1:18" s="11" customFormat="1" ht="24.95" customHeight="1" x14ac:dyDescent="0.3">
      <c r="A170" s="8">
        <v>11</v>
      </c>
      <c r="B170" s="7" t="s">
        <v>322</v>
      </c>
      <c r="C170" s="7" t="s">
        <v>323</v>
      </c>
      <c r="D170" s="8"/>
      <c r="E170" s="8" t="s">
        <v>290</v>
      </c>
      <c r="F170" s="7">
        <f t="shared" ca="1" si="51"/>
        <v>2012</v>
      </c>
      <c r="G170" s="8" t="s">
        <v>32</v>
      </c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10"/>
    </row>
    <row r="171" spans="1:18" s="11" customFormat="1" ht="24.95" customHeight="1" x14ac:dyDescent="0.3">
      <c r="A171" s="8">
        <v>12</v>
      </c>
      <c r="B171" s="7" t="s">
        <v>322</v>
      </c>
      <c r="C171" s="7" t="s">
        <v>323</v>
      </c>
      <c r="D171" s="8"/>
      <c r="E171" s="8" t="s">
        <v>291</v>
      </c>
      <c r="F171" s="7">
        <f t="shared" ca="1" si="51"/>
        <v>2018</v>
      </c>
      <c r="G171" s="8" t="s">
        <v>44</v>
      </c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10"/>
    </row>
    <row r="172" spans="1:18" s="6" customFormat="1" ht="24.95" customHeight="1" x14ac:dyDescent="0.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9"/>
    </row>
    <row r="173" spans="1:18" s="6" customFormat="1" ht="24.9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5"/>
    </row>
    <row r="174" spans="1:18" s="6" customFormat="1" ht="24.95" customHeight="1" x14ac:dyDescent="0.3">
      <c r="A174" s="7">
        <v>1</v>
      </c>
      <c r="B174" s="7" t="s">
        <v>322</v>
      </c>
      <c r="C174" s="7" t="s">
        <v>323</v>
      </c>
      <c r="D174" s="7"/>
      <c r="E174" s="7" t="s">
        <v>292</v>
      </c>
      <c r="F174" s="7">
        <f t="shared" ref="F174:F176" ca="1" si="55">RANDBETWEEN(2010,2025)</f>
        <v>2021</v>
      </c>
      <c r="G174" s="7" t="s">
        <v>44</v>
      </c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9" t="s">
        <v>293</v>
      </c>
    </row>
    <row r="175" spans="1:18" s="6" customFormat="1" ht="24.95" customHeight="1" x14ac:dyDescent="0.3">
      <c r="A175" s="7">
        <v>2</v>
      </c>
      <c r="B175" s="7" t="s">
        <v>322</v>
      </c>
      <c r="C175" s="7" t="s">
        <v>323</v>
      </c>
      <c r="D175" s="7" t="s">
        <v>324</v>
      </c>
      <c r="E175" s="7" t="s">
        <v>294</v>
      </c>
      <c r="F175" s="7">
        <f t="shared" ca="1" si="55"/>
        <v>2024</v>
      </c>
      <c r="G175" s="7" t="s">
        <v>44</v>
      </c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9" t="s">
        <v>295</v>
      </c>
    </row>
    <row r="176" spans="1:18" s="11" customFormat="1" ht="24.95" customHeight="1" x14ac:dyDescent="0.3">
      <c r="A176" s="8">
        <v>3</v>
      </c>
      <c r="B176" s="7" t="s">
        <v>322</v>
      </c>
      <c r="C176" s="7" t="s">
        <v>323</v>
      </c>
      <c r="D176" s="8"/>
      <c r="E176" s="8" t="s">
        <v>296</v>
      </c>
      <c r="F176" s="7">
        <f t="shared" ca="1" si="55"/>
        <v>2016</v>
      </c>
      <c r="G176" s="8" t="s">
        <v>32</v>
      </c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10"/>
    </row>
    <row r="177" spans="1:18" s="6" customFormat="1" ht="24.95" customHeight="1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9"/>
    </row>
    <row r="178" spans="1:18" s="6" customFormat="1" ht="24.9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5"/>
    </row>
    <row r="179" spans="1:18" s="6" customFormat="1" ht="24.95" customHeight="1" x14ac:dyDescent="0.3">
      <c r="A179" s="7">
        <v>1</v>
      </c>
      <c r="B179" s="7" t="s">
        <v>322</v>
      </c>
      <c r="C179" s="7" t="s">
        <v>323</v>
      </c>
      <c r="D179" s="7" t="s">
        <v>324</v>
      </c>
      <c r="E179" s="7" t="s">
        <v>297</v>
      </c>
      <c r="F179" s="7">
        <f ca="1">RANDBETWEEN(2010,2025)</f>
        <v>2016</v>
      </c>
      <c r="G179" s="7" t="s">
        <v>32</v>
      </c>
      <c r="H179" s="7">
        <f ca="1">RANDBETWEEN(1,100)</f>
        <v>46</v>
      </c>
      <c r="I179" s="7"/>
      <c r="J179" s="7"/>
      <c r="K179" s="7"/>
      <c r="L179" s="7"/>
      <c r="M179" s="7"/>
      <c r="N179" s="7"/>
      <c r="O179" s="7" t="s">
        <v>283</v>
      </c>
      <c r="P179" s="7"/>
      <c r="Q179" s="7"/>
      <c r="R179" s="9"/>
    </row>
    <row r="180" spans="1:18" s="6" customFormat="1" ht="24.95" customHeight="1" x14ac:dyDescent="0.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9"/>
    </row>
    <row r="181" spans="1:18" s="6" customFormat="1" ht="24.9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5"/>
    </row>
    <row r="182" spans="1:18" s="6" customFormat="1" ht="24.95" customHeight="1" x14ac:dyDescent="0.3">
      <c r="A182" s="7">
        <v>1</v>
      </c>
      <c r="B182" s="7" t="s">
        <v>322</v>
      </c>
      <c r="C182" s="7" t="s">
        <v>323</v>
      </c>
      <c r="D182" s="7" t="s">
        <v>324</v>
      </c>
      <c r="E182" s="7" t="s">
        <v>298</v>
      </c>
      <c r="F182" s="7">
        <f ca="1">RANDBETWEEN(2010,2025)</f>
        <v>2022</v>
      </c>
      <c r="G182" s="7" t="s">
        <v>44</v>
      </c>
      <c r="H182" s="7">
        <f ca="1">RANDBETWEEN(1,100)</f>
        <v>77</v>
      </c>
      <c r="I182" s="7"/>
      <c r="J182" s="7"/>
      <c r="K182" s="7"/>
      <c r="L182" s="7"/>
      <c r="M182" s="7"/>
      <c r="N182" s="7"/>
      <c r="O182" s="7" t="s">
        <v>252</v>
      </c>
      <c r="P182" s="7"/>
      <c r="Q182" s="7" t="s">
        <v>299</v>
      </c>
      <c r="R182" s="9"/>
    </row>
    <row r="183" spans="1:18" s="6" customFormat="1" ht="24.95" customHeight="1" x14ac:dyDescent="0.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9"/>
    </row>
    <row r="184" spans="1:18" s="6" customFormat="1" ht="24.95" customHeight="1" x14ac:dyDescent="0.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9"/>
    </row>
    <row r="185" spans="1:18" s="6" customFormat="1" ht="24.9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5"/>
    </row>
    <row r="186" spans="1:18" s="6" customFormat="1" ht="24.95" customHeight="1" x14ac:dyDescent="0.3">
      <c r="A186" s="7">
        <v>1</v>
      </c>
      <c r="B186" s="7" t="s">
        <v>322</v>
      </c>
      <c r="C186" s="7" t="s">
        <v>323</v>
      </c>
      <c r="D186" s="7" t="s">
        <v>324</v>
      </c>
      <c r="E186" s="7" t="s">
        <v>300</v>
      </c>
      <c r="F186" s="7">
        <f t="shared" ref="F186:F187" ca="1" si="56">RANDBETWEEN(2010,2025)</f>
        <v>2015</v>
      </c>
      <c r="G186" s="7" t="s">
        <v>44</v>
      </c>
      <c r="H186" s="7">
        <f ca="1">RANDBETWEEN(1,100)</f>
        <v>11</v>
      </c>
      <c r="I186" s="7">
        <f ca="1">RANDBETWEEN(1,10000)</f>
        <v>3975</v>
      </c>
      <c r="J186" s="7"/>
      <c r="K186" s="7"/>
      <c r="L186" s="7" t="s">
        <v>301</v>
      </c>
      <c r="M186" s="7"/>
      <c r="N186" s="7"/>
      <c r="O186" s="7" t="s">
        <v>302</v>
      </c>
      <c r="P186" s="7"/>
      <c r="Q186" s="7"/>
      <c r="R186" s="9" t="s">
        <v>303</v>
      </c>
    </row>
    <row r="187" spans="1:18" s="6" customFormat="1" ht="24.95" customHeight="1" x14ac:dyDescent="0.3">
      <c r="A187" s="7">
        <v>2</v>
      </c>
      <c r="B187" s="7" t="s">
        <v>322</v>
      </c>
      <c r="C187" s="7" t="s">
        <v>323</v>
      </c>
      <c r="D187" s="7"/>
      <c r="E187" s="7" t="s">
        <v>304</v>
      </c>
      <c r="F187" s="7">
        <f t="shared" ca="1" si="56"/>
        <v>2021</v>
      </c>
      <c r="G187" s="7" t="s">
        <v>24</v>
      </c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9" t="s">
        <v>303</v>
      </c>
    </row>
    <row r="188" spans="1:18" s="6" customFormat="1" ht="24.95" customHeight="1" x14ac:dyDescent="0.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9"/>
    </row>
    <row r="189" spans="1:18" s="6" customFormat="1" ht="24.9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5"/>
    </row>
    <row r="190" spans="1:18" s="6" customFormat="1" ht="24.95" customHeight="1" x14ac:dyDescent="0.3">
      <c r="A190" s="7">
        <v>1</v>
      </c>
      <c r="B190" s="7" t="s">
        <v>322</v>
      </c>
      <c r="C190" s="7" t="s">
        <v>323</v>
      </c>
      <c r="D190" s="7"/>
      <c r="E190" s="7" t="s">
        <v>305</v>
      </c>
      <c r="F190" s="7">
        <f t="shared" ref="F190:F193" ca="1" si="57">RANDBETWEEN(2010,2025)</f>
        <v>2025</v>
      </c>
      <c r="G190" s="7" t="s">
        <v>24</v>
      </c>
      <c r="H190" s="7">
        <f ca="1">RANDBETWEEN(1,100)</f>
        <v>78</v>
      </c>
      <c r="I190" s="7">
        <f ca="1">RANDBETWEEN(1,10000)</f>
        <v>6136</v>
      </c>
      <c r="J190" s="7"/>
      <c r="K190" s="7"/>
      <c r="L190" s="7"/>
      <c r="M190" s="7"/>
      <c r="N190" s="7"/>
      <c r="O190" s="7"/>
      <c r="P190" s="7"/>
      <c r="Q190" s="7"/>
      <c r="R190" s="9"/>
    </row>
    <row r="191" spans="1:18" s="6" customFormat="1" ht="24.95" customHeight="1" x14ac:dyDescent="0.3">
      <c r="A191" s="7">
        <v>2</v>
      </c>
      <c r="B191" s="7" t="s">
        <v>322</v>
      </c>
      <c r="C191" s="7" t="s">
        <v>323</v>
      </c>
      <c r="D191" s="7"/>
      <c r="E191" s="7" t="s">
        <v>306</v>
      </c>
      <c r="F191" s="7">
        <f t="shared" ca="1" si="57"/>
        <v>2025</v>
      </c>
      <c r="G191" s="7" t="s">
        <v>32</v>
      </c>
      <c r="H191" s="7"/>
      <c r="I191" s="7"/>
      <c r="J191" s="7"/>
      <c r="K191" s="7">
        <v>540</v>
      </c>
      <c r="L191" s="7"/>
      <c r="M191" s="7"/>
      <c r="N191" s="7"/>
      <c r="O191" s="7"/>
      <c r="P191" s="7"/>
      <c r="Q191" s="7"/>
      <c r="R191" s="9"/>
    </row>
    <row r="192" spans="1:18" s="6" customFormat="1" ht="24.95" customHeight="1" x14ac:dyDescent="0.3">
      <c r="A192" s="7">
        <v>3</v>
      </c>
      <c r="B192" s="7" t="s">
        <v>322</v>
      </c>
      <c r="C192" s="7" t="s">
        <v>323</v>
      </c>
      <c r="D192" s="7" t="s">
        <v>324</v>
      </c>
      <c r="E192" s="7" t="s">
        <v>307</v>
      </c>
      <c r="F192" s="7">
        <f t="shared" ca="1" si="57"/>
        <v>2022</v>
      </c>
      <c r="G192" s="7" t="s">
        <v>44</v>
      </c>
      <c r="H192" s="7">
        <f ca="1">RANDBETWEEN(1,100)</f>
        <v>19</v>
      </c>
      <c r="I192" s="7">
        <f ca="1">RANDBETWEEN(1,10000)</f>
        <v>4389</v>
      </c>
      <c r="J192" s="7"/>
      <c r="K192" s="7"/>
      <c r="L192" s="7"/>
      <c r="M192" s="7"/>
      <c r="N192" s="7"/>
      <c r="O192" s="7"/>
      <c r="P192" s="7"/>
      <c r="Q192" s="7"/>
      <c r="R192" s="9"/>
    </row>
    <row r="193" spans="1:18" s="11" customFormat="1" ht="24.95" customHeight="1" x14ac:dyDescent="0.3">
      <c r="A193" s="8">
        <v>4</v>
      </c>
      <c r="B193" s="7" t="s">
        <v>322</v>
      </c>
      <c r="C193" s="7" t="s">
        <v>323</v>
      </c>
      <c r="D193" s="8"/>
      <c r="E193" s="8" t="s">
        <v>308</v>
      </c>
      <c r="F193" s="7">
        <f t="shared" ca="1" si="57"/>
        <v>2025</v>
      </c>
      <c r="G193" s="8" t="s">
        <v>179</v>
      </c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10"/>
    </row>
    <row r="194" spans="1:18" s="6" customFormat="1" ht="24.95" customHeight="1" x14ac:dyDescent="0.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9"/>
    </row>
    <row r="195" spans="1:18" s="6" customFormat="1" ht="24.9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5"/>
    </row>
    <row r="196" spans="1:18" s="6" customFormat="1" ht="24.95" customHeight="1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9"/>
    </row>
    <row r="197" spans="1:18" s="6" customFormat="1" ht="24.95" customHeight="1" x14ac:dyDescent="0.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9"/>
    </row>
    <row r="198" spans="1:18" s="6" customFormat="1" ht="24.9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5"/>
    </row>
    <row r="199" spans="1:18" s="6" customFormat="1" ht="24.95" customHeight="1" x14ac:dyDescent="0.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9"/>
    </row>
    <row r="200" spans="1:18" s="6" customFormat="1" ht="24.95" customHeight="1" x14ac:dyDescent="0.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9"/>
    </row>
    <row r="201" spans="1:18" s="6" customFormat="1" ht="24.9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5"/>
    </row>
    <row r="202" spans="1:18" s="6" customFormat="1" ht="24.95" customHeight="1" x14ac:dyDescent="0.3">
      <c r="A202" s="7">
        <v>1</v>
      </c>
      <c r="B202" s="7" t="s">
        <v>322</v>
      </c>
      <c r="C202" s="7" t="s">
        <v>323</v>
      </c>
      <c r="D202" s="7" t="s">
        <v>324</v>
      </c>
      <c r="E202" s="7" t="s">
        <v>309</v>
      </c>
      <c r="F202" s="7">
        <f ca="1">RANDBETWEEN(2010,2025)</f>
        <v>2022</v>
      </c>
      <c r="G202" s="8" t="s">
        <v>24</v>
      </c>
      <c r="H202" s="7">
        <f ca="1">RANDBETWEEN(1,100)</f>
        <v>71</v>
      </c>
      <c r="I202" s="7">
        <f ca="1">RANDBETWEEN(1,10000)</f>
        <v>5066</v>
      </c>
      <c r="J202" s="7"/>
      <c r="K202" s="7"/>
      <c r="L202" s="7"/>
      <c r="M202" s="7"/>
      <c r="N202" s="7"/>
      <c r="O202" s="7" t="s">
        <v>310</v>
      </c>
      <c r="P202" s="7"/>
      <c r="Q202" s="7"/>
      <c r="R202" s="9"/>
    </row>
    <row r="203" spans="1:18" s="6" customFormat="1" ht="24.95" customHeight="1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9"/>
    </row>
    <row r="204" spans="1:18" s="6" customFormat="1" ht="24.9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5"/>
    </row>
    <row r="205" spans="1:18" s="6" customFormat="1" ht="24.95" customHeight="1" x14ac:dyDescent="0.3">
      <c r="A205" s="7">
        <v>1</v>
      </c>
      <c r="B205" s="7" t="s">
        <v>322</v>
      </c>
      <c r="C205" s="7" t="s">
        <v>323</v>
      </c>
      <c r="D205" s="7"/>
      <c r="E205" s="7" t="s">
        <v>311</v>
      </c>
      <c r="F205" s="7">
        <f t="shared" ref="F205:F211" ca="1" si="58">RANDBETWEEN(2010,2025)</f>
        <v>2014</v>
      </c>
      <c r="G205" s="7" t="s">
        <v>32</v>
      </c>
      <c r="H205" s="7">
        <f t="shared" ref="H205:H209" ca="1" si="59">RANDBETWEEN(1,100)</f>
        <v>65</v>
      </c>
      <c r="I205" s="7"/>
      <c r="J205" s="7"/>
      <c r="K205" s="7"/>
      <c r="L205" s="7" t="s">
        <v>312</v>
      </c>
      <c r="M205" s="7"/>
      <c r="N205" s="7"/>
      <c r="O205" s="7" t="s">
        <v>313</v>
      </c>
      <c r="P205" s="7"/>
      <c r="Q205" s="7"/>
      <c r="R205" s="9"/>
    </row>
    <row r="206" spans="1:18" s="6" customFormat="1" ht="24.95" customHeight="1" x14ac:dyDescent="0.3">
      <c r="A206" s="7">
        <v>2</v>
      </c>
      <c r="B206" s="7" t="s">
        <v>322</v>
      </c>
      <c r="C206" s="7" t="s">
        <v>323</v>
      </c>
      <c r="D206" s="7"/>
      <c r="E206" s="7" t="s">
        <v>314</v>
      </c>
      <c r="F206" s="7">
        <f t="shared" ca="1" si="58"/>
        <v>2021</v>
      </c>
      <c r="G206" s="7" t="s">
        <v>24</v>
      </c>
      <c r="H206" s="7">
        <f t="shared" ca="1" si="59"/>
        <v>27</v>
      </c>
      <c r="I206" s="7">
        <f ca="1">RANDBETWEEN(1,10000)</f>
        <v>7862</v>
      </c>
      <c r="J206" s="7"/>
      <c r="K206" s="7"/>
      <c r="L206" s="7"/>
      <c r="M206" s="7"/>
      <c r="N206" s="7"/>
      <c r="O206" s="7"/>
      <c r="P206" s="7"/>
      <c r="Q206" s="7"/>
      <c r="R206" s="9"/>
    </row>
    <row r="207" spans="1:18" s="6" customFormat="1" ht="24.95" customHeight="1" x14ac:dyDescent="0.3">
      <c r="A207" s="7">
        <v>3</v>
      </c>
      <c r="B207" s="7" t="s">
        <v>322</v>
      </c>
      <c r="C207" s="7" t="s">
        <v>323</v>
      </c>
      <c r="D207" s="7" t="s">
        <v>324</v>
      </c>
      <c r="E207" s="7" t="s">
        <v>315</v>
      </c>
      <c r="F207" s="7">
        <f t="shared" ca="1" si="58"/>
        <v>2024</v>
      </c>
      <c r="G207" s="7" t="s">
        <v>24</v>
      </c>
      <c r="H207" s="7">
        <f t="shared" ca="1" si="59"/>
        <v>81</v>
      </c>
      <c r="I207" s="7"/>
      <c r="J207" s="7"/>
      <c r="K207" s="7"/>
      <c r="L207" s="7"/>
      <c r="M207" s="7"/>
      <c r="N207" s="7"/>
      <c r="O207" s="7" t="s">
        <v>316</v>
      </c>
      <c r="P207" s="7"/>
      <c r="Q207" s="7"/>
      <c r="R207" s="9"/>
    </row>
    <row r="208" spans="1:18" s="6" customFormat="1" ht="24.95" customHeight="1" x14ac:dyDescent="0.3">
      <c r="A208" s="7">
        <v>4</v>
      </c>
      <c r="B208" s="7" t="s">
        <v>322</v>
      </c>
      <c r="C208" s="7" t="s">
        <v>323</v>
      </c>
      <c r="D208" s="7"/>
      <c r="E208" s="7" t="s">
        <v>317</v>
      </c>
      <c r="F208" s="7">
        <f t="shared" ca="1" si="58"/>
        <v>2012</v>
      </c>
      <c r="G208" s="7" t="s">
        <v>44</v>
      </c>
      <c r="H208" s="7">
        <f t="shared" ca="1" si="59"/>
        <v>82</v>
      </c>
      <c r="I208" s="7">
        <f ca="1">RANDBETWEEN(1,10000)</f>
        <v>2648</v>
      </c>
      <c r="J208" s="7"/>
      <c r="K208" s="7"/>
      <c r="L208" s="7"/>
      <c r="M208" s="7"/>
      <c r="N208" s="7"/>
      <c r="O208" s="7"/>
      <c r="P208" s="7"/>
      <c r="Q208" s="7"/>
      <c r="R208" s="9"/>
    </row>
    <row r="209" spans="1:18" s="6" customFormat="1" ht="24.95" customHeight="1" x14ac:dyDescent="0.3">
      <c r="A209" s="7">
        <v>5</v>
      </c>
      <c r="B209" s="7" t="s">
        <v>322</v>
      </c>
      <c r="C209" s="7" t="s">
        <v>323</v>
      </c>
      <c r="D209" s="7" t="s">
        <v>324</v>
      </c>
      <c r="E209" s="7" t="s">
        <v>318</v>
      </c>
      <c r="F209" s="7">
        <f t="shared" ca="1" si="58"/>
        <v>2018</v>
      </c>
      <c r="G209" s="7" t="s">
        <v>32</v>
      </c>
      <c r="H209" s="7">
        <f t="shared" ca="1" si="59"/>
        <v>61</v>
      </c>
      <c r="I209" s="7"/>
      <c r="J209" s="7">
        <f ca="1">RANDBETWEEN(1,100)</f>
        <v>77</v>
      </c>
      <c r="K209" s="7"/>
      <c r="L209" s="7"/>
      <c r="M209" s="7"/>
      <c r="N209" s="7"/>
      <c r="O209" s="7" t="s">
        <v>319</v>
      </c>
      <c r="P209" s="7"/>
      <c r="Q209" s="7"/>
      <c r="R209" s="9"/>
    </row>
    <row r="210" spans="1:18" s="11" customFormat="1" ht="24.95" customHeight="1" x14ac:dyDescent="0.3">
      <c r="A210" s="8">
        <v>6</v>
      </c>
      <c r="B210" s="7" t="s">
        <v>322</v>
      </c>
      <c r="C210" s="7" t="s">
        <v>323</v>
      </c>
      <c r="D210" s="8"/>
      <c r="E210" s="8" t="s">
        <v>320</v>
      </c>
      <c r="F210" s="7">
        <f t="shared" ca="1" si="58"/>
        <v>2019</v>
      </c>
      <c r="G210" s="8" t="s">
        <v>24</v>
      </c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10"/>
    </row>
    <row r="211" spans="1:18" s="11" customFormat="1" ht="24.95" customHeight="1" x14ac:dyDescent="0.3">
      <c r="A211" s="8">
        <v>7</v>
      </c>
      <c r="B211" s="7" t="s">
        <v>322</v>
      </c>
      <c r="C211" s="7" t="s">
        <v>323</v>
      </c>
      <c r="D211" s="8"/>
      <c r="E211" s="8" t="s">
        <v>321</v>
      </c>
      <c r="F211" s="7">
        <f t="shared" ca="1" si="58"/>
        <v>2012</v>
      </c>
      <c r="G211" s="8" t="s">
        <v>24</v>
      </c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10"/>
    </row>
  </sheetData>
  <autoFilter ref="A1:P211" xr:uid="{547982CF-4461-4ED0-B6CD-37B96C5BCFBF}">
    <filterColumn colId="1" showButton="0"/>
    <filterColumn colId="2" showButton="0"/>
    <filterColumn colId="9" showButton="0"/>
    <filterColumn colId="11" showButton="0"/>
    <filterColumn colId="12" showButton="0"/>
    <filterColumn colId="13" showButton="0"/>
    <filterColumn colId="14" showButton="0"/>
  </autoFilter>
  <mergeCells count="9">
    <mergeCell ref="I1:I2"/>
    <mergeCell ref="J1:K1"/>
    <mergeCell ref="L1:P1"/>
    <mergeCell ref="A1:A2"/>
    <mergeCell ref="B1:D1"/>
    <mergeCell ref="E1:E2"/>
    <mergeCell ref="F1:F2"/>
    <mergeCell ref="G1:G2"/>
    <mergeCell ref="H1:H2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氢能园区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Liu [cn19xl]</dc:creator>
  <cp:lastModifiedBy>Xiao Liu [cn19xl]</cp:lastModifiedBy>
  <dcterms:created xsi:type="dcterms:W3CDTF">2026-05-25T09:47:23Z</dcterms:created>
  <dcterms:modified xsi:type="dcterms:W3CDTF">2026-05-26T08:54:41Z</dcterms:modified>
</cp:coreProperties>
</file>