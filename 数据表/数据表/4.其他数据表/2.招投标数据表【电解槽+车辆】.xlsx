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 氢能研究院\数智化工作\企业库\数据表-给博英\4.其他数据表\"/>
    </mc:Choice>
  </mc:AlternateContent>
  <xr:revisionPtr revIDLastSave="0" documentId="13_ncr:1_{6743ABA8-99B3-4CDE-9384-1D8DA832F624}" xr6:coauthVersionLast="47" xr6:coauthVersionMax="47" xr10:uidLastSave="{00000000-0000-0000-0000-000000000000}"/>
  <bookViews>
    <workbookView xWindow="29890" yWindow="-110" windowWidth="38620" windowHeight="21100" activeTab="1" xr2:uid="{77F46D24-C772-4223-9071-6343BEFC9AB8}"/>
  </bookViews>
  <sheets>
    <sheet name="制-电解槽招标" sheetId="1" r:id="rId1"/>
    <sheet name="用-车辆招投标" sheetId="2" r:id="rId2"/>
  </sheets>
  <definedNames>
    <definedName name="_xlnm._FilterDatabase" localSheetId="1" hidden="1">'用-车辆招投标'!$A$1:$U$620</definedName>
    <definedName name="_xlnm._FilterDatabase" localSheetId="0" hidden="1">'制-电解槽招标'!$A$1:$N$234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52" i="2" l="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I202"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denni</author>
  </authors>
  <commentList>
    <comment ref="G6" authorId="0" shapeId="0" xr:uid="{DD1C97E2-396B-4034-82A9-1096849B9E5D}">
      <text>
        <r>
          <rPr>
            <b/>
            <sz val="9"/>
            <rFont val="宋体"/>
            <family val="3"/>
            <charset val="134"/>
          </rPr>
          <t>denni:</t>
        </r>
        <r>
          <rPr>
            <sz val="9"/>
            <rFont val="宋体"/>
            <family val="3"/>
            <charset val="134"/>
          </rPr>
          <t xml:space="preserve">
根据其他招标情况，应该是7月招标的</t>
        </r>
      </text>
    </comment>
    <comment ref="G29" authorId="0" shapeId="0" xr:uid="{32702026-AF25-45CA-B70C-382286938F68}">
      <text>
        <r>
          <rPr>
            <b/>
            <sz val="9"/>
            <rFont val="宋体"/>
            <family val="3"/>
            <charset val="134"/>
          </rPr>
          <t>denni:</t>
        </r>
        <r>
          <rPr>
            <sz val="9"/>
            <rFont val="宋体"/>
            <family val="3"/>
            <charset val="134"/>
          </rPr>
          <t xml:space="preserve">
中标候选人公示</t>
        </r>
      </text>
    </comment>
    <comment ref="G43" authorId="0" shapeId="0" xr:uid="{17207E48-945A-47A5-9AD1-74178C194F64}">
      <text>
        <r>
          <rPr>
            <b/>
            <sz val="9"/>
            <rFont val="宋体"/>
            <family val="3"/>
            <charset val="134"/>
          </rPr>
          <t>denni:</t>
        </r>
        <r>
          <rPr>
            <sz val="9"/>
            <rFont val="宋体"/>
            <family val="3"/>
            <charset val="134"/>
          </rPr>
          <t xml:space="preserve">
也有显示2023年3月招标</t>
        </r>
      </text>
    </comment>
    <comment ref="I43" authorId="0" shapeId="0" xr:uid="{1E6E1BB1-67D5-4CCB-AEEE-8583B64F460F}">
      <text>
        <r>
          <rPr>
            <b/>
            <sz val="9"/>
            <rFont val="宋体"/>
            <family val="3"/>
            <charset val="134"/>
          </rPr>
          <t>denni:</t>
        </r>
        <r>
          <rPr>
            <sz val="9"/>
            <rFont val="宋体"/>
            <family val="3"/>
            <charset val="134"/>
          </rPr>
          <t xml:space="preserve">
招标公告写35，感觉有误</t>
        </r>
      </text>
    </comment>
    <comment ref="G57" authorId="0" shapeId="0" xr:uid="{DFC87CB1-37AA-4E39-A9E3-22D598DA48A7}">
      <text>
        <r>
          <rPr>
            <b/>
            <sz val="9"/>
            <rFont val="宋体"/>
            <family val="3"/>
            <charset val="134"/>
          </rPr>
          <t>denni:</t>
        </r>
        <r>
          <rPr>
            <sz val="9"/>
            <rFont val="宋体"/>
            <family val="3"/>
            <charset val="134"/>
          </rPr>
          <t xml:space="preserve">
采购结果公示</t>
        </r>
      </text>
    </comment>
    <comment ref="G73" authorId="0" shapeId="0" xr:uid="{4A2A4322-037D-4FBD-9C76-95E38F7D9DCB}">
      <text>
        <r>
          <rPr>
            <b/>
            <sz val="9"/>
            <rFont val="宋体"/>
            <family val="3"/>
            <charset val="134"/>
          </rPr>
          <t>denni:</t>
        </r>
        <r>
          <rPr>
            <sz val="9"/>
            <rFont val="宋体"/>
            <family val="3"/>
            <charset val="134"/>
          </rPr>
          <t xml:space="preserve">
公布结果（未查到原招标，本标段所需的碱性电解槽将从2023年底入围中国能建2023年制氢设备集中采购的11家碱性电解槽企业采购</t>
        </r>
      </text>
    </comment>
    <comment ref="L181" authorId="0" shapeId="0" xr:uid="{F7292DC9-7777-4C00-A129-073232F095A9}">
      <text>
        <r>
          <rPr>
            <b/>
            <sz val="9"/>
            <rFont val="宋体"/>
            <family val="3"/>
            <charset val="134"/>
          </rPr>
          <t>denni:</t>
        </r>
        <r>
          <rPr>
            <sz val="9"/>
            <rFont val="宋体"/>
            <family val="3"/>
            <charset val="134"/>
          </rPr>
          <t xml:space="preserve">
曾为3149.4045，后调整</t>
        </r>
      </text>
    </comment>
    <comment ref="I189" authorId="0" shapeId="0" xr:uid="{96F316C9-7045-4CDB-87D4-8CFB97882C84}">
      <text>
        <r>
          <rPr>
            <b/>
            <sz val="9"/>
            <rFont val="宋体"/>
            <family val="3"/>
            <charset val="134"/>
          </rPr>
          <t>denni:</t>
        </r>
        <r>
          <rPr>
            <sz val="9"/>
            <rFont val="宋体"/>
            <family val="3"/>
            <charset val="134"/>
          </rPr>
          <t xml:space="preserve">
实际仅用120</t>
        </r>
      </text>
    </comment>
    <comment ref="I190" authorId="0" shapeId="0" xr:uid="{87613E3C-2F0B-45A3-B0A5-A26CF38609D2}">
      <text>
        <r>
          <rPr>
            <b/>
            <sz val="9"/>
            <rFont val="宋体"/>
            <family val="3"/>
            <charset val="134"/>
          </rPr>
          <t>denni:</t>
        </r>
        <r>
          <rPr>
            <sz val="9"/>
            <rFont val="宋体"/>
            <family val="3"/>
            <charset val="134"/>
          </rPr>
          <t xml:space="preserve">
实际仅用80</t>
        </r>
      </text>
    </comment>
    <comment ref="I191" authorId="0" shapeId="0" xr:uid="{550A6609-B2D6-4810-A7E6-615548009C58}">
      <text>
        <r>
          <rPr>
            <b/>
            <sz val="9"/>
            <rFont val="宋体"/>
            <family val="3"/>
            <charset val="134"/>
          </rPr>
          <t>denni:</t>
        </r>
        <r>
          <rPr>
            <sz val="9"/>
            <rFont val="宋体"/>
            <family val="3"/>
            <charset val="134"/>
          </rPr>
          <t xml:space="preserve">
实际仅用40</t>
        </r>
      </text>
    </comment>
  </commentList>
</comments>
</file>

<file path=xl/sharedStrings.xml><?xml version="1.0" encoding="utf-8"?>
<sst xmlns="http://schemas.openxmlformats.org/spreadsheetml/2006/main" count="7240" uniqueCount="2574">
  <si>
    <t>序号</t>
  </si>
  <si>
    <t>省份/直辖市</t>
  </si>
  <si>
    <t>城市</t>
  </si>
  <si>
    <t>招标项目</t>
  </si>
  <si>
    <t>招标单位</t>
  </si>
  <si>
    <t>招标时间</t>
  </si>
  <si>
    <t>电解槽类型</t>
  </si>
  <si>
    <t>规模/兆瓦</t>
  </si>
  <si>
    <t>数量*规模</t>
  </si>
  <si>
    <t>设备来源</t>
  </si>
  <si>
    <t>中标价/万元</t>
  </si>
  <si>
    <t>单兆瓦价格</t>
  </si>
  <si>
    <t>其他</t>
  </si>
  <si>
    <t>北京</t>
  </si>
  <si>
    <t>制氢项目电解水制氢设备及附属设备</t>
  </si>
  <si>
    <t>国家能源集团新能源有限责任公司河北公司</t>
  </si>
  <si>
    <t>AE</t>
  </si>
  <si>
    <t>1*5+2*2.5</t>
  </si>
  <si>
    <t>无中标人</t>
  </si>
  <si>
    <t>阳光氢能科技有限公司</t>
  </si>
  <si>
    <t>江苏天合元氢科技有限公司</t>
  </si>
  <si>
    <t>制氢项目电解水制氢设备及附属设备（第2次）</t>
  </si>
  <si>
    <t>中国船舶重工集团公司第七一八研究所</t>
  </si>
  <si>
    <t>中船（邯郸）派瑞氢能科技有限公司</t>
  </si>
  <si>
    <t>西安隆基氢能科技有限公司</t>
  </si>
  <si>
    <t>河北</t>
  </si>
  <si>
    <t>张家口</t>
  </si>
  <si>
    <t>河北建投沽源风电制氢综合利用示范项目制氢站二期工程</t>
  </si>
  <si>
    <t>建投燕山（沽源）风能有限公司</t>
  </si>
  <si>
    <t>2*3</t>
  </si>
  <si>
    <t>变更</t>
  </si>
  <si>
    <t>江苏国富氢能技术装备股份有限公司</t>
  </si>
  <si>
    <t>包括但不限于设计、制造、运输及储存、安装指导、调试试验及检查、竣工、试运行、消缺、考核验收、技术和售后服务、人员培训等</t>
  </si>
  <si>
    <t>天津市大陆制氢设备有限公司</t>
  </si>
  <si>
    <t>中车株洲电力机车研究所有限公司</t>
  </si>
  <si>
    <t>内蒙古</t>
  </si>
  <si>
    <t>乌兰察布</t>
  </si>
  <si>
    <t>乌兰察布“源网荷储一体化”关键技术研究与示范-MW级PEM制氢系统</t>
  </si>
  <si>
    <t>中国长江三峡集团有限公司</t>
  </si>
  <si>
    <t>PEME</t>
  </si>
  <si>
    <t>1*2.5</t>
  </si>
  <si>
    <t>康明斯发动机（上海）贸易服务有限公司</t>
  </si>
  <si>
    <t>考克利尔竞立（苏州）氢能科技有限公司</t>
  </si>
  <si>
    <t>南通安思卓新能源有限公司</t>
  </si>
  <si>
    <t>四川</t>
  </si>
  <si>
    <t>成都</t>
  </si>
  <si>
    <t>华能彭州水电解制氢科技创新示范项目电解制氢及附属设备</t>
  </si>
  <si>
    <t>中国华能集团清洁能源技术研究院有限公司</t>
  </si>
  <si>
    <t>2*6.5</t>
  </si>
  <si>
    <t>三一氢能有限公司</t>
  </si>
  <si>
    <t>新疆</t>
  </si>
  <si>
    <t>库车</t>
  </si>
  <si>
    <t>中石化新星新疆库车绿氢示范项目电解水制氢成套装置</t>
  </si>
  <si>
    <t>中石化新星新疆绿氢新能源有限公司</t>
  </si>
  <si>
    <t>52*5</t>
  </si>
  <si>
    <t>实际仅用120</t>
  </si>
  <si>
    <t>江苏双良新能源装备有限公司</t>
  </si>
  <si>
    <t>实际仅用80</t>
  </si>
  <si>
    <t>上海氢器时代科技有限公司</t>
  </si>
  <si>
    <t>青骐骥中能（江苏苏州）氢能源科技有限公司</t>
  </si>
  <si>
    <t>实际仅用60</t>
  </si>
  <si>
    <t>秦皇岛</t>
  </si>
  <si>
    <t>华能昌黎光伏发电项目制氢系统设备</t>
  </si>
  <si>
    <t>华能新能源股份有限公司</t>
  </si>
  <si>
    <t>1*1.25</t>
  </si>
  <si>
    <t>苏州工业园区奥菲特气体设备有限公司</t>
  </si>
  <si>
    <t>北京电力设备总厂有限公司</t>
  </si>
  <si>
    <t>康保县可再生能源制氢和液化工厂项目碱性水电解制氢系统</t>
  </si>
  <si>
    <t>河北鸿蒙新能源有限公司</t>
  </si>
  <si>
    <t>20*5</t>
  </si>
  <si>
    <t>未见招标结果（网络：2022年12台，2023年8台）</t>
  </si>
  <si>
    <t>库尔勒</t>
  </si>
  <si>
    <t>深圳能源库尔勒绿氢制储加用一体化示范项目（制氢标段）EPC总承包</t>
  </si>
  <si>
    <t>深圳能源集团国电库尔勒发电有限公司</t>
  </si>
  <si>
    <t>2*2.5</t>
  </si>
  <si>
    <t>厚普清洁能源集团工程技术有限公司</t>
  </si>
  <si>
    <t>含加氢站等多种设备</t>
  </si>
  <si>
    <t>华商厦庚氢能技术（厦门）有限公司</t>
  </si>
  <si>
    <t>陕西</t>
  </si>
  <si>
    <t>榆林</t>
  </si>
  <si>
    <t>制氢电解槽成套装置设备</t>
  </si>
  <si>
    <t>陕西北元化工集团股份有限公司</t>
  </si>
  <si>
    <t>1*0.5</t>
  </si>
  <si>
    <t>山东赛克赛斯氢能源有限公司</t>
  </si>
  <si>
    <t>甘肃</t>
  </si>
  <si>
    <t>张掖</t>
  </si>
  <si>
    <t>华能清能院1300Nm3/h碱性电解制氢系统试制设备</t>
  </si>
  <si>
    <t>1*6.5</t>
  </si>
  <si>
    <t>中能（江苏苏州）氢能源科技有限公司</t>
  </si>
  <si>
    <t>长春绿动氢能科技有限公司</t>
  </si>
  <si>
    <t>保定</t>
  </si>
  <si>
    <t>涞源县300MW光伏制氢项目</t>
  </si>
  <si>
    <t>涞源氢阳新能源开发有限公司</t>
  </si>
  <si>
    <t>中国电建集团河北工程有限公司</t>
  </si>
  <si>
    <t>EPC</t>
  </si>
  <si>
    <t>氢辉能源（深圳）有限公司</t>
  </si>
  <si>
    <t>黑龙江</t>
  </si>
  <si>
    <t>七台河</t>
  </si>
  <si>
    <t>勃利县20万千瓦风电制氢联合运行示范项目</t>
  </si>
  <si>
    <t>七台河润沐新能源有限公司</t>
  </si>
  <si>
    <t>2*3.75</t>
  </si>
  <si>
    <t>润世达工程有限公司</t>
  </si>
  <si>
    <t>鄂尔多斯</t>
  </si>
  <si>
    <t>上海庙经济开发区光伏制氢项目</t>
  </si>
  <si>
    <t>深能北方（鄂托克前旗）能源开发有限公司</t>
  </si>
  <si>
    <t>9*5</t>
  </si>
  <si>
    <t>阳光电源股份有限公司</t>
  </si>
  <si>
    <t>吉林</t>
  </si>
  <si>
    <t>白城</t>
  </si>
  <si>
    <t>大安风光制绿氢合成氨一体化示范项目部分设备、施工及服务
标段05：大安风光制绿氢合成氨一体化示范项目水电解制氢设备（12套+3套）</t>
  </si>
  <si>
    <t>吉林电力股份有限公司</t>
  </si>
  <si>
    <t>15*5</t>
  </si>
  <si>
    <t>鹭岛氢能（厦门）科技有限公司</t>
  </si>
  <si>
    <t>大安风光制绿氢合成氨一体化示范项目部分设备、施工及服务
标段06：大安风光制绿氢合成氨一体化示范项目12套水电解制氢设备</t>
  </si>
  <si>
    <t>12*5</t>
  </si>
  <si>
    <t>华电科工股份有限公司</t>
  </si>
  <si>
    <t>北京氢羿能源科技有限公司</t>
  </si>
  <si>
    <t>大安风光制绿氢合成氨一体化示范项目部分设备、施工及服务
标段06：大安风光制绿氢合成氨一体化示范项目8套水电解制氢设备</t>
  </si>
  <si>
    <t>8*5</t>
  </si>
  <si>
    <t>大安风光制绿氢合成氨一体化示范项目部分设备、施工及服务
标段06：大安风光制绿氢合成氨一体化示范项目4套水电解制氢设备</t>
  </si>
  <si>
    <t>4*5</t>
  </si>
  <si>
    <t>上海氢盛创合能源科技有限公司</t>
  </si>
  <si>
    <t>湖北</t>
  </si>
  <si>
    <t>武汉</t>
  </si>
  <si>
    <t>华中科技大学质子交换膜电解水制氢及燃料电池设备系统采购项目</t>
  </si>
  <si>
    <t>华中科技大学</t>
  </si>
  <si>
    <t>1*0.025</t>
  </si>
  <si>
    <t>中石化石油机械股份有限公司</t>
  </si>
  <si>
    <t>含燃料电池</t>
  </si>
  <si>
    <t>大安风光制绿氢合成氨一体化示范项目PEM制氢设备</t>
  </si>
  <si>
    <t>大安吉电绿氢能源有限公司</t>
  </si>
  <si>
    <t>50*1</t>
  </si>
  <si>
    <t>其中2套备用，采购</t>
  </si>
  <si>
    <t>宁夏</t>
  </si>
  <si>
    <t>银川</t>
  </si>
  <si>
    <t>永利和清水营2座制氢站-电解水制氢成套设备及附属设备
标段一（永利制氢站）</t>
  </si>
  <si>
    <t>国能（宁夏宁东）绿氢能源有限公司</t>
  </si>
  <si>
    <t>5*5</t>
  </si>
  <si>
    <t>永利和清水营2座制氢站-电解水制氢成套设备及附属设备
标段二（清水营制氢站）</t>
  </si>
  <si>
    <t>辽宁</t>
  </si>
  <si>
    <t>大连</t>
  </si>
  <si>
    <t>海水制氢一体化项目碱性电解水制氢设备</t>
  </si>
  <si>
    <t>大连市洁净能源集团有限公司</t>
  </si>
  <si>
    <t>6*5</t>
  </si>
  <si>
    <t>一说20</t>
  </si>
  <si>
    <t>三峡科技多场景项目35MW电解水制氢系统设备</t>
  </si>
  <si>
    <t>鄂尔多斯市瀚峡新能源有限公司</t>
  </si>
  <si>
    <t>7*5</t>
  </si>
  <si>
    <t>5 Nm3/h PEM水电解制氢装置</t>
  </si>
  <si>
    <t>因通过符合性的供应商不足3家，项目采购失败</t>
  </si>
  <si>
    <t>5 Nm3/h PEM水电解制氢装置（二次）</t>
  </si>
  <si>
    <t>“30万m³/d可再生能源电解水制氢—450m³高炉富氢冶炼”工业化示范项目</t>
  </si>
  <si>
    <t>昌黎县兴国精密机件有限公司</t>
  </si>
  <si>
    <t>2*15</t>
  </si>
  <si>
    <t>中国船舶集团有限公司第七一八研究所</t>
  </si>
  <si>
    <t>未见招投标</t>
  </si>
  <si>
    <t>广东</t>
  </si>
  <si>
    <t>深圳</t>
  </si>
  <si>
    <t>碱性水电解制氢设备-电解槽</t>
  </si>
  <si>
    <t>清华大学深圳国际研究生院</t>
  </si>
  <si>
    <t>1*0.4</t>
  </si>
  <si>
    <t>深圳市凯豪达氢能源有限公司</t>
  </si>
  <si>
    <t>低碳院煤化工与新能源耦合技术示范制氢系统</t>
  </si>
  <si>
    <t>北京低碳清洁能源研究院</t>
  </si>
  <si>
    <t>1*6</t>
  </si>
  <si>
    <t>酒泉</t>
  </si>
  <si>
    <t>玉门油田2023再生能源制氢电解槽成套设备1项042</t>
  </si>
  <si>
    <t>玉门油田物资采购管理中心</t>
  </si>
  <si>
    <t>1*5</t>
  </si>
  <si>
    <t>中广核新能源宁东清洁能源制氢项目电解水制氢装置主设备</t>
  </si>
  <si>
    <t>中广核新能源宁东有限公司</t>
  </si>
  <si>
    <t>2*6</t>
  </si>
  <si>
    <t>广州</t>
  </si>
  <si>
    <t>2023年广州供电局固体氧化物电解水蒸汽制氢科技项目
标的1：固体氧化物电解水蒸汽制氢系统电解堆模组
标包1：固体氧化物电解水蒸汽制氢系统电解堆模组试制</t>
  </si>
  <si>
    <t>广东电网有限责任公司广州供电局</t>
  </si>
  <si>
    <t>SOE</t>
  </si>
  <si>
    <t>清华大学</t>
  </si>
  <si>
    <t>电解堆</t>
  </si>
  <si>
    <t>2023年广州供电局固体氧化物电解水蒸汽制氢科技项目
标的2：固体氧化物电解水蒸汽制氢系统
标包1：固体氧化物电解水蒸汽制氢系统试制</t>
  </si>
  <si>
    <t>32Nm3/h</t>
  </si>
  <si>
    <t>呼和浩特</t>
  </si>
  <si>
    <t>碱性水电解制氢设备</t>
  </si>
  <si>
    <t>内蒙古亿钶气体有限公司</t>
  </si>
  <si>
    <t>内蒙古亿利氢田时代技术有限公司</t>
  </si>
  <si>
    <t>包头</t>
  </si>
  <si>
    <t>包头亿钶气体有限公司</t>
  </si>
  <si>
    <t>1*4</t>
  </si>
  <si>
    <t>100Nm3 H2/h专用碱性水电解制氢设备</t>
  </si>
  <si>
    <t>东方电气（福建）创新研究院有限公司</t>
  </si>
  <si>
    <t>苏州苏氢制氢设备有限公司</t>
  </si>
  <si>
    <t>中标价格未提及</t>
  </si>
  <si>
    <t>山东</t>
  </si>
  <si>
    <t>潍坊</t>
  </si>
  <si>
    <t>山东华电潍坊氢储能示范项目水电解制氢系统设备</t>
  </si>
  <si>
    <t>华电潍坊发电有限公司</t>
  </si>
  <si>
    <t>北京中电丰业技术开发有限公司</t>
  </si>
  <si>
    <t>配备相应的储氢、充装、以及氢气出口设备</t>
  </si>
  <si>
    <t>中核北方核燃料元件有限公司制氢系统</t>
  </si>
  <si>
    <t>中核北方核燃料元件有限公司</t>
  </si>
  <si>
    <t>3*1</t>
  </si>
  <si>
    <t>大冶</t>
  </si>
  <si>
    <t>大冶市矿区绿电绿氢制储加用一体化氢能矿场综合建设项目“制氢设备”</t>
  </si>
  <si>
    <t>湖北光谷东国有资本投资运营集团有限公司</t>
  </si>
  <si>
    <t>2*1</t>
  </si>
  <si>
    <t>博尔塔拉蒙古自治州</t>
  </si>
  <si>
    <t>新疆阿拉山口新建北斗自动探空观测站项目-水电解制氢设备</t>
  </si>
  <si>
    <t>中国气象局新疆维吾尔自治区气象局</t>
  </si>
  <si>
    <t>规模未查到</t>
  </si>
  <si>
    <t>云南</t>
  </si>
  <si>
    <t>野外自动电解水制氢设备</t>
  </si>
  <si>
    <t>云南省大气探测技术保障中心</t>
  </si>
  <si>
    <t>西藏</t>
  </si>
  <si>
    <t>拉萨</t>
  </si>
  <si>
    <t>西藏自治区大气探测技术与装备保障中心</t>
  </si>
  <si>
    <t>山西</t>
  </si>
  <si>
    <t>大同</t>
  </si>
  <si>
    <t>国电电力大同湖东发电 2×100万千瓦发电工程制氢系统设备</t>
  </si>
  <si>
    <t>国电电力大同湖东发电有限公司</t>
  </si>
  <si>
    <t>1*0.05</t>
  </si>
  <si>
    <t>AEM碱性电解水电解系统</t>
  </si>
  <si>
    <t>华中科技大学电气与电子工程学院</t>
  </si>
  <si>
    <t>AEME</t>
  </si>
  <si>
    <t>1*0.005</t>
  </si>
  <si>
    <t>卧龙电气驱动集团股份有限公司</t>
  </si>
  <si>
    <t>国电电力大同湖东发电 2×100万千瓦发电工程制氢系统设备（第2次）</t>
  </si>
  <si>
    <t>河南</t>
  </si>
  <si>
    <t>许昌</t>
  </si>
  <si>
    <t>宁夏风光火氢大型能源项目用PEM制氢-固态储氢-燃料电池系统</t>
  </si>
  <si>
    <t>许继集团有限公司或下属单位、许继电气股份有限公司或下属单位</t>
  </si>
  <si>
    <t>河南豫氢动力有限公司</t>
  </si>
  <si>
    <t>宁夏风光火氢大型能源项目用碱性电解水制氢设备</t>
  </si>
  <si>
    <t>1*0.15</t>
  </si>
  <si>
    <t>未见招标结果（公众号查阅）</t>
  </si>
  <si>
    <t>浙江</t>
  </si>
  <si>
    <t>杭州</t>
  </si>
  <si>
    <t>阴离子膜电解水制氢电解槽</t>
  </si>
  <si>
    <t>西湖大学</t>
  </si>
  <si>
    <t>江苏笠泽制道氢能源科技有限公司</t>
  </si>
  <si>
    <t>惠州</t>
  </si>
  <si>
    <t>AD项目LOT3制氢站</t>
  </si>
  <si>
    <t>中广核工程有限公司</t>
  </si>
  <si>
    <t>1*0.09</t>
  </si>
  <si>
    <t>规模较小，不具代表性</t>
  </si>
  <si>
    <t>碱性电解水制氢设备</t>
  </si>
  <si>
    <t>北京航空航天大学化学学院</t>
  </si>
  <si>
    <t>1*0.0025</t>
  </si>
  <si>
    <t>青岛创启信德新能源科技有限公司</t>
  </si>
  <si>
    <t>锡林郭勒盟</t>
  </si>
  <si>
    <t>多伦15万千瓦风光制氢一体化示范项目（制氢）水电解制氢成套设备</t>
  </si>
  <si>
    <t>中国大唐集团新能源股份有限公司</t>
  </si>
  <si>
    <t>5*14</t>
  </si>
  <si>
    <t>实际供货单位包括阳光氢能、隆基氢能等</t>
  </si>
  <si>
    <t>圣圆能源风光制氢加氢一体化项目50MW光伏及14000Nm³/h制氢项目（二期）一标段</t>
  </si>
  <si>
    <t>内蒙古圣圆氢能源科技有限公司</t>
  </si>
  <si>
    <t>2*5+2*10</t>
  </si>
  <si>
    <t>其他包含4台配套整流变、4套配套整流装置、1套2000Nm³/h液处理系统、1套4000Nm³/h气液处理系统、1套6000Nm³/h氢气纯化及干燥系统</t>
  </si>
  <si>
    <t>圣圆能源风光制氢加氢一体化项目50MW光伏及14000Nm³/h制氢项目（二期）二标段</t>
  </si>
  <si>
    <t>1*5+1*10</t>
  </si>
  <si>
    <t>鄂尔多斯市氢储能科技有限公司</t>
  </si>
  <si>
    <t>其他包含2台配套整流变、2套配套整流装置、1套1000Nm³/h气液分离装置、1套2000Nm³/h气液分离装置、1套3000Nm³/h纯化装置等</t>
  </si>
  <si>
    <t>方形</t>
  </si>
  <si>
    <t>湖南</t>
  </si>
  <si>
    <t>常德</t>
  </si>
  <si>
    <t>陕煤石门2×66万千瓦扩能升级改造项目第三批辅机设备采购—07包：制氢设备</t>
  </si>
  <si>
    <t>陕煤电力石门有限公司</t>
  </si>
  <si>
    <t>5Nm³/h碱性电解水制氢装置</t>
  </si>
  <si>
    <t>中国科学院大连化学物理研究所</t>
  </si>
  <si>
    <t>本项目投标人不足3家，予以废标</t>
  </si>
  <si>
    <t>三峡科技多场景项目兆瓦级碱性电解水制氢设备</t>
  </si>
  <si>
    <t>三峡科技有限责任公司</t>
  </si>
  <si>
    <t>1*1</t>
  </si>
  <si>
    <t>天津市大陆制氢设备有限公司、厚普清洁能源集团工程技术有限公司联合体</t>
  </si>
  <si>
    <t>延安</t>
  </si>
  <si>
    <t>延安石油化工厂制氢站电解槽</t>
  </si>
  <si>
    <t>陕西延长石油（集团）有限责任公司炼化公司</t>
  </si>
  <si>
    <t>陕西明大汇通自动化工程有限公司</t>
  </si>
  <si>
    <t>规模未查到；电解槽类型未查到</t>
  </si>
  <si>
    <t>青海</t>
  </si>
  <si>
    <t>海东</t>
  </si>
  <si>
    <t>海东物联产业园综合加能站新建项目一标段</t>
  </si>
  <si>
    <t>中石化氢装上阵能源青海有限责任公司</t>
  </si>
  <si>
    <t>山东鸿华建筑安装工程有限公司</t>
  </si>
  <si>
    <t>其他包含增压储存成套设施、加氢成套设备等的采购安装</t>
  </si>
  <si>
    <t>六盘山</t>
  </si>
  <si>
    <t>宁夏电力六盘山电厂2×1000MW机组扩建工程制氢系统设备采购</t>
  </si>
  <si>
    <t>国能宁夏六盘山能源发展有限公司</t>
  </si>
  <si>
    <t>圣圆能源风光制氢加氢一体化项目50MW光伏及14000Nm³／h制氢项目（二期）制氢设备采购五标段</t>
  </si>
  <si>
    <t>1*15</t>
  </si>
  <si>
    <t>10Nm³/h质子交换膜电解水制氢系统</t>
  </si>
  <si>
    <t>潍柴动力股份有限公司</t>
  </si>
  <si>
    <t>浙江唐锋能源科技有限公司</t>
  </si>
  <si>
    <t>沧州</t>
  </si>
  <si>
    <t>10万吨年合成氨及配套项目电解水制氢设备及附属设备</t>
  </si>
  <si>
    <t>国华投资国华（沧州）综合能源有限公司</t>
  </si>
  <si>
    <t>13*5</t>
  </si>
  <si>
    <t>其他包含2套4000Nm3/h的气液处理装置（满足1套气液处理装置对应4台电解槽满负荷运行处理气量）、1套5000Nm3/h的气液处理装置（满足1套气液处理装置对应5台电解槽满负荷运行处理气量）</t>
  </si>
  <si>
    <t>5Nm³/h碱性电解水制氢装置（第二次）</t>
  </si>
  <si>
    <t>本项目实质性满足招标文件的投标商不足3家，废标</t>
  </si>
  <si>
    <t>碱性制氢设备采购及安装</t>
  </si>
  <si>
    <t>京能科技（易县）有限公司</t>
  </si>
  <si>
    <t>5*3.75</t>
  </si>
  <si>
    <t>哈尔滨</t>
  </si>
  <si>
    <t>PEM电解制氢装置（HITBX-2024000045）采购公告</t>
  </si>
  <si>
    <t>哈尔滨工业大学</t>
  </si>
  <si>
    <t>1*0.01</t>
  </si>
  <si>
    <t>松原</t>
  </si>
  <si>
    <t>中能建松原氢能产业园示范项目</t>
  </si>
  <si>
    <t>能建绿色氢氨新能源（松原）有限公司</t>
  </si>
  <si>
    <t>110*5</t>
  </si>
  <si>
    <t>采用2024年数据；实际仅用90</t>
  </si>
  <si>
    <t>采用2024年数据；实际仅用80</t>
  </si>
  <si>
    <t>采用2023年数据；实际仅用40</t>
  </si>
  <si>
    <t>采用2023年数据；实际仅用20</t>
  </si>
  <si>
    <t>PEM制氢设备、压缩充装设备采购及安装</t>
  </si>
  <si>
    <t>广州/肇庆</t>
  </si>
  <si>
    <t>南网储能公司储能科研院</t>
  </si>
  <si>
    <t>先进阴离子交换膜电解水制氢设备技术研究</t>
  </si>
  <si>
    <t>1*1+1*0.25</t>
  </si>
  <si>
    <t>深圳稳石氢能科技有限公司</t>
  </si>
  <si>
    <t>完成高性能规模化AEM电解水制氢设备研制，提供阴离子交换膜电解水制氢技术研发、系统研制及集成调试等服务；规模问的项目方</t>
  </si>
  <si>
    <t>5Nm³/h碱性电解水制氢装置（第三次）</t>
  </si>
  <si>
    <t>国科绿氢（湖州）科技有限公司</t>
  </si>
  <si>
    <t>PEM制氢设备、压缩充装设备采购及安装（第二次）</t>
  </si>
  <si>
    <t>规模问的项目方</t>
  </si>
  <si>
    <t>山东港口渤海湾港潍坊港区制氢站工程建设项目设备及辅助设施</t>
  </si>
  <si>
    <t>潍坊港区集装箱码头有限公司</t>
  </si>
  <si>
    <t>其他包含1套容积21.15m3压力20MPa 固定式储氢瓶组，1套200Nm3/h@1.6MPa增压至20MPa氢气压缩机，1套冷水机组（供碱性电解水制氢装置和氢气压缩机冷却用），一座综合站房（集装箱式：包含配电控制室、工具间、办公室、会议室等共4间），配套电缆、光缆、监控设备等采购及安装</t>
  </si>
  <si>
    <t>青岛</t>
  </si>
  <si>
    <t>PEM电解水制氢项目</t>
  </si>
  <si>
    <t>青岛国际院士港交通能源科技有限公司</t>
  </si>
  <si>
    <t>上海氢导汉珏智能科技有限公司</t>
  </si>
  <si>
    <t>0.5标方阴离子交换膜电解制氢设备（HITBX-2024000064）</t>
  </si>
  <si>
    <t>上海文景能源科技有限公司</t>
  </si>
  <si>
    <t>山东港口渤海湾港潍坊港区制氢站工程建设项目设备及辅助设施（二次）</t>
  </si>
  <si>
    <t>山东奥氢动力科技有限公司联合体（联合体成员：信邦建设集团有限公司）</t>
  </si>
  <si>
    <t>其他包含1套容积21.15m³压力20MPa固定式储氢瓶组，1套200Nm³/h@16MPa增压至20MPa氢气压缩机，1套冷水机组等采购及安装等</t>
  </si>
  <si>
    <t>(XJ024091800477)50标方PEM电解制氢系统设备</t>
  </si>
  <si>
    <t>航天长征化学工程股份有限公司</t>
  </si>
  <si>
    <t>1*0.25</t>
  </si>
  <si>
    <t>未见招标结果</t>
  </si>
  <si>
    <t>长岭二期项目电解水制氢（1200Nm3/h）EPC工程总承包</t>
  </si>
  <si>
    <t>吉林润金氢能科技有限公司</t>
  </si>
  <si>
    <t>海德氢能源科技（江苏）有限公司</t>
  </si>
  <si>
    <t>本项目需要的全套工艺包、详细工程设计、采购、安装、施工、技术培训、操作规程编制、调试、试车及售后服务等，并为发包人进行人员培训、操作规程编制，在试生产中组织协调主设备厂家参与试生产，提供指导与支持服务</t>
  </si>
  <si>
    <t>沧州光火储氢一体化多能互补示范项目制氢部分设备安装总承包（PC）标段</t>
  </si>
  <si>
    <t>华润新能源（沧州）有限公司</t>
  </si>
  <si>
    <t>制氢系统所有的设备制造、设备采购、设备监造、出厂试验、运输、储存、报检报验、安装、试验、调试、试运行、培训、竣工验收及设备资料、竣工资料、消缺和最终交付等所有工作</t>
  </si>
  <si>
    <t>宜宾</t>
  </si>
  <si>
    <t>集装箱式水电解制氢装置</t>
  </si>
  <si>
    <t>中核建中核燃料元件有限公司</t>
  </si>
  <si>
    <t>其他包含包含气液处理系统、纯化系统、闭式冷却塔、冷冻机组、控制系统及整流变压器；规模未查到；中标候选人变更，后终止</t>
  </si>
  <si>
    <t>江苏</t>
  </si>
  <si>
    <t>盐城</t>
  </si>
  <si>
    <t>二〇二四年度第66批集中招标（吉电股份盐城吉电绿氢制储运加用一体化（一期）示范项目电解水制氢设备）</t>
  </si>
  <si>
    <t>国家电力投资集团有限公司</t>
  </si>
  <si>
    <t>太原</t>
  </si>
  <si>
    <t>MW级PEM制氢电解槽加工服务</t>
  </si>
  <si>
    <t>中海油（山西）贵金属公司</t>
  </si>
  <si>
    <t>长春</t>
  </si>
  <si>
    <t>标段19：中韩示范区“可再生能源+PEM制氢+加氢”一体化项目二阶段制氢项目400立PEM电解水制氢系统</t>
  </si>
  <si>
    <t>吉电股份长春吉电氢能有限公司</t>
  </si>
  <si>
    <t>1*2</t>
  </si>
  <si>
    <t>平凉</t>
  </si>
  <si>
    <t>崆峒区峡门风电项目协同配套产业-氢能制储运一体化项目PC总承包工程</t>
  </si>
  <si>
    <t>平凉海螺新能源有限公司</t>
  </si>
  <si>
    <t>包括本项目的设备及材料采购、工程施工、安全文明施工、调试、单体调试、分系统调试、整体调试、性能测试、试验与检验、试运行、装置性能保证和服务（质保、人员培训、技术支持等）、消缺，保证项目功能性完整、可靠性运行等全过程工作；经评审，有效投标单位不满足法定要求，评标流标</t>
  </si>
  <si>
    <t>榆能横山煤电质子膜制氢设备采购项目</t>
  </si>
  <si>
    <t>陕西省榆林市横山区波罗镇横山煤电有限公司</t>
  </si>
  <si>
    <t>规模未查到；未见招标结果</t>
  </si>
  <si>
    <t>200标方PEM电解槽</t>
  </si>
  <si>
    <t>中石油深圳新能源研究院有限公司</t>
  </si>
  <si>
    <t>西安</t>
  </si>
  <si>
    <t>质子交换膜电解水制氢系统</t>
  </si>
  <si>
    <t>西安交通大学采购与招标管理办公室</t>
  </si>
  <si>
    <t>浙江臻泰能源科技有限公司</t>
  </si>
  <si>
    <t>南通</t>
  </si>
  <si>
    <t>高端聚烯烃新材料项目电解水制氢装置电解槽设备</t>
  </si>
  <si>
    <t>蓝海新材料（通州湾）有限责任公司</t>
  </si>
  <si>
    <t>2*5</t>
  </si>
  <si>
    <t>不包括相关辅助设备</t>
  </si>
  <si>
    <t>20Nm³/h质子交换膜（PEM）电解槽试验装置制氢集成化撬装设备</t>
  </si>
  <si>
    <t>中国电力工程顾问集团有限公司</t>
  </si>
  <si>
    <t>100kW阴离子交换膜制氢电解槽系统全套设计</t>
  </si>
  <si>
    <t>广东新型储能国家研究院有限公司</t>
  </si>
  <si>
    <t>哈密</t>
  </si>
  <si>
    <t>绿电制氢示范项目制氢设备</t>
  </si>
  <si>
    <t>新疆天科隆化学有限公司</t>
  </si>
  <si>
    <t>4*10</t>
  </si>
  <si>
    <t>其他包含配套4000标方分离系统2台，8000标方纯化设备1台，和配套所需的变压器、整流柜、电仪系统（DCS和SIS、配电等）、碱液系统、补水系统；未见招标结果</t>
  </si>
  <si>
    <t>崆峒区峡门风电项目协同配套产业-氢能制储运一体化项目PC总承包工程（二次招标）</t>
  </si>
  <si>
    <t>包括本项目的设备及材料采购、工程施工、安全文明施工、调试、单体调试、分系统调试、整体调试、性能测试、试验与检验、试运行、装置性能保证和服务（质保、人员培训、技术支持等）、消缺，保证项目功能性完整、可靠性运行等全过程工作；规模未查到</t>
  </si>
  <si>
    <t>阴离子交换膜（AEM）电解池堆</t>
  </si>
  <si>
    <t>深圳先进技术研究院</t>
  </si>
  <si>
    <t>上海氢鸾科技有限公司</t>
  </si>
  <si>
    <t>电解堆；规模未查到</t>
  </si>
  <si>
    <t>威海</t>
  </si>
  <si>
    <t>100KW级SOEC制氢系统开发</t>
  </si>
  <si>
    <t>华能山东石岛湾核电有限公司</t>
  </si>
  <si>
    <t>1*0.1</t>
  </si>
  <si>
    <t>喀什</t>
  </si>
  <si>
    <t>喀什华电2×66万千瓦热电联产项目-制氢系统设备</t>
  </si>
  <si>
    <t>华电喀什能源有限公司</t>
  </si>
  <si>
    <t>普顿（北京）制氢科技有限公司</t>
  </si>
  <si>
    <t>重庆</t>
  </si>
  <si>
    <t>PEM电解水制氢系统</t>
  </si>
  <si>
    <t>重庆大学</t>
  </si>
  <si>
    <t>重庆公司恒泰电厂制氢设备电解槽</t>
  </si>
  <si>
    <t>国家能源集团重庆恒泰发电有限公司</t>
  </si>
  <si>
    <t>河北电力装备有限公司</t>
  </si>
  <si>
    <t>高性能大容量碱性水电解制氢设备研制技术服务</t>
  </si>
  <si>
    <t>华北电力大学</t>
  </si>
  <si>
    <t>苏州吉冠科技有限公司</t>
  </si>
  <si>
    <t>洮南市风电耦合生物质绿色甲醇一体化示范配套制氢项目</t>
  </si>
  <si>
    <t>洮南绿源电力有限公司</t>
  </si>
  <si>
    <t>采购</t>
  </si>
  <si>
    <t>青岛胶州90MW（交流测）渔光互补项目</t>
  </si>
  <si>
    <t>青岛达能环保设备股份有限公司</t>
  </si>
  <si>
    <t>潜江</t>
  </si>
  <si>
    <t>清北氢能潜江绿色氢气示范项目</t>
  </si>
  <si>
    <t>潜江清北氢能有限公司</t>
  </si>
  <si>
    <t>兰州</t>
  </si>
  <si>
    <t>制氢设备</t>
  </si>
  <si>
    <t>中国葛洲坝集团机电建设有限公司</t>
  </si>
  <si>
    <t>预采购范围包括1000Nm³/h碱性电解槽、气液分离装置、纯化装置、补水配碱装置1套；7选1：阳光氢能/中集扬州/盛氢制氢/派瑞氢能/京电设备/大陆制氢/华光环能；未见招标结果</t>
  </si>
  <si>
    <t>10万吨液态阳光项目碱性电解槽成套设备及附属设施
（标段一）</t>
  </si>
  <si>
    <t>中煤鄂尔多斯能源化工有限公司</t>
  </si>
  <si>
    <t>16*6</t>
  </si>
  <si>
    <t>其他包含4套4800Nm3/h气液分离系统、2套9600Nm3/h气体纯化系统等其他附属设施</t>
  </si>
  <si>
    <t>10万吨液态阳光项目碱性电解槽成套设备及附属设施
（标段二）</t>
  </si>
  <si>
    <t>8*6+4*6</t>
  </si>
  <si>
    <t>其他包含2套4800Nm3/h气液分离系统、1套9600Nm3/h气体纯化系统及其他附属设施；4台1200Nm3/h碱性电解槽，共配套1套4800Nm3/h气液分离系统、1套7800Nm3/h气体纯化系统及其他附属设施</t>
  </si>
  <si>
    <t>10万吨液态阳光项目碱性电解槽成套设备及附属设施
（标段三）</t>
  </si>
  <si>
    <t>其他包含2套4800Nm3/h气液分离系统、1套9600Nm3/h气体纯化系统等其他附属设施</t>
  </si>
  <si>
    <t>玉门油田2024可再生能源制氢电解槽1项</t>
  </si>
  <si>
    <t>中国石油天然气股份有限公司玉门油田分公司公共事务中心物资采购业务中心</t>
  </si>
  <si>
    <t>福建</t>
  </si>
  <si>
    <t>厦门</t>
  </si>
  <si>
    <t>五兆瓦碱性-质子交换膜混联制氢系统项目设备
采购包2：200Nm3/h PEM电解水制氢电解槽及配套系统</t>
  </si>
  <si>
    <t>嘉庚创新实验室</t>
  </si>
  <si>
    <t>五兆瓦碱性-质子交换膜混联制氢系统项目设备
采购包3：800-1200Nm3 H2/h碱性电解水制氢系统</t>
  </si>
  <si>
    <t>GT2024-QY494-实验型碱性电解水制氢装置</t>
  </si>
  <si>
    <t>厦门智储大装置研究院有限公司</t>
  </si>
  <si>
    <t>电解水制氢技术示范关键设备
一标段：碱性电解槽1号设备</t>
  </si>
  <si>
    <t>陕西氢能产业发展有限公司</t>
  </si>
  <si>
    <t>电解水制氢技术示范关键设备
二标段：碱性电解槽2号设备</t>
  </si>
  <si>
    <t>电解水制氢技术示范关键设备
三标段：碱性电解槽3号设备</t>
  </si>
  <si>
    <t>陕西华秦新能源科技有限责任公司</t>
  </si>
  <si>
    <t>电解水制氢技术示范关键设备
四标段：PEM电解槽1号设备</t>
  </si>
  <si>
    <t>电解水制氢技术示范关键设备
五标段：PEM电解槽2号设备</t>
  </si>
  <si>
    <t>上海氢盛创合能源科技有限公司（含联合体：上海交通大学）</t>
  </si>
  <si>
    <t>信阳</t>
  </si>
  <si>
    <t>陕煤信阳2×1000MW高效超超临界机组工程项目第三批辅机设备（制氢系统）</t>
  </si>
  <si>
    <t>陕西省煤炭物资供应公司</t>
  </si>
  <si>
    <t>20Nm3 H2/h碱性电解制氢系统采购</t>
  </si>
  <si>
    <t>苏州希倍优氢能源科技有限公司</t>
  </si>
  <si>
    <t>100Nm3 H2/h碱性电解制氢系统采购</t>
  </si>
  <si>
    <t>阿拉善</t>
  </si>
  <si>
    <t>新能源场站多能互补协同控制研究与实证基地示范项目—带压碱性电解槽及附属设备</t>
  </si>
  <si>
    <t>龙源电力国能源创阿拉善新能源有限公司</t>
  </si>
  <si>
    <t>新能源场站多能互补协同控制研究与实证基地示范项目—200标方PEM电解槽制氢设备及附属设备</t>
  </si>
  <si>
    <t>科研项目小型碱性电解水装置(2024120067)</t>
  </si>
  <si>
    <t>华能西安热工院苏州节能环保公司</t>
  </si>
  <si>
    <t>泸州</t>
  </si>
  <si>
    <t>四川泸州川南发电-制氢站电解槽升级改造比选</t>
  </si>
  <si>
    <t>四川泸州川南发电有限责任公司</t>
  </si>
  <si>
    <t>海西州</t>
  </si>
  <si>
    <t>格尔木一期2x660MW煤电项目第四批辅助设备（制氢系统）</t>
  </si>
  <si>
    <t>华电（格尔木）能源有限公司</t>
  </si>
  <si>
    <t>吕梁</t>
  </si>
  <si>
    <t>吕梁经济技术开发区新型材料产业园区光电制氢一体化建设项目</t>
  </si>
  <si>
    <t>吕梁园区建设发展有限公司</t>
  </si>
  <si>
    <t>28*2</t>
  </si>
  <si>
    <t>撤销</t>
  </si>
  <si>
    <t>青海华电格尔木一期2×660MW煤电项目制氢系统设备</t>
  </si>
  <si>
    <t>四川泸州川南发电-制氢站电解槽升级改造比选（第二次）</t>
  </si>
  <si>
    <t>四川泸州川南发电-制氢站电解槽升级改造比选（第三次）</t>
  </si>
  <si>
    <t>江西</t>
  </si>
  <si>
    <t>九江</t>
  </si>
  <si>
    <t>江西核电棉船风电配套制氢储能项目PEM电解水制氢设备</t>
  </si>
  <si>
    <t>成套装置主要由制氢系统、氢气纯化系统、系统必须的电气、热控系统以及氢气压缩、充装系统设备构成</t>
  </si>
  <si>
    <t>江西核电棉船风电配套制氢储能项目PEM电解水制氢设备-重新招标</t>
  </si>
  <si>
    <t>石家庄</t>
  </si>
  <si>
    <t>中能建石家庄鹿泉区光伏制氢及氢能配套产业项目EPC总承包项目碱性电解槽制氢装置及电源成套设备货物</t>
  </si>
  <si>
    <t>中国电力工程顾问集团中南电力设计院有限公司</t>
  </si>
  <si>
    <t>未见招标结果（氢能项目部说是7套，由派瑞氢能提供）</t>
  </si>
  <si>
    <t>制氢机采购及相关系统改造</t>
  </si>
  <si>
    <t>宁夏枣泉发电有限责任公司</t>
  </si>
  <si>
    <t>青岛双瑞海洋环境工程股份有限公司</t>
  </si>
  <si>
    <t>上海</t>
  </si>
  <si>
    <t>化工公司化工科技中试基地科研条件保障项目集装箱式水电解制氢装置（含安装）</t>
  </si>
  <si>
    <t>国能基石化工科技（上海）有限公司</t>
  </si>
  <si>
    <t>含盐水电解制氢系统定制加工采购招标项目</t>
  </si>
  <si>
    <t>3000标方碱水制氢设备的“电解槽”模块和“气液分离循环工艺框架”模块</t>
  </si>
  <si>
    <t>一重集团大连核电石化有限公司</t>
  </si>
  <si>
    <t>含盐水电解制氢系统定制加工采购招标项目-二次</t>
  </si>
  <si>
    <t>深圳氢致能源有限公司</t>
  </si>
  <si>
    <t>格尔木一期2×660MW煤电项目制氢系统设备二次招标公告</t>
  </si>
  <si>
    <t>制氢装置定制加工</t>
  </si>
  <si>
    <t>10兆瓦级碱性电解槽采购项目</t>
  </si>
  <si>
    <t>1*12.5</t>
  </si>
  <si>
    <t>国科绿氢（大连）科技有限公司</t>
  </si>
  <si>
    <t>定制化产品</t>
  </si>
  <si>
    <t>伊犁</t>
  </si>
  <si>
    <t>中煤伊犁2×66万千瓦热电联产工程项目制氢站系统设备</t>
  </si>
  <si>
    <t>中国电力工程顾问集团西北电力设计院有限公司</t>
  </si>
  <si>
    <t>广西</t>
  </si>
  <si>
    <t>北海</t>
  </si>
  <si>
    <t>三峡能源北海绿电制氢研究示范项目EPC总承包项目</t>
  </si>
  <si>
    <t>三峡新能源天峨发电有限公司</t>
  </si>
  <si>
    <t>厚普清洁能源集团工程技术有限公司、上海勘测设计研究院有限公司、上海交通大学、上海氢鸾科技有限公司联合体</t>
  </si>
  <si>
    <t>青海华电格尔木一期2×660MW煤电项目制氢系统设备二次招标</t>
  </si>
  <si>
    <t>准东</t>
  </si>
  <si>
    <t>新塑年产80万吨煤制烯烃煤化工专项组碱水电解制氢装置</t>
  </si>
  <si>
    <t>新疆东明塑胶有限公司</t>
  </si>
  <si>
    <t>1000标方碱性制氢公辅系统及撬装</t>
  </si>
  <si>
    <t>东方电气（成都）氢能科技有限公司</t>
  </si>
  <si>
    <t>中集集电（广东）科技发展有限公司</t>
  </si>
  <si>
    <t>/</t>
  </si>
  <si>
    <t>氢气站成套设备</t>
  </si>
  <si>
    <t>中国恩菲工程技术有限公司</t>
  </si>
  <si>
    <t>无中标候选人</t>
  </si>
  <si>
    <t>陕西公司府谷公司西王寨煤电一体化项目电厂新建工程制氢装置设备</t>
  </si>
  <si>
    <t>大唐陕西府谷煤电有限责任公司</t>
  </si>
  <si>
    <t>制氢装置定制加工-二次采购</t>
  </si>
  <si>
    <t>50标方碱性电解水制氢系统配套设备</t>
  </si>
  <si>
    <t>六盘山实验室</t>
  </si>
  <si>
    <t>北京明阳氢能科技有限公司</t>
  </si>
  <si>
    <t>制氢装置定制加工-三次采购</t>
  </si>
  <si>
    <t>奥德源新材料（石家庄）有限公司</t>
  </si>
  <si>
    <t>8标方碱水制氢装置</t>
  </si>
  <si>
    <t>1*0.04</t>
  </si>
  <si>
    <t>宣钢烟筒山96MWp（一期60MWp）分布式光伏项目200Nm³每小时集装式离网制氢系统</t>
  </si>
  <si>
    <t>北京京能国际控股有限公司</t>
  </si>
  <si>
    <t>襄阳</t>
  </si>
  <si>
    <t>中电建枣阳200MW光伏发电项目制氢设备及配套-包件1</t>
  </si>
  <si>
    <t>中电建（枣阳）新能源开发有限公司</t>
  </si>
  <si>
    <t>经招标人研究决定，予以终止</t>
  </si>
  <si>
    <t>中电建枣阳200MW光伏发电项目制氢设备及配套-包件2</t>
  </si>
  <si>
    <t>3*5</t>
  </si>
  <si>
    <t>中煤榆林煤炭深加工基地项目单堆400标方PEM电解槽设备</t>
  </si>
  <si>
    <t>中煤陕西能源化工集团有限公司</t>
  </si>
  <si>
    <t>德阳</t>
  </si>
  <si>
    <t>德阳金井500Nm3/h碱性制氢公辅系统</t>
  </si>
  <si>
    <t>国重1.1项目示范工程25MW混联模组
标段1：3套1000碱性-质子交换膜混联制氢系统及质保期内备品备件，每套含1台额定800Nm³/hALK电解槽，1台额定800Nm3/h的气液分离处理装置 ，1台ALK制氢电源（包含变压器和整流电源），1台额定200 Nm³/h PEM电解槽，1台额定200 Nm³/h气液分离处理装置，1台质子交换膜电解槽制氢电源（包含变压器和整流电源)，1台额定1000Nm3/h的氢气纯化装置（满足ALK+PEM20%-120%负荷运行处理气量）</t>
  </si>
  <si>
    <t>国家能源集团氢能科技有限责任公司</t>
  </si>
  <si>
    <t>AE/PEME</t>
  </si>
  <si>
    <t>3*(4+1)</t>
  </si>
  <si>
    <t>国重1.1项目示范工程25MW混联模组
标段2：2套1000碱性-质子交换膜混联制氢系统及质保期内备品备件，每套含1台额定800Nm³/hALK电解槽，1台额定800Nm3/h的气液分离处理装置 ，1台ALK制氢电源（包含变压器和整流电源），1台额定200 Nm³/h PEM电解槽，1台额定200 Nm³/h气液分离处理装置，1台质子交换膜电解槽制氢电源（包含变压器和整流电源)，1台额定1000Nm3/h的氢气纯化装置（满足ALK+PEM20%-120%负荷运行处理气量）</t>
  </si>
  <si>
    <t>2*(4+1)</t>
  </si>
  <si>
    <t>C-5项目AH子项制氢设备</t>
  </si>
  <si>
    <t>中国核工业集团有限公司</t>
  </si>
  <si>
    <t>北京汉氢科技有限公司</t>
  </si>
  <si>
    <t>巴基斯坦恰希玛C-5核电项目；规模未查到；电解槽类型未查到</t>
  </si>
  <si>
    <t>电解水制氢装置电解槽</t>
  </si>
  <si>
    <t>华电新疆红雁池分公司</t>
  </si>
  <si>
    <t>承德</t>
  </si>
  <si>
    <t>围场大西沟风电制氢项目（制氢部分）采购及施工总承包 （PC工程总承包）</t>
  </si>
  <si>
    <t>承德御景新能源有限公司</t>
  </si>
  <si>
    <t>PC工程总承包</t>
  </si>
  <si>
    <t>兵团</t>
  </si>
  <si>
    <t>年产180万吨精细化学品及4000吨电池燃料氢多联产项目-电解水制氢装置</t>
  </si>
  <si>
    <t>中溶新能源（可克达拉）有限公司</t>
  </si>
  <si>
    <t>含2台2000Nm3/h气液处理器及辅助系统；价格未提及</t>
  </si>
  <si>
    <t>济宁</t>
  </si>
  <si>
    <t>制氢机备件电解槽</t>
  </si>
  <si>
    <t>中国华能集团有限公司北京睿采数动科技分公司</t>
  </si>
  <si>
    <t>赤峰</t>
  </si>
  <si>
    <t>制氢站电解槽</t>
  </si>
  <si>
    <t>赤峰经济开发区发电有限公司</t>
  </si>
  <si>
    <t>昌吉州</t>
  </si>
  <si>
    <t>其亚硅基一期20万吨工程公用工程电解制氢装置</t>
  </si>
  <si>
    <t>其亚集团有限公司</t>
  </si>
  <si>
    <t>长治</t>
  </si>
  <si>
    <t>MW级单堆PEM电解槽及系统研发</t>
  </si>
  <si>
    <t>山西潞安矿业（集团）有限责任公司</t>
  </si>
  <si>
    <t>山西阳煤化工机械（集团）有限公司</t>
  </si>
  <si>
    <t>安徽</t>
  </si>
  <si>
    <t>蚌埠</t>
  </si>
  <si>
    <t>氢站设备采购及更换</t>
  </si>
  <si>
    <t>中建材（蚌埠）光电材料有限公司</t>
  </si>
  <si>
    <t>高盐废水电解制氢试制加工</t>
  </si>
  <si>
    <t>深圳清华大学研究院</t>
  </si>
  <si>
    <t>伊宁</t>
  </si>
  <si>
    <t>伊宁市绿电规模化制氢项目设备</t>
  </si>
  <si>
    <t>新疆兆联清通能源科技有限公司</t>
  </si>
  <si>
    <t>扬州纪扬机械设备有限公司</t>
  </si>
  <si>
    <t>a.配套分离装置、氢气纯化装置、配碱系统、冷水机组、冷却水循环装置、纯水补水系统及储氢罐，预留氧气纯化
b.配套：20MPa的氢气压缩机，20MPa机双管式充装柜</t>
  </si>
  <si>
    <t>围场大西沟风电制氢项目（制氢部分）采购及施工总承包 （PC工程总承包）（二次）</t>
  </si>
  <si>
    <t>甘肃省安装建设集团有限公司</t>
  </si>
  <si>
    <t>未提及分项数据</t>
  </si>
  <si>
    <t>察右前旗风光制氢一体化项目（一期）制氢端成套设备</t>
  </si>
  <si>
    <t>格盟宜和新能源有限责任公司</t>
  </si>
  <si>
    <t>36*1.25</t>
  </si>
  <si>
    <t>招标暂停</t>
  </si>
  <si>
    <t>宝鸡</t>
  </si>
  <si>
    <t>宝鸡宝石特种车辆有限责任公司</t>
  </si>
  <si>
    <t>化德储能制氢电站项目制氢设备</t>
  </si>
  <si>
    <t>爱德曼氢能源装备有限公司</t>
  </si>
  <si>
    <t>兴安盟</t>
  </si>
  <si>
    <t>光伏发电制氢制氨多稳态柔性系统装置建设项目电解槽及配套物资</t>
  </si>
  <si>
    <t>中核汇能（内蒙古）能源有限公司</t>
  </si>
  <si>
    <t>具体规模未提及</t>
  </si>
  <si>
    <t>中电建枣阳200MW光伏发电项目制氢设备及配套</t>
  </si>
  <si>
    <t>中天合创鄂尔多斯煤化工项目水电解槽\碱性电解水制氢1000～1500Nm3/h</t>
  </si>
  <si>
    <t>中国石化物资装备部（国际事业公司）</t>
  </si>
  <si>
    <t>48*5</t>
  </si>
  <si>
    <t>获得16套</t>
  </si>
  <si>
    <t>原24套，让8给青骐骥</t>
  </si>
  <si>
    <t>https://mp.weixin.qq.com/s/6XFe_78nBdv11i5pG6RGNA</t>
  </si>
  <si>
    <t>https://mp.weixin.qq.com/s/nvzqJokuO-bECXtGiJhgeQ</t>
  </si>
  <si>
    <t>三一退出，增补</t>
  </si>
  <si>
    <t>水电解制氢设备</t>
  </si>
  <si>
    <t>中国电子科技集团公司第十三研究所</t>
  </si>
  <si>
    <t>含纯化装置；具体规模未提及</t>
  </si>
  <si>
    <t>中核汇能内蒙公司光伏发电制氢制氨多稳态柔性系统装置建设项目电解槽及配套物资</t>
  </si>
  <si>
    <t>三峡蒙能东胜热电近区(色连)4×1000MW扩建项目总承包工程制氢系统设备</t>
  </si>
  <si>
    <t>内蒙古三峡蒙能能源有限公司</t>
  </si>
  <si>
    <t>碱性电解水制氢设备（二次）</t>
  </si>
  <si>
    <t>宝鸡秦能装备制造有限责任公司</t>
  </si>
  <si>
    <t>国电电力秦皇岛发电有限责任公司 电解槽单一来源采购</t>
  </si>
  <si>
    <t>秦皇岛发电有限责任公司</t>
  </si>
  <si>
    <t>白银</t>
  </si>
  <si>
    <t>电解槽（C1100000096016722001）</t>
  </si>
  <si>
    <t>甘肃银光化学工业集团有限公司</t>
  </si>
  <si>
    <t>宏泽（江苏）科技股份有限公司</t>
  </si>
  <si>
    <t>2025年站网工程电解水制氢公开招标公告</t>
  </si>
  <si>
    <t>电解制氢装置及其辅助平台</t>
  </si>
  <si>
    <t>太原理工大学</t>
  </si>
  <si>
    <t>四平</t>
  </si>
  <si>
    <t>二〇二五年度第87批集中招标（吉电股份梨树风光制绿氢生物质耦合绿色甲醇项目碱性水电解制氢设备）</t>
  </si>
  <si>
    <t>含3套4000Nm3/h气液分离撬块，3套4000Nm3/h氢气纯化撬块，12套IGBT等</t>
  </si>
  <si>
    <t>16*5+1*10</t>
  </si>
  <si>
    <t>含1套2000Nm3/h气液分离撬块、4套4000Nm3/h气液分离撬块，3套4000Nm3/h氢气纯化撬块，1套6000Nm3/h氢气纯化撬块，17套IGBT等</t>
  </si>
  <si>
    <t>隆基退出</t>
  </si>
  <si>
    <t>16kW级AEM制氢一体机</t>
  </si>
  <si>
    <t>惠州亿纬氢能有限公司</t>
  </si>
  <si>
    <t>张掖碳中和产业基地风光氢储一体化项目碱性电解水制氢电解槽及电源设备</t>
  </si>
  <si>
    <t>龙源电力龙源（张掖）新能源发展有限公司</t>
  </si>
  <si>
    <t>北京国能龙威发电技术有限公司</t>
  </si>
  <si>
    <t>含电源设备（包括7台变压器、12台整流器、附属冷却设施、交直流铜排、配套的相关附件等）的供货、运输、卸货、安装调试、售后服务、试验运行和交接验收、培训、以及相关科研和技术服务等</t>
  </si>
  <si>
    <t>8*10</t>
  </si>
  <si>
    <t>迁安</t>
  </si>
  <si>
    <t>迁安市氢电综合能源站工程EPC总承包加氢、制氢部分设备</t>
  </si>
  <si>
    <t>河北省安装工程有限公司</t>
  </si>
  <si>
    <t>8*7.5</t>
  </si>
  <si>
    <t>日照</t>
  </si>
  <si>
    <t>山科融发绿色氢醇一体化示范项目制氢及其配套设备</t>
  </si>
  <si>
    <t>中交第四航务工程局有限公司</t>
  </si>
  <si>
    <t>山东北辰高新技术发展有限公司</t>
  </si>
  <si>
    <t>察右前旗风光制氢一体化项目（一期）制氢端成套设备（二次）</t>
  </si>
  <si>
    <t>长春绿动氢能科技有限公司（联合体：陕西兴燃科技有限公司）</t>
  </si>
  <si>
    <t>听说长春绿动就9套</t>
  </si>
  <si>
    <t>100Nm3 H2每小时碱性电解水制氢电解槽</t>
  </si>
  <si>
    <t>深圳大学</t>
  </si>
  <si>
    <t>作出有效投标的供应商不足法定数量</t>
  </si>
  <si>
    <t>衡阳</t>
  </si>
  <si>
    <t>中核二七二铀业有限责任公司一体化建设项目电解制氢设备</t>
  </si>
  <si>
    <t>中核第四研究设计工程有限公司</t>
  </si>
  <si>
    <t>4*0.375</t>
  </si>
  <si>
    <r>
      <rPr>
        <b/>
        <sz val="9"/>
        <color rgb="FF0066CC"/>
        <rFont val="微软雅黑"/>
        <family val="2"/>
        <charset val="134"/>
      </rPr>
      <t>规模未查到；电解槽类型未查到；</t>
    </r>
    <r>
      <rPr>
        <b/>
        <sz val="9"/>
        <color rgb="FFFF0000"/>
        <rFont val="微软雅黑"/>
        <family val="2"/>
        <charset val="134"/>
      </rPr>
      <t>根据后续情报消息，为4*0.375</t>
    </r>
  </si>
  <si>
    <t>昆明</t>
  </si>
  <si>
    <t>可再生能源电解水制氢系统控制关键技术研究项目制氢设备</t>
  </si>
  <si>
    <t>云南省能源研究院有限公司</t>
  </si>
  <si>
    <t>1*1.5</t>
  </si>
  <si>
    <t>包含碱性电解水装置设计采购及安装施工、相关配套设施的设计采购及安装施工、项目管理、交接试验、系统调试、试运行、消缺、培训、验收(含各项专题、阶段验收、竣工等验收)、移交生产、达标投产验收，性能质量保证，工程质量保修期限的服务等内容</t>
  </si>
  <si>
    <t>100Nm3 H2每小时碱性电解水制氢电解槽（重新采购第1次）</t>
  </si>
  <si>
    <t>东方电气启能（深圳）科技有限公司</t>
  </si>
  <si>
    <t>50Nm3/h~110Nm3/h</t>
  </si>
  <si>
    <t>2025年制氢系统</t>
  </si>
  <si>
    <t>东风汽车集团股份有限公司研发总院</t>
  </si>
  <si>
    <t>2025年站网工程电解水制氢公开招标公告（崇训采购）</t>
  </si>
  <si>
    <t>3套</t>
  </si>
  <si>
    <t>二〇二五年度第99批集中招标（吉电股份梨树风光制绿氢生物质耦合绿色甲醇项目PEM水电解制氢设备）</t>
  </si>
  <si>
    <t>4*2.5</t>
  </si>
  <si>
    <t>铁岭</t>
  </si>
  <si>
    <t>辽宁华电调兵山45万千瓦风电制氢耦合绿色甲醇一体化示范项目PEM制氢系统成套设备</t>
  </si>
  <si>
    <t>6*2.5</t>
  </si>
  <si>
    <t>固原</t>
  </si>
  <si>
    <t>固原彭阳2*660MW机组工程制氢设备</t>
  </si>
  <si>
    <t>宁夏王洼煤业有限公司</t>
  </si>
  <si>
    <t>4台单堆250kW AEM电堆的建造与测试服务</t>
  </si>
  <si>
    <t>中海石油气电集团有限责任公司</t>
  </si>
  <si>
    <t>4*0.25</t>
  </si>
  <si>
    <t>平朔</t>
  </si>
  <si>
    <t>中煤平朔集团采煤沉陷区60万千瓦离网式可再生能源制氢一期项目（绿氢耦合煤化工部分）碱性电解槽成套设备及附属设施</t>
  </si>
  <si>
    <t>中煤平朔集团有限公司</t>
  </si>
  <si>
    <t>8*6</t>
  </si>
  <si>
    <t>配套2套4800Nm3/h气液分离系统、2套4800Nm3/h气体纯化系统及其他附属设施</t>
  </si>
  <si>
    <t>4*6</t>
  </si>
  <si>
    <t>配套1套4800Nm3/h气液分离系统、1套4800Nm3/h气体纯化系统及其他附属设施</t>
  </si>
  <si>
    <t>兆瓦级碱性电解槽及氢氧分离纯化模块货物</t>
  </si>
  <si>
    <t>榆林中科洁净能源创新研究院</t>
  </si>
  <si>
    <t>天津瀚洲机械设备制造有限公司</t>
  </si>
  <si>
    <t>固体氧化物电解堆</t>
  </si>
  <si>
    <t>合同签订后80天内交付总额定功率264 kW的固体氧化物电解堆，110天内交付总额定功率528 kW的固体氧化物电解堆，140天内交付总额定功率944 kW的固体氧化物电解堆</t>
  </si>
  <si>
    <t>2026年度盛鲁电厂制氢站电解槽专项招标</t>
  </si>
  <si>
    <t>山东能源集团物资有限公司内蒙古分公司</t>
  </si>
  <si>
    <t>电解水制氢装置制氢单元工艺设备（陕煤集团榆林化学有限责任公司1500万吨/年煤炭分质清洁高效转化示范项目烯烃、芳烃及深加工工程一阶段项目电解水制氢装置）</t>
  </si>
  <si>
    <t>北方工程设计研究院有限公司</t>
  </si>
  <si>
    <t>4*15</t>
  </si>
  <si>
    <t>邯郸净化设备研究所（中国船舶集团有限公司第七一八研究所）</t>
  </si>
  <si>
    <t>3套；规模未查到；电解槽类型未查到</t>
  </si>
  <si>
    <t>河源</t>
  </si>
  <si>
    <t>河源电厂2026年PEM质子膜制氢机采购</t>
  </si>
  <si>
    <t>深能合和电力（河源）有限公司</t>
  </si>
  <si>
    <t>河源电厂2026年PEM质子膜制氢机采购（第二次）</t>
  </si>
  <si>
    <t>南宁</t>
  </si>
  <si>
    <t>宾阳县绿电制氢先行试验建设项目（制氢设备设施采购）</t>
  </si>
  <si>
    <t>宾阳县皓源产业投资有限公司</t>
  </si>
  <si>
    <t>兆瓦级盐水制氢电解槽</t>
  </si>
  <si>
    <t>固体氧化物电解堆（第二次）</t>
  </si>
  <si>
    <t>1*0.944</t>
  </si>
  <si>
    <t>氢能高速及零碳服务区关键技术集成与示范高密服务区加氢站综合利用项目二期PEM电解水制氢储能部分</t>
  </si>
  <si>
    <t>山东高速服务开发集团有限公司</t>
  </si>
  <si>
    <t>含发电</t>
  </si>
  <si>
    <t>国网江西电科院PEM纯水电解制氢装置</t>
  </si>
  <si>
    <t>江西华源共创工程有限公司</t>
  </si>
  <si>
    <t>张掖碳中和产业基地风光氢储一体化项目500标方PEM电解槽制氢设备及附属设备</t>
  </si>
  <si>
    <t>西宁</t>
  </si>
  <si>
    <t>青海中利光纤2X250Nm3h电解水制氢项目</t>
  </si>
  <si>
    <t>青海中利光纤技术有限公司</t>
  </si>
  <si>
    <t>未提及</t>
  </si>
  <si>
    <t>专用车（&gt;25吨）</t>
  </si>
  <si>
    <t>氢燃料牵引车</t>
  </si>
  <si>
    <t>张家港港务集团有限公司</t>
  </si>
  <si>
    <t>张家港</t>
  </si>
  <si>
    <t>广州源泉新能源科技有限公司</t>
  </si>
  <si>
    <t>8-8.99</t>
  </si>
  <si>
    <t>客运车（&lt;10米）</t>
  </si>
  <si>
    <t>氢燃料公交车</t>
  </si>
  <si>
    <t>8-8.99米氢燃料公交车</t>
  </si>
  <si>
    <t>QDJC-QYCG2026-017</t>
  </si>
  <si>
    <t>茂名市城市公共交通有限公司</t>
  </si>
  <si>
    <t>茂名</t>
  </si>
  <si>
    <t>中标</t>
  </si>
  <si>
    <t>氢澜科技</t>
  </si>
  <si>
    <t>氢澜新能源有限公司</t>
  </si>
  <si>
    <t>客运车（未提及）</t>
  </si>
  <si>
    <t>氢能源公交车</t>
  </si>
  <si>
    <t>XYZY-ZFCG202604HW-001001</t>
  </si>
  <si>
    <t>枣阳市同达客运有限公司</t>
  </si>
  <si>
    <t>枣阳</t>
  </si>
  <si>
    <t>GDJ5080TXSFCEV</t>
  </si>
  <si>
    <t>专用车（&lt;12吨）</t>
  </si>
  <si>
    <t>8吨燃料电池洗扫车</t>
  </si>
  <si>
    <t>街道清洗清扫车</t>
  </si>
  <si>
    <t>GDJ5080ZYSFCEV</t>
  </si>
  <si>
    <t>广州华凯绿青装备有限公司</t>
  </si>
  <si>
    <t>8吨燃料电池压缩式垃圾车</t>
  </si>
  <si>
    <t>垃圾车</t>
  </si>
  <si>
    <t>JSHD01050126CGHW</t>
  </si>
  <si>
    <t>广州市花都区城市环境卫生管理所</t>
  </si>
  <si>
    <t>花都</t>
  </si>
  <si>
    <t>计算时不考虑</t>
  </si>
  <si>
    <t>专用车（未提及）（租赁）</t>
  </si>
  <si>
    <t>氢能源车</t>
  </si>
  <si>
    <t>佛山市顺德区盈德汽车服务有限公司</t>
  </si>
  <si>
    <t>顺德</t>
  </si>
  <si>
    <t>佛山</t>
  </si>
  <si>
    <t>专用车（12-25吨）</t>
  </si>
  <si>
    <t>18吨氢能源洒水车</t>
  </si>
  <si>
    <t>长沙中联重科环境产业有限公司</t>
  </si>
  <si>
    <t>18吨氢能源洗扫车</t>
  </si>
  <si>
    <t>氢能环卫车辆</t>
  </si>
  <si>
    <t>CHZB-BD-20260101</t>
  </si>
  <si>
    <t>保定高新环境科技有限公司</t>
  </si>
  <si>
    <t>现代汽车</t>
  </si>
  <si>
    <t>现代氢能科技（广州）有限公司</t>
  </si>
  <si>
    <t>专用车（未提及）</t>
  </si>
  <si>
    <t>氢燃料电池环卫车</t>
  </si>
  <si>
    <t>氢燃料电池环卫车租赁服务</t>
  </si>
  <si>
    <t>GDWCZFG2512128</t>
  </si>
  <si>
    <t>广州市黄埔区环卫美化服务中心</t>
  </si>
  <si>
    <t>黄埔</t>
  </si>
  <si>
    <t>高压洒水车</t>
  </si>
  <si>
    <t>低压洒水车</t>
  </si>
  <si>
    <t>石家庄煤矿机械有限责任公司</t>
  </si>
  <si>
    <t>四季清扫车</t>
  </si>
  <si>
    <t>河北唐山迁安新能源环卫车更新项目（一期）A包</t>
  </si>
  <si>
    <t>HBGX-2025-40（1）</t>
  </si>
  <si>
    <t>迁安市城市管理综合行政执法局</t>
  </si>
  <si>
    <t>江苏恩方智享科技有限公司</t>
  </si>
  <si>
    <t>3000~6000</t>
  </si>
  <si>
    <t>氢能助力自行车</t>
  </si>
  <si>
    <t>HYCG20251230</t>
  </si>
  <si>
    <t>张家港市暨阳出行服务有限公司</t>
  </si>
  <si>
    <t>广汽领程新能源商用车有限公司</t>
  </si>
  <si>
    <t>氢燃料电池冷藏保温车</t>
  </si>
  <si>
    <t>广州发展南沙投资有限公司</t>
  </si>
  <si>
    <t>单一来源中标</t>
  </si>
  <si>
    <t>氢能源重卡</t>
  </si>
  <si>
    <t>2026-2027年度电动重卡供应商集中入围项目-氢能源重卡</t>
  </si>
  <si>
    <t>江苏省港口集团有限公司</t>
  </si>
  <si>
    <t>暂未查到</t>
  </si>
  <si>
    <t>北汽福田汽车股份有限公司</t>
  </si>
  <si>
    <t>氢能源冷藏汽车</t>
  </si>
  <si>
    <t>4.2米氢能源冷藏汽车</t>
  </si>
  <si>
    <t>4.2米氢能源冷藏汽车项目</t>
  </si>
  <si>
    <t>辛集</t>
  </si>
  <si>
    <t>厦门金龙联合汽车工业有限公司</t>
  </si>
  <si>
    <t>广州开沃新能源汽车有限公司</t>
  </si>
  <si>
    <t>氢燃料电池城市客车</t>
  </si>
  <si>
    <t>8.5米氢燃料电池城市客车</t>
  </si>
  <si>
    <t>CF25BHJ0201</t>
  </si>
  <si>
    <t>广州公交集团汽车服务有限公司
广州巴士集团有限公司</t>
  </si>
  <si>
    <t>云韬氢能</t>
  </si>
  <si>
    <t>浙江联和氢能科技有限公司</t>
  </si>
  <si>
    <t>氢燃料电池自卸汽车（车型三）</t>
  </si>
  <si>
    <t>氢燃料电池半挂牵引车（车型二）</t>
  </si>
  <si>
    <t>氢燃料电池半挂牵引车（车型一）</t>
  </si>
  <si>
    <t>氢燃料电池半挂牵引车及氢燃料电池自卸汽车</t>
  </si>
  <si>
    <t>GSZB25Z0307G</t>
  </si>
  <si>
    <t>鸿景创能物联科技（广州）有限公司</t>
  </si>
  <si>
    <t>新乡氢能科技有限公司</t>
  </si>
  <si>
    <t>氢能源勾臂式垃圾清运车辆</t>
  </si>
  <si>
    <t>2标段-5辆氢能源勾臂式垃圾清运车辆</t>
  </si>
  <si>
    <t>新乡政采招标采购-2025-131</t>
  </si>
  <si>
    <t>新乡市环境卫生事务中心</t>
  </si>
  <si>
    <t>新乡</t>
  </si>
  <si>
    <t>DPD5180TXSJFFCEV（作为主要标的披露，垃圾车情况未知）</t>
  </si>
  <si>
    <t>智途汽车（大连）有限公司</t>
  </si>
  <si>
    <t>18吨氢燃料洗扫车</t>
  </si>
  <si>
    <t>18吨氢燃料压缩式垃圾车</t>
  </si>
  <si>
    <t>A包-环卫作业车（更新）（重新招标2次）</t>
  </si>
  <si>
    <t>JYCG-2025-HC22-01</t>
  </si>
  <si>
    <t>大连高新园区海创物业管理有限公司</t>
  </si>
  <si>
    <t>18（30/月/台）</t>
  </si>
  <si>
    <t>4.2米氢能源冷藏车租赁</t>
  </si>
  <si>
    <t>新能源冷藏车</t>
  </si>
  <si>
    <t>CYJT-BX-20251111-LL01</t>
  </si>
  <si>
    <t>广州长运冷链服务有限公司</t>
  </si>
  <si>
    <t>新研氢能</t>
  </si>
  <si>
    <t>成都客车股份有限公司（联合体牵头人）+成都新研氢能源科技有限公司（联合体成员）</t>
  </si>
  <si>
    <t>氢燃料电池公交车</t>
  </si>
  <si>
    <t>ZXCTFZC-2025-050</t>
  </si>
  <si>
    <t>成都市新都区蓉桂公共交通有限公司</t>
  </si>
  <si>
    <t>新都</t>
  </si>
  <si>
    <t>GH5189TXSBJFCEV</t>
  </si>
  <si>
    <t>广州市环境卫生机械设备厂有限公司</t>
  </si>
  <si>
    <t>18吨氢燃料电池洗扫车</t>
  </si>
  <si>
    <t>GH5189GQXBJFCEV</t>
  </si>
  <si>
    <t>18吨氢燃料电池洒水车</t>
  </si>
  <si>
    <t>CZ2025-1382</t>
  </si>
  <si>
    <t>广州市天河区城市管理和综合执法局</t>
  </si>
  <si>
    <t>天河</t>
  </si>
  <si>
    <t>氢能重卡自卸车</t>
  </si>
  <si>
    <t>YLZ0934-202501-01H</t>
  </si>
  <si>
    <t>宜昌夷陵国控实业投资集团有限公司</t>
  </si>
  <si>
    <t>宜昌</t>
  </si>
  <si>
    <t>LZ5040XLCL2AZFCEV111</t>
  </si>
  <si>
    <t>东风汽车</t>
  </si>
  <si>
    <t>友城新能源汽车（广东）有限公司</t>
  </si>
  <si>
    <t>燃料电池冷藏车</t>
  </si>
  <si>
    <t>轻型燃料电池冷藏车</t>
  </si>
  <si>
    <t>HNZX(CG)-2025018</t>
  </si>
  <si>
    <t>广东中氢联达新能源投资有限公司</t>
  </si>
  <si>
    <t>现代汽车氢燃料电池系统（广州）有限公司</t>
  </si>
  <si>
    <t>氢燃料电池厢式货车</t>
  </si>
  <si>
    <t>广州港股份有限公司新港港务分公司有限公司</t>
  </si>
  <si>
    <t>广州市企赢汽车销售有限公司</t>
  </si>
  <si>
    <t>8.4~8.599米氢燃料电池城市客车</t>
  </si>
  <si>
    <t>CF25ZHJ0163</t>
  </si>
  <si>
    <t>广州公交集团汽车服务有限公司
广州巴士集团有限公司、广州市第二巴士有限公司</t>
  </si>
  <si>
    <t>氢能叉车</t>
  </si>
  <si>
    <t>25吨叉车氢能源应用改造</t>
  </si>
  <si>
    <t>张家港港务集团有限公司港埠分公司</t>
  </si>
  <si>
    <t>荣程氢扬动力</t>
  </si>
  <si>
    <t>天津中远海运绿色低碳发展有限公司</t>
  </si>
  <si>
    <t>氢能重卡</t>
  </si>
  <si>
    <t>2025-2028年氢能重卡租赁项目</t>
  </si>
  <si>
    <t>TCTZB-2025-048</t>
  </si>
  <si>
    <t>天津港集装箱码头有限公司</t>
  </si>
  <si>
    <t>滨海新</t>
  </si>
  <si>
    <t>天津</t>
  </si>
  <si>
    <t>还有其他众多车型</t>
  </si>
  <si>
    <t>A包-环卫作业车</t>
  </si>
  <si>
    <t>JYCG-2025-HC22</t>
  </si>
  <si>
    <t>流拍</t>
  </si>
  <si>
    <t>XML6855JFCEVP0CM</t>
  </si>
  <si>
    <t>明天氢能</t>
  </si>
  <si>
    <t>厦门金龙旅行车有限公司</t>
  </si>
  <si>
    <t>氢燃料电池8.5米系列公交车</t>
  </si>
  <si>
    <t>六安市2025年氢燃料电池公交车采购项目</t>
  </si>
  <si>
    <t>ZDHJ-20250909</t>
  </si>
  <si>
    <t>六安市公共交通有限公司</t>
  </si>
  <si>
    <t>六安</t>
  </si>
  <si>
    <t>专用车（&gt;25吨）（租赁）</t>
  </si>
  <si>
    <t>氢燃料电池牵引车</t>
  </si>
  <si>
    <t>2025-2026年度4台49吨氢燃料电池牵引车租赁综合服务项目</t>
  </si>
  <si>
    <t>四川能投宽窄绿色供应链有限公司</t>
  </si>
  <si>
    <t>SWUEECG202518775/XJSGY-2025-323</t>
  </si>
  <si>
    <t>广元市公共交通有限公司</t>
  </si>
  <si>
    <t>广元</t>
  </si>
  <si>
    <t>畔星科技</t>
  </si>
  <si>
    <t>氢燃料电池巡逻车</t>
  </si>
  <si>
    <t>氢燃料电池接驳车</t>
  </si>
  <si>
    <t>氢燃料电池接驳车（两排四座）</t>
  </si>
  <si>
    <t>氢燃料电池接驳车（三排六座）</t>
  </si>
  <si>
    <t>畔星科技（浙江）有限公司</t>
  </si>
  <si>
    <t>氢燃料电池叉车</t>
  </si>
  <si>
    <t>氢燃料电池平衡重叉车</t>
  </si>
  <si>
    <t>ZJXC-2025G050190</t>
  </si>
  <si>
    <t>金华市金义综合保税区建设发展有限公司</t>
  </si>
  <si>
    <t>金华</t>
  </si>
  <si>
    <t>吕梁市吕勤出行服务有限公司</t>
  </si>
  <si>
    <t>≥7.2</t>
  </si>
  <si>
    <t>客运车（&lt;10米）（租赁）</t>
  </si>
  <si>
    <t>氢能源车辆</t>
  </si>
  <si>
    <t>1411992025CDY00220</t>
  </si>
  <si>
    <t>吕梁市机关事务服务中心</t>
  </si>
  <si>
    <t>氢燃料电池大巴车</t>
  </si>
  <si>
    <t>jqzfcg202508180005-1</t>
  </si>
  <si>
    <t>敦煌文旅交通有限公司</t>
  </si>
  <si>
    <t>敦煌</t>
  </si>
  <si>
    <t>佛山市科而勒信息技术有限公司</t>
  </si>
  <si>
    <t>SX5049XLCFCEV341M2</t>
  </si>
  <si>
    <t>清能股份</t>
  </si>
  <si>
    <t>广东清能新能源技术有限公司</t>
  </si>
  <si>
    <t>氢能车辆（轻型冷藏车）</t>
  </si>
  <si>
    <t>JG2025(NH)XZ0026</t>
  </si>
  <si>
    <t>佛山市南海瀚和投资有限公司</t>
  </si>
  <si>
    <t>系统暂不支持全流程电子多分包同时开评标</t>
  </si>
  <si>
    <t>报名供应商不到法定数量</t>
  </si>
  <si>
    <t>9吨燃料电池压缩式垃圾车</t>
  </si>
  <si>
    <t>XGH5180ZYSLFCEV</t>
  </si>
  <si>
    <t>徐州徐工环境技术有限公司</t>
  </si>
  <si>
    <t>18吨燃料电池压缩式垃圾车</t>
  </si>
  <si>
    <t>氢能车辆（市政车）</t>
  </si>
  <si>
    <t>JG2025(NH)XZ0028</t>
  </si>
  <si>
    <t>部分中标</t>
  </si>
  <si>
    <t>LZ4250H7DZFCEV4</t>
  </si>
  <si>
    <t>氢燃料电池半挂牵引车</t>
  </si>
  <si>
    <t>氢能车辆（重型车）</t>
  </si>
  <si>
    <t>JG2025(NH)XZ0027</t>
  </si>
  <si>
    <t>安徽绿美创城环境科技有限公司茂名分公司</t>
  </si>
  <si>
    <t>氢燃料电池自卸车</t>
  </si>
  <si>
    <t>8*4标载氢燃料电池自卸车</t>
  </si>
  <si>
    <t>2502-440981-04-01-903919</t>
  </si>
  <si>
    <t>高州市顺安智能停车管理有限公司</t>
  </si>
  <si>
    <t>高州</t>
  </si>
  <si>
    <t>1411992025CCS00160</t>
  </si>
  <si>
    <t>因项目发生重大变故，本项目作项目终止处理</t>
  </si>
  <si>
    <t>克拉玛依市美克智行汽车租赁有限责任公司</t>
  </si>
  <si>
    <t>乘用车（租赁）</t>
  </si>
  <si>
    <t>氢新能源商务车（7座）</t>
  </si>
  <si>
    <t>新能源车</t>
  </si>
  <si>
    <t>克拉玛依市机关后勤服务中心</t>
  </si>
  <si>
    <t>克拉玛依</t>
  </si>
  <si>
    <t>挖掘机</t>
  </si>
  <si>
    <t>氢能挖掘机</t>
  </si>
  <si>
    <t>装载机</t>
  </si>
  <si>
    <t>氢能装载机</t>
  </si>
  <si>
    <t>自卸车</t>
  </si>
  <si>
    <t>31吨氢能自卸车</t>
  </si>
  <si>
    <t>因本项目采购需求有重大变更，现终止采购</t>
  </si>
  <si>
    <t>49吨氢能自卸车</t>
  </si>
  <si>
    <t>ZFCG202507012</t>
  </si>
  <si>
    <t>雄韬氢雄</t>
  </si>
  <si>
    <t>深圳市氢瑞燃料电池科技有限公司</t>
  </si>
  <si>
    <t>氢燃料电池密闭式桶装垃圾车</t>
  </si>
  <si>
    <t>YG25QG0002492-01</t>
  </si>
  <si>
    <t>深圳市远智城市运营服务有限公司</t>
  </si>
  <si>
    <t>厢式货车</t>
  </si>
  <si>
    <t>东风特种汽车有限公司</t>
  </si>
  <si>
    <t>冷藏车</t>
  </si>
  <si>
    <t>标包二：4.2米氢燃料轻卡</t>
  </si>
  <si>
    <t>保温车</t>
  </si>
  <si>
    <t>郑州新动能产业投资有限公司</t>
  </si>
  <si>
    <t>标包一：4.2米氢燃料轻卡</t>
  </si>
  <si>
    <t>HBZDM012025HWZB003</t>
  </si>
  <si>
    <t>河北省保定市农业发展集团有限公司</t>
  </si>
  <si>
    <t>江苏绿能电动车科技有限公司</t>
  </si>
  <si>
    <t>氢能单车</t>
  </si>
  <si>
    <t>氢能单车（第二批）</t>
  </si>
  <si>
    <t>SDJZD2025-074</t>
  </si>
  <si>
    <t>华旺（青岛）能源科技有限公司</t>
  </si>
  <si>
    <t>黄岛</t>
  </si>
  <si>
    <t>北京环卫集团环卫装备有限公司</t>
  </si>
  <si>
    <t>氢燃料洗扫车</t>
  </si>
  <si>
    <t>氢燃料环卫车</t>
  </si>
  <si>
    <t>0686-25200B150893N/03</t>
  </si>
  <si>
    <t>北京环境卫生工程集团有限公司</t>
  </si>
  <si>
    <t>杭叉集团股份有限公司</t>
  </si>
  <si>
    <t>叉车</t>
  </si>
  <si>
    <t>H叉车/氢燃料 3t 3m三节门架+侧移装置</t>
  </si>
  <si>
    <t>NWZ250709-2701-084844</t>
  </si>
  <si>
    <t>中国石油化工股份有限公司广州分公司</t>
  </si>
  <si>
    <t>新氢动力</t>
  </si>
  <si>
    <t>江苏新氢动力科技有限公司</t>
  </si>
  <si>
    <t>沛招G(2025)XZYZ002</t>
  </si>
  <si>
    <t>沛县公交服务有限公司</t>
  </si>
  <si>
    <t>沛县</t>
  </si>
  <si>
    <t>徐州</t>
  </si>
  <si>
    <t>氢能轻卡</t>
  </si>
  <si>
    <t>氢能轻卡车辆</t>
  </si>
  <si>
    <t>沛招G(2025)X2HK023</t>
  </si>
  <si>
    <t>沛县中金商贸有限公司</t>
  </si>
  <si>
    <t>共享单车</t>
  </si>
  <si>
    <t>观光船</t>
  </si>
  <si>
    <t>观光车</t>
  </si>
  <si>
    <t>固态金属储氢系列产品</t>
  </si>
  <si>
    <t>沛招G(2025)X2HK022</t>
  </si>
  <si>
    <t>15/年</t>
  </si>
  <si>
    <t>唐山世辅贸易有限公司</t>
  </si>
  <si>
    <t>不低于3600-6000</t>
  </si>
  <si>
    <t>300-500</t>
  </si>
  <si>
    <t>燃料电池半挂牵引车</t>
  </si>
  <si>
    <t>燃料电池半挂牵引车租赁</t>
  </si>
  <si>
    <t>ZCXS20250603</t>
  </si>
  <si>
    <t>唐山市悦安氢电新能源科技有限公司</t>
  </si>
  <si>
    <t>唐山</t>
  </si>
  <si>
    <t>NJL6106FCEVD6</t>
  </si>
  <si>
    <t>雄韬股份</t>
  </si>
  <si>
    <t>南京金龙客车制造有限公司</t>
  </si>
  <si>
    <t>氢能源公交车（三次）</t>
  </si>
  <si>
    <t>GZFCG2025-26960</t>
  </si>
  <si>
    <t>山南市经济和信息化局</t>
  </si>
  <si>
    <t>山南</t>
  </si>
  <si>
    <t>18T洒水车</t>
  </si>
  <si>
    <t>18T扫地车</t>
  </si>
  <si>
    <t>49T牵引车</t>
  </si>
  <si>
    <t>氢燃料电池车辆</t>
  </si>
  <si>
    <t>CDYWD2025-04-007</t>
  </si>
  <si>
    <t>攀枝花市花城新能源有限公司</t>
  </si>
  <si>
    <t>攀枝花</t>
  </si>
  <si>
    <t>中车株洲电力机车有限公司</t>
  </si>
  <si>
    <t>氢能源混合动力机车</t>
  </si>
  <si>
    <t>2025KTY-HDJC</t>
  </si>
  <si>
    <t>中国铁道科学研究院集团有限公司</t>
  </si>
  <si>
    <t>JHA5189GQXHQFCEV</t>
  </si>
  <si>
    <t>氢能源高压冲洗车</t>
  </si>
  <si>
    <t>18吨氢能源高压冲洗车</t>
  </si>
  <si>
    <t>JHA5189GSSHQFCEV</t>
  </si>
  <si>
    <t>重庆耐德新明和工业有限公司</t>
  </si>
  <si>
    <t>氢能源洒水车</t>
  </si>
  <si>
    <t>ZFFSCG2025-022</t>
  </si>
  <si>
    <t>重庆市潼南区环境卫生管理所</t>
  </si>
  <si>
    <t>潼南</t>
  </si>
  <si>
    <t>氢能源车增容项目</t>
  </si>
  <si>
    <t>GXTC-C-25130084</t>
  </si>
  <si>
    <t>武汉市公共交通集团有限责任公司第五营运公司</t>
  </si>
  <si>
    <t>18吨洒水作业车</t>
  </si>
  <si>
    <t>2025年环卫设备（第一批次）采购项目</t>
  </si>
  <si>
    <t>GDYD250137</t>
  </si>
  <si>
    <t>广州市荔湾区城市管理和综合执法局</t>
  </si>
  <si>
    <t>荔湾</t>
  </si>
  <si>
    <t>EQ4251GTFCEV1</t>
  </si>
  <si>
    <t>49吨氢燃料电池半挂牵引车</t>
  </si>
  <si>
    <t>新能源氢燃料半挂49T牵引车辆</t>
  </si>
  <si>
    <t>JMKRZB(2-025-H01)-QY01</t>
  </si>
  <si>
    <t>保定市荆楚绿色物流有限公司</t>
  </si>
  <si>
    <t>荆门</t>
  </si>
  <si>
    <t>东方氢能</t>
  </si>
  <si>
    <t>5+5</t>
  </si>
  <si>
    <t>10.4-11</t>
  </si>
  <si>
    <t>客运车（10-12米）</t>
  </si>
  <si>
    <t>氢燃料电池客车</t>
  </si>
  <si>
    <t>自贡市公交集团有限责任公司</t>
  </si>
  <si>
    <t>自贡</t>
  </si>
  <si>
    <t>荣程新能（天津）氢能科技有限公司</t>
  </si>
  <si>
    <t>氢燃料电池重卡牵引车</t>
  </si>
  <si>
    <t>鞍钢钢汽6×4氢燃料电池重卡牵引车租赁</t>
  </si>
  <si>
    <t>AGQYGSFGXHD250422205960</t>
  </si>
  <si>
    <t>鞍钢汽车运输有限责任公司运营保障部</t>
  </si>
  <si>
    <t>鞍山</t>
  </si>
  <si>
    <t>ZK6106FCEVG25</t>
  </si>
  <si>
    <t>重塑科技</t>
  </si>
  <si>
    <t>九江市银丰汽车贸易有限公司</t>
  </si>
  <si>
    <t>JJSZFCGZX(2025)GK-A002</t>
  </si>
  <si>
    <t>九江市政府采购中心</t>
  </si>
  <si>
    <t>氢装前行汽车运营（佛山）有限公司</t>
  </si>
  <si>
    <t>包组三：轻型燃料电池冷藏车</t>
  </si>
  <si>
    <t>包组二：轻型燃料电池冷藏车</t>
  </si>
  <si>
    <t>FSQ5042XLCEFCEV1</t>
  </si>
  <si>
    <t>佛山市飞驰汽车科技有限公司</t>
  </si>
  <si>
    <t>包组一：轻型燃料电池冷藏车</t>
  </si>
  <si>
    <t>氢能车辆运营平台车辆采购</t>
  </si>
  <si>
    <t>JG2025（NH）XZ0016</t>
  </si>
  <si>
    <t>东方电气氢能（攀枝花）有限公司</t>
  </si>
  <si>
    <t>49吨氢燃料电池牵引汽车</t>
  </si>
  <si>
    <t>攀枝花数智交通物流产业园项目氢能源车辆采购</t>
  </si>
  <si>
    <t>攀枝花交通发展（集团）有限责任公司</t>
  </si>
  <si>
    <t>因本项目调整而终止</t>
  </si>
  <si>
    <t>氢能源公交车（二次）</t>
  </si>
  <si>
    <t>GZFCG2025-25406</t>
  </si>
  <si>
    <t>高一级氢燃料电池客车14辆（45+1座）（二次）</t>
  </si>
  <si>
    <t>XJHD（货招）2025-02</t>
  </si>
  <si>
    <t>克拉玛依市汽车运输有限责任公司</t>
  </si>
  <si>
    <t>含1件加氢枪</t>
  </si>
  <si>
    <t>庆铃博世</t>
  </si>
  <si>
    <t>重庆行无疆庆铃汽车销售服务有限公司</t>
  </si>
  <si>
    <t>4.2米氢能厢式运输车</t>
  </si>
  <si>
    <t>4.2米厢式运输车-包3：氢能源车</t>
  </si>
  <si>
    <t>0730-2511CQ0005</t>
  </si>
  <si>
    <t>重庆医药（集团）股份有限公司</t>
  </si>
  <si>
    <t>常州市优移车业科技有限公司</t>
  </si>
  <si>
    <t>高一级氢燃料电池客车14辆（45+1座）</t>
  </si>
  <si>
    <t>国氢科技</t>
  </si>
  <si>
    <t>氢动力（北京）科技服务有限公司</t>
  </si>
  <si>
    <t>大中型氢燃料电池客车</t>
  </si>
  <si>
    <t>包车客运运力指标投放（氢能源）</t>
  </si>
  <si>
    <t>BIECC-24CG10311</t>
  </si>
  <si>
    <t>北京市延庆区交通局</t>
  </si>
  <si>
    <t>延庆</t>
  </si>
  <si>
    <t>A3301010060101614001291</t>
  </si>
  <si>
    <t>杭氧集团股份有限公司</t>
  </si>
  <si>
    <t>10.5米氢燃料电池公交车，另有1辆10.5米纯电动公交车；年限10年</t>
  </si>
  <si>
    <t>四川川贸通物流有限公司</t>
  </si>
  <si>
    <t>新能源公交车</t>
  </si>
  <si>
    <t>21辆新能源公交车租赁服务采购项目</t>
  </si>
  <si>
    <t>ZZZBB2025002</t>
  </si>
  <si>
    <t>成都市青白江巴士公交有限公司</t>
  </si>
  <si>
    <t>氢能宽体矿卡</t>
  </si>
  <si>
    <t>湖北鹿鸣智能装备有限公司</t>
  </si>
  <si>
    <t>大冶市矿区绿电绿氢制储加用一体化氢能矿场综合建设项目</t>
  </si>
  <si>
    <t>ZFCG202501006</t>
  </si>
  <si>
    <t>氢能源电池公交车</t>
  </si>
  <si>
    <t>九江公交氢能源电池公交车采购项目</t>
  </si>
  <si>
    <t>JXGXBG-2025-001</t>
  </si>
  <si>
    <t>九江市国有资产监督委员会</t>
  </si>
  <si>
    <t>氢燃料通勤班车</t>
  </si>
  <si>
    <t>氢燃料通勤班车采购项目</t>
  </si>
  <si>
    <t>唐山冀东电力检修有限责任公司陡河热电分公司</t>
  </si>
  <si>
    <t>未见结果</t>
  </si>
  <si>
    <t>大连鹏迪电动车辆有限公司</t>
  </si>
  <si>
    <t>18吨氢能源压缩式垃圾车</t>
  </si>
  <si>
    <t>2025年氢能源环卫车辆采购项目—氢能源环卫车辆B包</t>
  </si>
  <si>
    <t>18吨氢能源干扫（吸尘）车</t>
  </si>
  <si>
    <t>18吨氢能洗扫车</t>
  </si>
  <si>
    <t>国创氢能</t>
  </si>
  <si>
    <t>大连宽大特种车辆有限公司</t>
  </si>
  <si>
    <t>道路清扫车辆</t>
  </si>
  <si>
    <t>2025年氢能源环卫车辆采购项目—氢能源环卫车辆A包</t>
  </si>
  <si>
    <t>TLYQ2024-1247</t>
  </si>
  <si>
    <t>大连德泰城市服务集团有限公司</t>
  </si>
  <si>
    <t>燃料电池垃圾压缩车</t>
  </si>
  <si>
    <t>燃料电池清洗车</t>
  </si>
  <si>
    <t>燃料电池洗扫车</t>
  </si>
  <si>
    <t>郑州金水建设投资有限公司</t>
  </si>
  <si>
    <t>燃料电池厢式垃圾车</t>
  </si>
  <si>
    <t>氢能源环卫作业车辆</t>
  </si>
  <si>
    <t>金水政采招标-2024-32</t>
  </si>
  <si>
    <t>郑州市金水区城市管理局</t>
  </si>
  <si>
    <t>金水</t>
  </si>
  <si>
    <t>郑州</t>
  </si>
  <si>
    <t>宇通客车股份有限公司</t>
  </si>
  <si>
    <t>48座氢燃料电池观光巴士</t>
  </si>
  <si>
    <t>新能源观光巴士—1</t>
  </si>
  <si>
    <t>修财招标采购-2024-29</t>
  </si>
  <si>
    <t>修武县文化广电和旅游局</t>
  </si>
  <si>
    <t>修武</t>
  </si>
  <si>
    <t>焦作</t>
  </si>
  <si>
    <t>徐州徐工新能源汽车有限公司</t>
  </si>
  <si>
    <t>49吨氢能源重卡</t>
  </si>
  <si>
    <t>唐山市丰润区氢能能源站建设项目 (一期)—购置氢能源重卡（第一批）采购项目</t>
  </si>
  <si>
    <t>HBCRZB-2024-062</t>
  </si>
  <si>
    <t>唐山氢卡科技有限公司</t>
  </si>
  <si>
    <t>河南一达民安市政服务有限公司</t>
  </si>
  <si>
    <t>氢燃料电池重卡</t>
  </si>
  <si>
    <t>国企招采-2024-166</t>
  </si>
  <si>
    <t>河南空港磬德科技有限公司</t>
  </si>
  <si>
    <t>租赁</t>
  </si>
  <si>
    <t>氢燃料电池MPV</t>
  </si>
  <si>
    <t>WZYT-FWXJ-2024100112</t>
  </si>
  <si>
    <t>国华能源投资有限公司</t>
  </si>
  <si>
    <t>18吨燃料电池高压清洗车</t>
  </si>
  <si>
    <t>郑州宇通重工有限公司</t>
  </si>
  <si>
    <t>18吨燃料电池洗扫车</t>
  </si>
  <si>
    <t>氢燃料环卫作业车辆</t>
  </si>
  <si>
    <t>郑州航空港兴港市政养护管理有限公司</t>
  </si>
  <si>
    <t>航空港</t>
  </si>
  <si>
    <t>低入口氢燃料电池公交车</t>
  </si>
  <si>
    <t>QYZC2024-0368</t>
  </si>
  <si>
    <t>庆阳公共交通集团有限公司</t>
  </si>
  <si>
    <t>庆阳</t>
  </si>
  <si>
    <t>客运车（未提及）（租赁）</t>
  </si>
  <si>
    <t>氢能源中巴</t>
  </si>
  <si>
    <t>1411992024CDY00298</t>
  </si>
  <si>
    <t>亿华通</t>
  </si>
  <si>
    <t>库尔勒新隆热力有限责任公司</t>
  </si>
  <si>
    <t>氢能源重卡车辆</t>
  </si>
  <si>
    <t>PUR241000638</t>
  </si>
  <si>
    <t>深能库尔勒发电有限公司物流分公司</t>
  </si>
  <si>
    <t>2410-130208-89-05-321822</t>
  </si>
  <si>
    <t>氢燃料电池冷链物流运输车</t>
  </si>
  <si>
    <t>氢燃料电池冷链物流运输车（第二批）采购项目</t>
  </si>
  <si>
    <t>广州开发区交投氢能运营管理有限公司</t>
  </si>
  <si>
    <t>重庆瑞盈实业有限公司</t>
  </si>
  <si>
    <t>氢燃料电池18T飞翼车</t>
  </si>
  <si>
    <t>2024年第二批氢燃料电池18T飞翼车采购项目</t>
  </si>
  <si>
    <t>重庆渝氢鸿运输服务有限公司</t>
  </si>
  <si>
    <t>上海上氢能源科技有限公司</t>
  </si>
  <si>
    <t>大型高一级氢燃料电池客车采购项目（三次）</t>
  </si>
  <si>
    <t>C53A00724001178C2</t>
  </si>
  <si>
    <t>丽江玉龙雪山旅游观光车有限公司</t>
  </si>
  <si>
    <t>丽江</t>
  </si>
  <si>
    <t>浙江中车电车有限公司</t>
  </si>
  <si>
    <t>8.5米级氢燃料地入口公交客车</t>
  </si>
  <si>
    <t>2024年度10辆新能源公交车采购项目—标段二（第二次）</t>
  </si>
  <si>
    <t>CBNB-20245455-2</t>
  </si>
  <si>
    <t>宁波市镇海公共交通有限公司</t>
  </si>
  <si>
    <t>宁波</t>
  </si>
  <si>
    <t>东方电气（成都）氢燃料电池科技有限公司</t>
  </si>
  <si>
    <t>燃料电池牵引车</t>
  </si>
  <si>
    <t>12辆49T燃料电池牵引车</t>
  </si>
  <si>
    <t>DEC1012X202401272</t>
  </si>
  <si>
    <t>旅游观光车</t>
  </si>
  <si>
    <t>氢能源旅游观光车</t>
  </si>
  <si>
    <t>XHZB-QT-HW-2024083</t>
  </si>
  <si>
    <t>孝义市文化旅游投资集团有限公司</t>
  </si>
  <si>
    <t>孝义</t>
  </si>
  <si>
    <t>8.5米级氢燃料低入口公交客车</t>
  </si>
  <si>
    <t>2024年度10辆新能源公交车采购项目—标段二</t>
  </si>
  <si>
    <t>CBNB-20245455</t>
  </si>
  <si>
    <t>东方电气石化氢能（江西）有限公司</t>
  </si>
  <si>
    <t>燕子窝氢燃料电池车辆采购项目</t>
  </si>
  <si>
    <t>吉安市井开区燕子窝港口有限公司</t>
  </si>
  <si>
    <t>吉安</t>
  </si>
  <si>
    <t>大型高一级氢燃料电池客车采购项目（二次）</t>
  </si>
  <si>
    <t>C53A00724001178C1</t>
  </si>
  <si>
    <t>捷氢科技</t>
  </si>
  <si>
    <t>上海申沃客车有限公司</t>
  </si>
  <si>
    <t>氢能源城市客车</t>
  </si>
  <si>
    <t>10米级氢能源城市客车采购项目</t>
  </si>
  <si>
    <t>衷洲招2024-013</t>
  </si>
  <si>
    <t>上海奉贤巴士公共交通有限公司</t>
  </si>
  <si>
    <t>奉贤</t>
  </si>
  <si>
    <t>国鸿氢能</t>
  </si>
  <si>
    <t>50座氢燃料电池能源客车</t>
  </si>
  <si>
    <t>客车/FSQ6120FCEVZA</t>
  </si>
  <si>
    <t>鄂尔多斯市国运新能源有限公司</t>
  </si>
  <si>
    <t>19座氢燃料电池能源客车</t>
  </si>
  <si>
    <t>客车/FSQ6800FCEVZB</t>
  </si>
  <si>
    <t>CEZB240306561001</t>
  </si>
  <si>
    <t>中国神华能源股份有限公司神东煤炭分公司</t>
  </si>
  <si>
    <t>18吨飞翼车</t>
  </si>
  <si>
    <t>鄂尔多斯市悦驰新能源汽车有限公司</t>
  </si>
  <si>
    <t>氢燃料电池49T半挂牵引车</t>
  </si>
  <si>
    <t>氢燃料电池洗扫车</t>
  </si>
  <si>
    <t>氢燃料电池多功能抑尘车</t>
  </si>
  <si>
    <t>氢燃料电池多功能抑尘车和氢燃料电池洗扫车采购项目</t>
  </si>
  <si>
    <t>G1302832400632001</t>
  </si>
  <si>
    <t>潍柴动力</t>
  </si>
  <si>
    <t>扬州亚星客车股份有限公司</t>
  </si>
  <si>
    <t>ZHLH-202408-04</t>
  </si>
  <si>
    <t>榆林市公共交通总公司</t>
  </si>
  <si>
    <t>大型高一级氢燃料电池客车采购项目</t>
  </si>
  <si>
    <t>C53A00724001178</t>
  </si>
  <si>
    <t>CEZB240306561</t>
  </si>
  <si>
    <t>成都中物盛通运输有限公司
中吉供应链管理（上海）有限公司</t>
  </si>
  <si>
    <t>2024-2025年度4台49吨氢燃料电池牵引车租赁综合服务项目</t>
  </si>
  <si>
    <t>武汉雄韬氢雄燃料电池科技有限公司</t>
  </si>
  <si>
    <t>JMBCD-HW-2024022</t>
  </si>
  <si>
    <t>荆门市公共交通集团有限公司</t>
  </si>
  <si>
    <t>湖南中车智行科技有限公司</t>
  </si>
  <si>
    <t>氢能源智轨电车</t>
  </si>
  <si>
    <t>宜宾智轨交通有限公司</t>
  </si>
  <si>
    <t>氢燃料城市客车</t>
  </si>
  <si>
    <t>10米级氢燃料城市客车</t>
  </si>
  <si>
    <t>衷洲招2024-012</t>
  </si>
  <si>
    <t>上海金山巴士公共交通有限公司</t>
  </si>
  <si>
    <t>金山</t>
  </si>
  <si>
    <t>上汽大通汽车有限公司</t>
  </si>
  <si>
    <t>乘用车</t>
  </si>
  <si>
    <t>氢燃料电池商务车MPV</t>
  </si>
  <si>
    <t>WZYT-WZXJ-2024070173</t>
  </si>
  <si>
    <t>国能京都智慧能源科技（北京）有限公司</t>
  </si>
  <si>
    <t>成都中物盛通运输有限公司</t>
  </si>
  <si>
    <t>49吨氢燃料电池牵引车</t>
  </si>
  <si>
    <t>SCNT-QT-202407-0284</t>
  </si>
  <si>
    <t>北京大兴福田智蓝汽车销售有限公司</t>
  </si>
  <si>
    <t>北京金石智达供应链管理有限公司</t>
  </si>
  <si>
    <t>大兴</t>
  </si>
  <si>
    <t>氢能源重卡牵引车</t>
  </si>
  <si>
    <t>AGQYGSFGZHD240711142570</t>
  </si>
  <si>
    <t>氢燃料电池环卫汽车</t>
  </si>
  <si>
    <t>ZHZB-2024-06-12</t>
  </si>
  <si>
    <t>郑州四维商业运营管理有限公司</t>
  </si>
  <si>
    <t>JMBCD-HW-2024017</t>
  </si>
  <si>
    <t>上氢能源</t>
  </si>
  <si>
    <t>氢燃料电池通勤车</t>
  </si>
  <si>
    <t>氢燃料电池通勤车（大中型客车）（二次）</t>
  </si>
  <si>
    <t>XBZB-2024-051-2</t>
  </si>
  <si>
    <t>TQGCZX24008</t>
  </si>
  <si>
    <t>山东盛邑交通投资发展集团有限公司</t>
  </si>
  <si>
    <t>临邑</t>
  </si>
  <si>
    <t>德州</t>
  </si>
  <si>
    <t>氢燃料电池通勤车（大中型客车）</t>
  </si>
  <si>
    <t>XBZB-2024-051</t>
  </si>
  <si>
    <t>巴楚县乡村振兴建设-城乡公共交通设施补短板项目—第二标段</t>
  </si>
  <si>
    <t>KSBCX(GK)2024-09号</t>
  </si>
  <si>
    <t>巴楚县交通运输局</t>
  </si>
  <si>
    <t>巴楚</t>
  </si>
  <si>
    <t>北京通联交运汽车租赁有限公司</t>
  </si>
  <si>
    <t>氢能源大巴</t>
  </si>
  <si>
    <t>天玛智控租车及氢能源大巴运营服务采购项目</t>
  </si>
  <si>
    <t>GHY-24182（2）</t>
  </si>
  <si>
    <t>北京天玛智控科技股份有限公司</t>
  </si>
  <si>
    <t>河南氢润货物运输代理有限公司</t>
  </si>
  <si>
    <t>氢能源6×4重卡牵引车</t>
  </si>
  <si>
    <t>AGQYGSFGZHD240530132624</t>
  </si>
  <si>
    <t>第一批10辆</t>
  </si>
  <si>
    <t>氢能源客车</t>
  </si>
  <si>
    <t>氢能源客车采购项目（二次）</t>
  </si>
  <si>
    <t>G53A01024001044C1</t>
  </si>
  <si>
    <t>丽江城投绿色交通开发管理有限公司</t>
  </si>
  <si>
    <t>全生命周期氢能燃料电池公交车</t>
  </si>
  <si>
    <t>8.5米氢能燃料电池公交车采购项目（重新招标）</t>
  </si>
  <si>
    <t>浙圣加采（2024）067号</t>
  </si>
  <si>
    <t>海盐鸿远公共交通有限公司</t>
  </si>
  <si>
    <t>海盐</t>
  </si>
  <si>
    <t>嘉兴</t>
  </si>
  <si>
    <t>天津新汽新能源汽车有限公司</t>
  </si>
  <si>
    <t>氢燃料电池49吨半挂牵引车</t>
  </si>
  <si>
    <t>FZK2024-5-046</t>
  </si>
  <si>
    <t>天津氢鸿新能科技有限公司</t>
  </si>
  <si>
    <t>氢能源客车采购项目</t>
  </si>
  <si>
    <t>G53A01024001044</t>
  </si>
  <si>
    <t>亿华通/重塑科技</t>
  </si>
  <si>
    <t>宇通商用车有限公司</t>
  </si>
  <si>
    <t>燃料电池混凝土搅拌运输车</t>
  </si>
  <si>
    <t>燃料电池车辆</t>
  </si>
  <si>
    <t>HVCZ-2024-0502</t>
  </si>
  <si>
    <t>氢驰新能源（洛阳）有限公司</t>
  </si>
  <si>
    <t>洛阳</t>
  </si>
  <si>
    <t>GHY-24182</t>
  </si>
  <si>
    <t>8.5米氢能燃料电池公交车采购项目</t>
  </si>
  <si>
    <t>49吨氢燃料电池半挂牵引车（子母车型各300辆）</t>
  </si>
  <si>
    <t>BIECC-24CG10090</t>
  </si>
  <si>
    <t>河北雄安绿欣睿控新能源科技有限公司</t>
  </si>
  <si>
    <t>氢能燃料电池公交车</t>
  </si>
  <si>
    <t>2024年氢能燃料电池公交车采购</t>
  </si>
  <si>
    <t>中国雄安集团交通有限公司</t>
  </si>
  <si>
    <t>未势能源</t>
  </si>
  <si>
    <t>如果壹家汽车（河北）有限公司</t>
  </si>
  <si>
    <t>定州市城投汽车租赁有限公司</t>
  </si>
  <si>
    <t>定州</t>
  </si>
  <si>
    <t>博世氢动力</t>
  </si>
  <si>
    <t>天津临港海洋经济投资发展集团有限公司</t>
  </si>
  <si>
    <t>氢能重卡二期采购项目</t>
  </si>
  <si>
    <t>FZK2024-5-020</t>
  </si>
  <si>
    <t>天津临港投资控股有限公司</t>
  </si>
  <si>
    <t>北京渡城旅游客运服务有限公司</t>
  </si>
  <si>
    <t>大中型氢燃料电池客车指标</t>
  </si>
  <si>
    <t>BIECC-24CG0084</t>
  </si>
  <si>
    <t>北京市昌平区交通局</t>
  </si>
  <si>
    <t>昌平</t>
  </si>
  <si>
    <t>控制价1083万元</t>
  </si>
  <si>
    <t>1.8901万元/辆/月</t>
  </si>
  <si>
    <t>嘉兴羚牛汽车服务有限公司</t>
  </si>
  <si>
    <t>1.90万元/辆/月</t>
  </si>
  <si>
    <t>氢燃料电池牵引车租赁项目（2024年—2025年）</t>
  </si>
  <si>
    <t>ZJHG-FW-2024-16</t>
  </si>
  <si>
    <t>嘉兴市乍浦港口经营有限公司</t>
  </si>
  <si>
    <t>天能股份</t>
  </si>
  <si>
    <t>125（含加氢站）</t>
  </si>
  <si>
    <t>奇瑞万达贵州客车股份有限公司</t>
  </si>
  <si>
    <t>1250（含加氢站）</t>
  </si>
  <si>
    <t>客运车（&lt;10米）（含站）</t>
  </si>
  <si>
    <t>8.5米氢能公交车</t>
  </si>
  <si>
    <t>广德市氢能公交应用示范项目-定制氢能公交车采购项目</t>
  </si>
  <si>
    <t>广德市交通投资有限公司</t>
  </si>
  <si>
    <t>广德</t>
  </si>
  <si>
    <t>亿华通/唐山锐维</t>
  </si>
  <si>
    <t>49吨氢燃料电池半挂牵引车（含挂车）</t>
  </si>
  <si>
    <t>新能源氢燃料电池半挂牵引车采购</t>
  </si>
  <si>
    <t>M1301000205522132003001</t>
  </si>
  <si>
    <t>NJL6106FCEV1</t>
  </si>
  <si>
    <t>武汉众宇</t>
  </si>
  <si>
    <t>武汉开沃汽车有限公司</t>
  </si>
  <si>
    <t>氢能源公交车辆</t>
  </si>
  <si>
    <t>ZFCG202403009</t>
  </si>
  <si>
    <t>湖北新铜都城市投资发展集团有限公司</t>
  </si>
  <si>
    <t>现代商用汽车（中国）有限公司</t>
  </si>
  <si>
    <t>氢燃料电池物流运输车</t>
  </si>
  <si>
    <t>40辆氢燃料电池物流运输车</t>
  </si>
  <si>
    <t>202311079206058</t>
  </si>
  <si>
    <t>开发区</t>
  </si>
  <si>
    <t>合同签订单位：国能（宁夏宁东）绿氢能源有限公司</t>
  </si>
  <si>
    <t>现代汽车（中国）投资有限公司</t>
  </si>
  <si>
    <t>合同签订单位：国华（宁夏）新能源有限公司</t>
  </si>
  <si>
    <t>合同签订单位：国华（赤城）风电有限公司</t>
  </si>
  <si>
    <t>合同签订单位：国华（江苏）风电有限公司</t>
  </si>
  <si>
    <t>燃料电池多用途乘用车(SUV)</t>
  </si>
  <si>
    <t>燃料电池多用途乘用车(SUV) 项目采购（第二次）</t>
  </si>
  <si>
    <t>CEZB240000628</t>
  </si>
  <si>
    <t>东城</t>
  </si>
  <si>
    <t>博世重庆</t>
  </si>
  <si>
    <t>新航达（重庆）智能汽车有限公司</t>
  </si>
  <si>
    <t>环卫机械化作业车辆</t>
  </si>
  <si>
    <t>环卫机械化作业车辆采购</t>
  </si>
  <si>
    <t>JLP24A00006-01</t>
  </si>
  <si>
    <t>重庆市九龙坡区环境卫生管理处</t>
  </si>
  <si>
    <t>九龙坡</t>
  </si>
  <si>
    <t>现代首选二手车经营有限公司</t>
  </si>
  <si>
    <t>氢能SUV车辆</t>
  </si>
  <si>
    <t>氢能SUV车辆租赁服务</t>
  </si>
  <si>
    <t>WZYT-FWXJ-2024020037</t>
  </si>
  <si>
    <t>FZK2024-5-010</t>
  </si>
  <si>
    <t>https://mp.weixin.qq.com/s/0I2fBP2_9D0N0Sjawbdx-g</t>
  </si>
  <si>
    <t>1000台氢能重卡</t>
  </si>
  <si>
    <t>山西吕梁经济技术开发区</t>
  </si>
  <si>
    <t>洺源科技</t>
  </si>
  <si>
    <t>18吨氢能源吸尘车（干扫车）</t>
  </si>
  <si>
    <t>2024年氢能源环卫车辆采购</t>
  </si>
  <si>
    <t>TLYQ2023-1205</t>
  </si>
  <si>
    <t>燃料电池多用途乘用车(SUV) 项目采购</t>
  </si>
  <si>
    <t>租赁期限8年，月租金8500元/辆，租赁托底价格4080万元；租金报价中标4093.44万元</t>
  </si>
  <si>
    <t>嘉兴羚牛汽车服务有限公司（联合体单位：浙江飞驰新能源汽车科技有限公司）</t>
  </si>
  <si>
    <t>49吨燃料电池标载牵引车</t>
  </si>
  <si>
    <t>2024年氢能源车辆采购及租赁项目</t>
  </si>
  <si>
    <t>浙江氢能产业发展有限公司</t>
  </si>
  <si>
    <t>嘉兴港区</t>
  </si>
  <si>
    <t>氢燃料电池商砼搅拌车</t>
  </si>
  <si>
    <t>氢燃料电池商砼搅拌车（第二次）</t>
  </si>
  <si>
    <t>HNEC-ZYZB231172001H001</t>
  </si>
  <si>
    <t>焦作千业新材料有限公司</t>
  </si>
  <si>
    <t>采购需求取消</t>
  </si>
  <si>
    <t>氢燃料电池叉车采购项目</t>
  </si>
  <si>
    <t>SDCC-2023-045</t>
  </si>
  <si>
    <t>德州市明希国际贸易有限公司</t>
  </si>
  <si>
    <t>陵城</t>
  </si>
  <si>
    <t>7吨氢燃料电池叉车</t>
  </si>
  <si>
    <t>3吨氢燃料电池叉车</t>
  </si>
  <si>
    <t>“水运港-船多能源融合技术及集成应用”示范应用工程2台氢燃料电池叉车采购项目（第二次）</t>
  </si>
  <si>
    <t>HJ-WZ-2023-87</t>
  </si>
  <si>
    <t>宁波舟山港集团有限公司</t>
  </si>
  <si>
    <t>宁波市堰甬汽车贸易有限公司</t>
  </si>
  <si>
    <t>氢燃料重卡牵引车</t>
  </si>
  <si>
    <t>“水运港-船多能源融合技术及集成应用”示范应用工程10台氢燃料重卡牵引车采购项目（第二次）</t>
  </si>
  <si>
    <t>ZJHG-WZ-2023-160</t>
  </si>
  <si>
    <t>“水运港-船多能源融合技术及集成应用”示范应用工程2台氢燃料电池叉车采购项目</t>
  </si>
  <si>
    <t>采购租赁</t>
  </si>
  <si>
    <t>濮阳盛基实业发展有限公司</t>
  </si>
  <si>
    <t>2023-12-86</t>
  </si>
  <si>
    <t>濮阳市华龙区环境卫生服务中心</t>
  </si>
  <si>
    <t>华龙</t>
  </si>
  <si>
    <t>濮阳</t>
  </si>
  <si>
    <t>包含配套充电桩</t>
  </si>
  <si>
    <t>HMSJLZFCG-2023-09</t>
  </si>
  <si>
    <t>哈密市建设工程监理有限责任公司</t>
  </si>
  <si>
    <t>伊吾</t>
  </si>
  <si>
    <t>陕西华胜渭蒲科技有限公司</t>
  </si>
  <si>
    <t>HMGJ-DL-2023-062</t>
  </si>
  <si>
    <t>蒲城县惠民公共交通有限公司</t>
  </si>
  <si>
    <t>蒲城</t>
  </si>
  <si>
    <t>渭南</t>
  </si>
  <si>
    <t>“水运港-船多能源融合技术及集成应用”示范应用工程10台氢燃料重卡牵引车采购项目</t>
  </si>
  <si>
    <t>重庆渝隆林水投资有限公司</t>
  </si>
  <si>
    <t>氢燃料电池飞翼车2023年第四批采购项目</t>
  </si>
  <si>
    <t>氢能源车厢可卸式垃圾车</t>
  </si>
  <si>
    <t>PUR231200268</t>
  </si>
  <si>
    <t>深能环保发展集团有限公司</t>
  </si>
  <si>
    <t>山西美锦新能源汽车制造有限公司</t>
  </si>
  <si>
    <t>SXHGHW-20231204</t>
  </si>
  <si>
    <t>吕梁公共交通有限公司</t>
  </si>
  <si>
    <t>大连氢锋客车有限公司</t>
  </si>
  <si>
    <t>TLYQ2023-1176</t>
  </si>
  <si>
    <t>大连德泰交通客运有限公司</t>
  </si>
  <si>
    <t>安徽安凯汽车股份有限公司</t>
  </si>
  <si>
    <t>氢能公交车</t>
  </si>
  <si>
    <t>2023BFFWD02515</t>
  </si>
  <si>
    <t>合肥公交集团有限公司</t>
  </si>
  <si>
    <t>合肥</t>
  </si>
  <si>
    <t>氢燃料电池飞翼车2023年第三批采购项目</t>
  </si>
  <si>
    <t>氢燃料电池飞翼车</t>
  </si>
  <si>
    <t>氢燃料电池飞翼车2023年第二批采购项目</t>
  </si>
  <si>
    <t>广晟氢能</t>
  </si>
  <si>
    <t>氢燃料叉车</t>
  </si>
  <si>
    <t>叉车\氢燃料3t3m非防爆</t>
  </si>
  <si>
    <t>WZ20231201-2701-16268-B1</t>
  </si>
  <si>
    <t>中国石化海南炼油化工有限公司</t>
  </si>
  <si>
    <t>海南</t>
  </si>
  <si>
    <t>ZBH5183GQXETFCEV</t>
  </si>
  <si>
    <t>海亿氢能</t>
  </si>
  <si>
    <t>18吨氢燃料电池环卫车</t>
  </si>
  <si>
    <t>DFD4250GLFCEV</t>
  </si>
  <si>
    <t>海亿新能（湖北）科技有限公司</t>
  </si>
  <si>
    <t>TSZX-202311ZC-038001</t>
  </si>
  <si>
    <t>通山县交通投资（集团）有限公司</t>
  </si>
  <si>
    <t>通山</t>
  </si>
  <si>
    <t>咸宁</t>
  </si>
  <si>
    <t>CDW5044XLCG331DZA2FCEV</t>
  </si>
  <si>
    <t>4.5吨氢燃料电池冷藏车</t>
  </si>
  <si>
    <t>ZZ4252V3847Z1FCEV</t>
  </si>
  <si>
    <t>SCJX20231127</t>
  </si>
  <si>
    <t>德昌县原味鲜果业有限责任公司</t>
  </si>
  <si>
    <t>德昌</t>
  </si>
  <si>
    <t>凉山州</t>
  </si>
  <si>
    <t>二期叉车采购项目</t>
  </si>
  <si>
    <t>FZK2023-20-019</t>
  </si>
  <si>
    <t>北京水木通达运输有限公司</t>
  </si>
  <si>
    <t>新能源（氢能源）大中型客车</t>
  </si>
  <si>
    <t>2023年包年客运运力指标投放（氢能源）</t>
  </si>
  <si>
    <t>BIECC-23CG0290</t>
  </si>
  <si>
    <t>北京市交通委员会海淀运输管理分局</t>
  </si>
  <si>
    <t>海淀</t>
  </si>
  <si>
    <t>ZBH5180TXSBJFCEVYH</t>
  </si>
  <si>
    <t>氢能源洗扫车</t>
  </si>
  <si>
    <t>新能源道路保洁车辆采购街道清洗洗扫车，序号5：氢能源洗扫车</t>
  </si>
  <si>
    <t>11011423210200011777-XM001</t>
  </si>
  <si>
    <t>北京市昌平区城市管理委员会</t>
  </si>
  <si>
    <t>石家庄创途汽车销售有限公司</t>
  </si>
  <si>
    <t>7包：10米级氢燃料公交车</t>
  </si>
  <si>
    <t>沧州公共交通集团有限公司</t>
  </si>
  <si>
    <t>中通客车股份有限公司</t>
  </si>
  <si>
    <t>SDSR-2023-011</t>
  </si>
  <si>
    <t>济宁市公共交通集团有限公司</t>
  </si>
  <si>
    <t>10米级氢燃料电池公交车辆</t>
  </si>
  <si>
    <t>10米级氢燃料电池左右开门低入口公交车辆</t>
  </si>
  <si>
    <t>ZYZB-JT-2023-1109</t>
  </si>
  <si>
    <t>郑州市公共交通集团有限公司</t>
  </si>
  <si>
    <t>氢燃料电池飞翼车2023年第一批采购项目</t>
  </si>
  <si>
    <t>青岛氢启新能源科技有限公司</t>
  </si>
  <si>
    <t>氢能源垃圾压缩车</t>
  </si>
  <si>
    <t>ZS-20231025-036</t>
  </si>
  <si>
    <t>青岛市崂山区环卫园林总公司</t>
  </si>
  <si>
    <t>崂山</t>
  </si>
  <si>
    <t>潍柴新能源商用车有限公司</t>
  </si>
  <si>
    <t>氢燃料汽车</t>
  </si>
  <si>
    <t>氢燃料汽车采购项目</t>
  </si>
  <si>
    <t>HCZB2023-110</t>
  </si>
  <si>
    <t>山东省瑞宝特园区投资集团有限公司</t>
  </si>
  <si>
    <t>莱阳</t>
  </si>
  <si>
    <t>烟台</t>
  </si>
  <si>
    <t>FLM5040XTYHDFCEV</t>
  </si>
  <si>
    <t>福龙马集团股份有限公司</t>
  </si>
  <si>
    <t>氢燃料电池垃圾转运车</t>
  </si>
  <si>
    <t>4.5吨氢燃料电池垃圾转运车</t>
  </si>
  <si>
    <t>WD6117FCEVG03</t>
  </si>
  <si>
    <t>瑞氢动力</t>
  </si>
  <si>
    <t>奇瑞商用车（安徽）有限公司</t>
  </si>
  <si>
    <t>11米系列氢能源公交车</t>
  </si>
  <si>
    <t>新能源公交车及8辆机务保障用车采购项目</t>
  </si>
  <si>
    <t>WH21CG2023FW2010</t>
  </si>
  <si>
    <t>芜湖市公共交通集团有限责任公司</t>
  </si>
  <si>
    <t>芜湖</t>
  </si>
  <si>
    <t>华昌氢能</t>
  </si>
  <si>
    <t>苏州金龙汽车销售有限公司</t>
  </si>
  <si>
    <t>8米级氢燃料电池城市公交客车</t>
  </si>
  <si>
    <t>2023年公交车辆采购项目</t>
  </si>
  <si>
    <t>ZJGJHY2023-NG026号</t>
  </si>
  <si>
    <t>张家港市港城公共交通有限公司</t>
  </si>
  <si>
    <t>第二批：燃料电池清洗车</t>
  </si>
  <si>
    <t>第二批：燃料电池洗扫车</t>
  </si>
  <si>
    <t>第一批：燃料电池清洗车</t>
  </si>
  <si>
    <t>第一批：燃料电池洗扫车</t>
  </si>
  <si>
    <t>新能源环卫车辆</t>
  </si>
  <si>
    <t>XDEC-A20231015</t>
  </si>
  <si>
    <t>郑州经开建设发展有限公司</t>
  </si>
  <si>
    <t>安徽明天氢能科技股份有限公司</t>
  </si>
  <si>
    <t>氢燃料电池公交车采购项目</t>
  </si>
  <si>
    <t>六安市城市客运管理中心</t>
  </si>
  <si>
    <t>10.5米级氢燃料公交车</t>
  </si>
  <si>
    <t>YZGJ-WT20231008</t>
  </si>
  <si>
    <t>扬州市交通产业集团有限责任公司</t>
  </si>
  <si>
    <t>扬州</t>
  </si>
  <si>
    <t>租赁期限8年，月租金8500元/辆，租赁托底价格8160万元；租金报价中标8208万元</t>
  </si>
  <si>
    <t>浙江氢能产业发展有限公司（联合体：浙江飞驰新能源汽车科技有限公司）</t>
  </si>
  <si>
    <t>49吨氢燃料电池标载牵引车</t>
  </si>
  <si>
    <t>2023年氢能源车辆采购及租赁项目</t>
  </si>
  <si>
    <t>燃料电池观光车</t>
  </si>
  <si>
    <t>固态储氢燃料电池观光车</t>
  </si>
  <si>
    <t>燃料电池叉车</t>
  </si>
  <si>
    <t>固态储氢燃料电池叉车</t>
  </si>
  <si>
    <t>P-TP-23-00015410</t>
  </si>
  <si>
    <t>国电投（广东）综合智慧能源创新研究院有限甘肃</t>
  </si>
  <si>
    <t>氢燃料电池公交客车</t>
  </si>
  <si>
    <t>10.5米系列氢燃料电池公交客车</t>
  </si>
  <si>
    <t>QTGGZY2022075</t>
  </si>
  <si>
    <t>慈溪市公共交通有限公司</t>
  </si>
  <si>
    <t>慈溪</t>
  </si>
  <si>
    <t>标项二：2023年度第二批10.5米氢能源公交车</t>
  </si>
  <si>
    <t>1223-W00045368</t>
  </si>
  <si>
    <t>上海闵行客运服务有限公司</t>
  </si>
  <si>
    <t>闵行</t>
  </si>
  <si>
    <t>氢燃料电池49T半挂牵引车（2023年第二批）</t>
  </si>
  <si>
    <t>内蒙古上汽中联汽车贸易有限公司</t>
  </si>
  <si>
    <t>青岛盛通祥瑞商贸有限公司</t>
  </si>
  <si>
    <t>氢燃料集装箱牵引车</t>
  </si>
  <si>
    <t>QQCT 20台氢燃料集装箱牵引车</t>
  </si>
  <si>
    <t>DJZCS-202309287</t>
  </si>
  <si>
    <t>青岛前湾集装箱码头有限责任公司</t>
  </si>
  <si>
    <t>氢燃料电池观光巴士</t>
  </si>
  <si>
    <t>焦公资采购H2023-112号</t>
  </si>
  <si>
    <t>云台山旅游股份有限公司</t>
  </si>
  <si>
    <t>氢能源洗扫车辆</t>
  </si>
  <si>
    <t>标段二：氢能源清洗车、氢能源洗扫车</t>
  </si>
  <si>
    <t>HNXRZ23-ZB-049</t>
  </si>
  <si>
    <t>郑州市东象环卫管理有限公司</t>
  </si>
  <si>
    <t>郑东新区</t>
  </si>
  <si>
    <t>氢时代北京汽车服务有限公司</t>
  </si>
  <si>
    <t>北京赶趟出行科技有限公司</t>
  </si>
  <si>
    <t>BIECC-23CG0288</t>
  </si>
  <si>
    <t>北京经济技术开发区城市运行局</t>
  </si>
  <si>
    <t>经开</t>
  </si>
  <si>
    <t>质子汽车科技有限公司</t>
  </si>
  <si>
    <t>氢燃料牵引车（含挂车）</t>
  </si>
  <si>
    <t>2023年氢燃料牵引车（含挂车）采购项目</t>
  </si>
  <si>
    <t>0634-234XZ3QH0221</t>
  </si>
  <si>
    <t>伊宁市联创城市建设（集团）有限公司</t>
  </si>
  <si>
    <t>伊犁州</t>
  </si>
  <si>
    <t>河南维多利汽车销售有限公司</t>
  </si>
  <si>
    <t>氢燃料电池车</t>
  </si>
  <si>
    <t>HNEC-QYSN230091001H001</t>
  </si>
  <si>
    <t>焦作千业水泥有限责任公司</t>
  </si>
  <si>
    <t>苏州弗尔赛</t>
  </si>
  <si>
    <t>[环宇]货物2023-125号</t>
  </si>
  <si>
    <t>烟台市公交集团有限公司</t>
  </si>
  <si>
    <t>包车客运运力指标投放</t>
  </si>
  <si>
    <t>2023年包车客运运力指标投放（氢能源）</t>
  </si>
  <si>
    <t>KJY20231507</t>
  </si>
  <si>
    <t>北京怀柔区交通局</t>
  </si>
  <si>
    <t>怀柔</t>
  </si>
  <si>
    <t>北京辛润浩达商务服务（集团）有限责任公司</t>
  </si>
  <si>
    <t>06包：新增大中型氢燃料电池客车</t>
  </si>
  <si>
    <t>北京德林顺华科技有限公司</t>
  </si>
  <si>
    <t>05包：新增大中型氢燃料电池客车</t>
  </si>
  <si>
    <t>北京中兴盛达汽车服务有限公司</t>
  </si>
  <si>
    <t>04包：新增大中型氢燃料电池客车</t>
  </si>
  <si>
    <t>北京易游国际旅行社有限公司</t>
  </si>
  <si>
    <t>03包：新增大中型氢燃料电池客车</t>
  </si>
  <si>
    <t>北京北青旅汽车租赁服务有限公司</t>
  </si>
  <si>
    <t>02包：新增大中型氢燃料电池客车</t>
  </si>
  <si>
    <t>北京兴顺达企业管理有限公司</t>
  </si>
  <si>
    <t>01包：新增大中型氢燃料电池客车</t>
  </si>
  <si>
    <t>BIECC-23CG0284</t>
  </si>
  <si>
    <t>北京市大兴区交通局</t>
  </si>
  <si>
    <t>北京九州行汽车服务有限公司</t>
  </si>
  <si>
    <t>北京鸿途汽车服务有限公司</t>
  </si>
  <si>
    <t>北京中运氢动力运输有限公司</t>
  </si>
  <si>
    <t>BIECC-23CG0285</t>
  </si>
  <si>
    <t>氢燃料电池冷藏车</t>
  </si>
  <si>
    <t>氢燃料电池厢式运输车</t>
  </si>
  <si>
    <t>氢燃料电池厢式运输车/冷藏车采购</t>
  </si>
  <si>
    <t>BIECC-23CG10665</t>
  </si>
  <si>
    <t>2023年嘉定公交10.5米级氢燃料电池公交车采购项目单一来源公示</t>
  </si>
  <si>
    <t>DJ-CG-23076</t>
  </si>
  <si>
    <t>上海嘉定公共交通有限公司</t>
  </si>
  <si>
    <t>嘉定</t>
  </si>
  <si>
    <t>ZZYZY230906-1240-155-B1</t>
  </si>
  <si>
    <t>中国石油化工股份有限公司中原油田分公司</t>
  </si>
  <si>
    <t>郓城瑞达专用车制造有限公司</t>
  </si>
  <si>
    <t>氢燃料重卡汽车</t>
  </si>
  <si>
    <t>60t氢燃料重卡汽车（第二次）</t>
  </si>
  <si>
    <t>GHNY-2023-111</t>
  </si>
  <si>
    <t>新疆汇申新能源科技有限公司</t>
  </si>
  <si>
    <t>60t氢燃料重卡汽车</t>
  </si>
  <si>
    <t>QMJ6860FCEVGB1</t>
  </si>
  <si>
    <t>任丘市美锦氢能科技发展有限公司</t>
  </si>
  <si>
    <t>氢能源公交车购置项目</t>
  </si>
  <si>
    <t>HBCT-231449-001</t>
  </si>
  <si>
    <t>任丘市交通运输局</t>
  </si>
  <si>
    <t>任丘</t>
  </si>
  <si>
    <t>SWB6109FCEV03G</t>
  </si>
  <si>
    <t>标项3：2023年氢能源公交车辆采购</t>
  </si>
  <si>
    <t>1223-W00043251</t>
  </si>
  <si>
    <t>CA4250P66T1FCEVA1；招标价含挂车费用，中标价不含</t>
  </si>
  <si>
    <t>唐山市兴顺汽车销售服务有限公司</t>
  </si>
  <si>
    <t>CSYT-C2023G017</t>
  </si>
  <si>
    <t>苏州氢然新能源汽车运营有限公司</t>
  </si>
  <si>
    <t>苏州</t>
  </si>
  <si>
    <t>延期</t>
  </si>
  <si>
    <t>氢能源实验船</t>
  </si>
  <si>
    <t>70座双层四星级氢能源实验船</t>
  </si>
  <si>
    <t>GXSYH-GK-2023002</t>
  </si>
  <si>
    <t>桂林漓江旅游投资运营有限责任公司</t>
  </si>
  <si>
    <t>桂林</t>
  </si>
  <si>
    <t>YTZ5180GQXD1FCEV</t>
  </si>
  <si>
    <t>氢燃料电池高压清洗车</t>
  </si>
  <si>
    <t>18吨氢燃料电池高压清洗车</t>
  </si>
  <si>
    <t>焦采磋商采购-2023-54</t>
  </si>
  <si>
    <t>焦作市城市管理局</t>
  </si>
  <si>
    <t>氢驰新能源</t>
  </si>
  <si>
    <t>31吨氢燃料电池自卸车</t>
  </si>
  <si>
    <t>洛直企采招标（2023）0497号</t>
  </si>
  <si>
    <t>北京正方宏业汽车销售服务有限公司</t>
  </si>
  <si>
    <t>燃料电池客车</t>
  </si>
  <si>
    <t>GHY-23341（2）</t>
  </si>
  <si>
    <t>新疆新恒通源汽车销售服务有限公司</t>
  </si>
  <si>
    <t>231GA0272567</t>
  </si>
  <si>
    <t>被质疑，取消</t>
  </si>
  <si>
    <t>2023年嘉定公交10.5米级氢燃料电池公交车采购项目（第二次）</t>
  </si>
  <si>
    <t>DJ-CG-23069</t>
  </si>
  <si>
    <t>三标段：洒水车（氢燃料）</t>
  </si>
  <si>
    <t>一标段：抑尘车（氢燃料）</t>
  </si>
  <si>
    <t>新能源环卫作业车辆</t>
  </si>
  <si>
    <t>郑州市兴东市政建设管理有限公司</t>
  </si>
  <si>
    <t>氢能牵引车</t>
  </si>
  <si>
    <t>2023年氢能牵引车釆购项目</t>
  </si>
  <si>
    <t>SCBY-2023-YB04</t>
  </si>
  <si>
    <t>盐边钒钛投资集团有限公司</t>
  </si>
  <si>
    <t>众易行（北京）旅游客运服务有限公司</t>
  </si>
  <si>
    <t>2023年包车客运运力指标投放（氢能源）02包</t>
  </si>
  <si>
    <t>2023年包车客运运力指标投放（氢能源）01包</t>
  </si>
  <si>
    <t>BIECC-23CG0282</t>
  </si>
  <si>
    <t>山西威龙特种车辆制造有限公司</t>
  </si>
  <si>
    <t>重型自卸半挂车</t>
  </si>
  <si>
    <t>第二代氢能重卡—平板、自卸挂车</t>
  </si>
  <si>
    <t>PFZB-202307-43</t>
  </si>
  <si>
    <t>山西鹏飞集团有限公司</t>
  </si>
  <si>
    <t>单一来源采购邀请函，但没看到中标</t>
  </si>
  <si>
    <t>氢能源牵引车</t>
  </si>
  <si>
    <t>氢能源牵引车/牵引质量≥37700kg</t>
  </si>
  <si>
    <t>氢燃料电池半挂牵引车及挂车</t>
  </si>
  <si>
    <t>CSYT-C2023G010</t>
  </si>
  <si>
    <t>常熟</t>
  </si>
  <si>
    <t>专用车（未提及）（含站）</t>
  </si>
  <si>
    <t>氢燃料电池冷藏物流车</t>
  </si>
  <si>
    <t>氢燃料电池冷藏物流车及氢燃料撬装站采购项目</t>
  </si>
  <si>
    <t>KF-2023-TFB-012</t>
  </si>
  <si>
    <t>雅安交建集团交通资源开发有限责任公司</t>
  </si>
  <si>
    <t>雅安</t>
  </si>
  <si>
    <t>10米级氢燃料电池公交车采购项目</t>
  </si>
  <si>
    <t>衷洲招2023-017</t>
  </si>
  <si>
    <t>衷洲招2023-015</t>
  </si>
  <si>
    <t>中国重汽集团济南专用车有限公司</t>
  </si>
  <si>
    <t>三标段：18吨氢燃料电池压缩式垃圾车</t>
  </si>
  <si>
    <t>二标段：18吨氢燃料电池清洗车</t>
  </si>
  <si>
    <t>二标段：18吨氢燃料电池清扫车</t>
  </si>
  <si>
    <t>山东路通汽车销售服务有限公司</t>
  </si>
  <si>
    <t>一标段：31吨氢燃料电池自卸车</t>
  </si>
  <si>
    <t>氢燃料电池自卸车及环卫车采购项目</t>
  </si>
  <si>
    <t>SDZS-2023-NZ105GK</t>
  </si>
  <si>
    <t>济南先投生态环境集团有限公司</t>
  </si>
  <si>
    <t>济南</t>
  </si>
  <si>
    <t>10.5米级氢燃料电池公交车采购项目</t>
  </si>
  <si>
    <t>2023年嘉定公交10.5米级氢燃料电池公交车采购项目</t>
  </si>
  <si>
    <t>DJ-CG-23056</t>
  </si>
  <si>
    <t>氢能源其他垃圾运输车</t>
  </si>
  <si>
    <t>15t氢能源其他垃圾运输车</t>
  </si>
  <si>
    <t>氢能源大件垃圾运输车</t>
  </si>
  <si>
    <t>8t氢能源大件垃圾运输车</t>
  </si>
  <si>
    <t>氢能源有害垃圾运输车</t>
  </si>
  <si>
    <t>3t氢能源有害垃圾运输车</t>
  </si>
  <si>
    <t>含临时停车场租用费用</t>
  </si>
  <si>
    <t>中城院（北京）环境科技股份有限公司</t>
  </si>
  <si>
    <t>氢能源可回收物运输车</t>
  </si>
  <si>
    <t>8t氢能源可回收物运输车</t>
  </si>
  <si>
    <t>HLZB-2023-045</t>
  </si>
  <si>
    <t>濮阳市濮洁生活垃圾无害化处理场有限公司</t>
  </si>
  <si>
    <t>燃料电池公路客车</t>
  </si>
  <si>
    <t>QSZB-F(F)-H23180(GK)</t>
  </si>
  <si>
    <t>上海交通大学绍兴新能源与分子工程研究院</t>
  </si>
  <si>
    <t>绍兴</t>
  </si>
  <si>
    <t>氢能重卡半挂牵引车及后挂车厢</t>
  </si>
  <si>
    <t>49吨氢能重卡半挂牵引车及后挂车厢（第2次）</t>
  </si>
  <si>
    <t>CEZB230004642</t>
  </si>
  <si>
    <t>国华投资国能（宁夏宁东）绿氢能源有限公司</t>
  </si>
  <si>
    <t>49吨氢能重卡半挂牵引车及后挂车厢</t>
  </si>
  <si>
    <t>徐工新能源汽车有限公司</t>
  </si>
  <si>
    <t>31吨氢燃料自卸车/额定载质量≥12000kg</t>
  </si>
  <si>
    <t>三一汽车制造有限公司</t>
  </si>
  <si>
    <t>氢燃料自卸车</t>
  </si>
  <si>
    <t>31吨氢燃料自卸车/额定载质量≥13000kg</t>
  </si>
  <si>
    <t>SDZS-2023-NZ059G</t>
  </si>
  <si>
    <t>安徽合力股份有限公司</t>
  </si>
  <si>
    <t>牵引力为45KN的氢能源牵引车</t>
  </si>
  <si>
    <t>JSGK20230850HW</t>
  </si>
  <si>
    <t>天津临港海洋经济投资发展集团有限公司（联合体：氢鸿运力（天津）有限公司）</t>
  </si>
  <si>
    <t>氢燃料电池49T半挂牵引车采购及租赁项目</t>
  </si>
  <si>
    <t>TEDARH-2023-103</t>
  </si>
  <si>
    <t>CZ5180XYKST10FCEV</t>
  </si>
  <si>
    <t>燃料电池翼开启厢式车</t>
  </si>
  <si>
    <t>燃料电池翼开启厢式车项目</t>
  </si>
  <si>
    <t>CSYT-C2023G004</t>
  </si>
  <si>
    <t>2023年氢能源公交车采购项目</t>
  </si>
  <si>
    <t>HBCT-230716-001</t>
  </si>
  <si>
    <t>石家庄市公共交通集团有限责任公司</t>
  </si>
  <si>
    <t>桥西</t>
  </si>
  <si>
    <t>1.8998元/月/车</t>
  </si>
  <si>
    <t>1.91万元/月/车</t>
  </si>
  <si>
    <t>氢燃料电池牵引车租赁项目（2023年-2025年）</t>
  </si>
  <si>
    <t>ZJHG-FW-2023-30</t>
  </si>
  <si>
    <t>氢沄新能源</t>
  </si>
  <si>
    <t>31吨氢燃料电池自卸车采购项目</t>
  </si>
  <si>
    <t>涧西企采招标（2023）0023号</t>
  </si>
  <si>
    <t>洛阳国苑运输有限公司</t>
  </si>
  <si>
    <t>成都客车股份有限公司</t>
  </si>
  <si>
    <t>SCDXFZC20230133</t>
  </si>
  <si>
    <t>蓉桂公共交通有限公司</t>
  </si>
  <si>
    <t>雄川氢能</t>
  </si>
  <si>
    <t>雄川氢能科技（广州）有限责任公司</t>
  </si>
  <si>
    <t>燃料电池自卸式垃圾车（燃料电池自卸汽车）</t>
  </si>
  <si>
    <t>武侯区2023年新能源运渣车辆采购项目</t>
  </si>
  <si>
    <t>成都武侯资本投资管理集团有限公司</t>
  </si>
  <si>
    <t>武侯</t>
  </si>
  <si>
    <t>广东云韬氢能科技有限公司</t>
  </si>
  <si>
    <t>氢燃料电池渣土车</t>
  </si>
  <si>
    <t>2023年氢燃料电池渣土车采购项目</t>
  </si>
  <si>
    <t>BYA20230001</t>
  </si>
  <si>
    <t>广州白云新能源科技有限公司</t>
  </si>
  <si>
    <t>资阳氢澜科技有限公司</t>
  </si>
  <si>
    <t>氢能源公交车采购项目</t>
  </si>
  <si>
    <t>ZYGJ2023001</t>
  </si>
  <si>
    <t>资阳市城市公共交通有限责任公司</t>
  </si>
  <si>
    <t>资阳</t>
  </si>
  <si>
    <t>氢燃料电池大型客车</t>
  </si>
  <si>
    <t>FZK2023-1-043</t>
  </si>
  <si>
    <t>天津港保税区天宝运业有限公司</t>
  </si>
  <si>
    <t>氢能源牵引车/牵引质量≥38100kg</t>
  </si>
  <si>
    <t>氢能源客车/12座</t>
  </si>
  <si>
    <t>氢能源客车/50座</t>
  </si>
  <si>
    <t>内蒙古圣圆红岩新能源汽车科技有限公司</t>
  </si>
  <si>
    <t>氢能源客车/19座</t>
  </si>
  <si>
    <t>CEZB230200842</t>
  </si>
  <si>
    <t>氢能源大中型客车</t>
  </si>
  <si>
    <t>新能源（氢能源）大中型客车指标</t>
  </si>
  <si>
    <t>BIECC-22CG0643/1</t>
  </si>
  <si>
    <t>河北自由汽车有限公司</t>
  </si>
  <si>
    <t>迁安市通途服务汽车租赁有限贵司</t>
  </si>
  <si>
    <t>中车唐山机车车辆有限公司</t>
  </si>
  <si>
    <t>氢能源数字无轨列车</t>
  </si>
  <si>
    <t>唐山市绿色公交综合提升项目氢能源数字无轨列车</t>
  </si>
  <si>
    <t>唐山市公共交通总公司</t>
  </si>
  <si>
    <t>CJZB2022-083</t>
  </si>
  <si>
    <t>河南高新环保科技有限公司</t>
  </si>
  <si>
    <t>采购计划改变</t>
  </si>
  <si>
    <t>氢燃料电池车车辆</t>
  </si>
  <si>
    <t>氢燃料电池车车辆购置项目</t>
  </si>
  <si>
    <t>云鑫招字2022-5-306</t>
  </si>
  <si>
    <t>山东华清动力</t>
  </si>
  <si>
    <t>氢燃料电池汽车采购项目</t>
  </si>
  <si>
    <t>SDHQKG2022013</t>
  </si>
  <si>
    <t>齐鲁智行（淄博）科技有限公司</t>
  </si>
  <si>
    <t>淄博</t>
  </si>
  <si>
    <t>4.5吨氢燃料电池栏板式载货汽车</t>
  </si>
  <si>
    <t>SDHQKG2022012</t>
  </si>
  <si>
    <t>包含一座500kg/d撬装加氢站</t>
  </si>
  <si>
    <t>客运车（未提及）（含站）</t>
  </si>
  <si>
    <t>氢燃料电池公交车辆</t>
  </si>
  <si>
    <t>四川能投攀枝花氢能有限公司</t>
  </si>
  <si>
    <t>10.5米氢燃料电池公交车</t>
  </si>
  <si>
    <t>氢燃料电池公交车采购项目（二次）</t>
  </si>
  <si>
    <t>HYHA2022-2394</t>
  </si>
  <si>
    <t>济南公共交通有限公司</t>
  </si>
  <si>
    <t>氢燃料电池4.5吨冷藏车</t>
  </si>
  <si>
    <t>氢燃料电池4.5T冷藏车</t>
  </si>
  <si>
    <t>金龙联合汽车工业（苏州）有限公司</t>
  </si>
  <si>
    <t>氢燃料电池城市客车购置项目（第二包）二次</t>
  </si>
  <si>
    <t>氢燃料电池城市客车购置项目（第一包）二次</t>
  </si>
  <si>
    <t>ZCYD-2022-GK</t>
  </si>
  <si>
    <t>北京市兴顺达客运有限责任公司</t>
  </si>
  <si>
    <t>北京申威狮星新能源汽车有限公司</t>
  </si>
  <si>
    <t>BIECC-22CG0640</t>
  </si>
  <si>
    <t>融通运输有限公司</t>
  </si>
  <si>
    <t>北京博大忠强旅游客运有限公司</t>
  </si>
  <si>
    <t>BIECC-22CG0638</t>
  </si>
  <si>
    <t>北京市交通委员会西城运输管理分局</t>
  </si>
  <si>
    <t>西城</t>
  </si>
  <si>
    <t>氢燃料电池49吨半挂牵引车第二批采购项目</t>
  </si>
  <si>
    <t>8.5米系列氢燃料电池公交车</t>
  </si>
  <si>
    <t>2022年8.5系列氢燃料公交车</t>
  </si>
  <si>
    <t>嘉善县城市公交有限公司</t>
  </si>
  <si>
    <t>嘉善</t>
  </si>
  <si>
    <t>JJHX2360一氢燃料电池船</t>
  </si>
  <si>
    <t>九江湖心科技产业发展有限公司</t>
  </si>
  <si>
    <t>氢燃料电池船</t>
  </si>
  <si>
    <t>庐山西海氢燃料电池船采购项目</t>
  </si>
  <si>
    <t>HFZBJX-22115</t>
  </si>
  <si>
    <t>江西庐山西海国资旅游发展有限公司</t>
  </si>
  <si>
    <t>氢燃料电池城市客车购置项目（第二包）</t>
  </si>
  <si>
    <t>氢燃料电池城市客车购置项目（第一包）</t>
  </si>
  <si>
    <t>氢能源城市公共汽车</t>
  </si>
  <si>
    <t>2022年公共汽车采购-10米系列氢能源城市公共汽车</t>
  </si>
  <si>
    <t>SZJZ-C2022G032</t>
  </si>
  <si>
    <t>常熟市交通公有资产经营有限公司</t>
  </si>
  <si>
    <t>中车南京铺镇车辆有限公司</t>
  </si>
  <si>
    <t>胶轮氢能源车辆</t>
  </si>
  <si>
    <t>T6线数字轨道胶轮氢能源车辆</t>
  </si>
  <si>
    <t>GXTC-C-22040025</t>
  </si>
  <si>
    <t>上海临港新片区公共交通有限公司</t>
  </si>
  <si>
    <t>临港</t>
  </si>
  <si>
    <t>浦东</t>
  </si>
  <si>
    <t>浙江飞驰新能源汽车科技有限公司</t>
  </si>
  <si>
    <t>10.5米系列氢燃料电池公交车</t>
  </si>
  <si>
    <t>嘉兴市公共交通有限公司</t>
  </si>
  <si>
    <t>上海中物汽车贸易有限公司</t>
  </si>
  <si>
    <t>氢能源扫路车</t>
  </si>
  <si>
    <t>华升招字（2022）事33-0954</t>
  </si>
  <si>
    <t>上海宏南市政设施养护有限公司</t>
  </si>
  <si>
    <t>18吨燃料电池厢式垃圾车</t>
  </si>
  <si>
    <t>宇通重工股份有限公司</t>
  </si>
  <si>
    <t>氢能源清运车</t>
  </si>
  <si>
    <t>CJZB2022-064</t>
  </si>
  <si>
    <t>国鸿氢能/康明斯</t>
  </si>
  <si>
    <t>上海万象汽车制造有限公司</t>
  </si>
  <si>
    <t>燃料电池低入口城市客车</t>
  </si>
  <si>
    <t>高级燃料电池低入口城市客车</t>
  </si>
  <si>
    <t>FSQ4250SFFCEV</t>
  </si>
  <si>
    <t>CTZB-2022-023</t>
  </si>
  <si>
    <t>内蒙古汇能正和新能源有限公司</t>
  </si>
  <si>
    <t>伊金霍洛旗</t>
  </si>
  <si>
    <t>氢燃料电池新能源公交车</t>
  </si>
  <si>
    <t>10.5米低入口氢燃料电池右侧开门新能源公交车</t>
  </si>
  <si>
    <t>PYZB-2022152</t>
  </si>
  <si>
    <t>浙江锋源</t>
  </si>
  <si>
    <t>厦门金龙汽车集团股份有限公司</t>
  </si>
  <si>
    <t>2022年氢能源公交车采购项目</t>
  </si>
  <si>
    <t>2022DL-064</t>
  </si>
  <si>
    <t>平湖市开元运务有限公司</t>
  </si>
  <si>
    <t>平湖</t>
  </si>
  <si>
    <t>燃料电池公交车</t>
  </si>
  <si>
    <t>燃料电池公交车采购项目</t>
  </si>
  <si>
    <t>QYZC2022-0295</t>
  </si>
  <si>
    <t>西峰</t>
  </si>
  <si>
    <t>英博捷氢</t>
  </si>
  <si>
    <t>10.5±0.5</t>
  </si>
  <si>
    <t>氢燃料电池混合动力城市空调客车</t>
  </si>
  <si>
    <t>10米级氢燃料电池混合动力城市空调客车</t>
  </si>
  <si>
    <t>NJCG-2022ZC-0072</t>
  </si>
  <si>
    <t>南京东山公交客运有限公司</t>
  </si>
  <si>
    <t>江宁</t>
  </si>
  <si>
    <t>南京</t>
  </si>
  <si>
    <t>氢燃料电池洒水车</t>
  </si>
  <si>
    <t>TJBHZB-2022-280</t>
  </si>
  <si>
    <t>中沁泰康</t>
  </si>
  <si>
    <t>18吨燃料电池车厢可卸式垃圾车</t>
  </si>
  <si>
    <t>18吨燃料电池深度保洁干扫车</t>
  </si>
  <si>
    <t>25吨燃料电池多功能抑尘车</t>
  </si>
  <si>
    <t>濮阳中通实业有限公司</t>
  </si>
  <si>
    <t>18吨燃料电池道路养护车</t>
  </si>
  <si>
    <t>氢燃料电池环卫车辆</t>
  </si>
  <si>
    <t>HNYH-2022-0923</t>
  </si>
  <si>
    <t>龙华</t>
  </si>
  <si>
    <t>单价1.93万元/月/车，租赁期3年</t>
  </si>
  <si>
    <t>氢燃料电池牵引车租赁服务</t>
  </si>
  <si>
    <t>ZJHG-FW-2022-72（CBNB-20221271）</t>
  </si>
  <si>
    <t>CSR6220GFCEV2</t>
  </si>
  <si>
    <t>德燃动力</t>
  </si>
  <si>
    <t>10.5米级氢燃料电池公交车</t>
  </si>
  <si>
    <t>WGSS-JYJT-X-2022024</t>
  </si>
  <si>
    <t>温州交运集团快速公交有限公司</t>
  </si>
  <si>
    <t>温州</t>
  </si>
  <si>
    <t>费用中包含氢燃料电池系统及关键零部件整车测试验证平台建设项目</t>
  </si>
  <si>
    <t>东风汽车集团有限公司</t>
  </si>
  <si>
    <t>氢燃料电池乘用车</t>
  </si>
  <si>
    <t>仙湖科技有限公司</t>
  </si>
  <si>
    <t>南海</t>
  </si>
  <si>
    <t>10.5米系列氢燃料电池公交客车采购项目</t>
  </si>
  <si>
    <t>GTGGZY2022075</t>
  </si>
  <si>
    <t>QMJ6860FCEVGA</t>
  </si>
  <si>
    <t>青岛美锦新能源汽车制造有限公司</t>
  </si>
  <si>
    <t>第四包：8.5米氢燃料电池公交车</t>
  </si>
  <si>
    <t>LCK6866FCEVGW1</t>
  </si>
  <si>
    <t>第三包：8.5米氢燃料电池公交车</t>
  </si>
  <si>
    <t>青岛市黄岛区交通运输局</t>
  </si>
  <si>
    <t>四川鑫瑞辰汽车贸易有限公司</t>
  </si>
  <si>
    <t>10米及以上氢燃料电池公交车</t>
  </si>
  <si>
    <t>四川能投氢能产业投资有限公司</t>
  </si>
  <si>
    <t>TJBHZB-2022-206</t>
  </si>
  <si>
    <t>SXC6110GFCEV4</t>
  </si>
  <si>
    <t>康明斯</t>
  </si>
  <si>
    <t>燃料电池低地板城市客车</t>
  </si>
  <si>
    <t>高一级燃料电池低地板城市客车采购项目</t>
  </si>
  <si>
    <t>采招2022-513</t>
  </si>
  <si>
    <t>沭阳民生城市公共交通有限公司</t>
  </si>
  <si>
    <t>沭阳</t>
  </si>
  <si>
    <t>宿迁</t>
  </si>
  <si>
    <t>松江公交10米级氢能源公交车辆采购项目</t>
  </si>
  <si>
    <t>招案2022-2318</t>
  </si>
  <si>
    <t>上海松江公共交通有限公司</t>
  </si>
  <si>
    <t>松江</t>
  </si>
  <si>
    <t>衷洲招2022-024</t>
  </si>
  <si>
    <t>上海青浦巴士公共交通有限公司</t>
  </si>
  <si>
    <t>青浦</t>
  </si>
  <si>
    <t>2022年嘉定公交10.5米级氢燃料电池公交车采购项目</t>
  </si>
  <si>
    <t>DJ-CG-22037</t>
  </si>
  <si>
    <t>衷洲招2022-013</t>
  </si>
  <si>
    <t>HCXNY2022-02</t>
  </si>
  <si>
    <t>HDCG2022004315</t>
  </si>
  <si>
    <t>不算备件费</t>
  </si>
  <si>
    <t>线路全长9.834km，其中地下段1.24km</t>
  </si>
  <si>
    <t>中车四方车辆有限公司</t>
  </si>
  <si>
    <t>有轨电车</t>
  </si>
  <si>
    <t>有轨电车：100%低地板、钢轮钢轨、区间无触网，利用氢燃料电池+钛酸锂电池</t>
  </si>
  <si>
    <t>GC2022（NH）XZ0106</t>
  </si>
  <si>
    <t>佛山市南海区铁路投资有限公司</t>
  </si>
  <si>
    <t>高成绿能</t>
  </si>
  <si>
    <t>2022年8.5米系列氢燃料公交车采购项目</t>
  </si>
  <si>
    <t>嘉善县交通建设投资集团有限公司</t>
  </si>
  <si>
    <t>JS6108GHFCEV2</t>
  </si>
  <si>
    <t>LCK6106FCEVGW1</t>
  </si>
  <si>
    <t>10.5米氢能源公交车采购</t>
  </si>
  <si>
    <t>GGJY-2022-0000010</t>
  </si>
  <si>
    <t>潍坊市公共交通集团有限公司</t>
  </si>
  <si>
    <t>氢燃料公交车采购项目</t>
  </si>
  <si>
    <t>QGCSG-2022-020-1</t>
  </si>
  <si>
    <t>濮阳市运达实业开发公司</t>
  </si>
  <si>
    <t>深圳市普路通供应链管理股份有限公司</t>
  </si>
  <si>
    <t>2022年氢燃料电池洒水车</t>
  </si>
  <si>
    <t>GDWYGZ202203006</t>
  </si>
  <si>
    <t>广州市黄埔区城市管理和综合执法局</t>
  </si>
  <si>
    <t>FLM5180GQXDLFCEV</t>
  </si>
  <si>
    <t>广东清能</t>
  </si>
  <si>
    <t>大型氢能源高压清洗车</t>
  </si>
  <si>
    <t>FLM5180TXSDLFCEV</t>
  </si>
  <si>
    <t>大型氢能源洗扫车</t>
  </si>
  <si>
    <t>清扫车能力建设项目（大型氢能环卫车采购项目）</t>
  </si>
  <si>
    <t>NXZH-2022-0016</t>
  </si>
  <si>
    <t>宁夏宁东市政建设发展有限公司</t>
  </si>
  <si>
    <t>WD6117FCEVG01</t>
  </si>
  <si>
    <t>10.5米系列氢能源公交车</t>
  </si>
  <si>
    <t>2022年氢能源公交营运用车采购项目</t>
  </si>
  <si>
    <t>WH21CG2022HW5975</t>
  </si>
  <si>
    <t>T2线长度8.7米，设站7座</t>
  </si>
  <si>
    <t>中车南京浦镇车辆有限公司</t>
  </si>
  <si>
    <t>T2线数字轨道胶轮氢能源车辆</t>
  </si>
  <si>
    <t>GXTC-C-22040011</t>
  </si>
  <si>
    <t>LCK6106FCEVGF1</t>
  </si>
  <si>
    <t>GGJY-2022-0000008</t>
  </si>
  <si>
    <t>10.5米级氢能源公交车采购项目（第二次）</t>
  </si>
  <si>
    <t>DJ-CG-22012</t>
  </si>
  <si>
    <t>整车12吨（餐厨垃圾运输量6吨）</t>
  </si>
  <si>
    <t>整车18吨（餐厨垃圾运输量9吨）</t>
  </si>
  <si>
    <t>氢燃料电池餐厨废弃物清运车</t>
  </si>
  <si>
    <t>HCGLPY2022011</t>
  </si>
  <si>
    <t>濮阳市濮新市政运营有限公司</t>
  </si>
  <si>
    <t>KLQ6106GAFCEV9</t>
  </si>
  <si>
    <t>安徽氢澜科技有限公司</t>
  </si>
  <si>
    <t>AHJZCG2022-ZX053</t>
  </si>
  <si>
    <t>金寨县通达公共交通有限公司</t>
  </si>
  <si>
    <t>金寨</t>
  </si>
  <si>
    <t>XGH5080ZYSQFCEV</t>
  </si>
  <si>
    <t>氢燃料电池压缩式垃圾车</t>
  </si>
  <si>
    <t>JLP22A00091</t>
  </si>
  <si>
    <t>12吨氢能源垃圾压缩车</t>
  </si>
  <si>
    <t>盈峰环境科技集团股份有限公司</t>
  </si>
  <si>
    <t>12吨氢能源洒水车</t>
  </si>
  <si>
    <t>氢能源环卫车辆</t>
  </si>
  <si>
    <t>JS2022044</t>
  </si>
  <si>
    <t>京山京诚资产经营有限公司</t>
  </si>
  <si>
    <t>京山</t>
  </si>
  <si>
    <t>爱德曼</t>
  </si>
  <si>
    <t>淄博博山正誉资产管理有限公司</t>
  </si>
  <si>
    <t>SDPH20220407</t>
  </si>
  <si>
    <t>淄博金路通客运服务有限公司</t>
  </si>
  <si>
    <t>12米系列燃料电池客车</t>
  </si>
  <si>
    <t>2490（租赁，8300/月）</t>
  </si>
  <si>
    <t>嘉兴羚牛汽车服务有限公司联合浙江飞驰新能源汽车科技有限公司</t>
  </si>
  <si>
    <t>7500（采购）</t>
  </si>
  <si>
    <t>燃料电池标载牵引车</t>
  </si>
  <si>
    <t>49吨燃料电池标载牵引车采购及租赁</t>
  </si>
  <si>
    <t>嘉兴氢能产业发展股份有限公司</t>
  </si>
  <si>
    <t>10.5米级氢能源公交车采购项目</t>
  </si>
  <si>
    <t>舜泰汽车有限公司</t>
  </si>
  <si>
    <t>氢燃料电池轻卡</t>
  </si>
  <si>
    <t>4.5T氢燃料电池轻卡</t>
  </si>
  <si>
    <t>SDPH20220311</t>
  </si>
  <si>
    <t>12吨氢能垃圾压缩车</t>
  </si>
  <si>
    <t>JS2022012（京城管采计[2022]3号）</t>
  </si>
  <si>
    <t>京山市城市管理执法局</t>
  </si>
  <si>
    <t>专用车（12-25吨）（租赁）</t>
  </si>
  <si>
    <t>洒水车（25吨）</t>
  </si>
  <si>
    <t>洗扫车（18吨）</t>
  </si>
  <si>
    <t>吸粪车（18吨）</t>
  </si>
  <si>
    <t>扫路车（18吨）</t>
  </si>
  <si>
    <t>洒水车（18吨）</t>
  </si>
  <si>
    <t>高压清洗车（18吨）</t>
  </si>
  <si>
    <t>后装压缩车（18吨）</t>
  </si>
  <si>
    <t>专用车（&lt;12吨）（租赁）</t>
  </si>
  <si>
    <t>后装压缩车（不低于8吨）</t>
  </si>
  <si>
    <t>扫路车（不低于8吨）</t>
  </si>
  <si>
    <t>高压清洗车（不低于7吨）</t>
  </si>
  <si>
    <t>洒水车（不低于7吨）</t>
  </si>
  <si>
    <t>海易森汽车科技（广东）有限公司/氢装前行汽车运营（佛山）有限公司/广东氢动力科技服务有限公司/佛山沃迪氢启汽车服务有限公司</t>
  </si>
  <si>
    <t>洗扫车（不低于7吨）</t>
  </si>
  <si>
    <t>氢燃料电池车辆租赁</t>
  </si>
  <si>
    <t>0692-226C04420020/01</t>
  </si>
  <si>
    <t>瀚洁城市环境管理有限公司</t>
  </si>
  <si>
    <t>加注能力≥50kg/d，工作压力≥20MPa，集装格容积建议下限为40L×6，压力13.5MPa</t>
  </si>
  <si>
    <t>佛山攀业</t>
  </si>
  <si>
    <t>不少于1</t>
  </si>
  <si>
    <t>≤2.5</t>
  </si>
  <si>
    <t>储加注一体化撬装装置</t>
  </si>
  <si>
    <t>风冷堆，额定功率≥3kW，续航时长≥6小时，储氢压力≤20MPa</t>
  </si>
  <si>
    <t>氢能环卫车</t>
  </si>
  <si>
    <t>风冷堆，额定功率≥0.5kW，续航时间≥6小时（5km/h），储氢压力≤3MPa</t>
  </si>
  <si>
    <t>不少于2</t>
  </si>
  <si>
    <t>氢能游船</t>
  </si>
  <si>
    <t>风冷堆，额定功率≥200W，续航时长≥6小时，储氢压力≤20MPa，储氢能力不低于500SL</t>
  </si>
  <si>
    <t>佛山攀业氢能源科技有限公司</t>
  </si>
  <si>
    <t>不少于70</t>
  </si>
  <si>
    <t>氢能自行车</t>
  </si>
  <si>
    <t>仙湖氢谷特色小镇氢交通示范运营服务项目</t>
  </si>
  <si>
    <t>DZCG202202</t>
  </si>
  <si>
    <t>广仁旅游文化发展有限公司</t>
  </si>
  <si>
    <t>ZBH5183GQXDFFCEVXT，XMQ5180GSSFCEVD，WKW5180GPSFCEV</t>
  </si>
  <si>
    <t>52/60.5/95</t>
  </si>
  <si>
    <t>武汉雄韬，武汉雄韬，武汉众宇</t>
  </si>
  <si>
    <t>武汉军康技术有限公司</t>
  </si>
  <si>
    <t>园林领域氢能源车辆采购项目（第二次）</t>
  </si>
  <si>
    <t>XYH-2111-135</t>
  </si>
  <si>
    <t>武汉经济技术开发区（汉南区）园林管理中心</t>
  </si>
  <si>
    <t>汉南</t>
  </si>
  <si>
    <t>武汉荣立基业汽车销售服务有限公司</t>
  </si>
  <si>
    <t>氢燃料电池环卫车辆（二次）</t>
  </si>
  <si>
    <t>YSSJ-ZFCG-20211035</t>
  </si>
  <si>
    <t>武汉经济技术开发区（汉南区）城市管理执法局</t>
  </si>
  <si>
    <t>清洗环卫车</t>
  </si>
  <si>
    <t>国氢（舟山六横）新能源科技有限公司</t>
  </si>
  <si>
    <t>压缩式垃圾车</t>
  </si>
  <si>
    <t>氢能源环卫车</t>
  </si>
  <si>
    <t>RXZB-LH-2022-02</t>
  </si>
  <si>
    <t>六横园林环卫管理服务有限公司</t>
  </si>
  <si>
    <t>六横</t>
  </si>
  <si>
    <t>舟山</t>
  </si>
  <si>
    <t>氢燃料电池搅拌运输车</t>
  </si>
  <si>
    <t>重庆渝鸿创能物联科技有限公司</t>
  </si>
  <si>
    <t>氢能源公交车（通勤车）</t>
  </si>
  <si>
    <t>氢能源公交车（公交车）</t>
  </si>
  <si>
    <t>京山市第二批氢能源公交车采购项目</t>
  </si>
  <si>
    <t>JS2022002</t>
  </si>
  <si>
    <t>京山市公共交通有限公司</t>
  </si>
  <si>
    <t>氢燃料电池汽车</t>
  </si>
  <si>
    <t>氢燃料电池汽车（班车）服务项目</t>
  </si>
  <si>
    <t>BIECC-21CG1029</t>
  </si>
  <si>
    <t>北京未来科学城汽车租赁有限公司</t>
  </si>
  <si>
    <t>燃料电池洗扫车辆</t>
  </si>
  <si>
    <t>18吨燃料电池洗扫车辆</t>
  </si>
  <si>
    <t>ZDGX-HENZB-2021260</t>
  </si>
  <si>
    <t>LJ2021009</t>
  </si>
  <si>
    <t>六安市交通运输局六安市公共交通总公司</t>
  </si>
  <si>
    <t>ZBH5121ZYSEQFCEV</t>
  </si>
  <si>
    <t>武汉传为佳话信息技术有限公司</t>
  </si>
  <si>
    <t>第三包重新招标：总质量12.5吨、额定载质量2.5吨/台燃料电池压缩式垃圾车</t>
  </si>
  <si>
    <t>总质量12.5吨、额定载质量2.5吨/台燃料电池压缩式垃圾车</t>
  </si>
  <si>
    <t>金龙牌XMQ5180ZYSFCEVLD</t>
  </si>
  <si>
    <t>总质量18吨、额定载质量4-5吨/台燃料电池压缩式垃圾车</t>
  </si>
  <si>
    <t>BIECC-21CG0957</t>
  </si>
  <si>
    <t>北京市交通委员会东城运输管理分局</t>
  </si>
  <si>
    <t>氢蓝时代</t>
  </si>
  <si>
    <t>深圳氢沃新能源科技有限公司</t>
  </si>
  <si>
    <t>G1100000175068873001001</t>
  </si>
  <si>
    <t>深圳赤湾港口发展有限公司</t>
  </si>
  <si>
    <t>10.5米氢燃料电池公交车（二次）</t>
  </si>
  <si>
    <t>SDPH20211106</t>
  </si>
  <si>
    <t>FSQ6120FCEVZA</t>
  </si>
  <si>
    <t>广东鸿力氢动科技有限公司</t>
  </si>
  <si>
    <t>NXZH-2021-政采0014</t>
  </si>
  <si>
    <t>宁夏宁东公共交通有限公司</t>
  </si>
  <si>
    <t>宁东</t>
  </si>
  <si>
    <t>灵武</t>
  </si>
  <si>
    <t>氢能重卡车</t>
  </si>
  <si>
    <t>2021年6*4氢能重卡车租赁</t>
  </si>
  <si>
    <t>0721-2166A520-B05-638/01</t>
  </si>
  <si>
    <t>广东韶钢松山股份有限公司</t>
  </si>
  <si>
    <t>韶关</t>
  </si>
  <si>
    <t>12米级氢能源公交车</t>
  </si>
  <si>
    <t>青岛真情巴士集团有限公司</t>
  </si>
  <si>
    <t>燃料电池公交客车</t>
  </si>
  <si>
    <t>FLM5091TYHDGFCEV</t>
  </si>
  <si>
    <t>广州雄韬氢恒</t>
  </si>
  <si>
    <t>氢能源燃料电池洒水车</t>
  </si>
  <si>
    <t>9吨氢能源燃料电池洒水车</t>
  </si>
  <si>
    <t>440112-2021-08178</t>
  </si>
  <si>
    <t>电堆来源国鸿氢能</t>
  </si>
  <si>
    <t>浙江比洛德</t>
  </si>
  <si>
    <t>吉利四川商用车有限公司</t>
  </si>
  <si>
    <t>8.5米氢燃料电池公交车</t>
  </si>
  <si>
    <t>中纬采字[2021]-072号</t>
  </si>
  <si>
    <t>湖州市公交集团有限公司</t>
  </si>
  <si>
    <t>湖州</t>
  </si>
  <si>
    <t>张家口易龙智能氢能汽车有限公司</t>
  </si>
  <si>
    <t>张家口京西公共交通有限公司</t>
  </si>
  <si>
    <t>因本项目采购需求发生变更而终止</t>
  </si>
  <si>
    <t>园林领域氢能源车辆</t>
  </si>
  <si>
    <t>氢燃料公共汽车</t>
  </si>
  <si>
    <t>10米级氢燃料公共汽车</t>
  </si>
  <si>
    <t>JSHW2021-GQ-G-0554</t>
  </si>
  <si>
    <t>苏州市公交集团有限公司</t>
  </si>
  <si>
    <t>燃料电池公路客车（50座大巴车）</t>
  </si>
  <si>
    <t>燃料电池公路客车（19座大巴车）</t>
  </si>
  <si>
    <t>燃料电池商务车（旗舰版商务车）</t>
  </si>
  <si>
    <t>燃料电池商务车（豪华版商务车）</t>
  </si>
  <si>
    <t>燃料电池商务车</t>
  </si>
  <si>
    <t>NMGTY-HWZB-2021-125</t>
  </si>
  <si>
    <t>内蒙古圣圆能源集团蒙际实业有限责任公司</t>
  </si>
  <si>
    <t>上燃动力</t>
  </si>
  <si>
    <t>10.5米高级燃料电池低入口城市客车</t>
  </si>
  <si>
    <t>采招2021-2039</t>
  </si>
  <si>
    <t>上海临港公共交通有限公司</t>
  </si>
  <si>
    <t>垃圾装载量4-5吨生活垃圾收集车</t>
  </si>
  <si>
    <t>18吨/台氢能源洗扫车</t>
  </si>
  <si>
    <t>YSSJ-ZFCG-2021027</t>
  </si>
  <si>
    <t>氢途科技</t>
  </si>
  <si>
    <t>氢燃料电池公交车（重新招标）</t>
  </si>
  <si>
    <t>JTCG-2021-023</t>
  </si>
  <si>
    <t>金华市婺城区晟安汽车服务有限公司</t>
  </si>
  <si>
    <t>婺城</t>
  </si>
  <si>
    <t>10.5米系列燃料电池公交车</t>
  </si>
  <si>
    <t>DNC6101FCEVG31</t>
  </si>
  <si>
    <t>氢能源公交车辆（三标段）</t>
  </si>
  <si>
    <t>EQ6100CACFCEV5</t>
  </si>
  <si>
    <t>东风襄阳旅行车有限公司</t>
  </si>
  <si>
    <t>氢能源公交车辆（二标段）</t>
  </si>
  <si>
    <t>氢能源公交车辆（一标段）</t>
  </si>
  <si>
    <t>ZJJA C2021-920</t>
  </si>
  <si>
    <t>武汉经济技术开发区（汉南区）住房和城乡建设局</t>
  </si>
  <si>
    <t>GH5080XTYFCEV</t>
  </si>
  <si>
    <t>国鸿氢能/国鸿重塑</t>
  </si>
  <si>
    <t>（18-24桶）氢燃料垃圾收运车</t>
  </si>
  <si>
    <t>亿华通/国氢科技</t>
  </si>
  <si>
    <t>BIECC-21CG0816</t>
  </si>
  <si>
    <t>含氢系统</t>
  </si>
  <si>
    <t>DJ-CG-21100</t>
  </si>
  <si>
    <t>招案2021-2208</t>
  </si>
  <si>
    <t>招案2021-2840</t>
  </si>
  <si>
    <t>35MPa氢燃料电池公交车2辆</t>
  </si>
  <si>
    <t>“源网荷储一体化”关键技术研究与示范应用</t>
  </si>
  <si>
    <t>FLM5181GQXDGFCEVS</t>
  </si>
  <si>
    <t>雄韬氢恒</t>
  </si>
  <si>
    <t>福建龙马环卫装备股份有限公司</t>
  </si>
  <si>
    <t>18吨氢燃料洒水车</t>
  </si>
  <si>
    <t>2020年环卫设备采购项目（子包5第二次）</t>
  </si>
  <si>
    <t>GZQS2001HG09004</t>
  </si>
  <si>
    <t>黄埔区城市管理和综合执法局</t>
  </si>
  <si>
    <t>氢燃料城市客车采购项目</t>
  </si>
  <si>
    <t>高级燃料电池低入口电动城巿客车</t>
  </si>
  <si>
    <t>10.5米级高级燃料电池低入口电动城巿客车</t>
  </si>
  <si>
    <t>重庆中车恒通汽车有限公司</t>
  </si>
  <si>
    <t>10.5±0.2</t>
  </si>
  <si>
    <t>002：燃料电池城市客车</t>
  </si>
  <si>
    <t>重庆欧辉绿能汽车销售有限公司</t>
  </si>
  <si>
    <t>001：燃料电池城市客车</t>
  </si>
  <si>
    <t>燃料电池客车采购项目（第二次）</t>
  </si>
  <si>
    <t>0611-2000250602A</t>
  </si>
  <si>
    <t>重庆两江公共交通有限公司</t>
  </si>
  <si>
    <t>两江新</t>
  </si>
  <si>
    <t>ZBH5183GQXDFFCEVXQ</t>
  </si>
  <si>
    <t>环卫车辆</t>
  </si>
  <si>
    <t>440112-2021-04142</t>
  </si>
  <si>
    <t>2021年氢能源公交车采购项目</t>
  </si>
  <si>
    <t>天平代理2021-013号</t>
  </si>
  <si>
    <t>平湖市开元运务有限公司（重新招标）</t>
  </si>
  <si>
    <t>武汉泰歌</t>
  </si>
  <si>
    <t>≤8.5</t>
  </si>
  <si>
    <t>B包：燃料电池城市客车</t>
  </si>
  <si>
    <t>黄冈普赫氢能商用车有限公司</t>
  </si>
  <si>
    <t>A包：燃料电池保温车</t>
  </si>
  <si>
    <t>氢能示范运营车辆采购项目</t>
  </si>
  <si>
    <t>HG2021A031</t>
  </si>
  <si>
    <t>黄冈市公共交通发展有限公司</t>
  </si>
  <si>
    <t>黄冈</t>
  </si>
  <si>
    <t>PYZB2021-ZG3211</t>
  </si>
  <si>
    <t>贵阳经济开发区产业发展投资控股（集团）有限公司</t>
  </si>
  <si>
    <t>经开区</t>
  </si>
  <si>
    <t>贵阳</t>
  </si>
  <si>
    <t>贵州</t>
  </si>
  <si>
    <t>10.5米氢能源燃料电池公交车采购</t>
  </si>
  <si>
    <t>德阳裕兴公共交通有限责任公司</t>
  </si>
  <si>
    <t>首批交付200辆，剩余数量以具体订单为准</t>
  </si>
  <si>
    <t>86万元/辆；租赁单价14670元/辆/月（均含税）</t>
  </si>
  <si>
    <t>雄川氢能科技（广州）有限责任公司及南京金龙客车制造有限公司客车制造有限公司联合体</t>
  </si>
  <si>
    <t>采购单价最高90万元/辆；租赁单价最低价14650元/辆/月（均含税）</t>
  </si>
  <si>
    <t>31吨燃料电池自卸式垃圾车（燃料电池自卸汽车）采购及租赁项目（第三次）</t>
  </si>
  <si>
    <t>GZQS2021HG01040</t>
  </si>
  <si>
    <t>科学城（广州）环保产业投资集团有限公司</t>
  </si>
  <si>
    <t>BTL5182TXSEQFCEV</t>
  </si>
  <si>
    <t>成都亿华通</t>
  </si>
  <si>
    <t>北京天路通科技有限责任公司</t>
  </si>
  <si>
    <t>18吨氢燃料电池清扫车</t>
  </si>
  <si>
    <t>2021年氢能源环卫车辆购置项目</t>
  </si>
  <si>
    <t>DXCG_21_0091</t>
  </si>
  <si>
    <t>北京市大兴区城市管理委员会</t>
  </si>
  <si>
    <t>小型加氢增压气密系统</t>
  </si>
  <si>
    <t>燃料电池扫地车</t>
  </si>
  <si>
    <t>上海攀业</t>
  </si>
  <si>
    <t>上海攀业氢能源科技有限公司</t>
  </si>
  <si>
    <t>燃料电池游览车</t>
  </si>
  <si>
    <t>燃料电池车辆及配套设施</t>
  </si>
  <si>
    <t>FYAH-2021012</t>
  </si>
  <si>
    <t>阜阳市瀚海物业管理有限责任公司</t>
  </si>
  <si>
    <t>阜阳</t>
  </si>
  <si>
    <t>2020年环卫设备采购项目-合同包5</t>
  </si>
  <si>
    <t>2021-099-C-ZB</t>
  </si>
  <si>
    <t>最高500</t>
  </si>
  <si>
    <t>31吨燃料电池自卸式垃圾车（燃料电池自卸汽车）采购及租赁项目（第二次）</t>
  </si>
  <si>
    <t>北京福田智蓝新能源汽车科技有限公司</t>
  </si>
  <si>
    <t>氢能重卡（第三批）</t>
  </si>
  <si>
    <t>G130600210096</t>
  </si>
  <si>
    <t>保定智通新能源汽车有限公司</t>
  </si>
  <si>
    <t>保定市神龙汽车贸易有限公司</t>
  </si>
  <si>
    <t>氢能重卡（第二批）</t>
  </si>
  <si>
    <t>G130600210095</t>
  </si>
  <si>
    <t>成都大运汽车集团有限公司</t>
  </si>
  <si>
    <t>氢能重卡（第一批）</t>
  </si>
  <si>
    <t>HBXJ072021HWZB001</t>
  </si>
  <si>
    <t>11.9-12.2</t>
  </si>
  <si>
    <t>ZCZH-2021-G0001</t>
  </si>
  <si>
    <t>邹城市国运公共交通有限公司</t>
  </si>
  <si>
    <t>邹城</t>
  </si>
  <si>
    <t>SH5187XLCZQFCEVWZ1</t>
  </si>
  <si>
    <t>海卓科技</t>
  </si>
  <si>
    <t>上汽大通汽车有限公司南京分公司</t>
  </si>
  <si>
    <t>18吨F类冷藏车</t>
  </si>
  <si>
    <t>青岛瑞达顺泰新能源汽车科技有限公司</t>
  </si>
  <si>
    <t>电堆来源氢璞创能</t>
  </si>
  <si>
    <t>天津新氢动力科技有限公司</t>
  </si>
  <si>
    <t>3.5吨级氢燃料电池叉车</t>
  </si>
  <si>
    <t>0615-214321080005</t>
  </si>
  <si>
    <t>BLZSHZB-359</t>
  </si>
  <si>
    <t>中国石化销售股份有限公司贵州石油分公司</t>
  </si>
  <si>
    <t>单价最高90万元/辆，最低14650元/辆/月，均为含税</t>
  </si>
  <si>
    <t>31吨燃料电池自卸式垃圾车（燃料电池自卸汽车）采购及租赁项目</t>
  </si>
  <si>
    <t>氢能源汽车</t>
  </si>
  <si>
    <t>SXZC-HGK21003</t>
  </si>
  <si>
    <t>安徽濉芜现代产业园投资有限公司</t>
  </si>
  <si>
    <t>濉溪</t>
  </si>
  <si>
    <t>淮北</t>
  </si>
  <si>
    <t>SDSITC-13202512</t>
  </si>
  <si>
    <t>大洋电机</t>
  </si>
  <si>
    <t>东莞中汽宏远汽车有限公司</t>
  </si>
  <si>
    <t>RXZB-LH-2020-34</t>
  </si>
  <si>
    <t>舟山市六横环岛汽车客运有限公司</t>
  </si>
  <si>
    <t>DNC6100FCEVG1（神力）</t>
  </si>
  <si>
    <t>马鞍山市公共交通集团有限责任公司</t>
  </si>
  <si>
    <t>马鞍山</t>
  </si>
  <si>
    <t>燃料电池城市客车</t>
  </si>
  <si>
    <t>燃料电池客车（非政府采购）（第三次）</t>
  </si>
  <si>
    <t>XCXJH2020-FZFCG24</t>
  </si>
  <si>
    <t>电堆来源明天氢能</t>
  </si>
  <si>
    <t>12米系列氢燃料公交车</t>
  </si>
  <si>
    <t>氢燃料电池10米系列公交车</t>
  </si>
  <si>
    <t>氢燃料电池10米系列公交车采购项目第一包</t>
  </si>
  <si>
    <t>LACGZX-H2020-030-1</t>
  </si>
  <si>
    <t>六安市交通运输局</t>
  </si>
  <si>
    <t>11.5-12</t>
  </si>
  <si>
    <t>四标段：氢燃料电池带空调城市公交车（高寒大站快线版）</t>
  </si>
  <si>
    <t>三标段：氢燃料电池带空调城市公交车（高寒冬残奥版，两个轮椅区）</t>
  </si>
  <si>
    <t>二标段：氢燃料电池带空调城市公交车（高寒普通版）</t>
  </si>
  <si>
    <t>一标段：氢燃料电池带空调城市公交车（高寒版，要求车身高度相对低）</t>
  </si>
  <si>
    <t>2020年购置第二批公交车项目</t>
  </si>
  <si>
    <t>张家口市公共交通集团有限公司</t>
  </si>
  <si>
    <t>燃料电池客车（非政府采购）（重招）</t>
  </si>
  <si>
    <t>新源动力</t>
  </si>
  <si>
    <t>燃料电池自卸汽车</t>
  </si>
  <si>
    <t>NMGTY-HWZB-2020-132</t>
  </si>
  <si>
    <t>内蒙古圣源能源集团蒙际实业有限责任公司</t>
  </si>
  <si>
    <t>10米氢燃料电池公交车</t>
  </si>
  <si>
    <t>襄阳市公共交通集团有限责任公司</t>
  </si>
  <si>
    <t>NJL3311ZHJFCEV</t>
  </si>
  <si>
    <t>海卓动力</t>
  </si>
  <si>
    <t>南京金龙客车制造有限公司
（青岛开沃重工）</t>
  </si>
  <si>
    <t>青岛国际院士港智能汽车发展有限公司</t>
  </si>
  <si>
    <t>氢燃料洒水车</t>
  </si>
  <si>
    <t>440112-202010-101364-0012</t>
  </si>
  <si>
    <t>燃料电池客车（非政府采购）</t>
  </si>
  <si>
    <t>LCK6126FCEVGW1</t>
  </si>
  <si>
    <t>11~12</t>
  </si>
  <si>
    <t>包Ⅲ：11-12米氢能源客车</t>
  </si>
  <si>
    <t>2020年第一批次公交车采购项目（新能源公交车）</t>
  </si>
  <si>
    <t>无锡新区公共交通有限公司</t>
  </si>
  <si>
    <t>无锡新区</t>
  </si>
  <si>
    <t>无锡</t>
  </si>
  <si>
    <t>锡力科技</t>
  </si>
  <si>
    <t>氢燃料电池城市客车（非政采）（二次）</t>
  </si>
  <si>
    <t>12米氢燃料电池公交车</t>
  </si>
  <si>
    <t>氢燃料电池公交车采购</t>
  </si>
  <si>
    <t>SDYY-2020-214</t>
  </si>
  <si>
    <t>氢燃料电池城市客车（非政采）</t>
  </si>
  <si>
    <t>氢燃料电池城市公交车</t>
  </si>
  <si>
    <t>氢燃料电池城市公交车融资租赁项目</t>
  </si>
  <si>
    <t>SZHX-C2020G019</t>
  </si>
  <si>
    <t>京山公共汽车有限公司</t>
  </si>
  <si>
    <t>5379.80
（含加氢站）</t>
  </si>
  <si>
    <t>中国重汽集团济南豪沃客车有限公司</t>
  </si>
  <si>
    <t>5380
（含加氢站）</t>
  </si>
  <si>
    <t>氢燃料电池公交车暨配套加氢站</t>
  </si>
  <si>
    <t>SDYD2020-363</t>
  </si>
  <si>
    <t>8~9</t>
  </si>
  <si>
    <t>燃料电池公交车-标包2</t>
  </si>
  <si>
    <t>10~11</t>
  </si>
  <si>
    <t>雄韬氢雄与泰极动力</t>
  </si>
  <si>
    <t>燃料电池公交车-标包1</t>
  </si>
  <si>
    <t>0747-2060SCCGD148</t>
  </si>
  <si>
    <t>佛山市高明区交通运输局和佛山市高明区氢裕公交客运有限公司</t>
  </si>
  <si>
    <t>高明</t>
  </si>
  <si>
    <t>广州广日专用汽车有限公司</t>
  </si>
  <si>
    <t>燃料电池冷藏物流车</t>
  </si>
  <si>
    <t>SDSITC-13201307</t>
  </si>
  <si>
    <t>电堆来源上海神力</t>
  </si>
  <si>
    <t>淄博吉利新能源商用车发展有限公司</t>
  </si>
  <si>
    <t>10.5米氢燃料公交车</t>
  </si>
  <si>
    <t>SDPH20200720</t>
  </si>
  <si>
    <t>8.9-10.5</t>
  </si>
  <si>
    <t>高寒区氢燃料电池客车（一人一座版）</t>
  </si>
  <si>
    <t>高寒区氢燃料电池客车</t>
  </si>
  <si>
    <t>E1300000870000465001G01</t>
  </si>
  <si>
    <t>氢能源电动重卡（半挂牵引车）</t>
  </si>
  <si>
    <t>49吨氢能源电动重卡</t>
  </si>
  <si>
    <t>JSH2020-111-41-328</t>
  </si>
  <si>
    <t>山西（阳泉）国际陆港集团有限公司</t>
  </si>
  <si>
    <t>阳泉</t>
  </si>
  <si>
    <t>上海申龙客车有限公司</t>
  </si>
  <si>
    <t>氢燃料电池10米系列公交车采购项目</t>
  </si>
  <si>
    <t>LACGZX-H2020-030</t>
  </si>
  <si>
    <t>百应能源</t>
  </si>
  <si>
    <t>诚泰融资租赁（上海）有限公司</t>
  </si>
  <si>
    <t>氢能源燃料电池新能源汽车</t>
  </si>
  <si>
    <t>车辆融资租赁服务项目</t>
  </si>
  <si>
    <t>HNNY202005018</t>
  </si>
  <si>
    <t>南阳市公共交通总公司</t>
  </si>
  <si>
    <t>南阳</t>
  </si>
  <si>
    <t>佛山氢裕新能源产业投资有限公司与佛山市高明区安通运输站场有限公司与山西美锦能源股份有限公司联合体</t>
  </si>
  <si>
    <t>80辆新能源汽车</t>
  </si>
  <si>
    <t>佛山市高明区公交线路运营服务项目-标段二</t>
  </si>
  <si>
    <t>JG2020(SZ)XZ0003</t>
  </si>
  <si>
    <t>佛山市公共交通管理有限公司</t>
  </si>
  <si>
    <t>250（单价限价）</t>
  </si>
  <si>
    <t>2019年氢能源公交车辆采购项目</t>
  </si>
  <si>
    <t>M4400000707005443</t>
  </si>
  <si>
    <t>广州公交集团第三公共汽车有限公司</t>
  </si>
  <si>
    <t>已扣减国家补贴</t>
  </si>
  <si>
    <t>佛山市飞驰汽车科技有限公司与广东飞驰汽车贸易联合体</t>
  </si>
  <si>
    <t>最高7947.69</t>
  </si>
  <si>
    <t>GZGK19E253A0725Z</t>
  </si>
  <si>
    <t>佛山市粤运公共交通有限公司</t>
  </si>
  <si>
    <t>禅城</t>
  </si>
  <si>
    <t>潍坊市公共交通总公司100台新能源公交车采购</t>
  </si>
  <si>
    <t>GGJY-2019-018</t>
  </si>
  <si>
    <t>潍坊市公共交通总公司</t>
  </si>
  <si>
    <t>国鸿重塑</t>
  </si>
  <si>
    <t>广东名阳集团有限公司</t>
  </si>
  <si>
    <t>分包五：氢燃料电池城市客车</t>
  </si>
  <si>
    <t>209辆公交车采购项目</t>
  </si>
  <si>
    <t>FEGD-ZT191225</t>
  </si>
  <si>
    <t>佛山市顺德区鸿运公共交通有限公司</t>
  </si>
  <si>
    <t>分包六：8米氢燃料电池城市客车</t>
  </si>
  <si>
    <t>202辆公交车采购项目 - 包组六：8米氢燃料电池城市客车</t>
  </si>
  <si>
    <t>招标纯电动，中标氢燃料</t>
  </si>
  <si>
    <t>广州福源汽车贸易有限公司</t>
  </si>
  <si>
    <t>分包五：8米氢燃料电池城市客车</t>
  </si>
  <si>
    <t>202辆公交车采购项目 - 包组五：10米纯电动城市客车</t>
  </si>
  <si>
    <t>FEGD-ZT191228</t>
  </si>
  <si>
    <t>佛山市新协力汽车运输有限公司</t>
  </si>
  <si>
    <t>分包八：8米氢燃料电池城市客车</t>
  </si>
  <si>
    <t>NJL6859FCEV7</t>
  </si>
  <si>
    <t>分包七：8米氢燃料电池城市客车</t>
  </si>
  <si>
    <t>公交车采购项目</t>
  </si>
  <si>
    <t>FEGD-ZT191223</t>
  </si>
  <si>
    <t>佛山市顺德区顺汽公交有限公司</t>
  </si>
  <si>
    <t>含国补</t>
  </si>
  <si>
    <t>老河口市氢燃料电池城市公交车采购项目（二次）</t>
  </si>
  <si>
    <t>HBYZJ-XYZFCG2019-251</t>
  </si>
  <si>
    <t>老河口市建设投资经营有限公司</t>
  </si>
  <si>
    <t>老河口</t>
  </si>
  <si>
    <t>氢燃料电池带空调城市公交车（残奥版）</t>
  </si>
  <si>
    <t>氢燃料电池带空调城市公交车（普通版）</t>
  </si>
  <si>
    <t>2019年张家口市区公交车辆采购项目</t>
  </si>
  <si>
    <t>E1300000271001994001</t>
  </si>
  <si>
    <t>氢燃料电池左右双开门新能源公交车</t>
  </si>
  <si>
    <t>2019年度第二批新能源公交车辆（二次）</t>
  </si>
  <si>
    <t>ZYZB【2019】1105号</t>
  </si>
  <si>
    <t>郑州市公共交通总公司</t>
  </si>
  <si>
    <t>2019年度第二批新能源公交车辆</t>
  </si>
  <si>
    <t>新能源公交车采购-01包</t>
  </si>
  <si>
    <t>FSDZ-20190927</t>
  </si>
  <si>
    <t>三水国鸿公交公司</t>
  </si>
  <si>
    <t>三水</t>
  </si>
  <si>
    <t>佛山市飞驰汽车科技有限公司与广东名阳集团有限公司联合体</t>
  </si>
  <si>
    <t>8.4-8.8</t>
  </si>
  <si>
    <t>42辆氢能源公交车采购项目</t>
  </si>
  <si>
    <t>0692-196BFS920084</t>
  </si>
  <si>
    <t>佛山市禅南公共交通有限公司</t>
  </si>
  <si>
    <t>最高19900</t>
  </si>
  <si>
    <t>佛山市南海区2022年燃料电池公交车（第四批）采购项目</t>
  </si>
  <si>
    <t>0747-1960SCCGD133</t>
  </si>
  <si>
    <t>最高17114</t>
  </si>
  <si>
    <t>佛山市南海区2021年燃料电池公交车（第三批）采购项目</t>
  </si>
  <si>
    <t>0747-1960SCCGD132</t>
  </si>
  <si>
    <t>广东探索汽车</t>
  </si>
  <si>
    <t>云南五龙汽车有限公司</t>
  </si>
  <si>
    <t>佛山市南海区2020年燃料电池公交车（第二批）采购项目</t>
  </si>
  <si>
    <t>0747-1960SCCGD131</t>
  </si>
  <si>
    <t>佛山市南海区2019年燃料电池公交车（第一批）采购项目</t>
  </si>
  <si>
    <t>0747-1960SCCGD130</t>
  </si>
  <si>
    <t>佛山市南海区发展和改革局、佛山市南海佛广公共汽车有限公司</t>
  </si>
  <si>
    <t>NJL6859FCEV</t>
  </si>
  <si>
    <t>HBT-12190153-193560</t>
  </si>
  <si>
    <t>武汉东湖新技术开发区建设管理局</t>
  </si>
  <si>
    <t>东湖</t>
  </si>
  <si>
    <t>老河口市氢燃料电池城市公交车采购项目</t>
  </si>
  <si>
    <t>广州市环境卫生机械设备厂</t>
  </si>
  <si>
    <t>氢燃料电池密闭式桶装垃圾运输车</t>
  </si>
  <si>
    <t>8吨氢燃料电池密闭式桶装垃圾运输车采购项目</t>
  </si>
  <si>
    <t>GZYR19HD09A67</t>
  </si>
  <si>
    <t>380V，200kVA</t>
  </si>
  <si>
    <t>广东电科院能源技术有限责任公司</t>
  </si>
  <si>
    <t>氢燃料电池应急电源车</t>
  </si>
  <si>
    <t>2019年购置氢燃料电池应急电源车专项招标</t>
  </si>
  <si>
    <t>广东电网有限责任公司江门供电局</t>
  </si>
  <si>
    <t>江门</t>
  </si>
  <si>
    <t>LCK6105FCEVG2</t>
  </si>
  <si>
    <t>SDYD2019-491</t>
  </si>
  <si>
    <t>济南市公共交通总公司</t>
  </si>
  <si>
    <t>氢燃料电池8.5米公交车项目</t>
  </si>
  <si>
    <t>LACGZX-H2019230</t>
  </si>
  <si>
    <t>氢燃料电池公交客车采购项目（第二次）</t>
  </si>
  <si>
    <t>嘉兴市善通运输（集团）有限责任公司、嘉善县城市公交有限公司</t>
  </si>
  <si>
    <t>30（2020年交付）</t>
  </si>
  <si>
    <t>20（2020年交付）</t>
  </si>
  <si>
    <t>氢燃料电池公交客车采购项目</t>
  </si>
  <si>
    <t>氢能燃料电池公交车（二次）</t>
  </si>
  <si>
    <t>SDYKCG2019A035P</t>
  </si>
  <si>
    <t>兖矿东华建设有限公司</t>
  </si>
  <si>
    <t>金华青年汽车制造有限公司</t>
  </si>
  <si>
    <t>2019年新能源公交车采购</t>
  </si>
  <si>
    <t>LCQTCG-2019-052</t>
  </si>
  <si>
    <t>聊城市公共交通集团有限公司</t>
  </si>
  <si>
    <t>聊城</t>
  </si>
  <si>
    <t>6辆氢能源公交车采购项目</t>
  </si>
  <si>
    <t>ZC2019(SS)ZX00271</t>
  </si>
  <si>
    <t>佛山市三水区国鸿公共交通有限公司</t>
  </si>
  <si>
    <t>氢燃料空调公交车</t>
  </si>
  <si>
    <t>100台新能源公交车采购项目（标包3）</t>
  </si>
  <si>
    <t>GGJY-2018-034</t>
  </si>
  <si>
    <t>氢燃料电池带空调城市公交车（残奥会版）</t>
  </si>
  <si>
    <t>张家口市区公交车辆采购项目第三标段</t>
  </si>
  <si>
    <t>氢燃料电池带空调城市公交车（大站快线版）</t>
  </si>
  <si>
    <t>张家口市区公交车辆采购项目第二标段</t>
  </si>
  <si>
    <t>张家口市区公交车辆采购项目第一标段</t>
  </si>
  <si>
    <t>YMHB-2018-1074</t>
  </si>
  <si>
    <t>张家口市公共交通有限责任公司</t>
  </si>
  <si>
    <t>ZC2018(SS)ZX00956</t>
  </si>
  <si>
    <t>武汉雄韬（20），武汉泰歌（1）</t>
  </si>
  <si>
    <t>氢能源电池公交车采购项目</t>
  </si>
  <si>
    <t>ZJJA C2018-400</t>
  </si>
  <si>
    <t>武汉经济技术开发区（汉南区）城乡建设局</t>
  </si>
  <si>
    <t>江苏兴邦能源</t>
  </si>
  <si>
    <t>2018市区新能源公交车辆采购项目（二标段）</t>
  </si>
  <si>
    <t>YCCG1809-113</t>
  </si>
  <si>
    <t>盐城市公共交通总公司</t>
  </si>
  <si>
    <t>氢燃料电池公交车辆及加氢服务</t>
  </si>
  <si>
    <t>氢燃料电池公交车辆及加氢服务（二次）</t>
  </si>
  <si>
    <t>北汽福田汽车股份有限公司北京欧辉客车分公司</t>
  </si>
  <si>
    <t>10.5-11</t>
  </si>
  <si>
    <t>氢燃料电池带空调城市公交车</t>
  </si>
  <si>
    <t>2138，剩余由财政出资</t>
  </si>
  <si>
    <t>G1307001702722001</t>
  </si>
  <si>
    <t>张家口市公共交通总公司</t>
  </si>
  <si>
    <t>江苏陆地方舟新能源车辆股份有限公司</t>
  </si>
  <si>
    <t>混合动力型燃料电池公共汽车</t>
  </si>
  <si>
    <t>5辆混合动力型燃料电池公共汽车</t>
  </si>
  <si>
    <t>0747-1761SITCF037</t>
  </si>
  <si>
    <t>中国国际经济技术交流中心</t>
  </si>
  <si>
    <t>如皋</t>
  </si>
  <si>
    <t>不含补贴</t>
  </si>
  <si>
    <t>云浮市飞驰新能源汽车有限公司</t>
  </si>
  <si>
    <t>8.6米氢燃料电池城市客车采购项目</t>
  </si>
  <si>
    <t>GDXAZJ-CG-20170804</t>
  </si>
  <si>
    <t>云浮市佛云新能源交通投资发展有限公司</t>
  </si>
  <si>
    <t>云浮</t>
  </si>
  <si>
    <t>8.6米氢燃料电池城市客车采购项目（二次）</t>
  </si>
  <si>
    <t>8.6米氢燃料电池城市客车采购项目（一次）</t>
  </si>
  <si>
    <t>11米氢燃料电池城市客车采购项目</t>
  </si>
  <si>
    <t>GDCFCG-GDYF-20160070</t>
  </si>
  <si>
    <t>功率</t>
  </si>
  <si>
    <t>燃料电池系统来源
（不一定准）</t>
  </si>
  <si>
    <t>单价
/万元/辆</t>
  </si>
  <si>
    <t>中标数量</t>
  </si>
  <si>
    <t>中标价格
/万元</t>
  </si>
  <si>
    <t>中标单位</t>
  </si>
  <si>
    <t>总预算
/万元</t>
  </si>
  <si>
    <t>数量</t>
  </si>
  <si>
    <t>车辆长度要求
/m</t>
  </si>
  <si>
    <t>具体分类</t>
  </si>
  <si>
    <t>所需车辆</t>
  </si>
  <si>
    <t>采购项目名称</t>
  </si>
  <si>
    <t>招标文件号</t>
  </si>
  <si>
    <t>采购人</t>
  </si>
  <si>
    <t>地点</t>
  </si>
  <si>
    <t>状态</t>
  </si>
  <si>
    <t>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</si>
</sst>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
    <numFmt numFmtId="178" formatCode="0_);[Red]\(0\)"/>
  </numFmts>
  <fonts count="17" x14ac:knownFonts="1">
    <font>
      <sz val="11"/>
      <color theme="1"/>
      <name val="宋体"/>
      <family val="3"/>
      <charset val="134"/>
      <scheme val="minor"/>
    </font>
    <font>
      <b/>
      <sz val="9"/>
      <color theme="0"/>
      <name val="微软雅黑"/>
      <family val="2"/>
      <charset val="134"/>
    </font>
    <font>
      <sz val="9"/>
      <name val="宋体"/>
      <family val="3"/>
      <charset val="134"/>
      <scheme val="minor"/>
    </font>
    <font>
      <b/>
      <sz val="9"/>
      <color rgb="FF187FC4"/>
      <name val="微软雅黑"/>
      <family val="2"/>
      <charset val="134"/>
    </font>
    <font>
      <b/>
      <sz val="9"/>
      <color indexed="30"/>
      <name val="微软雅黑"/>
      <family val="2"/>
      <charset val="134"/>
    </font>
    <font>
      <b/>
      <sz val="9"/>
      <name val="微软雅黑"/>
      <family val="2"/>
      <charset val="134"/>
    </font>
    <font>
      <b/>
      <sz val="9"/>
      <color rgb="FFFF0000"/>
      <name val="微软雅黑"/>
      <family val="2"/>
      <charset val="134"/>
    </font>
    <font>
      <b/>
      <sz val="9"/>
      <color rgb="FF0066CC"/>
      <name val="微软雅黑"/>
      <family val="2"/>
      <charset val="134"/>
    </font>
    <font>
      <b/>
      <sz val="9"/>
      <name val="宋体"/>
      <family val="3"/>
      <charset val="134"/>
    </font>
    <font>
      <sz val="9"/>
      <name val="宋体"/>
      <family val="3"/>
      <charset val="134"/>
    </font>
    <font>
      <sz val="10"/>
      <color theme="1"/>
      <name val="宋体"/>
      <family val="3"/>
      <charset val="134"/>
      <scheme val="minor"/>
    </font>
    <font>
      <sz val="10"/>
      <name val="宋体"/>
      <family val="3"/>
      <charset val="134"/>
      <scheme val="minor"/>
    </font>
    <font>
      <b/>
      <sz val="9"/>
      <color theme="1"/>
      <name val="微软雅黑"/>
      <family val="2"/>
      <charset val="134"/>
    </font>
    <font>
      <sz val="11"/>
      <name val="宋体"/>
      <family val="3"/>
      <charset val="134"/>
      <scheme val="minor"/>
    </font>
    <font>
      <sz val="10"/>
      <color theme="4" tint="-0.499984740745262"/>
      <name val="宋体"/>
      <family val="3"/>
      <charset val="134"/>
      <scheme val="minor"/>
    </font>
    <font>
      <sz val="10"/>
      <color rgb="FFFF0000"/>
      <name val="宋体"/>
      <family val="3"/>
      <charset val="134"/>
      <scheme val="minor"/>
    </font>
    <font>
      <b/>
      <sz val="9"/>
      <color theme="4" tint="-0.499984740745262"/>
      <name val="微软雅黑"/>
      <family val="2"/>
      <charset val="134"/>
    </font>
  </fonts>
  <fills count="17">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rgb="FFFFFF00"/>
        <bgColor indexed="64"/>
      </patternFill>
    </fill>
    <fill>
      <patternFill patternType="solid">
        <fgColor theme="6" tint="0.79982909634693444"/>
        <bgColor indexed="64"/>
      </patternFill>
    </fill>
    <fill>
      <patternFill patternType="solid">
        <fgColor theme="5" tint="0.79995117038483843"/>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7" tint="0.79995117038483843"/>
        <bgColor indexed="64"/>
      </patternFill>
    </fill>
    <fill>
      <patternFill patternType="solid">
        <fgColor theme="7" tint="0.79998168889431442"/>
        <bgColor indexed="64"/>
      </patternFill>
    </fill>
    <fill>
      <patternFill patternType="solid">
        <fgColor rgb="FFFFC000"/>
        <bgColor indexed="64"/>
      </patternFill>
    </fill>
    <fill>
      <patternFill patternType="solid">
        <fgColor theme="8" tint="0.39988402966399123"/>
        <bgColor indexed="64"/>
      </patternFill>
    </fill>
    <fill>
      <patternFill patternType="solid">
        <fgColor rgb="FF92D050"/>
        <bgColor indexed="64"/>
      </patternFill>
    </fill>
    <fill>
      <patternFill patternType="solid">
        <fgColor theme="9" tint="0.79989013336588644"/>
        <bgColor indexed="64"/>
      </patternFill>
    </fill>
    <fill>
      <patternFill patternType="solid">
        <fgColor theme="9" tint="0.79982909634693444"/>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s>
  <cellStyleXfs count="1">
    <xf numFmtId="0" fontId="0" fillId="0" borderId="0">
      <alignment vertical="center"/>
    </xf>
  </cellStyleXfs>
  <cellXfs count="190">
    <xf numFmtId="0" fontId="0" fillId="0" borderId="0" xfId="0">
      <alignment vertical="center"/>
    </xf>
    <xf numFmtId="0" fontId="1" fillId="2" borderId="1" xfId="0" applyFont="1" applyFill="1" applyBorder="1" applyAlignment="1">
      <alignment horizontal="center" vertical="center" wrapText="1"/>
    </xf>
    <xf numFmtId="0" fontId="0" fillId="3" borderId="0" xfId="0" applyFill="1">
      <alignment vertical="center"/>
    </xf>
    <xf numFmtId="0" fontId="3"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176" fontId="4" fillId="4" borderId="1" xfId="0" applyNumberFormat="1"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176" fontId="4" fillId="5" borderId="1" xfId="0" applyNumberFormat="1"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176" fontId="4" fillId="6" borderId="1" xfId="0" applyNumberFormat="1"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0" borderId="1" xfId="0" applyFont="1" applyBorder="1" applyAlignment="1">
      <alignment horizontal="center" vertical="center" wrapText="1"/>
    </xf>
    <xf numFmtId="176"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5" borderId="4" xfId="0" applyFont="1" applyFill="1" applyBorder="1" applyAlignment="1">
      <alignment horizontal="center" vertical="center" wrapText="1"/>
    </xf>
    <xf numFmtId="0" fontId="4" fillId="7" borderId="2" xfId="0" applyFont="1" applyFill="1" applyBorder="1" applyAlignment="1">
      <alignment horizontal="center" vertical="center" wrapText="1"/>
    </xf>
    <xf numFmtId="176"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176" fontId="4" fillId="7" borderId="2" xfId="0" applyNumberFormat="1" applyFont="1" applyFill="1" applyBorder="1" applyAlignment="1">
      <alignment horizontal="center" vertical="center" wrapText="1"/>
    </xf>
    <xf numFmtId="0" fontId="4" fillId="7" borderId="2"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176" fontId="4" fillId="8"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176" fontId="4"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wrapText="1"/>
    </xf>
    <xf numFmtId="176" fontId="6" fillId="9" borderId="1"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176" fontId="6"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176" fontId="6" fillId="5" borderId="1" xfId="0" applyNumberFormat="1"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0" borderId="4" xfId="0" applyFont="1" applyBorder="1" applyAlignment="1">
      <alignment horizontal="center" vertical="center" wrapText="1"/>
    </xf>
    <xf numFmtId="0" fontId="0" fillId="3" borderId="0" xfId="0" applyFill="1" applyAlignment="1">
      <alignment horizontal="left" vertical="center"/>
    </xf>
    <xf numFmtId="0" fontId="10" fillId="0" borderId="0" xfId="0" applyFont="1" applyAlignment="1">
      <alignment horizontal="center" vertical="center" wrapText="1"/>
    </xf>
    <xf numFmtId="0" fontId="10" fillId="0" borderId="0" xfId="0" applyFont="1" applyAlignment="1">
      <alignment horizontal="left" vertical="center" wrapText="1"/>
    </xf>
    <xf numFmtId="0" fontId="11" fillId="0" borderId="0" xfId="0" applyFont="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5" fillId="0" borderId="4" xfId="0" applyFont="1" applyBorder="1" applyAlignment="1">
      <alignment horizontal="center" vertical="center" wrapText="1"/>
    </xf>
    <xf numFmtId="2" fontId="5" fillId="0" borderId="4" xfId="0" applyNumberFormat="1" applyFont="1" applyBorder="1" applyAlignment="1">
      <alignment horizontal="center" vertical="center" wrapText="1"/>
    </xf>
    <xf numFmtId="0" fontId="5" fillId="0" borderId="2" xfId="0" applyFont="1" applyBorder="1" applyAlignment="1">
      <alignment horizontal="center" vertical="center" wrapText="1"/>
    </xf>
    <xf numFmtId="2" fontId="5" fillId="0" borderId="2" xfId="0" applyNumberFormat="1" applyFont="1" applyBorder="1" applyAlignment="1">
      <alignment horizontal="center" vertical="center" wrapText="1"/>
    </xf>
    <xf numFmtId="0" fontId="5" fillId="10"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2" fontId="5" fillId="10" borderId="1" xfId="0" applyNumberFormat="1"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2" fontId="12" fillId="11"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2" fontId="5" fillId="4" borderId="4" xfId="0" applyNumberFormat="1" applyFont="1" applyFill="1" applyBorder="1" applyAlignment="1">
      <alignment horizontal="center" vertical="center" wrapText="1"/>
    </xf>
    <xf numFmtId="2" fontId="5" fillId="4" borderId="2" xfId="0" applyNumberFormat="1" applyFont="1" applyFill="1" applyBorder="1" applyAlignment="1">
      <alignment horizontal="center" vertical="center" wrapText="1"/>
    </xf>
    <xf numFmtId="0" fontId="5" fillId="4" borderId="1" xfId="0" applyFont="1" applyFill="1" applyBorder="1" applyAlignment="1">
      <alignment horizontal="left" vertical="center" wrapText="1"/>
    </xf>
    <xf numFmtId="2" fontId="5" fillId="4" borderId="1" xfId="0" applyNumberFormat="1" applyFont="1" applyFill="1" applyBorder="1" applyAlignment="1">
      <alignment horizontal="center" vertical="center" wrapText="1"/>
    </xf>
    <xf numFmtId="0" fontId="12" fillId="13" borderId="1" xfId="0" applyFont="1" applyFill="1" applyBorder="1" applyAlignment="1">
      <alignment horizontal="left" vertical="center" wrapText="1"/>
    </xf>
    <xf numFmtId="0" fontId="12" fillId="13" borderId="1" xfId="0" applyFont="1" applyFill="1" applyBorder="1" applyAlignment="1">
      <alignment horizontal="center" vertical="center" wrapText="1"/>
    </xf>
    <xf numFmtId="2" fontId="12" fillId="13" borderId="1"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2" fontId="5" fillId="4" borderId="3" xfId="0" applyNumberFormat="1" applyFont="1" applyFill="1" applyBorder="1" applyAlignment="1">
      <alignment horizontal="center" vertical="center" wrapText="1"/>
    </xf>
    <xf numFmtId="0" fontId="5" fillId="10" borderId="4" xfId="0" applyFont="1" applyFill="1" applyBorder="1" applyAlignment="1">
      <alignment horizontal="center" vertical="center" wrapText="1"/>
    </xf>
    <xf numFmtId="0" fontId="13" fillId="0" borderId="0" xfId="0" applyFont="1">
      <alignment vertical="center"/>
    </xf>
    <xf numFmtId="0" fontId="5" fillId="14"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2" fontId="5" fillId="14" borderId="1"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2" fontId="12" fillId="4" borderId="1" xfId="0" applyNumberFormat="1" applyFont="1" applyFill="1" applyBorder="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5" fillId="10" borderId="2" xfId="0" applyFont="1" applyFill="1" applyBorder="1" applyAlignment="1">
      <alignment horizontal="left"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2" fontId="12" fillId="0" borderId="1" xfId="0" applyNumberFormat="1" applyFont="1" applyBorder="1" applyAlignment="1">
      <alignment horizontal="center" vertical="center" wrapText="1"/>
    </xf>
    <xf numFmtId="0" fontId="12"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176" fontId="5" fillId="10" borderId="1" xfId="0" applyNumberFormat="1" applyFont="1" applyFill="1" applyBorder="1" applyAlignment="1">
      <alignment horizontal="center" vertical="center" wrapText="1"/>
    </xf>
    <xf numFmtId="0" fontId="5" fillId="13"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2" fontId="5" fillId="13" borderId="1" xfId="0" applyNumberFormat="1" applyFont="1" applyFill="1" applyBorder="1" applyAlignment="1">
      <alignment horizontal="center" vertical="center" wrapText="1"/>
    </xf>
    <xf numFmtId="0" fontId="16" fillId="13" borderId="1" xfId="0" applyFont="1" applyFill="1" applyBorder="1" applyAlignment="1">
      <alignment horizontal="center" vertical="center" wrapText="1"/>
    </xf>
    <xf numFmtId="0" fontId="5" fillId="13" borderId="1" xfId="0" quotePrefix="1" applyFont="1" applyFill="1" applyBorder="1" applyAlignment="1">
      <alignment horizontal="center" vertical="center" wrapText="1"/>
    </xf>
    <xf numFmtId="0" fontId="5" fillId="16" borderId="1" xfId="0" applyFont="1" applyFill="1" applyBorder="1" applyAlignment="1">
      <alignment horizontal="center" vertical="center" wrapText="1"/>
    </xf>
    <xf numFmtId="0" fontId="16" fillId="10" borderId="1" xfId="0" applyFont="1" applyFill="1" applyBorder="1" applyAlignment="1">
      <alignment horizontal="left" vertical="center" wrapText="1"/>
    </xf>
    <xf numFmtId="0" fontId="16" fillId="10" borderId="1" xfId="0" applyFont="1" applyFill="1" applyBorder="1" applyAlignment="1">
      <alignment horizontal="center" vertical="center" wrapText="1"/>
    </xf>
    <xf numFmtId="0" fontId="5" fillId="10" borderId="4" xfId="0" applyFont="1" applyFill="1" applyBorder="1" applyAlignment="1">
      <alignment vertical="center" wrapText="1"/>
    </xf>
    <xf numFmtId="0" fontId="5" fillId="0" borderId="4" xfId="0" applyFont="1" applyBorder="1" applyAlignment="1">
      <alignment horizontal="left" vertical="center" wrapText="1"/>
    </xf>
    <xf numFmtId="58" fontId="5" fillId="0" borderId="1" xfId="0" applyNumberFormat="1" applyFont="1" applyBorder="1" applyAlignment="1">
      <alignment horizontal="center" vertical="center" wrapText="1"/>
    </xf>
    <xf numFmtId="178" fontId="5" fillId="0" borderId="1" xfId="0" applyNumberFormat="1"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176" fontId="4" fillId="5" borderId="2" xfId="0" applyNumberFormat="1" applyFont="1" applyFill="1" applyBorder="1" applyAlignment="1">
      <alignment horizontal="center" vertical="center" wrapText="1"/>
    </xf>
    <xf numFmtId="176" fontId="4" fillId="5" borderId="3" xfId="0" applyNumberFormat="1" applyFont="1" applyFill="1" applyBorder="1" applyAlignment="1">
      <alignment horizontal="center" vertical="center" wrapText="1"/>
    </xf>
    <xf numFmtId="176" fontId="4" fillId="5" borderId="4"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176" fontId="4" fillId="7" borderId="2" xfId="0" applyNumberFormat="1" applyFont="1" applyFill="1" applyBorder="1" applyAlignment="1">
      <alignment horizontal="center" vertical="center" wrapText="1"/>
    </xf>
    <xf numFmtId="176" fontId="4" fillId="7" borderId="3" xfId="0" applyNumberFormat="1" applyFont="1" applyFill="1" applyBorder="1" applyAlignment="1">
      <alignment horizontal="center" vertical="center" wrapText="1"/>
    </xf>
    <xf numFmtId="176" fontId="4" fillId="7" borderId="4" xfId="0" applyNumberFormat="1" applyFont="1" applyFill="1" applyBorder="1" applyAlignment="1">
      <alignment horizontal="center" vertical="center" wrapText="1"/>
    </xf>
    <xf numFmtId="0" fontId="4" fillId="7" borderId="2"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4" xfId="0" applyFont="1" applyFill="1" applyBorder="1" applyAlignment="1">
      <alignment horizontal="left" vertical="center" wrapText="1"/>
    </xf>
    <xf numFmtId="2" fontId="5" fillId="0" borderId="2" xfId="0" applyNumberFormat="1" applyFont="1" applyBorder="1" applyAlignment="1">
      <alignment horizontal="center" vertical="center" wrapText="1"/>
    </xf>
    <xf numFmtId="2" fontId="5" fillId="0" borderId="4" xfId="0" applyNumberFormat="1" applyFont="1" applyBorder="1" applyAlignment="1">
      <alignment horizontal="center" vertical="center" wrapText="1"/>
    </xf>
    <xf numFmtId="1" fontId="5" fillId="0" borderId="2" xfId="0" applyNumberFormat="1" applyFont="1" applyBorder="1" applyAlignment="1">
      <alignment horizontal="center" vertical="center" wrapText="1"/>
    </xf>
    <xf numFmtId="1" fontId="5" fillId="0" borderId="4"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177" fontId="5" fillId="0" borderId="2" xfId="0" applyNumberFormat="1" applyFont="1" applyBorder="1" applyAlignment="1">
      <alignment horizontal="center" vertical="center" wrapText="1"/>
    </xf>
    <xf numFmtId="177" fontId="5" fillId="0" borderId="4" xfId="0" applyNumberFormat="1" applyFont="1" applyBorder="1" applyAlignment="1">
      <alignment horizontal="center" vertical="center" wrapText="1"/>
    </xf>
    <xf numFmtId="2" fontId="5" fillId="11" borderId="2" xfId="0" applyNumberFormat="1" applyFont="1" applyFill="1" applyBorder="1" applyAlignment="1">
      <alignment horizontal="center" vertical="center" wrapText="1"/>
    </xf>
    <xf numFmtId="2" fontId="5" fillId="11" borderId="3" xfId="0" applyNumberFormat="1" applyFont="1" applyFill="1" applyBorder="1" applyAlignment="1">
      <alignment horizontal="center" vertical="center" wrapText="1"/>
    </xf>
    <xf numFmtId="2" fontId="5" fillId="11" borderId="4" xfId="0" applyNumberFormat="1" applyFont="1" applyFill="1" applyBorder="1" applyAlignment="1">
      <alignment horizontal="center" vertical="center" wrapText="1"/>
    </xf>
    <xf numFmtId="1" fontId="5" fillId="11" borderId="2" xfId="0" applyNumberFormat="1" applyFont="1" applyFill="1" applyBorder="1" applyAlignment="1">
      <alignment horizontal="center" vertical="center" wrapText="1"/>
    </xf>
    <xf numFmtId="1" fontId="5" fillId="11" borderId="3" xfId="0" applyNumberFormat="1" applyFont="1" applyFill="1" applyBorder="1" applyAlignment="1">
      <alignment horizontal="center" vertical="center" wrapText="1"/>
    </xf>
    <xf numFmtId="1" fontId="5" fillId="11" borderId="4" xfId="0" applyNumberFormat="1" applyFont="1" applyFill="1" applyBorder="1" applyAlignment="1">
      <alignment horizontal="center" vertical="center" wrapText="1"/>
    </xf>
    <xf numFmtId="0" fontId="5" fillId="11" borderId="2" xfId="0" applyFont="1" applyFill="1" applyBorder="1" applyAlignment="1">
      <alignment horizontal="center" vertical="center" wrapText="1"/>
    </xf>
    <xf numFmtId="0" fontId="5" fillId="11" borderId="4" xfId="0" applyFont="1" applyFill="1" applyBorder="1" applyAlignment="1">
      <alignment horizontal="center" vertical="center" wrapText="1"/>
    </xf>
    <xf numFmtId="2" fontId="5" fillId="0" borderId="3" xfId="0" applyNumberFormat="1" applyFont="1" applyBorder="1" applyAlignment="1">
      <alignment horizontal="center" vertical="center" wrapText="1"/>
    </xf>
    <xf numFmtId="0" fontId="5" fillId="4" borderId="2" xfId="0" applyFont="1" applyFill="1" applyBorder="1" applyAlignment="1">
      <alignment horizontal="left" vertical="center" wrapText="1"/>
    </xf>
    <xf numFmtId="0" fontId="5" fillId="4" borderId="4" xfId="0" applyFont="1" applyFill="1" applyBorder="1" applyAlignment="1">
      <alignment horizontal="left" vertical="center" wrapText="1"/>
    </xf>
    <xf numFmtId="177" fontId="5" fillId="0" borderId="3" xfId="0" applyNumberFormat="1" applyFont="1" applyBorder="1" applyAlignment="1">
      <alignment horizontal="center" vertical="center" wrapText="1"/>
    </xf>
    <xf numFmtId="1" fontId="5" fillId="0" borderId="3" xfId="0" applyNumberFormat="1" applyFont="1" applyBorder="1" applyAlignment="1">
      <alignment horizontal="center" vertical="center" wrapText="1"/>
    </xf>
    <xf numFmtId="2" fontId="5" fillId="4" borderId="2" xfId="0" applyNumberFormat="1" applyFont="1" applyFill="1" applyBorder="1" applyAlignment="1">
      <alignment horizontal="center" vertical="center" wrapText="1"/>
    </xf>
    <xf numFmtId="2" fontId="5" fillId="4" borderId="4"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0" borderId="3" xfId="0" applyFont="1" applyBorder="1" applyAlignment="1">
      <alignment horizontal="center" vertical="center" wrapText="1"/>
    </xf>
    <xf numFmtId="2" fontId="5" fillId="10" borderId="2" xfId="0" applyNumberFormat="1" applyFont="1" applyFill="1" applyBorder="1" applyAlignment="1">
      <alignment horizontal="center" vertical="center" wrapText="1"/>
    </xf>
    <xf numFmtId="2" fontId="5" fillId="10" borderId="4" xfId="0" applyNumberFormat="1" applyFont="1" applyFill="1" applyBorder="1" applyAlignment="1">
      <alignment horizontal="center" vertical="center" wrapText="1"/>
    </xf>
    <xf numFmtId="2" fontId="5" fillId="10" borderId="3" xfId="0" applyNumberFormat="1"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5" fillId="10" borderId="3" xfId="0" applyFont="1" applyFill="1" applyBorder="1" applyAlignment="1">
      <alignment horizontal="center" vertical="center" wrapText="1"/>
    </xf>
    <xf numFmtId="2" fontId="5"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1" fontId="5" fillId="10" borderId="2" xfId="0" applyNumberFormat="1" applyFont="1" applyFill="1" applyBorder="1" applyAlignment="1">
      <alignment horizontal="center" vertical="center" wrapText="1"/>
    </xf>
    <xf numFmtId="1" fontId="5" fillId="10" borderId="4" xfId="0" applyNumberFormat="1" applyFont="1" applyFill="1" applyBorder="1" applyAlignment="1">
      <alignment horizontal="center" vertical="center" wrapText="1"/>
    </xf>
    <xf numFmtId="0" fontId="5" fillId="10" borderId="2" xfId="0" applyFont="1" applyFill="1" applyBorder="1" applyAlignment="1">
      <alignment horizontal="left" vertical="center" wrapText="1"/>
    </xf>
    <xf numFmtId="0" fontId="5" fillId="10" borderId="3" xfId="0" applyFont="1" applyFill="1" applyBorder="1" applyAlignment="1">
      <alignment horizontal="left" vertical="center" wrapText="1"/>
    </xf>
    <xf numFmtId="0" fontId="5" fillId="10" borderId="4" xfId="0" applyFont="1" applyFill="1" applyBorder="1" applyAlignment="1">
      <alignment horizontal="left" vertical="center" wrapText="1"/>
    </xf>
    <xf numFmtId="2" fontId="12" fillId="10" borderId="2" xfId="0" applyNumberFormat="1" applyFont="1" applyFill="1" applyBorder="1" applyAlignment="1">
      <alignment horizontal="center" vertical="center" wrapText="1"/>
    </xf>
    <xf numFmtId="2" fontId="12" fillId="10" borderId="3" xfId="0" applyNumberFormat="1" applyFont="1" applyFill="1" applyBorder="1" applyAlignment="1">
      <alignment horizontal="center" vertical="center" wrapText="1"/>
    </xf>
    <xf numFmtId="2" fontId="12" fillId="10" borderId="4" xfId="0" applyNumberFormat="1" applyFont="1" applyFill="1" applyBorder="1" applyAlignment="1">
      <alignment horizontal="center" vertical="center" wrapText="1"/>
    </xf>
    <xf numFmtId="0" fontId="12" fillId="10" borderId="2" xfId="0" applyFont="1" applyFill="1" applyBorder="1" applyAlignment="1">
      <alignment horizontal="center" vertical="center" wrapText="1"/>
    </xf>
    <xf numFmtId="0" fontId="12" fillId="10" borderId="3" xfId="0" applyFont="1" applyFill="1" applyBorder="1" applyAlignment="1">
      <alignment horizontal="center" vertical="center" wrapText="1"/>
    </xf>
    <xf numFmtId="0" fontId="12" fillId="10" borderId="4" xfId="0" applyFont="1" applyFill="1" applyBorder="1" applyAlignment="1">
      <alignment horizontal="center" vertical="center" wrapText="1"/>
    </xf>
    <xf numFmtId="2" fontId="12" fillId="4" borderId="2" xfId="0" applyNumberFormat="1" applyFont="1" applyFill="1" applyBorder="1" applyAlignment="1">
      <alignment horizontal="center" vertical="center" wrapText="1"/>
    </xf>
    <xf numFmtId="2" fontId="12" fillId="4" borderId="3" xfId="0" applyNumberFormat="1" applyFont="1" applyFill="1" applyBorder="1" applyAlignment="1">
      <alignment horizontal="center" vertical="center" wrapText="1"/>
    </xf>
    <xf numFmtId="2" fontId="12" fillId="4" borderId="4" xfId="0" applyNumberFormat="1" applyFont="1" applyFill="1" applyBorder="1" applyAlignment="1">
      <alignment horizontal="center" vertical="center" wrapText="1"/>
    </xf>
    <xf numFmtId="0" fontId="12" fillId="4" borderId="2" xfId="0" applyFont="1" applyFill="1" applyBorder="1" applyAlignment="1">
      <alignment horizontal="left" vertical="center" wrapText="1"/>
    </xf>
    <xf numFmtId="0" fontId="12" fillId="4" borderId="3" xfId="0" applyFont="1" applyFill="1" applyBorder="1" applyAlignment="1">
      <alignment horizontal="left" vertical="center" wrapText="1"/>
    </xf>
    <xf numFmtId="0" fontId="12" fillId="4" borderId="4" xfId="0" applyFont="1" applyFill="1" applyBorder="1" applyAlignment="1">
      <alignment horizontal="left" vertical="center" wrapText="1"/>
    </xf>
    <xf numFmtId="177" fontId="5" fillId="10" borderId="2" xfId="0" applyNumberFormat="1" applyFont="1" applyFill="1" applyBorder="1" applyAlignment="1">
      <alignment horizontal="center" vertical="center" wrapText="1"/>
    </xf>
    <xf numFmtId="177" fontId="5" fillId="10" borderId="4" xfId="0" applyNumberFormat="1" applyFont="1" applyFill="1" applyBorder="1" applyAlignment="1">
      <alignment horizontal="center" vertical="center" wrapText="1"/>
    </xf>
    <xf numFmtId="2" fontId="5" fillId="10" borderId="2" xfId="0" applyNumberFormat="1" applyFont="1" applyFill="1" applyBorder="1" applyAlignment="1">
      <alignment horizontal="left" vertical="center" wrapText="1"/>
    </xf>
    <xf numFmtId="2" fontId="5" fillId="10" borderId="3" xfId="0" applyNumberFormat="1" applyFont="1" applyFill="1" applyBorder="1" applyAlignment="1">
      <alignment horizontal="left" vertical="center" wrapText="1"/>
    </xf>
    <xf numFmtId="2" fontId="5" fillId="10" borderId="4" xfId="0" applyNumberFormat="1" applyFont="1" applyFill="1" applyBorder="1" applyAlignment="1">
      <alignment horizontal="left"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5" fillId="13" borderId="2"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21</xdr:col>
      <xdr:colOff>0</xdr:colOff>
      <xdr:row>428</xdr:row>
      <xdr:rowOff>0</xdr:rowOff>
    </xdr:from>
    <xdr:ext cx="2799396" cy="2551111"/>
    <xdr:pic>
      <xdr:nvPicPr>
        <xdr:cNvPr id="2" name="图片 1">
          <a:extLst>
            <a:ext uri="{FF2B5EF4-FFF2-40B4-BE49-F238E27FC236}">
              <a16:creationId xmlns:a16="http://schemas.microsoft.com/office/drawing/2014/main" id="{D4F5F7A6-150A-49A2-BFAB-DD0BACC3D3B7}"/>
            </a:ext>
          </a:extLst>
        </xdr:cNvPr>
        <xdr:cNvPicPr>
          <a:picLocks noChangeAspect="1"/>
        </xdr:cNvPicPr>
      </xdr:nvPicPr>
      <xdr:blipFill>
        <a:blip xmlns:r="http://schemas.openxmlformats.org/officeDocument/2006/relationships" r:embed="rId1"/>
        <a:stretch>
          <a:fillRect/>
        </a:stretch>
      </xdr:blipFill>
      <xdr:spPr>
        <a:xfrm>
          <a:off x="23469600" y="73380600"/>
          <a:ext cx="2799396" cy="2551111"/>
        </a:xfrm>
        <a:prstGeom prst="rect">
          <a:avLst/>
        </a:prstGeom>
        <a:noFill/>
        <a:ln w="9525">
          <a:noFill/>
        </a:ln>
      </xdr:spPr>
    </xdr:pic>
    <xdr:clientData/>
  </xdr:oneCellAnchor>
  <xdr:oneCellAnchor>
    <xdr:from>
      <xdr:col>21</xdr:col>
      <xdr:colOff>0</xdr:colOff>
      <xdr:row>428</xdr:row>
      <xdr:rowOff>0</xdr:rowOff>
    </xdr:from>
    <xdr:ext cx="2799396" cy="2551111"/>
    <xdr:pic>
      <xdr:nvPicPr>
        <xdr:cNvPr id="3" name="图片 2">
          <a:extLst>
            <a:ext uri="{FF2B5EF4-FFF2-40B4-BE49-F238E27FC236}">
              <a16:creationId xmlns:a16="http://schemas.microsoft.com/office/drawing/2014/main" id="{3B70F99A-E42A-44DC-9158-33F328B3E4D3}"/>
            </a:ext>
          </a:extLst>
        </xdr:cNvPr>
        <xdr:cNvPicPr>
          <a:picLocks noChangeAspect="1"/>
        </xdr:cNvPicPr>
      </xdr:nvPicPr>
      <xdr:blipFill>
        <a:blip xmlns:r="http://schemas.openxmlformats.org/officeDocument/2006/relationships" r:embed="rId1"/>
        <a:stretch>
          <a:fillRect/>
        </a:stretch>
      </xdr:blipFill>
      <xdr:spPr>
        <a:xfrm>
          <a:off x="23469600" y="73380600"/>
          <a:ext cx="2799396" cy="2551111"/>
        </a:xfrm>
        <a:prstGeom prst="rect">
          <a:avLst/>
        </a:prstGeom>
        <a:noFill/>
        <a:ln w="9525">
          <a:noFill/>
        </a:ln>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p.weixin.qq.com/s/0I2fBP2_9D0N0Sjawbdx-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AE1D0-2FFF-4612-A528-4ACD7EF6A69B}">
  <dimension ref="A1:P234"/>
  <sheetViews>
    <sheetView zoomScale="85" zoomScaleNormal="85" workbookViewId="0">
      <pane ySplit="1" topLeftCell="A2" activePane="bottomLeft" state="frozen"/>
      <selection pane="bottomLeft" activeCell="V7" sqref="V7"/>
    </sheetView>
  </sheetViews>
  <sheetFormatPr defaultColWidth="25.59765625" defaultRowHeight="50.1" customHeight="1" x14ac:dyDescent="0.3"/>
  <cols>
    <col min="1" max="1" width="5.59765625" style="2" customWidth="1"/>
    <col min="2" max="3" width="10.59765625" style="2" customWidth="1"/>
    <col min="4" max="4" width="45.3984375" style="2" customWidth="1"/>
    <col min="5" max="5" width="40.3984375" style="2" customWidth="1"/>
    <col min="6" max="8" width="10.59765625" style="2" customWidth="1"/>
    <col min="9" max="10" width="13" style="2" customWidth="1"/>
    <col min="11" max="11" width="35.59765625" style="2" customWidth="1"/>
    <col min="12" max="13" width="13" style="2" customWidth="1"/>
    <col min="14" max="14" width="50.3984375" style="37" customWidth="1"/>
    <col min="15" max="15" width="13" style="2" customWidth="1"/>
    <col min="16" max="16" width="30.59765625" style="2" customWidth="1"/>
    <col min="17" max="16384" width="25.59765625" style="2"/>
  </cols>
  <sheetData>
    <row r="1" spans="1:15" ht="50.1" customHeight="1" x14ac:dyDescent="0.3">
      <c r="A1" s="1" t="s">
        <v>0</v>
      </c>
      <c r="B1" s="1" t="s">
        <v>1</v>
      </c>
      <c r="C1" s="1" t="s">
        <v>2</v>
      </c>
      <c r="D1" s="1" t="s">
        <v>3</v>
      </c>
      <c r="E1" s="1" t="s">
        <v>4</v>
      </c>
      <c r="F1" s="100" t="s">
        <v>5</v>
      </c>
      <c r="G1" s="100"/>
      <c r="H1" s="1" t="s">
        <v>6</v>
      </c>
      <c r="I1" s="1" t="s">
        <v>7</v>
      </c>
      <c r="J1" s="1" t="s">
        <v>8</v>
      </c>
      <c r="K1" s="1" t="s">
        <v>9</v>
      </c>
      <c r="L1" s="1" t="s">
        <v>10</v>
      </c>
      <c r="M1" s="1" t="s">
        <v>11</v>
      </c>
      <c r="N1" s="1" t="s">
        <v>12</v>
      </c>
      <c r="O1" s="1"/>
    </row>
    <row r="2" spans="1:15" ht="50.1" customHeight="1" x14ac:dyDescent="0.3">
      <c r="A2" s="3">
        <f>ROW()-1</f>
        <v>1</v>
      </c>
      <c r="B2" s="4" t="s">
        <v>13</v>
      </c>
      <c r="C2" s="4"/>
      <c r="D2" s="4" t="s">
        <v>14</v>
      </c>
      <c r="E2" s="4" t="s">
        <v>15</v>
      </c>
      <c r="F2" s="4">
        <v>2021</v>
      </c>
      <c r="G2" s="4">
        <v>4</v>
      </c>
      <c r="H2" s="4" t="s">
        <v>16</v>
      </c>
      <c r="I2" s="4"/>
      <c r="J2" s="4" t="s">
        <v>17</v>
      </c>
      <c r="K2" s="4"/>
      <c r="L2" s="4"/>
      <c r="M2" s="5"/>
      <c r="N2" s="6" t="s">
        <v>18</v>
      </c>
      <c r="O2" s="5"/>
    </row>
    <row r="3" spans="1:15" ht="50.1" customHeight="1" x14ac:dyDescent="0.3">
      <c r="A3" s="3">
        <f>ROW()-1</f>
        <v>2</v>
      </c>
      <c r="B3" s="7" t="s">
        <v>13</v>
      </c>
      <c r="C3" s="7"/>
      <c r="D3" s="7" t="s">
        <v>21</v>
      </c>
      <c r="E3" s="7" t="s">
        <v>15</v>
      </c>
      <c r="F3" s="7">
        <v>2021</v>
      </c>
      <c r="G3" s="7">
        <v>5</v>
      </c>
      <c r="H3" s="7" t="s">
        <v>16</v>
      </c>
      <c r="I3" s="8">
        <v>10</v>
      </c>
      <c r="J3" s="7" t="s">
        <v>17</v>
      </c>
      <c r="K3" s="7" t="s">
        <v>22</v>
      </c>
      <c r="L3" s="8">
        <v>1750.29</v>
      </c>
      <c r="M3" s="8">
        <v>175.029</v>
      </c>
      <c r="N3" s="9"/>
      <c r="O3" s="8"/>
    </row>
    <row r="4" spans="1:15" ht="50.1" customHeight="1" x14ac:dyDescent="0.3">
      <c r="A4" s="3">
        <f t="shared" ref="A4:A67" si="0">ROW()-1</f>
        <v>3</v>
      </c>
      <c r="B4" s="4" t="s">
        <v>25</v>
      </c>
      <c r="C4" s="4" t="s">
        <v>26</v>
      </c>
      <c r="D4" s="4" t="s">
        <v>27</v>
      </c>
      <c r="E4" s="4" t="s">
        <v>28</v>
      </c>
      <c r="F4" s="4">
        <v>2021</v>
      </c>
      <c r="G4" s="4">
        <v>5</v>
      </c>
      <c r="H4" s="4" t="s">
        <v>16</v>
      </c>
      <c r="I4" s="4"/>
      <c r="J4" s="4" t="s">
        <v>29</v>
      </c>
      <c r="K4" s="4"/>
      <c r="L4" s="4"/>
      <c r="M4" s="5"/>
      <c r="N4" s="6" t="s">
        <v>30</v>
      </c>
      <c r="O4" s="5"/>
    </row>
    <row r="5" spans="1:15" ht="50.1" customHeight="1" x14ac:dyDescent="0.3">
      <c r="A5" s="3">
        <f t="shared" si="0"/>
        <v>4</v>
      </c>
      <c r="B5" s="7" t="s">
        <v>25</v>
      </c>
      <c r="C5" s="7" t="s">
        <v>26</v>
      </c>
      <c r="D5" s="7" t="s">
        <v>27</v>
      </c>
      <c r="E5" s="7" t="s">
        <v>28</v>
      </c>
      <c r="F5" s="7">
        <v>2021</v>
      </c>
      <c r="G5" s="7">
        <v>5</v>
      </c>
      <c r="H5" s="7" t="s">
        <v>16</v>
      </c>
      <c r="I5" s="8">
        <v>6</v>
      </c>
      <c r="J5" s="7" t="s">
        <v>29</v>
      </c>
      <c r="K5" s="7" t="s">
        <v>22</v>
      </c>
      <c r="L5" s="8">
        <v>1023.5</v>
      </c>
      <c r="M5" s="8">
        <v>170.583333333333</v>
      </c>
      <c r="N5" s="9" t="s">
        <v>32</v>
      </c>
      <c r="O5" s="8"/>
    </row>
    <row r="6" spans="1:15" ht="50.1" customHeight="1" x14ac:dyDescent="0.3">
      <c r="A6" s="3">
        <f t="shared" si="0"/>
        <v>5</v>
      </c>
      <c r="B6" s="7" t="s">
        <v>35</v>
      </c>
      <c r="C6" s="7" t="s">
        <v>36</v>
      </c>
      <c r="D6" s="7" t="s">
        <v>37</v>
      </c>
      <c r="E6" s="7" t="s">
        <v>38</v>
      </c>
      <c r="F6" s="7">
        <v>2021</v>
      </c>
      <c r="G6" s="7">
        <v>7</v>
      </c>
      <c r="H6" s="7" t="s">
        <v>39</v>
      </c>
      <c r="I6" s="8">
        <v>2.5</v>
      </c>
      <c r="J6" s="7" t="s">
        <v>40</v>
      </c>
      <c r="K6" s="7" t="s">
        <v>41</v>
      </c>
      <c r="L6" s="8">
        <v>2700</v>
      </c>
      <c r="M6" s="8">
        <v>1080</v>
      </c>
      <c r="N6" s="9"/>
      <c r="O6" s="8"/>
    </row>
    <row r="7" spans="1:15" ht="50.1" customHeight="1" x14ac:dyDescent="0.3">
      <c r="A7" s="3">
        <f t="shared" si="0"/>
        <v>6</v>
      </c>
      <c r="B7" s="7" t="s">
        <v>44</v>
      </c>
      <c r="C7" s="7" t="s">
        <v>45</v>
      </c>
      <c r="D7" s="7" t="s">
        <v>46</v>
      </c>
      <c r="E7" s="7" t="s">
        <v>47</v>
      </c>
      <c r="F7" s="7">
        <v>2021</v>
      </c>
      <c r="G7" s="7">
        <v>7</v>
      </c>
      <c r="H7" s="7" t="s">
        <v>16</v>
      </c>
      <c r="I7" s="8">
        <v>13</v>
      </c>
      <c r="J7" s="7" t="s">
        <v>48</v>
      </c>
      <c r="K7" s="7" t="s">
        <v>42</v>
      </c>
      <c r="L7" s="8">
        <v>1955</v>
      </c>
      <c r="M7" s="8">
        <v>150.38461538461499</v>
      </c>
      <c r="N7" s="9"/>
      <c r="O7" s="8"/>
    </row>
    <row r="8" spans="1:15" ht="50.1" customHeight="1" x14ac:dyDescent="0.3">
      <c r="A8" s="3">
        <f t="shared" si="0"/>
        <v>7</v>
      </c>
      <c r="B8" s="99" t="s">
        <v>50</v>
      </c>
      <c r="C8" s="99" t="s">
        <v>51</v>
      </c>
      <c r="D8" s="99" t="s">
        <v>52</v>
      </c>
      <c r="E8" s="99" t="s">
        <v>53</v>
      </c>
      <c r="F8" s="99">
        <v>2022</v>
      </c>
      <c r="G8" s="99">
        <v>4</v>
      </c>
      <c r="H8" s="99" t="s">
        <v>16</v>
      </c>
      <c r="I8" s="99">
        <v>260</v>
      </c>
      <c r="J8" s="99" t="s">
        <v>54</v>
      </c>
      <c r="K8" s="7" t="s">
        <v>42</v>
      </c>
      <c r="L8" s="8">
        <v>35996</v>
      </c>
      <c r="M8" s="8">
        <v>138.446153846154</v>
      </c>
      <c r="N8" s="9" t="s">
        <v>55</v>
      </c>
      <c r="O8" s="8"/>
    </row>
    <row r="9" spans="1:15" ht="50.1" customHeight="1" x14ac:dyDescent="0.3">
      <c r="A9" s="3">
        <f t="shared" si="0"/>
        <v>8</v>
      </c>
      <c r="B9" s="99"/>
      <c r="C9" s="99"/>
      <c r="D9" s="99"/>
      <c r="E9" s="99"/>
      <c r="F9" s="99"/>
      <c r="G9" s="99"/>
      <c r="H9" s="99"/>
      <c r="I9" s="99"/>
      <c r="J9" s="99"/>
      <c r="K9" s="7" t="s">
        <v>24</v>
      </c>
      <c r="L9" s="8">
        <v>35988</v>
      </c>
      <c r="M9" s="8">
        <v>138.41538461538499</v>
      </c>
      <c r="N9" s="9" t="s">
        <v>57</v>
      </c>
      <c r="O9" s="8"/>
    </row>
    <row r="10" spans="1:15" ht="50.1" customHeight="1" x14ac:dyDescent="0.3">
      <c r="A10" s="3">
        <f t="shared" si="0"/>
        <v>9</v>
      </c>
      <c r="B10" s="99"/>
      <c r="C10" s="99"/>
      <c r="D10" s="99"/>
      <c r="E10" s="99"/>
      <c r="F10" s="99"/>
      <c r="G10" s="99"/>
      <c r="H10" s="99"/>
      <c r="I10" s="99"/>
      <c r="J10" s="99"/>
      <c r="K10" s="7" t="s">
        <v>22</v>
      </c>
      <c r="L10" s="8">
        <v>35087.599999999999</v>
      </c>
      <c r="M10" s="8">
        <v>134.95230769230801</v>
      </c>
      <c r="N10" s="9" t="s">
        <v>60</v>
      </c>
      <c r="O10" s="8"/>
    </row>
    <row r="11" spans="1:15" ht="50.1" customHeight="1" x14ac:dyDescent="0.3">
      <c r="A11" s="3">
        <f t="shared" si="0"/>
        <v>10</v>
      </c>
      <c r="B11" s="7" t="s">
        <v>25</v>
      </c>
      <c r="C11" s="7" t="s">
        <v>61</v>
      </c>
      <c r="D11" s="7" t="s">
        <v>62</v>
      </c>
      <c r="E11" s="7" t="s">
        <v>63</v>
      </c>
      <c r="F11" s="7">
        <v>2022</v>
      </c>
      <c r="G11" s="7">
        <v>5</v>
      </c>
      <c r="H11" s="7" t="s">
        <v>16</v>
      </c>
      <c r="I11" s="7">
        <v>1.25</v>
      </c>
      <c r="J11" s="7" t="s">
        <v>64</v>
      </c>
      <c r="K11" s="7" t="s">
        <v>65</v>
      </c>
      <c r="L11" s="8">
        <v>509.48599999999999</v>
      </c>
      <c r="M11" s="8">
        <v>407.58879999999999</v>
      </c>
      <c r="N11" s="9"/>
      <c r="O11" s="8"/>
    </row>
    <row r="12" spans="1:15" ht="50.1" customHeight="1" x14ac:dyDescent="0.3">
      <c r="A12" s="3">
        <f t="shared" si="0"/>
        <v>11</v>
      </c>
      <c r="B12" s="10" t="s">
        <v>25</v>
      </c>
      <c r="C12" s="10" t="s">
        <v>26</v>
      </c>
      <c r="D12" s="10" t="s">
        <v>67</v>
      </c>
      <c r="E12" s="10" t="s">
        <v>68</v>
      </c>
      <c r="F12" s="10">
        <v>2022</v>
      </c>
      <c r="G12" s="10">
        <v>7</v>
      </c>
      <c r="H12" s="10" t="s">
        <v>16</v>
      </c>
      <c r="I12" s="11"/>
      <c r="J12" s="10" t="s">
        <v>69</v>
      </c>
      <c r="K12" s="10" t="s">
        <v>23</v>
      </c>
      <c r="L12" s="10"/>
      <c r="M12" s="11"/>
      <c r="N12" s="12" t="s">
        <v>70</v>
      </c>
      <c r="O12" s="11"/>
    </row>
    <row r="13" spans="1:15" ht="50.1" customHeight="1" x14ac:dyDescent="0.3">
      <c r="A13" s="3">
        <f t="shared" si="0"/>
        <v>12</v>
      </c>
      <c r="B13" s="10" t="s">
        <v>50</v>
      </c>
      <c r="C13" s="10" t="s">
        <v>71</v>
      </c>
      <c r="D13" s="10" t="s">
        <v>72</v>
      </c>
      <c r="E13" s="10" t="s">
        <v>73</v>
      </c>
      <c r="F13" s="10">
        <v>2022</v>
      </c>
      <c r="G13" s="10">
        <v>11</v>
      </c>
      <c r="H13" s="10" t="s">
        <v>16</v>
      </c>
      <c r="I13" s="11"/>
      <c r="J13" s="10" t="s">
        <v>74</v>
      </c>
      <c r="K13" s="10" t="s">
        <v>75</v>
      </c>
      <c r="L13" s="10"/>
      <c r="M13" s="11"/>
      <c r="N13" s="12" t="s">
        <v>76</v>
      </c>
      <c r="O13" s="11"/>
    </row>
    <row r="14" spans="1:15" ht="50.1" customHeight="1" x14ac:dyDescent="0.3">
      <c r="A14" s="3">
        <f t="shared" si="0"/>
        <v>13</v>
      </c>
      <c r="B14" s="7" t="s">
        <v>78</v>
      </c>
      <c r="C14" s="7" t="s">
        <v>79</v>
      </c>
      <c r="D14" s="7" t="s">
        <v>80</v>
      </c>
      <c r="E14" s="7" t="s">
        <v>81</v>
      </c>
      <c r="F14" s="7">
        <v>2022</v>
      </c>
      <c r="G14" s="7">
        <v>11</v>
      </c>
      <c r="H14" s="7" t="s">
        <v>39</v>
      </c>
      <c r="I14" s="8">
        <v>0.5</v>
      </c>
      <c r="J14" s="7" t="s">
        <v>82</v>
      </c>
      <c r="K14" s="7" t="s">
        <v>83</v>
      </c>
      <c r="L14" s="8">
        <v>687</v>
      </c>
      <c r="M14" s="8">
        <v>1374</v>
      </c>
      <c r="N14" s="9"/>
      <c r="O14" s="8"/>
    </row>
    <row r="15" spans="1:15" ht="50.1" customHeight="1" x14ac:dyDescent="0.3">
      <c r="A15" s="3">
        <f t="shared" si="0"/>
        <v>14</v>
      </c>
      <c r="B15" s="7" t="s">
        <v>84</v>
      </c>
      <c r="C15" s="7" t="s">
        <v>85</v>
      </c>
      <c r="D15" s="7" t="s">
        <v>86</v>
      </c>
      <c r="E15" s="7" t="s">
        <v>47</v>
      </c>
      <c r="F15" s="7">
        <v>2023</v>
      </c>
      <c r="G15" s="7">
        <v>1</v>
      </c>
      <c r="H15" s="7" t="s">
        <v>16</v>
      </c>
      <c r="I15" s="8">
        <v>6.5</v>
      </c>
      <c r="J15" s="7" t="s">
        <v>87</v>
      </c>
      <c r="K15" s="7" t="s">
        <v>88</v>
      </c>
      <c r="L15" s="8">
        <v>486.66552000000001</v>
      </c>
      <c r="M15" s="8">
        <v>74.871618461538503</v>
      </c>
      <c r="N15" s="9"/>
      <c r="O15" s="8"/>
    </row>
    <row r="16" spans="1:15" ht="50.1" customHeight="1" x14ac:dyDescent="0.3">
      <c r="A16" s="3">
        <f t="shared" si="0"/>
        <v>15</v>
      </c>
      <c r="B16" s="10" t="s">
        <v>25</v>
      </c>
      <c r="C16" s="10" t="s">
        <v>90</v>
      </c>
      <c r="D16" s="10" t="s">
        <v>91</v>
      </c>
      <c r="E16" s="10" t="s">
        <v>92</v>
      </c>
      <c r="F16" s="10">
        <v>2023</v>
      </c>
      <c r="G16" s="10">
        <v>1</v>
      </c>
      <c r="H16" s="10" t="s">
        <v>16</v>
      </c>
      <c r="I16" s="11"/>
      <c r="J16" s="10" t="s">
        <v>29</v>
      </c>
      <c r="K16" s="10" t="s">
        <v>93</v>
      </c>
      <c r="L16" s="10"/>
      <c r="M16" s="11"/>
      <c r="N16" s="12" t="s">
        <v>94</v>
      </c>
      <c r="O16" s="11"/>
    </row>
    <row r="17" spans="1:15" ht="50.1" customHeight="1" x14ac:dyDescent="0.3">
      <c r="A17" s="3">
        <f t="shared" si="0"/>
        <v>16</v>
      </c>
      <c r="B17" s="10" t="s">
        <v>96</v>
      </c>
      <c r="C17" s="10" t="s">
        <v>97</v>
      </c>
      <c r="D17" s="10" t="s">
        <v>98</v>
      </c>
      <c r="E17" s="10" t="s">
        <v>99</v>
      </c>
      <c r="F17" s="10">
        <v>2023</v>
      </c>
      <c r="G17" s="10">
        <v>1</v>
      </c>
      <c r="H17" s="10" t="s">
        <v>16</v>
      </c>
      <c r="I17" s="11"/>
      <c r="J17" s="10" t="s">
        <v>100</v>
      </c>
      <c r="K17" s="10" t="s">
        <v>101</v>
      </c>
      <c r="L17" s="10"/>
      <c r="M17" s="11"/>
      <c r="N17" s="12" t="s">
        <v>94</v>
      </c>
      <c r="O17" s="11"/>
    </row>
    <row r="18" spans="1:15" ht="50.1" customHeight="1" x14ac:dyDescent="0.3">
      <c r="A18" s="3">
        <f t="shared" si="0"/>
        <v>17</v>
      </c>
      <c r="B18" s="7" t="s">
        <v>35</v>
      </c>
      <c r="C18" s="7" t="s">
        <v>102</v>
      </c>
      <c r="D18" s="7" t="s">
        <v>103</v>
      </c>
      <c r="E18" s="7" t="s">
        <v>104</v>
      </c>
      <c r="F18" s="7">
        <v>2023</v>
      </c>
      <c r="G18" s="7">
        <v>2</v>
      </c>
      <c r="H18" s="7" t="s">
        <v>16</v>
      </c>
      <c r="I18" s="8">
        <v>45</v>
      </c>
      <c r="J18" s="7" t="s">
        <v>105</v>
      </c>
      <c r="K18" s="7" t="s">
        <v>106</v>
      </c>
      <c r="L18" s="7">
        <v>8978.39</v>
      </c>
      <c r="M18" s="8">
        <v>199.51977777777799</v>
      </c>
      <c r="N18" s="9"/>
      <c r="O18" s="8"/>
    </row>
    <row r="19" spans="1:15" ht="50.1" customHeight="1" x14ac:dyDescent="0.3">
      <c r="A19" s="3">
        <f t="shared" si="0"/>
        <v>18</v>
      </c>
      <c r="B19" s="99" t="s">
        <v>107</v>
      </c>
      <c r="C19" s="99" t="s">
        <v>108</v>
      </c>
      <c r="D19" s="7" t="s">
        <v>109</v>
      </c>
      <c r="E19" s="99" t="s">
        <v>110</v>
      </c>
      <c r="F19" s="99">
        <v>2023</v>
      </c>
      <c r="G19" s="99">
        <v>2</v>
      </c>
      <c r="H19" s="7" t="s">
        <v>16</v>
      </c>
      <c r="I19" s="8">
        <v>75</v>
      </c>
      <c r="J19" s="7" t="s">
        <v>111</v>
      </c>
      <c r="K19" s="7" t="s">
        <v>24</v>
      </c>
      <c r="L19" s="8">
        <v>10470</v>
      </c>
      <c r="M19" s="8">
        <v>139.6</v>
      </c>
      <c r="N19" s="9"/>
      <c r="O19" s="8"/>
    </row>
    <row r="20" spans="1:15" ht="50.1" customHeight="1" x14ac:dyDescent="0.3">
      <c r="A20" s="3">
        <f t="shared" si="0"/>
        <v>19</v>
      </c>
      <c r="B20" s="99"/>
      <c r="C20" s="99"/>
      <c r="D20" s="7" t="s">
        <v>113</v>
      </c>
      <c r="E20" s="99"/>
      <c r="F20" s="99"/>
      <c r="G20" s="99"/>
      <c r="H20" s="7" t="s">
        <v>16</v>
      </c>
      <c r="I20" s="8">
        <v>60</v>
      </c>
      <c r="J20" s="7" t="s">
        <v>114</v>
      </c>
      <c r="K20" s="7" t="s">
        <v>106</v>
      </c>
      <c r="L20" s="7">
        <v>8986.2900000000009</v>
      </c>
      <c r="M20" s="8">
        <v>149.7715</v>
      </c>
      <c r="N20" s="9"/>
      <c r="O20" s="8"/>
    </row>
    <row r="21" spans="1:15" ht="50.1" customHeight="1" x14ac:dyDescent="0.3">
      <c r="A21" s="3">
        <f t="shared" si="0"/>
        <v>20</v>
      </c>
      <c r="B21" s="99"/>
      <c r="C21" s="99"/>
      <c r="D21" s="7" t="s">
        <v>117</v>
      </c>
      <c r="E21" s="99"/>
      <c r="F21" s="99"/>
      <c r="G21" s="99"/>
      <c r="H21" s="7" t="s">
        <v>16</v>
      </c>
      <c r="I21" s="8">
        <v>40</v>
      </c>
      <c r="J21" s="7" t="s">
        <v>118</v>
      </c>
      <c r="K21" s="7" t="s">
        <v>49</v>
      </c>
      <c r="L21" s="8">
        <v>5759.4214000000002</v>
      </c>
      <c r="M21" s="8">
        <v>143.985535</v>
      </c>
      <c r="N21" s="9"/>
      <c r="O21" s="8"/>
    </row>
    <row r="22" spans="1:15" ht="50.1" customHeight="1" x14ac:dyDescent="0.3">
      <c r="A22" s="3">
        <f t="shared" si="0"/>
        <v>21</v>
      </c>
      <c r="B22" s="99"/>
      <c r="C22" s="99"/>
      <c r="D22" s="7" t="s">
        <v>119</v>
      </c>
      <c r="E22" s="99"/>
      <c r="F22" s="99"/>
      <c r="G22" s="99"/>
      <c r="H22" s="7" t="s">
        <v>16</v>
      </c>
      <c r="I22" s="8">
        <v>20</v>
      </c>
      <c r="J22" s="7" t="s">
        <v>120</v>
      </c>
      <c r="K22" s="7" t="s">
        <v>23</v>
      </c>
      <c r="L22" s="8">
        <v>3080.6</v>
      </c>
      <c r="M22" s="8">
        <v>154.03</v>
      </c>
      <c r="N22" s="9"/>
      <c r="O22" s="8"/>
    </row>
    <row r="23" spans="1:15" ht="50.1" customHeight="1" x14ac:dyDescent="0.3">
      <c r="A23" s="3">
        <f t="shared" si="0"/>
        <v>22</v>
      </c>
      <c r="B23" s="10" t="s">
        <v>122</v>
      </c>
      <c r="C23" s="10" t="s">
        <v>123</v>
      </c>
      <c r="D23" s="10" t="s">
        <v>124</v>
      </c>
      <c r="E23" s="10" t="s">
        <v>125</v>
      </c>
      <c r="F23" s="10">
        <v>2023</v>
      </c>
      <c r="G23" s="10">
        <v>2</v>
      </c>
      <c r="H23" s="10" t="s">
        <v>39</v>
      </c>
      <c r="I23" s="11"/>
      <c r="J23" s="10" t="s">
        <v>126</v>
      </c>
      <c r="K23" s="10" t="s">
        <v>127</v>
      </c>
      <c r="L23" s="11">
        <v>125.8</v>
      </c>
      <c r="M23" s="10"/>
      <c r="N23" s="12" t="s">
        <v>128</v>
      </c>
      <c r="O23" s="11"/>
    </row>
    <row r="24" spans="1:15" ht="50.1" customHeight="1" x14ac:dyDescent="0.3">
      <c r="A24" s="3">
        <f t="shared" si="0"/>
        <v>23</v>
      </c>
      <c r="B24" s="7" t="s">
        <v>107</v>
      </c>
      <c r="C24" s="7" t="s">
        <v>108</v>
      </c>
      <c r="D24" s="7" t="s">
        <v>129</v>
      </c>
      <c r="E24" s="7" t="s">
        <v>130</v>
      </c>
      <c r="F24" s="7">
        <v>2023</v>
      </c>
      <c r="G24" s="7">
        <v>3</v>
      </c>
      <c r="H24" s="7" t="s">
        <v>39</v>
      </c>
      <c r="I24" s="8">
        <v>50</v>
      </c>
      <c r="J24" s="7" t="s">
        <v>131</v>
      </c>
      <c r="K24" s="7" t="s">
        <v>89</v>
      </c>
      <c r="L24" s="8">
        <v>29000</v>
      </c>
      <c r="M24" s="8">
        <v>580</v>
      </c>
      <c r="N24" s="9" t="s">
        <v>132</v>
      </c>
      <c r="O24" s="8"/>
    </row>
    <row r="25" spans="1:15" ht="50.1" customHeight="1" x14ac:dyDescent="0.3">
      <c r="A25" s="3">
        <f t="shared" si="0"/>
        <v>24</v>
      </c>
      <c r="B25" s="99" t="s">
        <v>133</v>
      </c>
      <c r="C25" s="99" t="s">
        <v>134</v>
      </c>
      <c r="D25" s="7" t="s">
        <v>135</v>
      </c>
      <c r="E25" s="99" t="s">
        <v>136</v>
      </c>
      <c r="F25" s="99">
        <v>2023</v>
      </c>
      <c r="G25" s="99">
        <v>3</v>
      </c>
      <c r="H25" s="7" t="s">
        <v>16</v>
      </c>
      <c r="I25" s="8">
        <v>25</v>
      </c>
      <c r="J25" s="7" t="s">
        <v>137</v>
      </c>
      <c r="K25" s="7" t="s">
        <v>43</v>
      </c>
      <c r="L25" s="8">
        <v>3417</v>
      </c>
      <c r="M25" s="8">
        <v>136.68</v>
      </c>
      <c r="N25" s="9"/>
      <c r="O25" s="8"/>
    </row>
    <row r="26" spans="1:15" ht="50.1" customHeight="1" x14ac:dyDescent="0.3">
      <c r="A26" s="3">
        <f t="shared" si="0"/>
        <v>25</v>
      </c>
      <c r="B26" s="99"/>
      <c r="C26" s="99"/>
      <c r="D26" s="7" t="s">
        <v>138</v>
      </c>
      <c r="E26" s="99"/>
      <c r="F26" s="99"/>
      <c r="G26" s="99"/>
      <c r="H26" s="7" t="s">
        <v>16</v>
      </c>
      <c r="I26" s="8">
        <v>75</v>
      </c>
      <c r="J26" s="7" t="s">
        <v>111</v>
      </c>
      <c r="K26" s="7" t="s">
        <v>23</v>
      </c>
      <c r="L26" s="8">
        <v>10888</v>
      </c>
      <c r="M26" s="8">
        <v>145.17333333333301</v>
      </c>
      <c r="N26" s="9"/>
      <c r="O26" s="8"/>
    </row>
    <row r="27" spans="1:15" ht="50.1" customHeight="1" x14ac:dyDescent="0.3">
      <c r="A27" s="3">
        <f t="shared" si="0"/>
        <v>26</v>
      </c>
      <c r="B27" s="99" t="s">
        <v>139</v>
      </c>
      <c r="C27" s="99" t="s">
        <v>140</v>
      </c>
      <c r="D27" s="99" t="s">
        <v>141</v>
      </c>
      <c r="E27" s="99" t="s">
        <v>142</v>
      </c>
      <c r="F27" s="99">
        <v>2023</v>
      </c>
      <c r="G27" s="99">
        <v>4</v>
      </c>
      <c r="H27" s="7" t="s">
        <v>16</v>
      </c>
      <c r="I27" s="8">
        <v>30</v>
      </c>
      <c r="J27" s="7" t="s">
        <v>143</v>
      </c>
      <c r="K27" s="7" t="s">
        <v>106</v>
      </c>
      <c r="L27" s="8">
        <v>3320</v>
      </c>
      <c r="M27" s="8">
        <v>110.666666666667</v>
      </c>
      <c r="N27" s="9" t="s">
        <v>144</v>
      </c>
      <c r="O27" s="8"/>
    </row>
    <row r="28" spans="1:15" ht="50.1" customHeight="1" x14ac:dyDescent="0.3">
      <c r="A28" s="3">
        <f t="shared" si="0"/>
        <v>27</v>
      </c>
      <c r="B28" s="99"/>
      <c r="C28" s="99"/>
      <c r="D28" s="99"/>
      <c r="E28" s="99"/>
      <c r="F28" s="99"/>
      <c r="G28" s="99"/>
      <c r="H28" s="7" t="s">
        <v>16</v>
      </c>
      <c r="I28" s="8">
        <v>30</v>
      </c>
      <c r="J28" s="7" t="s">
        <v>143</v>
      </c>
      <c r="K28" s="7" t="s">
        <v>24</v>
      </c>
      <c r="L28" s="8">
        <v>3600</v>
      </c>
      <c r="M28" s="8">
        <v>120</v>
      </c>
      <c r="N28" s="9" t="s">
        <v>144</v>
      </c>
      <c r="O28" s="8"/>
    </row>
    <row r="29" spans="1:15" ht="50.1" customHeight="1" x14ac:dyDescent="0.3">
      <c r="A29" s="3">
        <f t="shared" si="0"/>
        <v>28</v>
      </c>
      <c r="B29" s="7" t="s">
        <v>35</v>
      </c>
      <c r="C29" s="7" t="s">
        <v>102</v>
      </c>
      <c r="D29" s="7" t="s">
        <v>145</v>
      </c>
      <c r="E29" s="7" t="s">
        <v>146</v>
      </c>
      <c r="F29" s="7">
        <v>2023</v>
      </c>
      <c r="G29" s="7">
        <v>6</v>
      </c>
      <c r="H29" s="7" t="s">
        <v>16</v>
      </c>
      <c r="I29" s="8">
        <v>35</v>
      </c>
      <c r="J29" s="7" t="s">
        <v>147</v>
      </c>
      <c r="K29" s="7" t="s">
        <v>23</v>
      </c>
      <c r="L29" s="8">
        <v>4898</v>
      </c>
      <c r="M29" s="8">
        <v>139.94285714285701</v>
      </c>
      <c r="N29" s="9"/>
      <c r="O29" s="8"/>
    </row>
    <row r="30" spans="1:15" ht="50.1" customHeight="1" x14ac:dyDescent="0.3">
      <c r="A30" s="3">
        <f t="shared" si="0"/>
        <v>29</v>
      </c>
      <c r="B30" s="4" t="s">
        <v>122</v>
      </c>
      <c r="C30" s="4" t="s">
        <v>123</v>
      </c>
      <c r="D30" s="4" t="s">
        <v>148</v>
      </c>
      <c r="E30" s="4" t="s">
        <v>125</v>
      </c>
      <c r="F30" s="4">
        <v>2023</v>
      </c>
      <c r="G30" s="4">
        <v>6</v>
      </c>
      <c r="H30" s="4" t="s">
        <v>39</v>
      </c>
      <c r="I30" s="4"/>
      <c r="J30" s="4" t="s">
        <v>126</v>
      </c>
      <c r="K30" s="4"/>
      <c r="L30" s="4"/>
      <c r="M30" s="5"/>
      <c r="N30" s="6" t="s">
        <v>149</v>
      </c>
      <c r="O30" s="5"/>
    </row>
    <row r="31" spans="1:15" ht="50.1" customHeight="1" x14ac:dyDescent="0.3">
      <c r="A31" s="3">
        <f t="shared" si="0"/>
        <v>30</v>
      </c>
      <c r="B31" s="7" t="s">
        <v>122</v>
      </c>
      <c r="C31" s="7" t="s">
        <v>123</v>
      </c>
      <c r="D31" s="7" t="s">
        <v>150</v>
      </c>
      <c r="E31" s="7" t="s">
        <v>125</v>
      </c>
      <c r="F31" s="7">
        <v>2023</v>
      </c>
      <c r="G31" s="7">
        <v>6</v>
      </c>
      <c r="H31" s="7" t="s">
        <v>39</v>
      </c>
      <c r="I31" s="8">
        <v>2.5000000000000001E-2</v>
      </c>
      <c r="J31" s="7" t="s">
        <v>126</v>
      </c>
      <c r="K31" s="7" t="s">
        <v>83</v>
      </c>
      <c r="L31" s="8">
        <v>96</v>
      </c>
      <c r="M31" s="8">
        <v>3840</v>
      </c>
      <c r="N31" s="9"/>
      <c r="O31" s="8"/>
    </row>
    <row r="32" spans="1:15" ht="50.1" customHeight="1" x14ac:dyDescent="0.3">
      <c r="A32" s="3">
        <f t="shared" si="0"/>
        <v>31</v>
      </c>
      <c r="B32" s="101" t="s">
        <v>25</v>
      </c>
      <c r="C32" s="101" t="s">
        <v>61</v>
      </c>
      <c r="D32" s="101" t="s">
        <v>151</v>
      </c>
      <c r="E32" s="101" t="s">
        <v>152</v>
      </c>
      <c r="F32" s="101">
        <v>2023</v>
      </c>
      <c r="G32" s="101">
        <v>6</v>
      </c>
      <c r="H32" s="10" t="s">
        <v>16</v>
      </c>
      <c r="I32" s="11"/>
      <c r="J32" s="10" t="s">
        <v>153</v>
      </c>
      <c r="K32" s="10" t="s">
        <v>154</v>
      </c>
      <c r="L32" s="11"/>
      <c r="M32" s="11"/>
      <c r="N32" s="12" t="s">
        <v>155</v>
      </c>
      <c r="O32" s="10"/>
    </row>
    <row r="33" spans="1:15" ht="50.1" customHeight="1" x14ac:dyDescent="0.3">
      <c r="A33" s="3">
        <f t="shared" si="0"/>
        <v>32</v>
      </c>
      <c r="B33" s="101"/>
      <c r="C33" s="101"/>
      <c r="D33" s="101"/>
      <c r="E33" s="101"/>
      <c r="F33" s="101"/>
      <c r="G33" s="101"/>
      <c r="H33" s="10" t="s">
        <v>16</v>
      </c>
      <c r="I33" s="11"/>
      <c r="J33" s="10" t="s">
        <v>153</v>
      </c>
      <c r="K33" s="10" t="s">
        <v>24</v>
      </c>
      <c r="L33" s="11"/>
      <c r="M33" s="11"/>
      <c r="N33" s="12" t="s">
        <v>155</v>
      </c>
      <c r="O33" s="10"/>
    </row>
    <row r="34" spans="1:15" ht="50.1" customHeight="1" x14ac:dyDescent="0.3">
      <c r="A34" s="3">
        <f t="shared" si="0"/>
        <v>33</v>
      </c>
      <c r="B34" s="7" t="s">
        <v>156</v>
      </c>
      <c r="C34" s="7" t="s">
        <v>157</v>
      </c>
      <c r="D34" s="7" t="s">
        <v>158</v>
      </c>
      <c r="E34" s="7" t="s">
        <v>159</v>
      </c>
      <c r="F34" s="7">
        <v>2023</v>
      </c>
      <c r="G34" s="7">
        <v>7</v>
      </c>
      <c r="H34" s="7" t="s">
        <v>16</v>
      </c>
      <c r="I34" s="8">
        <v>0.4</v>
      </c>
      <c r="J34" s="7" t="s">
        <v>160</v>
      </c>
      <c r="K34" s="7" t="s">
        <v>161</v>
      </c>
      <c r="L34" s="8">
        <v>79.5</v>
      </c>
      <c r="M34" s="8">
        <v>198.75</v>
      </c>
      <c r="N34" s="9"/>
      <c r="O34" s="8"/>
    </row>
    <row r="35" spans="1:15" ht="50.1" customHeight="1" x14ac:dyDescent="0.3">
      <c r="A35" s="3">
        <f t="shared" si="0"/>
        <v>34</v>
      </c>
      <c r="B35" s="7" t="s">
        <v>78</v>
      </c>
      <c r="C35" s="7" t="s">
        <v>79</v>
      </c>
      <c r="D35" s="7" t="s">
        <v>162</v>
      </c>
      <c r="E35" s="7" t="s">
        <v>163</v>
      </c>
      <c r="F35" s="7">
        <v>2023</v>
      </c>
      <c r="G35" s="7">
        <v>8</v>
      </c>
      <c r="H35" s="7" t="s">
        <v>16</v>
      </c>
      <c r="I35" s="8">
        <v>6</v>
      </c>
      <c r="J35" s="7" t="s">
        <v>164</v>
      </c>
      <c r="K35" s="7" t="s">
        <v>19</v>
      </c>
      <c r="L35" s="8">
        <v>1599.1</v>
      </c>
      <c r="M35" s="8">
        <v>266.51666666666699</v>
      </c>
      <c r="N35" s="9"/>
      <c r="O35" s="8"/>
    </row>
    <row r="36" spans="1:15" ht="50.1" customHeight="1" x14ac:dyDescent="0.3">
      <c r="A36" s="3">
        <f t="shared" si="0"/>
        <v>35</v>
      </c>
      <c r="B36" s="7" t="s">
        <v>84</v>
      </c>
      <c r="C36" s="7" t="s">
        <v>165</v>
      </c>
      <c r="D36" s="7" t="s">
        <v>166</v>
      </c>
      <c r="E36" s="7" t="s">
        <v>167</v>
      </c>
      <c r="F36" s="7">
        <v>2023</v>
      </c>
      <c r="G36" s="7">
        <v>8</v>
      </c>
      <c r="H36" s="7" t="s">
        <v>16</v>
      </c>
      <c r="I36" s="8">
        <v>5</v>
      </c>
      <c r="J36" s="7" t="s">
        <v>168</v>
      </c>
      <c r="K36" s="7" t="s">
        <v>88</v>
      </c>
      <c r="L36" s="8">
        <v>2300</v>
      </c>
      <c r="M36" s="8">
        <v>460</v>
      </c>
      <c r="N36" s="9"/>
      <c r="O36" s="8"/>
    </row>
    <row r="37" spans="1:15" ht="50.1" customHeight="1" x14ac:dyDescent="0.3">
      <c r="A37" s="3">
        <f t="shared" si="0"/>
        <v>36</v>
      </c>
      <c r="B37" s="7" t="s">
        <v>133</v>
      </c>
      <c r="C37" s="7" t="s">
        <v>134</v>
      </c>
      <c r="D37" s="7" t="s">
        <v>169</v>
      </c>
      <c r="E37" s="7" t="s">
        <v>170</v>
      </c>
      <c r="F37" s="7">
        <v>2023</v>
      </c>
      <c r="G37" s="7">
        <v>9</v>
      </c>
      <c r="H37" s="7" t="s">
        <v>16</v>
      </c>
      <c r="I37" s="8">
        <v>12</v>
      </c>
      <c r="J37" s="7" t="s">
        <v>171</v>
      </c>
      <c r="K37" s="7" t="s">
        <v>24</v>
      </c>
      <c r="L37" s="8">
        <v>2398</v>
      </c>
      <c r="M37" s="8">
        <v>199.833333333333</v>
      </c>
      <c r="N37" s="9"/>
      <c r="O37" s="8"/>
    </row>
    <row r="38" spans="1:15" ht="50.1" customHeight="1" x14ac:dyDescent="0.3">
      <c r="A38" s="3">
        <f t="shared" si="0"/>
        <v>37</v>
      </c>
      <c r="B38" s="10" t="s">
        <v>156</v>
      </c>
      <c r="C38" s="10" t="s">
        <v>172</v>
      </c>
      <c r="D38" s="10" t="s">
        <v>173</v>
      </c>
      <c r="E38" s="10" t="s">
        <v>174</v>
      </c>
      <c r="F38" s="10">
        <v>2023</v>
      </c>
      <c r="G38" s="10">
        <v>9</v>
      </c>
      <c r="H38" s="10" t="s">
        <v>175</v>
      </c>
      <c r="I38" s="11"/>
      <c r="J38" s="10">
        <v>0.16</v>
      </c>
      <c r="K38" s="10" t="s">
        <v>176</v>
      </c>
      <c r="L38" s="11">
        <v>295</v>
      </c>
      <c r="M38" s="11"/>
      <c r="N38" s="12" t="s">
        <v>177</v>
      </c>
      <c r="O38" s="10"/>
    </row>
    <row r="39" spans="1:15" ht="50.1" customHeight="1" x14ac:dyDescent="0.3">
      <c r="A39" s="3">
        <f t="shared" si="0"/>
        <v>38</v>
      </c>
      <c r="B39" s="7" t="s">
        <v>156</v>
      </c>
      <c r="C39" s="7" t="s">
        <v>172</v>
      </c>
      <c r="D39" s="7" t="s">
        <v>178</v>
      </c>
      <c r="E39" s="7" t="s">
        <v>174</v>
      </c>
      <c r="F39" s="7">
        <v>2023</v>
      </c>
      <c r="G39" s="7">
        <v>9</v>
      </c>
      <c r="H39" s="7" t="s">
        <v>175</v>
      </c>
      <c r="I39" s="7">
        <v>0.16</v>
      </c>
      <c r="J39" s="7">
        <v>0.16</v>
      </c>
      <c r="K39" s="7" t="s">
        <v>125</v>
      </c>
      <c r="L39" s="8">
        <v>1799</v>
      </c>
      <c r="M39" s="8">
        <v>11243.75</v>
      </c>
      <c r="N39" s="9" t="s">
        <v>179</v>
      </c>
      <c r="O39" s="8"/>
    </row>
    <row r="40" spans="1:15" ht="50.1" customHeight="1" x14ac:dyDescent="0.3">
      <c r="A40" s="3">
        <f t="shared" si="0"/>
        <v>39</v>
      </c>
      <c r="B40" s="10" t="s">
        <v>35</v>
      </c>
      <c r="C40" s="10" t="s">
        <v>180</v>
      </c>
      <c r="D40" s="10" t="s">
        <v>181</v>
      </c>
      <c r="E40" s="10" t="s">
        <v>182</v>
      </c>
      <c r="F40" s="10">
        <v>2023</v>
      </c>
      <c r="G40" s="10">
        <v>10</v>
      </c>
      <c r="H40" s="10" t="s">
        <v>16</v>
      </c>
      <c r="I40" s="11"/>
      <c r="J40" s="10" t="s">
        <v>168</v>
      </c>
      <c r="K40" s="10" t="s">
        <v>183</v>
      </c>
      <c r="L40" s="11"/>
      <c r="M40" s="11"/>
      <c r="N40" s="12" t="s">
        <v>155</v>
      </c>
      <c r="O40" s="10"/>
    </row>
    <row r="41" spans="1:15" ht="50.1" customHeight="1" x14ac:dyDescent="0.3">
      <c r="A41" s="3">
        <f t="shared" si="0"/>
        <v>40</v>
      </c>
      <c r="B41" s="10" t="s">
        <v>35</v>
      </c>
      <c r="C41" s="10" t="s">
        <v>184</v>
      </c>
      <c r="D41" s="10" t="s">
        <v>181</v>
      </c>
      <c r="E41" s="10" t="s">
        <v>185</v>
      </c>
      <c r="F41" s="10">
        <v>2023</v>
      </c>
      <c r="G41" s="10">
        <v>10</v>
      </c>
      <c r="H41" s="10" t="s">
        <v>16</v>
      </c>
      <c r="I41" s="11"/>
      <c r="J41" s="10" t="s">
        <v>186</v>
      </c>
      <c r="K41" s="10" t="s">
        <v>183</v>
      </c>
      <c r="L41" s="11"/>
      <c r="M41" s="11"/>
      <c r="N41" s="12" t="s">
        <v>155</v>
      </c>
      <c r="O41" s="10"/>
    </row>
    <row r="42" spans="1:15" ht="50.1" customHeight="1" x14ac:dyDescent="0.3">
      <c r="A42" s="3">
        <f t="shared" si="0"/>
        <v>41</v>
      </c>
      <c r="B42" s="10" t="s">
        <v>156</v>
      </c>
      <c r="C42" s="10" t="s">
        <v>172</v>
      </c>
      <c r="D42" s="10" t="s">
        <v>187</v>
      </c>
      <c r="E42" s="10" t="s">
        <v>188</v>
      </c>
      <c r="F42" s="10">
        <v>2023</v>
      </c>
      <c r="G42" s="10">
        <v>10</v>
      </c>
      <c r="H42" s="10" t="s">
        <v>16</v>
      </c>
      <c r="I42" s="11"/>
      <c r="J42" s="10" t="s">
        <v>82</v>
      </c>
      <c r="K42" s="10" t="s">
        <v>189</v>
      </c>
      <c r="L42" s="11"/>
      <c r="M42" s="11"/>
      <c r="N42" s="12" t="s">
        <v>190</v>
      </c>
      <c r="O42" s="10"/>
    </row>
    <row r="43" spans="1:15" ht="50.1" customHeight="1" x14ac:dyDescent="0.3">
      <c r="A43" s="3">
        <f t="shared" si="0"/>
        <v>42</v>
      </c>
      <c r="B43" s="7" t="s">
        <v>191</v>
      </c>
      <c r="C43" s="7" t="s">
        <v>192</v>
      </c>
      <c r="D43" s="7" t="s">
        <v>193</v>
      </c>
      <c r="E43" s="7" t="s">
        <v>194</v>
      </c>
      <c r="F43" s="7">
        <v>2023</v>
      </c>
      <c r="G43" s="7">
        <v>11</v>
      </c>
      <c r="H43" s="7" t="s">
        <v>16</v>
      </c>
      <c r="I43" s="8">
        <v>25</v>
      </c>
      <c r="J43" s="7" t="s">
        <v>137</v>
      </c>
      <c r="K43" s="7" t="s">
        <v>195</v>
      </c>
      <c r="L43" s="8">
        <v>3430</v>
      </c>
      <c r="M43" s="8">
        <v>137.19999999999999</v>
      </c>
      <c r="N43" s="9" t="s">
        <v>196</v>
      </c>
      <c r="O43" s="8"/>
    </row>
    <row r="44" spans="1:15" ht="50.1" customHeight="1" x14ac:dyDescent="0.3">
      <c r="A44" s="3">
        <f t="shared" si="0"/>
        <v>43</v>
      </c>
      <c r="B44" s="7" t="s">
        <v>35</v>
      </c>
      <c r="C44" s="7" t="s">
        <v>184</v>
      </c>
      <c r="D44" s="7" t="s">
        <v>197</v>
      </c>
      <c r="E44" s="7" t="s">
        <v>198</v>
      </c>
      <c r="F44" s="7">
        <v>2023</v>
      </c>
      <c r="G44" s="7">
        <v>11</v>
      </c>
      <c r="H44" s="7" t="s">
        <v>39</v>
      </c>
      <c r="I44" s="8">
        <v>3</v>
      </c>
      <c r="J44" s="7" t="s">
        <v>199</v>
      </c>
      <c r="K44" s="7" t="s">
        <v>83</v>
      </c>
      <c r="L44" s="8">
        <v>2955</v>
      </c>
      <c r="M44" s="8">
        <v>985</v>
      </c>
      <c r="N44" s="9"/>
      <c r="O44" s="8"/>
    </row>
    <row r="45" spans="1:15" ht="50.1" customHeight="1" x14ac:dyDescent="0.3">
      <c r="A45" s="3">
        <f t="shared" si="0"/>
        <v>44</v>
      </c>
      <c r="B45" s="101" t="s">
        <v>122</v>
      </c>
      <c r="C45" s="101" t="s">
        <v>200</v>
      </c>
      <c r="D45" s="101" t="s">
        <v>201</v>
      </c>
      <c r="E45" s="101" t="s">
        <v>202</v>
      </c>
      <c r="F45" s="101">
        <v>2023</v>
      </c>
      <c r="G45" s="101">
        <v>12</v>
      </c>
      <c r="H45" s="10" t="s">
        <v>16</v>
      </c>
      <c r="I45" s="11"/>
      <c r="J45" s="10" t="s">
        <v>137</v>
      </c>
      <c r="K45" s="10" t="s">
        <v>19</v>
      </c>
      <c r="L45" s="10"/>
      <c r="M45" s="10"/>
      <c r="N45" s="12" t="s">
        <v>155</v>
      </c>
      <c r="O45" s="10"/>
    </row>
    <row r="46" spans="1:15" ht="50.1" customHeight="1" x14ac:dyDescent="0.3">
      <c r="A46" s="3">
        <f t="shared" si="0"/>
        <v>45</v>
      </c>
      <c r="B46" s="101"/>
      <c r="C46" s="101"/>
      <c r="D46" s="101"/>
      <c r="E46" s="101"/>
      <c r="F46" s="101"/>
      <c r="G46" s="101"/>
      <c r="H46" s="10" t="s">
        <v>39</v>
      </c>
      <c r="I46" s="11"/>
      <c r="J46" s="10" t="s">
        <v>203</v>
      </c>
      <c r="K46" s="10" t="s">
        <v>19</v>
      </c>
      <c r="L46" s="10"/>
      <c r="M46" s="10"/>
      <c r="N46" s="12" t="s">
        <v>155</v>
      </c>
      <c r="O46" s="10"/>
    </row>
    <row r="47" spans="1:15" ht="50.1" customHeight="1" x14ac:dyDescent="0.3">
      <c r="A47" s="3">
        <f t="shared" si="0"/>
        <v>46</v>
      </c>
      <c r="B47" s="10" t="s">
        <v>50</v>
      </c>
      <c r="C47" s="10" t="s">
        <v>204</v>
      </c>
      <c r="D47" s="10" t="s">
        <v>205</v>
      </c>
      <c r="E47" s="10" t="s">
        <v>206</v>
      </c>
      <c r="F47" s="10">
        <v>2023</v>
      </c>
      <c r="G47" s="10">
        <v>12</v>
      </c>
      <c r="H47" s="10" t="s">
        <v>39</v>
      </c>
      <c r="I47" s="10"/>
      <c r="J47" s="10"/>
      <c r="K47" s="10" t="s">
        <v>154</v>
      </c>
      <c r="L47" s="11">
        <v>102.5</v>
      </c>
      <c r="M47" s="10"/>
      <c r="N47" s="12" t="s">
        <v>207</v>
      </c>
      <c r="O47" s="10"/>
    </row>
    <row r="48" spans="1:15" ht="50.1" customHeight="1" x14ac:dyDescent="0.3">
      <c r="A48" s="3">
        <f t="shared" si="0"/>
        <v>47</v>
      </c>
      <c r="B48" s="10" t="s">
        <v>208</v>
      </c>
      <c r="C48" s="10"/>
      <c r="D48" s="10" t="s">
        <v>209</v>
      </c>
      <c r="E48" s="10" t="s">
        <v>210</v>
      </c>
      <c r="F48" s="10">
        <v>2023</v>
      </c>
      <c r="G48" s="10">
        <v>12</v>
      </c>
      <c r="H48" s="10" t="s">
        <v>39</v>
      </c>
      <c r="I48" s="10"/>
      <c r="J48" s="10"/>
      <c r="K48" s="10" t="s">
        <v>154</v>
      </c>
      <c r="L48" s="11">
        <v>107</v>
      </c>
      <c r="M48" s="10"/>
      <c r="N48" s="12" t="s">
        <v>207</v>
      </c>
      <c r="O48" s="10"/>
    </row>
    <row r="49" spans="1:15" ht="50.1" customHeight="1" x14ac:dyDescent="0.3">
      <c r="A49" s="3">
        <f t="shared" si="0"/>
        <v>48</v>
      </c>
      <c r="B49" s="10" t="s">
        <v>211</v>
      </c>
      <c r="C49" s="10" t="s">
        <v>212</v>
      </c>
      <c r="D49" s="10" t="s">
        <v>209</v>
      </c>
      <c r="E49" s="10" t="s">
        <v>213</v>
      </c>
      <c r="F49" s="10">
        <v>2023</v>
      </c>
      <c r="G49" s="10">
        <v>12</v>
      </c>
      <c r="H49" s="10" t="s">
        <v>39</v>
      </c>
      <c r="I49" s="10"/>
      <c r="J49" s="10"/>
      <c r="K49" s="10" t="s">
        <v>154</v>
      </c>
      <c r="L49" s="11">
        <v>348</v>
      </c>
      <c r="M49" s="10"/>
      <c r="N49" s="12" t="s">
        <v>207</v>
      </c>
      <c r="O49" s="10"/>
    </row>
    <row r="50" spans="1:15" ht="50.1" customHeight="1" x14ac:dyDescent="0.3">
      <c r="A50" s="3">
        <f t="shared" si="0"/>
        <v>49</v>
      </c>
      <c r="B50" s="4" t="s">
        <v>214</v>
      </c>
      <c r="C50" s="4" t="s">
        <v>215</v>
      </c>
      <c r="D50" s="4" t="s">
        <v>216</v>
      </c>
      <c r="E50" s="4" t="s">
        <v>217</v>
      </c>
      <c r="F50" s="4">
        <v>2023</v>
      </c>
      <c r="G50" s="4">
        <v>12</v>
      </c>
      <c r="H50" s="4" t="s">
        <v>39</v>
      </c>
      <c r="I50" s="4"/>
      <c r="J50" s="4" t="s">
        <v>218</v>
      </c>
      <c r="K50" s="4"/>
      <c r="L50" s="4"/>
      <c r="M50" s="5"/>
      <c r="N50" s="6" t="s">
        <v>18</v>
      </c>
      <c r="O50" s="5"/>
    </row>
    <row r="51" spans="1:15" ht="50.1" customHeight="1" x14ac:dyDescent="0.3">
      <c r="A51" s="3">
        <f t="shared" si="0"/>
        <v>50</v>
      </c>
      <c r="B51" s="7" t="s">
        <v>122</v>
      </c>
      <c r="C51" s="7" t="s">
        <v>123</v>
      </c>
      <c r="D51" s="7" t="s">
        <v>219</v>
      </c>
      <c r="E51" s="7" t="s">
        <v>220</v>
      </c>
      <c r="F51" s="7">
        <v>2023</v>
      </c>
      <c r="G51" s="7">
        <v>12</v>
      </c>
      <c r="H51" s="7" t="s">
        <v>221</v>
      </c>
      <c r="I51" s="8">
        <v>5.0000000000000001E-3</v>
      </c>
      <c r="J51" s="7" t="s">
        <v>222</v>
      </c>
      <c r="K51" s="7" t="s">
        <v>223</v>
      </c>
      <c r="L51" s="8">
        <v>29.7</v>
      </c>
      <c r="M51" s="8">
        <v>5940</v>
      </c>
      <c r="N51" s="9"/>
      <c r="O51" s="8"/>
    </row>
    <row r="52" spans="1:15" ht="50.1" customHeight="1" x14ac:dyDescent="0.3">
      <c r="A52" s="3">
        <f t="shared" si="0"/>
        <v>51</v>
      </c>
      <c r="B52" s="7" t="s">
        <v>214</v>
      </c>
      <c r="C52" s="7" t="s">
        <v>215</v>
      </c>
      <c r="D52" s="7" t="s">
        <v>224</v>
      </c>
      <c r="E52" s="7" t="s">
        <v>217</v>
      </c>
      <c r="F52" s="7">
        <v>2024</v>
      </c>
      <c r="G52" s="7">
        <v>1</v>
      </c>
      <c r="H52" s="7" t="s">
        <v>39</v>
      </c>
      <c r="I52" s="8">
        <v>0.05</v>
      </c>
      <c r="J52" s="7" t="s">
        <v>218</v>
      </c>
      <c r="K52" s="7" t="s">
        <v>58</v>
      </c>
      <c r="L52" s="8">
        <v>315</v>
      </c>
      <c r="M52" s="8">
        <v>6300</v>
      </c>
      <c r="N52" s="9"/>
      <c r="O52" s="8"/>
    </row>
    <row r="53" spans="1:15" ht="50.1" customHeight="1" x14ac:dyDescent="0.3">
      <c r="A53" s="3">
        <f t="shared" si="0"/>
        <v>52</v>
      </c>
      <c r="B53" s="10" t="s">
        <v>225</v>
      </c>
      <c r="C53" s="10" t="s">
        <v>226</v>
      </c>
      <c r="D53" s="10" t="s">
        <v>227</v>
      </c>
      <c r="E53" s="10" t="s">
        <v>228</v>
      </c>
      <c r="F53" s="10">
        <v>2024</v>
      </c>
      <c r="G53" s="10">
        <v>1</v>
      </c>
      <c r="H53" s="10" t="s">
        <v>39</v>
      </c>
      <c r="I53" s="11"/>
      <c r="J53" s="10" t="s">
        <v>218</v>
      </c>
      <c r="K53" s="10" t="s">
        <v>229</v>
      </c>
      <c r="L53" s="11"/>
      <c r="M53" s="11"/>
      <c r="N53" s="12" t="s">
        <v>190</v>
      </c>
      <c r="O53" s="11"/>
    </row>
    <row r="54" spans="1:15" ht="50.1" customHeight="1" x14ac:dyDescent="0.3">
      <c r="A54" s="3">
        <f t="shared" si="0"/>
        <v>53</v>
      </c>
      <c r="B54" s="10" t="s">
        <v>225</v>
      </c>
      <c r="C54" s="10" t="s">
        <v>226</v>
      </c>
      <c r="D54" s="10" t="s">
        <v>230</v>
      </c>
      <c r="E54" s="10" t="s">
        <v>228</v>
      </c>
      <c r="F54" s="10">
        <v>2024</v>
      </c>
      <c r="G54" s="10">
        <v>1</v>
      </c>
      <c r="H54" s="10" t="s">
        <v>16</v>
      </c>
      <c r="I54" s="11"/>
      <c r="J54" s="10" t="s">
        <v>231</v>
      </c>
      <c r="K54" s="10" t="s">
        <v>195</v>
      </c>
      <c r="L54" s="11"/>
      <c r="M54" s="11"/>
      <c r="N54" s="12" t="s">
        <v>232</v>
      </c>
      <c r="O54" s="11"/>
    </row>
    <row r="55" spans="1:15" ht="50.1" customHeight="1" x14ac:dyDescent="0.3">
      <c r="A55" s="3">
        <f t="shared" si="0"/>
        <v>54</v>
      </c>
      <c r="B55" s="7" t="s">
        <v>233</v>
      </c>
      <c r="C55" s="7" t="s">
        <v>234</v>
      </c>
      <c r="D55" s="7" t="s">
        <v>235</v>
      </c>
      <c r="E55" s="7" t="s">
        <v>236</v>
      </c>
      <c r="F55" s="7">
        <v>2024</v>
      </c>
      <c r="G55" s="7">
        <v>1</v>
      </c>
      <c r="H55" s="7" t="s">
        <v>221</v>
      </c>
      <c r="I55" s="7">
        <v>0.05</v>
      </c>
      <c r="J55" s="7" t="s">
        <v>218</v>
      </c>
      <c r="K55" s="7" t="s">
        <v>237</v>
      </c>
      <c r="L55" s="8">
        <v>79.900000000000006</v>
      </c>
      <c r="M55" s="8">
        <v>1598</v>
      </c>
      <c r="N55" s="9"/>
      <c r="O55" s="8"/>
    </row>
    <row r="56" spans="1:15" ht="50.1" customHeight="1" x14ac:dyDescent="0.3">
      <c r="A56" s="3">
        <f t="shared" si="0"/>
        <v>55</v>
      </c>
      <c r="B56" s="10" t="s">
        <v>156</v>
      </c>
      <c r="C56" s="10" t="s">
        <v>238</v>
      </c>
      <c r="D56" s="10" t="s">
        <v>239</v>
      </c>
      <c r="E56" s="10" t="s">
        <v>240</v>
      </c>
      <c r="F56" s="10">
        <v>2024</v>
      </c>
      <c r="G56" s="10">
        <v>1</v>
      </c>
      <c r="H56" s="10" t="s">
        <v>16</v>
      </c>
      <c r="I56" s="11"/>
      <c r="J56" s="10" t="s">
        <v>241</v>
      </c>
      <c r="K56" s="10" t="s">
        <v>154</v>
      </c>
      <c r="L56" s="11">
        <v>564.79999999999995</v>
      </c>
      <c r="M56" s="11"/>
      <c r="N56" s="12" t="s">
        <v>242</v>
      </c>
      <c r="O56" s="11"/>
    </row>
    <row r="57" spans="1:15" ht="50.1" customHeight="1" x14ac:dyDescent="0.3">
      <c r="A57" s="3">
        <f t="shared" si="0"/>
        <v>56</v>
      </c>
      <c r="B57" s="10" t="s">
        <v>13</v>
      </c>
      <c r="C57" s="10"/>
      <c r="D57" s="10" t="s">
        <v>243</v>
      </c>
      <c r="E57" s="10" t="s">
        <v>244</v>
      </c>
      <c r="F57" s="10">
        <v>2024</v>
      </c>
      <c r="G57" s="10">
        <v>4</v>
      </c>
      <c r="H57" s="10" t="s">
        <v>16</v>
      </c>
      <c r="I57" s="11"/>
      <c r="J57" s="10" t="s">
        <v>245</v>
      </c>
      <c r="K57" s="10" t="s">
        <v>246</v>
      </c>
      <c r="L57" s="11">
        <v>20</v>
      </c>
      <c r="M57" s="11"/>
      <c r="N57" s="12" t="s">
        <v>242</v>
      </c>
      <c r="O57" s="11"/>
    </row>
    <row r="58" spans="1:15" ht="50.1" customHeight="1" x14ac:dyDescent="0.3">
      <c r="A58" s="3">
        <f t="shared" si="0"/>
        <v>57</v>
      </c>
      <c r="B58" s="7" t="s">
        <v>35</v>
      </c>
      <c r="C58" s="7" t="s">
        <v>247</v>
      </c>
      <c r="D58" s="7" t="s">
        <v>248</v>
      </c>
      <c r="E58" s="7" t="s">
        <v>249</v>
      </c>
      <c r="F58" s="7">
        <v>2024</v>
      </c>
      <c r="G58" s="7">
        <v>4</v>
      </c>
      <c r="H58" s="7" t="s">
        <v>16</v>
      </c>
      <c r="I58" s="8">
        <v>70</v>
      </c>
      <c r="J58" s="7" t="s">
        <v>250</v>
      </c>
      <c r="K58" s="7" t="s">
        <v>34</v>
      </c>
      <c r="L58" s="8">
        <v>11899.97</v>
      </c>
      <c r="M58" s="8">
        <v>169.99957142857099</v>
      </c>
      <c r="N58" s="9" t="s">
        <v>251</v>
      </c>
      <c r="O58" s="8"/>
    </row>
    <row r="59" spans="1:15" ht="50.1" customHeight="1" x14ac:dyDescent="0.3">
      <c r="A59" s="3">
        <f t="shared" si="0"/>
        <v>58</v>
      </c>
      <c r="B59" s="99" t="s">
        <v>35</v>
      </c>
      <c r="C59" s="99" t="s">
        <v>102</v>
      </c>
      <c r="D59" s="7" t="s">
        <v>252</v>
      </c>
      <c r="E59" s="99" t="s">
        <v>253</v>
      </c>
      <c r="F59" s="99">
        <v>2024</v>
      </c>
      <c r="G59" s="99">
        <v>5</v>
      </c>
      <c r="H59" s="7" t="s">
        <v>16</v>
      </c>
      <c r="I59" s="8">
        <v>30</v>
      </c>
      <c r="J59" s="7" t="s">
        <v>254</v>
      </c>
      <c r="K59" s="7" t="s">
        <v>23</v>
      </c>
      <c r="L59" s="8">
        <v>3996.52</v>
      </c>
      <c r="M59" s="8">
        <v>133.21733333333299</v>
      </c>
      <c r="N59" s="9" t="s">
        <v>255</v>
      </c>
      <c r="O59" s="8"/>
    </row>
    <row r="60" spans="1:15" ht="50.1" customHeight="1" x14ac:dyDescent="0.3">
      <c r="A60" s="3">
        <f t="shared" si="0"/>
        <v>59</v>
      </c>
      <c r="B60" s="99"/>
      <c r="C60" s="99"/>
      <c r="D60" s="7" t="s">
        <v>256</v>
      </c>
      <c r="E60" s="99"/>
      <c r="F60" s="99"/>
      <c r="G60" s="99"/>
      <c r="H60" s="7" t="s">
        <v>16</v>
      </c>
      <c r="I60" s="8">
        <v>15</v>
      </c>
      <c r="J60" s="7" t="s">
        <v>257</v>
      </c>
      <c r="K60" s="7" t="s">
        <v>258</v>
      </c>
      <c r="L60" s="8">
        <v>2465</v>
      </c>
      <c r="M60" s="8">
        <v>164.333333333333</v>
      </c>
      <c r="N60" s="9" t="s">
        <v>259</v>
      </c>
      <c r="O60" s="8" t="s">
        <v>260</v>
      </c>
    </row>
    <row r="61" spans="1:15" ht="50.1" customHeight="1" x14ac:dyDescent="0.3">
      <c r="A61" s="3">
        <f t="shared" si="0"/>
        <v>60</v>
      </c>
      <c r="B61" s="7" t="s">
        <v>261</v>
      </c>
      <c r="C61" s="7" t="s">
        <v>262</v>
      </c>
      <c r="D61" s="7" t="s">
        <v>263</v>
      </c>
      <c r="E61" s="7" t="s">
        <v>264</v>
      </c>
      <c r="F61" s="7">
        <v>2024</v>
      </c>
      <c r="G61" s="7">
        <v>5</v>
      </c>
      <c r="H61" s="7" t="s">
        <v>39</v>
      </c>
      <c r="I61" s="7">
        <v>0.05</v>
      </c>
      <c r="J61" s="7" t="s">
        <v>218</v>
      </c>
      <c r="K61" s="7" t="s">
        <v>58</v>
      </c>
      <c r="L61" s="8">
        <v>350</v>
      </c>
      <c r="M61" s="8">
        <v>7000</v>
      </c>
      <c r="N61" s="9"/>
      <c r="O61" s="8"/>
    </row>
    <row r="62" spans="1:15" ht="50.1" customHeight="1" x14ac:dyDescent="0.3">
      <c r="A62" s="3">
        <f t="shared" si="0"/>
        <v>61</v>
      </c>
      <c r="B62" s="4" t="s">
        <v>139</v>
      </c>
      <c r="C62" s="4" t="s">
        <v>140</v>
      </c>
      <c r="D62" s="4" t="s">
        <v>265</v>
      </c>
      <c r="E62" s="4" t="s">
        <v>266</v>
      </c>
      <c r="F62" s="4">
        <v>2024</v>
      </c>
      <c r="G62" s="4">
        <v>5</v>
      </c>
      <c r="H62" s="4" t="s">
        <v>16</v>
      </c>
      <c r="I62" s="4"/>
      <c r="J62" s="4" t="s">
        <v>126</v>
      </c>
      <c r="K62" s="4"/>
      <c r="L62" s="4"/>
      <c r="M62" s="5"/>
      <c r="N62" s="6" t="s">
        <v>267</v>
      </c>
      <c r="O62" s="5"/>
    </row>
    <row r="63" spans="1:15" ht="50.1" customHeight="1" x14ac:dyDescent="0.3">
      <c r="A63" s="3">
        <f t="shared" si="0"/>
        <v>62</v>
      </c>
      <c r="B63" s="7" t="s">
        <v>35</v>
      </c>
      <c r="C63" s="7" t="s">
        <v>36</v>
      </c>
      <c r="D63" s="7" t="s">
        <v>268</v>
      </c>
      <c r="E63" s="7" t="s">
        <v>269</v>
      </c>
      <c r="F63" s="7">
        <v>2024</v>
      </c>
      <c r="G63" s="7">
        <v>5</v>
      </c>
      <c r="H63" s="7" t="s">
        <v>16</v>
      </c>
      <c r="I63" s="8">
        <v>1</v>
      </c>
      <c r="J63" s="7" t="s">
        <v>270</v>
      </c>
      <c r="K63" s="7" t="s">
        <v>271</v>
      </c>
      <c r="L63" s="8">
        <v>695.25964099999999</v>
      </c>
      <c r="M63" s="8">
        <v>695.25964099999999</v>
      </c>
      <c r="N63" s="9"/>
      <c r="O63" s="8"/>
    </row>
    <row r="64" spans="1:15" ht="50.1" customHeight="1" x14ac:dyDescent="0.3">
      <c r="A64" s="3">
        <f t="shared" si="0"/>
        <v>63</v>
      </c>
      <c r="B64" s="10" t="s">
        <v>78</v>
      </c>
      <c r="C64" s="10" t="s">
        <v>272</v>
      </c>
      <c r="D64" s="10" t="s">
        <v>273</v>
      </c>
      <c r="E64" s="10" t="s">
        <v>274</v>
      </c>
      <c r="F64" s="10">
        <v>2024</v>
      </c>
      <c r="G64" s="10">
        <v>5</v>
      </c>
      <c r="H64" s="10"/>
      <c r="I64" s="11"/>
      <c r="J64" s="10"/>
      <c r="K64" s="10" t="s">
        <v>275</v>
      </c>
      <c r="L64" s="11">
        <v>102</v>
      </c>
      <c r="M64" s="11"/>
      <c r="N64" s="12" t="s">
        <v>276</v>
      </c>
      <c r="O64" s="10"/>
    </row>
    <row r="65" spans="1:15" ht="50.1" customHeight="1" x14ac:dyDescent="0.3">
      <c r="A65" s="3">
        <f t="shared" si="0"/>
        <v>64</v>
      </c>
      <c r="B65" s="10" t="s">
        <v>277</v>
      </c>
      <c r="C65" s="10" t="s">
        <v>278</v>
      </c>
      <c r="D65" s="10" t="s">
        <v>279</v>
      </c>
      <c r="E65" s="10" t="s">
        <v>280</v>
      </c>
      <c r="F65" s="10">
        <v>2024</v>
      </c>
      <c r="G65" s="10">
        <v>5</v>
      </c>
      <c r="H65" s="10" t="s">
        <v>16</v>
      </c>
      <c r="I65" s="11"/>
      <c r="J65" s="10" t="s">
        <v>40</v>
      </c>
      <c r="K65" s="10" t="s">
        <v>281</v>
      </c>
      <c r="L65" s="11">
        <v>3008.3342779999998</v>
      </c>
      <c r="M65" s="11"/>
      <c r="N65" s="12" t="s">
        <v>282</v>
      </c>
      <c r="O65" s="11"/>
    </row>
    <row r="66" spans="1:15" ht="50.1" customHeight="1" x14ac:dyDescent="0.3">
      <c r="A66" s="3">
        <f t="shared" si="0"/>
        <v>65</v>
      </c>
      <c r="B66" s="10" t="s">
        <v>133</v>
      </c>
      <c r="C66" s="10" t="s">
        <v>283</v>
      </c>
      <c r="D66" s="10" t="s">
        <v>284</v>
      </c>
      <c r="E66" s="10" t="s">
        <v>285</v>
      </c>
      <c r="F66" s="10">
        <v>2024</v>
      </c>
      <c r="G66" s="10">
        <v>6</v>
      </c>
      <c r="H66" s="10"/>
      <c r="I66" s="11"/>
      <c r="J66" s="10"/>
      <c r="K66" s="10" t="s">
        <v>23</v>
      </c>
      <c r="L66" s="11">
        <v>183.2</v>
      </c>
      <c r="M66" s="11"/>
      <c r="N66" s="12" t="s">
        <v>276</v>
      </c>
      <c r="O66" s="10"/>
    </row>
    <row r="67" spans="1:15" ht="50.1" customHeight="1" x14ac:dyDescent="0.3">
      <c r="A67" s="3">
        <f t="shared" si="0"/>
        <v>66</v>
      </c>
      <c r="B67" s="7" t="s">
        <v>35</v>
      </c>
      <c r="C67" s="7" t="s">
        <v>102</v>
      </c>
      <c r="D67" s="7" t="s">
        <v>286</v>
      </c>
      <c r="E67" s="7" t="s">
        <v>253</v>
      </c>
      <c r="F67" s="7">
        <v>2024</v>
      </c>
      <c r="G67" s="7">
        <v>6</v>
      </c>
      <c r="H67" s="7" t="s">
        <v>16</v>
      </c>
      <c r="I67" s="8">
        <v>15</v>
      </c>
      <c r="J67" s="7" t="s">
        <v>287</v>
      </c>
      <c r="K67" s="7" t="s">
        <v>23</v>
      </c>
      <c r="L67" s="8">
        <v>2088.1999999999998</v>
      </c>
      <c r="M67" s="8">
        <v>139.213333333333</v>
      </c>
      <c r="N67" s="9"/>
      <c r="O67" s="8"/>
    </row>
    <row r="68" spans="1:15" ht="50.1" customHeight="1" x14ac:dyDescent="0.3">
      <c r="A68" s="3">
        <f t="shared" ref="A68:A131" si="1">ROW()-1</f>
        <v>67</v>
      </c>
      <c r="B68" s="10" t="s">
        <v>191</v>
      </c>
      <c r="C68" s="10" t="s">
        <v>192</v>
      </c>
      <c r="D68" s="10" t="s">
        <v>288</v>
      </c>
      <c r="E68" s="10" t="s">
        <v>289</v>
      </c>
      <c r="F68" s="10">
        <v>2024</v>
      </c>
      <c r="G68" s="10">
        <v>6</v>
      </c>
      <c r="H68" s="10" t="s">
        <v>39</v>
      </c>
      <c r="I68" s="11"/>
      <c r="J68" s="10" t="s">
        <v>218</v>
      </c>
      <c r="K68" s="10" t="s">
        <v>290</v>
      </c>
      <c r="L68" s="11"/>
      <c r="M68" s="11"/>
      <c r="N68" s="12" t="s">
        <v>190</v>
      </c>
      <c r="O68" s="11"/>
    </row>
    <row r="69" spans="1:15" ht="50.1" customHeight="1" x14ac:dyDescent="0.3">
      <c r="A69" s="3">
        <f t="shared" si="1"/>
        <v>68</v>
      </c>
      <c r="B69" s="7" t="s">
        <v>25</v>
      </c>
      <c r="C69" s="7" t="s">
        <v>291</v>
      </c>
      <c r="D69" s="7" t="s">
        <v>292</v>
      </c>
      <c r="E69" s="7" t="s">
        <v>293</v>
      </c>
      <c r="F69" s="7">
        <v>2024</v>
      </c>
      <c r="G69" s="7">
        <v>6</v>
      </c>
      <c r="H69" s="7" t="s">
        <v>16</v>
      </c>
      <c r="I69" s="8">
        <v>65</v>
      </c>
      <c r="J69" s="7" t="s">
        <v>294</v>
      </c>
      <c r="K69" s="7" t="s">
        <v>34</v>
      </c>
      <c r="L69" s="8">
        <v>5678.0000030000001</v>
      </c>
      <c r="M69" s="8">
        <v>87.353846200000007</v>
      </c>
      <c r="N69" s="9" t="s">
        <v>295</v>
      </c>
      <c r="O69" s="8"/>
    </row>
    <row r="70" spans="1:15" ht="50.1" customHeight="1" x14ac:dyDescent="0.3">
      <c r="A70" s="3">
        <f t="shared" si="1"/>
        <v>69</v>
      </c>
      <c r="B70" s="4" t="s">
        <v>139</v>
      </c>
      <c r="C70" s="4" t="s">
        <v>140</v>
      </c>
      <c r="D70" s="4" t="s">
        <v>296</v>
      </c>
      <c r="E70" s="4" t="s">
        <v>266</v>
      </c>
      <c r="F70" s="4">
        <v>2024</v>
      </c>
      <c r="G70" s="4">
        <v>6</v>
      </c>
      <c r="H70" s="4" t="s">
        <v>16</v>
      </c>
      <c r="I70" s="4"/>
      <c r="J70" s="4" t="s">
        <v>126</v>
      </c>
      <c r="K70" s="4"/>
      <c r="L70" s="4"/>
      <c r="M70" s="5"/>
      <c r="N70" s="6" t="s">
        <v>297</v>
      </c>
      <c r="O70" s="5"/>
    </row>
    <row r="71" spans="1:15" ht="50.1" customHeight="1" x14ac:dyDescent="0.3">
      <c r="A71" s="3">
        <f t="shared" si="1"/>
        <v>70</v>
      </c>
      <c r="B71" s="7" t="s">
        <v>25</v>
      </c>
      <c r="C71" s="7" t="s">
        <v>90</v>
      </c>
      <c r="D71" s="7" t="s">
        <v>298</v>
      </c>
      <c r="E71" s="7" t="s">
        <v>299</v>
      </c>
      <c r="F71" s="7">
        <v>2024</v>
      </c>
      <c r="G71" s="7">
        <v>7</v>
      </c>
      <c r="H71" s="7" t="s">
        <v>16</v>
      </c>
      <c r="I71" s="7">
        <v>18.75</v>
      </c>
      <c r="J71" s="7" t="s">
        <v>300</v>
      </c>
      <c r="K71" s="7" t="s">
        <v>23</v>
      </c>
      <c r="L71" s="8">
        <v>3039.86</v>
      </c>
      <c r="M71" s="8">
        <v>162.12586666666701</v>
      </c>
      <c r="N71" s="9"/>
      <c r="O71" s="8"/>
    </row>
    <row r="72" spans="1:15" ht="50.1" customHeight="1" x14ac:dyDescent="0.3">
      <c r="A72" s="3">
        <f t="shared" si="1"/>
        <v>71</v>
      </c>
      <c r="B72" s="10" t="s">
        <v>96</v>
      </c>
      <c r="C72" s="10" t="s">
        <v>301</v>
      </c>
      <c r="D72" s="10" t="s">
        <v>302</v>
      </c>
      <c r="E72" s="10" t="s">
        <v>303</v>
      </c>
      <c r="F72" s="10">
        <v>2024</v>
      </c>
      <c r="G72" s="10">
        <v>7</v>
      </c>
      <c r="H72" s="10" t="s">
        <v>39</v>
      </c>
      <c r="I72" s="11"/>
      <c r="J72" s="10" t="s">
        <v>304</v>
      </c>
      <c r="K72" s="10" t="s">
        <v>83</v>
      </c>
      <c r="L72" s="11">
        <v>30</v>
      </c>
      <c r="M72" s="11"/>
      <c r="N72" s="12" t="s">
        <v>242</v>
      </c>
      <c r="O72" s="10"/>
    </row>
    <row r="73" spans="1:15" ht="50.1" customHeight="1" x14ac:dyDescent="0.3">
      <c r="A73" s="3">
        <f t="shared" si="1"/>
        <v>72</v>
      </c>
      <c r="B73" s="99" t="s">
        <v>107</v>
      </c>
      <c r="C73" s="99" t="s">
        <v>305</v>
      </c>
      <c r="D73" s="99" t="s">
        <v>306</v>
      </c>
      <c r="E73" s="99" t="s">
        <v>307</v>
      </c>
      <c r="F73" s="99">
        <v>2024</v>
      </c>
      <c r="G73" s="99">
        <v>7</v>
      </c>
      <c r="H73" s="99" t="s">
        <v>16</v>
      </c>
      <c r="I73" s="99">
        <v>550</v>
      </c>
      <c r="J73" s="99" t="s">
        <v>308</v>
      </c>
      <c r="K73" s="7" t="s">
        <v>23</v>
      </c>
      <c r="L73" s="8">
        <v>75570</v>
      </c>
      <c r="M73" s="8">
        <v>137.4</v>
      </c>
      <c r="N73" s="9" t="s">
        <v>309</v>
      </c>
      <c r="O73" s="8"/>
    </row>
    <row r="74" spans="1:15" ht="50.1" customHeight="1" x14ac:dyDescent="0.3">
      <c r="A74" s="3">
        <f t="shared" si="1"/>
        <v>73</v>
      </c>
      <c r="B74" s="99"/>
      <c r="C74" s="99"/>
      <c r="D74" s="99"/>
      <c r="E74" s="99"/>
      <c r="F74" s="99"/>
      <c r="G74" s="99"/>
      <c r="H74" s="99"/>
      <c r="I74" s="99"/>
      <c r="J74" s="99"/>
      <c r="K74" s="7" t="s">
        <v>33</v>
      </c>
      <c r="L74" s="8">
        <v>67639.990000000005</v>
      </c>
      <c r="M74" s="8">
        <v>122.98180000000001</v>
      </c>
      <c r="N74" s="9" t="s">
        <v>310</v>
      </c>
      <c r="O74" s="8"/>
    </row>
    <row r="75" spans="1:15" ht="50.1" customHeight="1" x14ac:dyDescent="0.3">
      <c r="A75" s="3">
        <f t="shared" si="1"/>
        <v>74</v>
      </c>
      <c r="B75" s="99"/>
      <c r="C75" s="99"/>
      <c r="D75" s="99"/>
      <c r="E75" s="99"/>
      <c r="F75" s="99"/>
      <c r="G75" s="99"/>
      <c r="H75" s="99"/>
      <c r="I75" s="99"/>
      <c r="J75" s="99"/>
      <c r="K75" s="7" t="s">
        <v>19</v>
      </c>
      <c r="L75" s="8">
        <v>68420</v>
      </c>
      <c r="M75" s="8">
        <v>124.4</v>
      </c>
      <c r="N75" s="9" t="s">
        <v>310</v>
      </c>
      <c r="O75" s="8"/>
    </row>
    <row r="76" spans="1:15" ht="50.1" customHeight="1" x14ac:dyDescent="0.3">
      <c r="A76" s="3">
        <f t="shared" si="1"/>
        <v>75</v>
      </c>
      <c r="B76" s="99"/>
      <c r="C76" s="99"/>
      <c r="D76" s="99"/>
      <c r="E76" s="99"/>
      <c r="F76" s="99"/>
      <c r="G76" s="99"/>
      <c r="H76" s="99"/>
      <c r="I76" s="99"/>
      <c r="J76" s="99"/>
      <c r="K76" s="7" t="s">
        <v>66</v>
      </c>
      <c r="L76" s="8">
        <v>74800.20001</v>
      </c>
      <c r="M76" s="8">
        <v>136.000363654545</v>
      </c>
      <c r="N76" s="9" t="s">
        <v>311</v>
      </c>
      <c r="O76" s="8"/>
    </row>
    <row r="77" spans="1:15" ht="50.1" customHeight="1" x14ac:dyDescent="0.3">
      <c r="A77" s="3">
        <f t="shared" si="1"/>
        <v>76</v>
      </c>
      <c r="B77" s="99"/>
      <c r="C77" s="99"/>
      <c r="D77" s="99"/>
      <c r="E77" s="99"/>
      <c r="F77" s="99"/>
      <c r="G77" s="99"/>
      <c r="H77" s="99"/>
      <c r="I77" s="99"/>
      <c r="J77" s="99"/>
      <c r="K77" s="7" t="s">
        <v>58</v>
      </c>
      <c r="L77" s="8">
        <v>77000</v>
      </c>
      <c r="M77" s="8">
        <v>140</v>
      </c>
      <c r="N77" s="9" t="s">
        <v>312</v>
      </c>
      <c r="O77" s="8"/>
    </row>
    <row r="78" spans="1:15" ht="50.1" customHeight="1" x14ac:dyDescent="0.3">
      <c r="A78" s="3">
        <f t="shared" si="1"/>
        <v>77</v>
      </c>
      <c r="B78" s="4" t="s">
        <v>25</v>
      </c>
      <c r="C78" s="4" t="s">
        <v>90</v>
      </c>
      <c r="D78" s="4" t="s">
        <v>313</v>
      </c>
      <c r="E78" s="4" t="s">
        <v>299</v>
      </c>
      <c r="F78" s="4">
        <v>2024</v>
      </c>
      <c r="G78" s="4">
        <v>7</v>
      </c>
      <c r="H78" s="4" t="s">
        <v>39</v>
      </c>
      <c r="I78" s="4"/>
      <c r="J78" s="4" t="s">
        <v>64</v>
      </c>
      <c r="K78" s="4"/>
      <c r="L78" s="4"/>
      <c r="M78" s="5"/>
      <c r="N78" s="6"/>
      <c r="O78" s="5"/>
    </row>
    <row r="79" spans="1:15" ht="50.1" customHeight="1" x14ac:dyDescent="0.3">
      <c r="A79" s="3">
        <f t="shared" si="1"/>
        <v>78</v>
      </c>
      <c r="B79" s="7" t="s">
        <v>156</v>
      </c>
      <c r="C79" s="7" t="s">
        <v>314</v>
      </c>
      <c r="D79" s="7" t="s">
        <v>315</v>
      </c>
      <c r="E79" s="7" t="s">
        <v>316</v>
      </c>
      <c r="F79" s="7">
        <v>2024</v>
      </c>
      <c r="G79" s="7">
        <v>7</v>
      </c>
      <c r="H79" s="7" t="s">
        <v>221</v>
      </c>
      <c r="I79" s="7">
        <v>1.25</v>
      </c>
      <c r="J79" s="7" t="s">
        <v>317</v>
      </c>
      <c r="K79" s="7" t="s">
        <v>318</v>
      </c>
      <c r="L79" s="8">
        <v>2095.0697949999999</v>
      </c>
      <c r="M79" s="8">
        <v>1676.055836</v>
      </c>
      <c r="N79" s="9" t="s">
        <v>319</v>
      </c>
      <c r="O79" s="8"/>
    </row>
    <row r="80" spans="1:15" ht="50.1" customHeight="1" x14ac:dyDescent="0.3">
      <c r="A80" s="3">
        <f t="shared" si="1"/>
        <v>79</v>
      </c>
      <c r="B80" s="10" t="s">
        <v>139</v>
      </c>
      <c r="C80" s="10" t="s">
        <v>140</v>
      </c>
      <c r="D80" s="10" t="s">
        <v>320</v>
      </c>
      <c r="E80" s="10" t="s">
        <v>266</v>
      </c>
      <c r="F80" s="10">
        <v>2024</v>
      </c>
      <c r="G80" s="10">
        <v>8</v>
      </c>
      <c r="H80" s="10" t="s">
        <v>16</v>
      </c>
      <c r="I80" s="11"/>
      <c r="J80" s="10" t="s">
        <v>126</v>
      </c>
      <c r="K80" s="10" t="s">
        <v>321</v>
      </c>
      <c r="L80" s="11">
        <v>91</v>
      </c>
      <c r="M80" s="11"/>
      <c r="N80" s="12" t="s">
        <v>242</v>
      </c>
      <c r="O80" s="11"/>
    </row>
    <row r="81" spans="1:15" ht="50.1" customHeight="1" x14ac:dyDescent="0.3">
      <c r="A81" s="3">
        <f t="shared" si="1"/>
        <v>80</v>
      </c>
      <c r="B81" s="7" t="s">
        <v>25</v>
      </c>
      <c r="C81" s="7" t="s">
        <v>90</v>
      </c>
      <c r="D81" s="7" t="s">
        <v>322</v>
      </c>
      <c r="E81" s="7" t="s">
        <v>299</v>
      </c>
      <c r="F81" s="7">
        <v>2024</v>
      </c>
      <c r="G81" s="7">
        <v>8</v>
      </c>
      <c r="H81" s="7" t="s">
        <v>39</v>
      </c>
      <c r="I81" s="7">
        <v>1.25</v>
      </c>
      <c r="J81" s="7" t="s">
        <v>64</v>
      </c>
      <c r="K81" s="7" t="s">
        <v>23</v>
      </c>
      <c r="L81" s="8">
        <v>1298.1600000000001</v>
      </c>
      <c r="M81" s="8">
        <v>1038.528</v>
      </c>
      <c r="N81" s="9" t="s">
        <v>323</v>
      </c>
      <c r="O81" s="8"/>
    </row>
    <row r="82" spans="1:15" ht="50.1" customHeight="1" x14ac:dyDescent="0.3">
      <c r="A82" s="3">
        <f t="shared" si="1"/>
        <v>81</v>
      </c>
      <c r="B82" s="4" t="s">
        <v>191</v>
      </c>
      <c r="C82" s="4" t="s">
        <v>192</v>
      </c>
      <c r="D82" s="4" t="s">
        <v>324</v>
      </c>
      <c r="E82" s="4" t="s">
        <v>325</v>
      </c>
      <c r="F82" s="4">
        <v>2024</v>
      </c>
      <c r="G82" s="4">
        <v>8</v>
      </c>
      <c r="H82" s="4" t="s">
        <v>16</v>
      </c>
      <c r="I82" s="4"/>
      <c r="J82" s="4" t="s">
        <v>270</v>
      </c>
      <c r="K82" s="4"/>
      <c r="L82" s="4"/>
      <c r="M82" s="5"/>
      <c r="N82" s="6" t="s">
        <v>326</v>
      </c>
      <c r="O82" s="5"/>
    </row>
    <row r="83" spans="1:15" ht="50.1" customHeight="1" x14ac:dyDescent="0.3">
      <c r="A83" s="3">
        <f t="shared" si="1"/>
        <v>82</v>
      </c>
      <c r="B83" s="7" t="s">
        <v>191</v>
      </c>
      <c r="C83" s="7" t="s">
        <v>327</v>
      </c>
      <c r="D83" s="7" t="s">
        <v>328</v>
      </c>
      <c r="E83" s="7" t="s">
        <v>329</v>
      </c>
      <c r="F83" s="7">
        <v>2024</v>
      </c>
      <c r="G83" s="7">
        <v>9</v>
      </c>
      <c r="H83" s="7" t="s">
        <v>39</v>
      </c>
      <c r="I83" s="8">
        <v>0.5</v>
      </c>
      <c r="J83" s="7" t="s">
        <v>82</v>
      </c>
      <c r="K83" s="7" t="s">
        <v>330</v>
      </c>
      <c r="L83" s="8">
        <v>580</v>
      </c>
      <c r="M83" s="8">
        <v>1160</v>
      </c>
      <c r="N83" s="9"/>
      <c r="O83" s="8"/>
    </row>
    <row r="84" spans="1:15" ht="50.1" customHeight="1" x14ac:dyDescent="0.3">
      <c r="A84" s="3">
        <f t="shared" si="1"/>
        <v>83</v>
      </c>
      <c r="B84" s="7" t="s">
        <v>96</v>
      </c>
      <c r="C84" s="7" t="s">
        <v>301</v>
      </c>
      <c r="D84" s="7" t="s">
        <v>331</v>
      </c>
      <c r="E84" s="7" t="s">
        <v>303</v>
      </c>
      <c r="F84" s="7">
        <v>2024</v>
      </c>
      <c r="G84" s="7">
        <v>9</v>
      </c>
      <c r="H84" s="7" t="s">
        <v>221</v>
      </c>
      <c r="I84" s="8">
        <v>2.5000000000000001E-3</v>
      </c>
      <c r="J84" s="8" t="s">
        <v>245</v>
      </c>
      <c r="K84" s="7" t="s">
        <v>332</v>
      </c>
      <c r="L84" s="8">
        <v>49.5</v>
      </c>
      <c r="M84" s="8">
        <v>19800</v>
      </c>
      <c r="N84" s="9"/>
      <c r="O84" s="8"/>
    </row>
    <row r="85" spans="1:15" ht="50.1" customHeight="1" x14ac:dyDescent="0.3">
      <c r="A85" s="3">
        <f t="shared" si="1"/>
        <v>84</v>
      </c>
      <c r="B85" s="7" t="s">
        <v>191</v>
      </c>
      <c r="C85" s="7" t="s">
        <v>192</v>
      </c>
      <c r="D85" s="7" t="s">
        <v>333</v>
      </c>
      <c r="E85" s="7" t="s">
        <v>325</v>
      </c>
      <c r="F85" s="7">
        <v>2024</v>
      </c>
      <c r="G85" s="7">
        <v>9</v>
      </c>
      <c r="H85" s="7" t="s">
        <v>16</v>
      </c>
      <c r="I85" s="8">
        <v>1</v>
      </c>
      <c r="J85" s="7" t="s">
        <v>270</v>
      </c>
      <c r="K85" s="7" t="s">
        <v>334</v>
      </c>
      <c r="L85" s="8">
        <v>556.00049999999999</v>
      </c>
      <c r="M85" s="8">
        <v>556.00049999999999</v>
      </c>
      <c r="N85" s="9" t="s">
        <v>335</v>
      </c>
      <c r="O85" s="8"/>
    </row>
    <row r="86" spans="1:15" ht="50.1" customHeight="1" x14ac:dyDescent="0.3">
      <c r="A86" s="3">
        <f t="shared" si="1"/>
        <v>85</v>
      </c>
      <c r="B86" s="10" t="s">
        <v>13</v>
      </c>
      <c r="C86" s="10"/>
      <c r="D86" s="10" t="s">
        <v>336</v>
      </c>
      <c r="E86" s="10" t="s">
        <v>337</v>
      </c>
      <c r="F86" s="10">
        <v>2024</v>
      </c>
      <c r="G86" s="10">
        <v>9</v>
      </c>
      <c r="H86" s="10" t="s">
        <v>39</v>
      </c>
      <c r="I86" s="11"/>
      <c r="J86" s="10" t="s">
        <v>338</v>
      </c>
      <c r="K86" s="10"/>
      <c r="L86" s="11"/>
      <c r="M86" s="11"/>
      <c r="N86" s="12" t="s">
        <v>339</v>
      </c>
      <c r="O86" s="11"/>
    </row>
    <row r="87" spans="1:15" ht="50.1" customHeight="1" x14ac:dyDescent="0.3">
      <c r="A87" s="3">
        <f t="shared" si="1"/>
        <v>86</v>
      </c>
      <c r="B87" s="7" t="s">
        <v>107</v>
      </c>
      <c r="C87" s="7" t="s">
        <v>305</v>
      </c>
      <c r="D87" s="7" t="s">
        <v>340</v>
      </c>
      <c r="E87" s="7" t="s">
        <v>341</v>
      </c>
      <c r="F87" s="7">
        <v>2024</v>
      </c>
      <c r="G87" s="7">
        <v>9</v>
      </c>
      <c r="H87" s="7" t="s">
        <v>16</v>
      </c>
      <c r="I87" s="8">
        <v>6</v>
      </c>
      <c r="J87" s="7" t="s">
        <v>164</v>
      </c>
      <c r="K87" s="7" t="s">
        <v>342</v>
      </c>
      <c r="L87" s="8">
        <v>2026.5</v>
      </c>
      <c r="M87" s="8">
        <v>337.75</v>
      </c>
      <c r="N87" s="9" t="s">
        <v>343</v>
      </c>
      <c r="O87" s="8"/>
    </row>
    <row r="88" spans="1:15" ht="50.1" customHeight="1" x14ac:dyDescent="0.3">
      <c r="A88" s="3">
        <f t="shared" si="1"/>
        <v>87</v>
      </c>
      <c r="B88" s="7" t="s">
        <v>25</v>
      </c>
      <c r="C88" s="7" t="s">
        <v>291</v>
      </c>
      <c r="D88" s="7" t="s">
        <v>344</v>
      </c>
      <c r="E88" s="7" t="s">
        <v>345</v>
      </c>
      <c r="F88" s="7">
        <v>2024</v>
      </c>
      <c r="G88" s="7">
        <v>9</v>
      </c>
      <c r="H88" s="7" t="s">
        <v>16</v>
      </c>
      <c r="I88" s="8">
        <v>5</v>
      </c>
      <c r="J88" s="7" t="s">
        <v>168</v>
      </c>
      <c r="K88" s="7" t="s">
        <v>115</v>
      </c>
      <c r="L88" s="8">
        <v>1501.068</v>
      </c>
      <c r="M88" s="8">
        <v>300.21359999999999</v>
      </c>
      <c r="N88" s="9" t="s">
        <v>346</v>
      </c>
      <c r="O88" s="8"/>
    </row>
    <row r="89" spans="1:15" ht="50.1" customHeight="1" x14ac:dyDescent="0.3">
      <c r="A89" s="3">
        <f t="shared" si="1"/>
        <v>88</v>
      </c>
      <c r="B89" s="4" t="s">
        <v>44</v>
      </c>
      <c r="C89" s="4" t="s">
        <v>347</v>
      </c>
      <c r="D89" s="4" t="s">
        <v>348</v>
      </c>
      <c r="E89" s="4" t="s">
        <v>349</v>
      </c>
      <c r="F89" s="4">
        <v>2024</v>
      </c>
      <c r="G89" s="4">
        <v>9</v>
      </c>
      <c r="H89" s="4" t="s">
        <v>16</v>
      </c>
      <c r="I89" s="4"/>
      <c r="J89" s="4"/>
      <c r="K89" s="4" t="s">
        <v>127</v>
      </c>
      <c r="L89" s="4">
        <v>225</v>
      </c>
      <c r="M89" s="5"/>
      <c r="N89" s="6" t="s">
        <v>350</v>
      </c>
      <c r="O89" s="5"/>
    </row>
    <row r="90" spans="1:15" ht="50.1" customHeight="1" x14ac:dyDescent="0.3">
      <c r="A90" s="3">
        <f t="shared" si="1"/>
        <v>89</v>
      </c>
      <c r="B90" s="7" t="s">
        <v>351</v>
      </c>
      <c r="C90" s="7" t="s">
        <v>352</v>
      </c>
      <c r="D90" s="7" t="s">
        <v>353</v>
      </c>
      <c r="E90" s="7" t="s">
        <v>354</v>
      </c>
      <c r="F90" s="7">
        <v>2024</v>
      </c>
      <c r="G90" s="7">
        <v>9</v>
      </c>
      <c r="H90" s="7" t="s">
        <v>16</v>
      </c>
      <c r="I90" s="8">
        <v>40</v>
      </c>
      <c r="J90" s="7" t="s">
        <v>118</v>
      </c>
      <c r="K90" s="7" t="s">
        <v>49</v>
      </c>
      <c r="L90" s="8">
        <v>5196</v>
      </c>
      <c r="M90" s="8">
        <v>129.9</v>
      </c>
      <c r="N90" s="9"/>
      <c r="O90" s="8"/>
    </row>
    <row r="91" spans="1:15" ht="50.1" customHeight="1" x14ac:dyDescent="0.3">
      <c r="A91" s="3">
        <f t="shared" si="1"/>
        <v>90</v>
      </c>
      <c r="B91" s="10" t="s">
        <v>214</v>
      </c>
      <c r="C91" s="10" t="s">
        <v>355</v>
      </c>
      <c r="D91" s="10" t="s">
        <v>356</v>
      </c>
      <c r="E91" s="10" t="s">
        <v>357</v>
      </c>
      <c r="F91" s="10">
        <v>2024</v>
      </c>
      <c r="G91" s="10">
        <v>9</v>
      </c>
      <c r="H91" s="10" t="s">
        <v>39</v>
      </c>
      <c r="I91" s="11"/>
      <c r="J91" s="10" t="s">
        <v>270</v>
      </c>
      <c r="K91" s="10" t="s">
        <v>112</v>
      </c>
      <c r="L91" s="11">
        <v>98</v>
      </c>
      <c r="M91" s="11"/>
      <c r="N91" s="12" t="s">
        <v>177</v>
      </c>
      <c r="O91" s="10"/>
    </row>
    <row r="92" spans="1:15" ht="50.1" customHeight="1" x14ac:dyDescent="0.3">
      <c r="A92" s="3">
        <f t="shared" si="1"/>
        <v>91</v>
      </c>
      <c r="B92" s="7" t="s">
        <v>107</v>
      </c>
      <c r="C92" s="7" t="s">
        <v>358</v>
      </c>
      <c r="D92" s="7" t="s">
        <v>359</v>
      </c>
      <c r="E92" s="7" t="s">
        <v>360</v>
      </c>
      <c r="F92" s="7">
        <v>2024</v>
      </c>
      <c r="G92" s="7">
        <v>9</v>
      </c>
      <c r="H92" s="7" t="s">
        <v>39</v>
      </c>
      <c r="I92" s="8">
        <v>2</v>
      </c>
      <c r="J92" s="7" t="s">
        <v>361</v>
      </c>
      <c r="K92" s="7" t="s">
        <v>89</v>
      </c>
      <c r="L92" s="8">
        <v>998</v>
      </c>
      <c r="M92" s="8">
        <v>499</v>
      </c>
      <c r="N92" s="9"/>
      <c r="O92" s="8"/>
    </row>
    <row r="93" spans="1:15" ht="50.1" customHeight="1" x14ac:dyDescent="0.3">
      <c r="A93" s="3">
        <f t="shared" si="1"/>
        <v>92</v>
      </c>
      <c r="B93" s="4" t="s">
        <v>84</v>
      </c>
      <c r="C93" s="4" t="s">
        <v>362</v>
      </c>
      <c r="D93" s="4" t="s">
        <v>363</v>
      </c>
      <c r="E93" s="4" t="s">
        <v>364</v>
      </c>
      <c r="F93" s="4">
        <v>2024</v>
      </c>
      <c r="G93" s="4">
        <v>9</v>
      </c>
      <c r="H93" s="4" t="s">
        <v>16</v>
      </c>
      <c r="I93" s="4"/>
      <c r="J93" s="4" t="s">
        <v>168</v>
      </c>
      <c r="K93" s="4"/>
      <c r="L93" s="4"/>
      <c r="M93" s="5"/>
      <c r="N93" s="6" t="s">
        <v>365</v>
      </c>
      <c r="O93" s="5"/>
    </row>
    <row r="94" spans="1:15" ht="50.1" customHeight="1" x14ac:dyDescent="0.3">
      <c r="A94" s="3">
        <f t="shared" si="1"/>
        <v>93</v>
      </c>
      <c r="B94" s="10" t="s">
        <v>78</v>
      </c>
      <c r="C94" s="10" t="s">
        <v>79</v>
      </c>
      <c r="D94" s="10" t="s">
        <v>366</v>
      </c>
      <c r="E94" s="10" t="s">
        <v>367</v>
      </c>
      <c r="F94" s="10">
        <v>2024</v>
      </c>
      <c r="G94" s="10">
        <v>10</v>
      </c>
      <c r="H94" s="10" t="s">
        <v>39</v>
      </c>
      <c r="I94" s="11"/>
      <c r="J94" s="10"/>
      <c r="K94" s="10"/>
      <c r="L94" s="11"/>
      <c r="M94" s="11"/>
      <c r="N94" s="12" t="s">
        <v>368</v>
      </c>
      <c r="O94" s="10"/>
    </row>
    <row r="95" spans="1:15" ht="50.1" customHeight="1" x14ac:dyDescent="0.3">
      <c r="A95" s="3">
        <f t="shared" si="1"/>
        <v>94</v>
      </c>
      <c r="B95" s="7" t="s">
        <v>156</v>
      </c>
      <c r="C95" s="7" t="s">
        <v>157</v>
      </c>
      <c r="D95" s="7" t="s">
        <v>369</v>
      </c>
      <c r="E95" s="7" t="s">
        <v>370</v>
      </c>
      <c r="F95" s="7">
        <v>2024</v>
      </c>
      <c r="G95" s="7">
        <v>10</v>
      </c>
      <c r="H95" s="7" t="s">
        <v>39</v>
      </c>
      <c r="I95" s="8">
        <v>1</v>
      </c>
      <c r="J95" s="7" t="s">
        <v>270</v>
      </c>
      <c r="K95" s="7" t="s">
        <v>121</v>
      </c>
      <c r="L95" s="8">
        <v>125.8</v>
      </c>
      <c r="M95" s="8">
        <v>125.8</v>
      </c>
      <c r="N95" s="9"/>
      <c r="O95" s="8"/>
    </row>
    <row r="96" spans="1:15" ht="50.1" customHeight="1" x14ac:dyDescent="0.3">
      <c r="A96" s="3">
        <f t="shared" si="1"/>
        <v>95</v>
      </c>
      <c r="B96" s="7" t="s">
        <v>78</v>
      </c>
      <c r="C96" s="7" t="s">
        <v>371</v>
      </c>
      <c r="D96" s="7" t="s">
        <v>372</v>
      </c>
      <c r="E96" s="7" t="s">
        <v>373</v>
      </c>
      <c r="F96" s="7">
        <v>2024</v>
      </c>
      <c r="G96" s="7">
        <v>10</v>
      </c>
      <c r="H96" s="7" t="s">
        <v>39</v>
      </c>
      <c r="I96" s="8">
        <v>0.01</v>
      </c>
      <c r="J96" s="7" t="s">
        <v>304</v>
      </c>
      <c r="K96" s="7" t="s">
        <v>374</v>
      </c>
      <c r="L96" s="8">
        <v>58.8</v>
      </c>
      <c r="M96" s="8">
        <v>5880</v>
      </c>
      <c r="N96" s="9"/>
      <c r="O96" s="8"/>
    </row>
    <row r="97" spans="1:15" ht="50.1" customHeight="1" x14ac:dyDescent="0.3">
      <c r="A97" s="3">
        <f t="shared" si="1"/>
        <v>96</v>
      </c>
      <c r="B97" s="7" t="s">
        <v>351</v>
      </c>
      <c r="C97" s="7" t="s">
        <v>375</v>
      </c>
      <c r="D97" s="7" t="s">
        <v>376</v>
      </c>
      <c r="E97" s="7" t="s">
        <v>377</v>
      </c>
      <c r="F97" s="7">
        <v>2024</v>
      </c>
      <c r="G97" s="7">
        <v>10</v>
      </c>
      <c r="H97" s="7" t="s">
        <v>16</v>
      </c>
      <c r="I97" s="8">
        <v>10</v>
      </c>
      <c r="J97" s="7" t="s">
        <v>378</v>
      </c>
      <c r="K97" s="7" t="s">
        <v>24</v>
      </c>
      <c r="L97" s="8">
        <v>679</v>
      </c>
      <c r="M97" s="8">
        <v>67.900000000000006</v>
      </c>
      <c r="N97" s="9" t="s">
        <v>379</v>
      </c>
      <c r="O97" s="8"/>
    </row>
    <row r="98" spans="1:15" ht="50.1" customHeight="1" x14ac:dyDescent="0.3">
      <c r="A98" s="3">
        <f t="shared" si="1"/>
        <v>97</v>
      </c>
      <c r="B98" s="7" t="s">
        <v>84</v>
      </c>
      <c r="C98" s="7" t="s">
        <v>85</v>
      </c>
      <c r="D98" s="7" t="s">
        <v>380</v>
      </c>
      <c r="E98" s="7" t="s">
        <v>381</v>
      </c>
      <c r="F98" s="7">
        <v>2024</v>
      </c>
      <c r="G98" s="7">
        <v>11</v>
      </c>
      <c r="H98" s="7" t="s">
        <v>39</v>
      </c>
      <c r="I98" s="8">
        <v>0.1</v>
      </c>
      <c r="J98" s="7" t="s">
        <v>231</v>
      </c>
      <c r="K98" s="7" t="s">
        <v>112</v>
      </c>
      <c r="L98" s="8">
        <v>229</v>
      </c>
      <c r="M98" s="8">
        <v>2290</v>
      </c>
      <c r="N98" s="9"/>
      <c r="O98" s="8"/>
    </row>
    <row r="99" spans="1:15" ht="50.1" customHeight="1" x14ac:dyDescent="0.3">
      <c r="A99" s="3">
        <f t="shared" si="1"/>
        <v>98</v>
      </c>
      <c r="B99" s="7" t="s">
        <v>156</v>
      </c>
      <c r="C99" s="7" t="s">
        <v>172</v>
      </c>
      <c r="D99" s="7" t="s">
        <v>382</v>
      </c>
      <c r="E99" s="7" t="s">
        <v>383</v>
      </c>
      <c r="F99" s="7">
        <v>2024</v>
      </c>
      <c r="G99" s="7">
        <v>11</v>
      </c>
      <c r="H99" s="7" t="s">
        <v>221</v>
      </c>
      <c r="I99" s="8">
        <v>0.5</v>
      </c>
      <c r="J99" s="7" t="s">
        <v>82</v>
      </c>
      <c r="K99" s="7" t="s">
        <v>95</v>
      </c>
      <c r="L99" s="8">
        <v>235.84905699999999</v>
      </c>
      <c r="M99" s="8">
        <v>471.69811399999998</v>
      </c>
      <c r="N99" s="9"/>
      <c r="O99" s="8"/>
    </row>
    <row r="100" spans="1:15" ht="50.1" customHeight="1" x14ac:dyDescent="0.3">
      <c r="A100" s="3">
        <f t="shared" si="1"/>
        <v>99</v>
      </c>
      <c r="B100" s="10" t="s">
        <v>50</v>
      </c>
      <c r="C100" s="10" t="s">
        <v>384</v>
      </c>
      <c r="D100" s="10" t="s">
        <v>385</v>
      </c>
      <c r="E100" s="10" t="s">
        <v>386</v>
      </c>
      <c r="F100" s="10">
        <v>2024</v>
      </c>
      <c r="G100" s="10">
        <v>11</v>
      </c>
      <c r="H100" s="10" t="s">
        <v>16</v>
      </c>
      <c r="I100" s="11"/>
      <c r="J100" s="10" t="s">
        <v>387</v>
      </c>
      <c r="K100" s="10"/>
      <c r="L100" s="11"/>
      <c r="M100" s="11"/>
      <c r="N100" s="12" t="s">
        <v>388</v>
      </c>
      <c r="O100" s="11"/>
    </row>
    <row r="101" spans="1:15" ht="50.1" customHeight="1" x14ac:dyDescent="0.3">
      <c r="A101" s="3">
        <f t="shared" si="1"/>
        <v>100</v>
      </c>
      <c r="B101" s="10" t="s">
        <v>84</v>
      </c>
      <c r="C101" s="10" t="s">
        <v>362</v>
      </c>
      <c r="D101" s="10" t="s">
        <v>389</v>
      </c>
      <c r="E101" s="10" t="s">
        <v>364</v>
      </c>
      <c r="F101" s="10">
        <v>2024</v>
      </c>
      <c r="G101" s="10">
        <v>11</v>
      </c>
      <c r="H101" s="10" t="s">
        <v>16</v>
      </c>
      <c r="I101" s="11"/>
      <c r="J101" s="10" t="s">
        <v>168</v>
      </c>
      <c r="K101" s="10" t="s">
        <v>342</v>
      </c>
      <c r="L101" s="11"/>
      <c r="M101" s="11"/>
      <c r="N101" s="12" t="s">
        <v>390</v>
      </c>
      <c r="O101" s="11"/>
    </row>
    <row r="102" spans="1:15" ht="50.1" customHeight="1" x14ac:dyDescent="0.3">
      <c r="A102" s="3">
        <f t="shared" si="1"/>
        <v>101</v>
      </c>
      <c r="B102" s="10" t="s">
        <v>156</v>
      </c>
      <c r="C102" s="10" t="s">
        <v>157</v>
      </c>
      <c r="D102" s="10" t="s">
        <v>391</v>
      </c>
      <c r="E102" s="10" t="s">
        <v>392</v>
      </c>
      <c r="F102" s="10">
        <v>2024</v>
      </c>
      <c r="G102" s="10">
        <v>11</v>
      </c>
      <c r="H102" s="10" t="s">
        <v>221</v>
      </c>
      <c r="I102" s="11"/>
      <c r="J102" s="10"/>
      <c r="K102" s="10" t="s">
        <v>393</v>
      </c>
      <c r="L102" s="11">
        <v>123</v>
      </c>
      <c r="M102" s="11"/>
      <c r="N102" s="12" t="s">
        <v>394</v>
      </c>
      <c r="O102" s="10"/>
    </row>
    <row r="103" spans="1:15" ht="50.1" customHeight="1" x14ac:dyDescent="0.3">
      <c r="A103" s="3">
        <f t="shared" si="1"/>
        <v>102</v>
      </c>
      <c r="B103" s="7" t="s">
        <v>191</v>
      </c>
      <c r="C103" s="7" t="s">
        <v>395</v>
      </c>
      <c r="D103" s="7" t="s">
        <v>396</v>
      </c>
      <c r="E103" s="7" t="s">
        <v>397</v>
      </c>
      <c r="F103" s="7">
        <v>2024</v>
      </c>
      <c r="G103" s="7">
        <v>11</v>
      </c>
      <c r="H103" s="7" t="s">
        <v>175</v>
      </c>
      <c r="I103" s="8">
        <v>0.1</v>
      </c>
      <c r="J103" s="7" t="s">
        <v>398</v>
      </c>
      <c r="K103" s="7" t="s">
        <v>47</v>
      </c>
      <c r="L103" s="8">
        <v>800</v>
      </c>
      <c r="M103" s="8">
        <v>8000</v>
      </c>
      <c r="N103" s="9"/>
      <c r="O103" s="8"/>
    </row>
    <row r="104" spans="1:15" ht="50.1" customHeight="1" x14ac:dyDescent="0.3">
      <c r="A104" s="3">
        <f t="shared" si="1"/>
        <v>103</v>
      </c>
      <c r="B104" s="7" t="s">
        <v>50</v>
      </c>
      <c r="C104" s="7" t="s">
        <v>399</v>
      </c>
      <c r="D104" s="7" t="s">
        <v>400</v>
      </c>
      <c r="E104" s="7" t="s">
        <v>401</v>
      </c>
      <c r="F104" s="7">
        <v>2024</v>
      </c>
      <c r="G104" s="7">
        <v>11</v>
      </c>
      <c r="H104" s="7" t="s">
        <v>39</v>
      </c>
      <c r="I104" s="8">
        <v>0.05</v>
      </c>
      <c r="J104" s="7" t="s">
        <v>218</v>
      </c>
      <c r="K104" s="7" t="s">
        <v>402</v>
      </c>
      <c r="L104" s="8">
        <v>588.88</v>
      </c>
      <c r="M104" s="8">
        <v>11777.6</v>
      </c>
      <c r="N104" s="9"/>
      <c r="O104" s="8"/>
    </row>
    <row r="105" spans="1:15" ht="50.1" customHeight="1" x14ac:dyDescent="0.3">
      <c r="A105" s="3">
        <f t="shared" si="1"/>
        <v>104</v>
      </c>
      <c r="B105" s="10" t="s">
        <v>403</v>
      </c>
      <c r="C105" s="10"/>
      <c r="D105" s="10" t="s">
        <v>404</v>
      </c>
      <c r="E105" s="10" t="s">
        <v>405</v>
      </c>
      <c r="F105" s="10">
        <v>2024</v>
      </c>
      <c r="G105" s="10">
        <v>11</v>
      </c>
      <c r="H105" s="10" t="s">
        <v>39</v>
      </c>
      <c r="I105" s="11"/>
      <c r="J105" s="10"/>
      <c r="K105" s="10" t="s">
        <v>332</v>
      </c>
      <c r="L105" s="11">
        <v>76.8</v>
      </c>
      <c r="M105" s="11"/>
      <c r="N105" s="12" t="s">
        <v>207</v>
      </c>
      <c r="O105" s="10"/>
    </row>
    <row r="106" spans="1:15" ht="50.1" customHeight="1" x14ac:dyDescent="0.3">
      <c r="A106" s="3">
        <f t="shared" si="1"/>
        <v>105</v>
      </c>
      <c r="B106" s="10" t="s">
        <v>403</v>
      </c>
      <c r="C106" s="10"/>
      <c r="D106" s="10" t="s">
        <v>406</v>
      </c>
      <c r="E106" s="10" t="s">
        <v>407</v>
      </c>
      <c r="F106" s="10">
        <v>2024</v>
      </c>
      <c r="G106" s="10">
        <v>11</v>
      </c>
      <c r="H106" s="10"/>
      <c r="I106" s="11"/>
      <c r="J106" s="10"/>
      <c r="K106" s="10" t="s">
        <v>408</v>
      </c>
      <c r="L106" s="11">
        <v>1270.4540999999999</v>
      </c>
      <c r="M106" s="11"/>
      <c r="N106" s="12" t="s">
        <v>276</v>
      </c>
      <c r="O106" s="10"/>
    </row>
    <row r="107" spans="1:15" ht="50.1" customHeight="1" x14ac:dyDescent="0.3">
      <c r="A107" s="3">
        <f t="shared" si="1"/>
        <v>106</v>
      </c>
      <c r="B107" s="10" t="s">
        <v>13</v>
      </c>
      <c r="C107" s="10"/>
      <c r="D107" s="10" t="s">
        <v>409</v>
      </c>
      <c r="E107" s="10" t="s">
        <v>410</v>
      </c>
      <c r="F107" s="10">
        <v>2024</v>
      </c>
      <c r="G107" s="10">
        <v>11</v>
      </c>
      <c r="H107" s="10"/>
      <c r="I107" s="11"/>
      <c r="J107" s="10"/>
      <c r="K107" s="10" t="s">
        <v>411</v>
      </c>
      <c r="L107" s="11">
        <v>215.64</v>
      </c>
      <c r="M107" s="11"/>
      <c r="N107" s="12" t="s">
        <v>207</v>
      </c>
      <c r="O107" s="10"/>
    </row>
    <row r="108" spans="1:15" ht="50.1" customHeight="1" x14ac:dyDescent="0.3">
      <c r="A108" s="3">
        <f t="shared" si="1"/>
        <v>107</v>
      </c>
      <c r="B108" s="101" t="s">
        <v>107</v>
      </c>
      <c r="C108" s="101" t="s">
        <v>108</v>
      </c>
      <c r="D108" s="101" t="s">
        <v>412</v>
      </c>
      <c r="E108" s="101" t="s">
        <v>413</v>
      </c>
      <c r="F108" s="101">
        <v>2024</v>
      </c>
      <c r="G108" s="101"/>
      <c r="H108" s="10" t="s">
        <v>16</v>
      </c>
      <c r="I108" s="11"/>
      <c r="J108" s="10" t="s">
        <v>118</v>
      </c>
      <c r="K108" s="10" t="s">
        <v>58</v>
      </c>
      <c r="L108" s="11"/>
      <c r="M108" s="11"/>
      <c r="N108" s="12" t="s">
        <v>414</v>
      </c>
      <c r="O108" s="10"/>
    </row>
    <row r="109" spans="1:15" ht="50.1" customHeight="1" x14ac:dyDescent="0.3">
      <c r="A109" s="3">
        <f t="shared" si="1"/>
        <v>108</v>
      </c>
      <c r="B109" s="101"/>
      <c r="C109" s="101"/>
      <c r="D109" s="101"/>
      <c r="E109" s="101"/>
      <c r="F109" s="101"/>
      <c r="G109" s="101"/>
      <c r="H109" s="10" t="s">
        <v>39</v>
      </c>
      <c r="I109" s="11"/>
      <c r="J109" s="10" t="s">
        <v>270</v>
      </c>
      <c r="K109" s="10" t="s">
        <v>58</v>
      </c>
      <c r="L109" s="11"/>
      <c r="M109" s="11"/>
      <c r="N109" s="12" t="s">
        <v>414</v>
      </c>
      <c r="O109" s="10"/>
    </row>
    <row r="110" spans="1:15" ht="50.1" customHeight="1" x14ac:dyDescent="0.3">
      <c r="A110" s="3">
        <f t="shared" si="1"/>
        <v>109</v>
      </c>
      <c r="B110" s="10" t="s">
        <v>191</v>
      </c>
      <c r="C110" s="10" t="s">
        <v>327</v>
      </c>
      <c r="D110" s="10" t="s">
        <v>415</v>
      </c>
      <c r="E110" s="10" t="s">
        <v>416</v>
      </c>
      <c r="F110" s="10">
        <v>2024</v>
      </c>
      <c r="G110" s="10"/>
      <c r="H110" s="10" t="s">
        <v>16</v>
      </c>
      <c r="I110" s="11"/>
      <c r="J110" s="10" t="s">
        <v>120</v>
      </c>
      <c r="K110" s="10" t="s">
        <v>58</v>
      </c>
      <c r="L110" s="11"/>
      <c r="M110" s="11"/>
      <c r="N110" s="12" t="s">
        <v>414</v>
      </c>
      <c r="O110" s="10"/>
    </row>
    <row r="111" spans="1:15" ht="50.1" customHeight="1" x14ac:dyDescent="0.3">
      <c r="A111" s="3">
        <f t="shared" si="1"/>
        <v>110</v>
      </c>
      <c r="B111" s="10" t="s">
        <v>122</v>
      </c>
      <c r="C111" s="10" t="s">
        <v>417</v>
      </c>
      <c r="D111" s="10" t="s">
        <v>418</v>
      </c>
      <c r="E111" s="10" t="s">
        <v>419</v>
      </c>
      <c r="F111" s="10">
        <v>2024</v>
      </c>
      <c r="G111" s="10"/>
      <c r="H111" s="10" t="s">
        <v>16</v>
      </c>
      <c r="I111" s="11"/>
      <c r="J111" s="10" t="s">
        <v>378</v>
      </c>
      <c r="K111" s="10" t="s">
        <v>19</v>
      </c>
      <c r="L111" s="11"/>
      <c r="M111" s="11"/>
      <c r="N111" s="12" t="s">
        <v>414</v>
      </c>
      <c r="O111" s="10"/>
    </row>
    <row r="112" spans="1:15" ht="50.1" customHeight="1" x14ac:dyDescent="0.3">
      <c r="A112" s="3">
        <f t="shared" si="1"/>
        <v>111</v>
      </c>
      <c r="B112" s="10" t="s">
        <v>84</v>
      </c>
      <c r="C112" s="10" t="s">
        <v>420</v>
      </c>
      <c r="D112" s="10" t="s">
        <v>421</v>
      </c>
      <c r="E112" s="10" t="s">
        <v>422</v>
      </c>
      <c r="F112" s="10">
        <v>2024</v>
      </c>
      <c r="G112" s="10">
        <v>12</v>
      </c>
      <c r="H112" s="10" t="s">
        <v>16</v>
      </c>
      <c r="I112" s="11"/>
      <c r="J112" s="10" t="s">
        <v>168</v>
      </c>
      <c r="K112" s="10"/>
      <c r="L112" s="11"/>
      <c r="M112" s="11"/>
      <c r="N112" s="12" t="s">
        <v>423</v>
      </c>
      <c r="O112" s="11"/>
    </row>
    <row r="113" spans="1:15" ht="50.1" customHeight="1" x14ac:dyDescent="0.3">
      <c r="A113" s="3">
        <f t="shared" si="1"/>
        <v>112</v>
      </c>
      <c r="B113" s="99" t="s">
        <v>35</v>
      </c>
      <c r="C113" s="99" t="s">
        <v>102</v>
      </c>
      <c r="D113" s="7" t="s">
        <v>424</v>
      </c>
      <c r="E113" s="99" t="s">
        <v>425</v>
      </c>
      <c r="F113" s="99">
        <v>2024</v>
      </c>
      <c r="G113" s="99">
        <v>12</v>
      </c>
      <c r="H113" s="7" t="s">
        <v>16</v>
      </c>
      <c r="I113" s="8">
        <v>96</v>
      </c>
      <c r="J113" s="7" t="s">
        <v>426</v>
      </c>
      <c r="K113" s="7" t="s">
        <v>19</v>
      </c>
      <c r="L113" s="8">
        <v>8182</v>
      </c>
      <c r="M113" s="8">
        <v>85.2291666666667</v>
      </c>
      <c r="N113" s="9" t="s">
        <v>427</v>
      </c>
      <c r="O113" s="8"/>
    </row>
    <row r="114" spans="1:15" ht="50.1" customHeight="1" x14ac:dyDescent="0.3">
      <c r="A114" s="3">
        <f t="shared" si="1"/>
        <v>113</v>
      </c>
      <c r="B114" s="99"/>
      <c r="C114" s="99"/>
      <c r="D114" s="7" t="s">
        <v>428</v>
      </c>
      <c r="E114" s="99"/>
      <c r="F114" s="99"/>
      <c r="G114" s="99"/>
      <c r="H114" s="7" t="s">
        <v>16</v>
      </c>
      <c r="I114" s="8">
        <v>72</v>
      </c>
      <c r="J114" s="7" t="s">
        <v>429</v>
      </c>
      <c r="K114" s="7" t="s">
        <v>34</v>
      </c>
      <c r="L114" s="8">
        <v>5650.6</v>
      </c>
      <c r="M114" s="8">
        <v>78.480555555555597</v>
      </c>
      <c r="N114" s="9" t="s">
        <v>430</v>
      </c>
      <c r="O114" s="8"/>
    </row>
    <row r="115" spans="1:15" ht="50.1" customHeight="1" x14ac:dyDescent="0.3">
      <c r="A115" s="3">
        <f t="shared" si="1"/>
        <v>114</v>
      </c>
      <c r="B115" s="99"/>
      <c r="C115" s="99"/>
      <c r="D115" s="7" t="s">
        <v>431</v>
      </c>
      <c r="E115" s="99"/>
      <c r="F115" s="99"/>
      <c r="G115" s="99"/>
      <c r="H115" s="7" t="s">
        <v>16</v>
      </c>
      <c r="I115" s="8">
        <v>48</v>
      </c>
      <c r="J115" s="7" t="s">
        <v>429</v>
      </c>
      <c r="K115" s="7" t="s">
        <v>49</v>
      </c>
      <c r="L115" s="8">
        <v>4304</v>
      </c>
      <c r="M115" s="8">
        <v>89.6666666666667</v>
      </c>
      <c r="N115" s="9" t="s">
        <v>432</v>
      </c>
      <c r="O115" s="8"/>
    </row>
    <row r="116" spans="1:15" ht="50.1" customHeight="1" x14ac:dyDescent="0.3">
      <c r="A116" s="3">
        <f t="shared" si="1"/>
        <v>115</v>
      </c>
      <c r="B116" s="7" t="s">
        <v>84</v>
      </c>
      <c r="C116" s="7" t="s">
        <v>165</v>
      </c>
      <c r="D116" s="7" t="s">
        <v>433</v>
      </c>
      <c r="E116" s="7" t="s">
        <v>434</v>
      </c>
      <c r="F116" s="7">
        <v>2024</v>
      </c>
      <c r="G116" s="7">
        <v>12</v>
      </c>
      <c r="H116" s="7" t="s">
        <v>16</v>
      </c>
      <c r="I116" s="8">
        <v>10</v>
      </c>
      <c r="J116" s="7" t="s">
        <v>378</v>
      </c>
      <c r="K116" s="7" t="s">
        <v>59</v>
      </c>
      <c r="L116" s="8">
        <v>686</v>
      </c>
      <c r="M116" s="8">
        <v>68.599999999999994</v>
      </c>
      <c r="N116" s="9"/>
      <c r="O116" s="8"/>
    </row>
    <row r="117" spans="1:15" ht="50.1" customHeight="1" x14ac:dyDescent="0.3">
      <c r="A117" s="3">
        <f t="shared" si="1"/>
        <v>116</v>
      </c>
      <c r="B117" s="99" t="s">
        <v>435</v>
      </c>
      <c r="C117" s="99" t="s">
        <v>436</v>
      </c>
      <c r="D117" s="7" t="s">
        <v>437</v>
      </c>
      <c r="E117" s="99" t="s">
        <v>438</v>
      </c>
      <c r="F117" s="99">
        <v>2024</v>
      </c>
      <c r="G117" s="99">
        <v>12</v>
      </c>
      <c r="H117" s="7" t="s">
        <v>16</v>
      </c>
      <c r="I117" s="8">
        <v>1</v>
      </c>
      <c r="J117" s="7" t="s">
        <v>270</v>
      </c>
      <c r="K117" s="7" t="s">
        <v>112</v>
      </c>
      <c r="L117" s="8">
        <v>721</v>
      </c>
      <c r="M117" s="8">
        <v>721</v>
      </c>
      <c r="N117" s="9"/>
      <c r="O117" s="8"/>
    </row>
    <row r="118" spans="1:15" ht="50.1" customHeight="1" x14ac:dyDescent="0.3">
      <c r="A118" s="3">
        <f t="shared" si="1"/>
        <v>117</v>
      </c>
      <c r="B118" s="99"/>
      <c r="C118" s="99"/>
      <c r="D118" s="7" t="s">
        <v>439</v>
      </c>
      <c r="E118" s="99"/>
      <c r="F118" s="99"/>
      <c r="G118" s="99"/>
      <c r="H118" s="7" t="s">
        <v>39</v>
      </c>
      <c r="I118" s="8">
        <v>4</v>
      </c>
      <c r="J118" s="7" t="s">
        <v>186</v>
      </c>
      <c r="K118" s="7" t="s">
        <v>77</v>
      </c>
      <c r="L118" s="8">
        <v>715</v>
      </c>
      <c r="M118" s="8">
        <v>178.75</v>
      </c>
      <c r="N118" s="9"/>
      <c r="O118" s="8"/>
    </row>
    <row r="119" spans="1:15" ht="50.1" customHeight="1" x14ac:dyDescent="0.3">
      <c r="A119" s="3">
        <f t="shared" si="1"/>
        <v>118</v>
      </c>
      <c r="B119" s="10" t="s">
        <v>435</v>
      </c>
      <c r="C119" s="10" t="s">
        <v>436</v>
      </c>
      <c r="D119" s="10" t="s">
        <v>440</v>
      </c>
      <c r="E119" s="10" t="s">
        <v>441</v>
      </c>
      <c r="F119" s="10">
        <v>2024</v>
      </c>
      <c r="G119" s="10">
        <v>12</v>
      </c>
      <c r="H119" s="10" t="s">
        <v>16</v>
      </c>
      <c r="I119" s="11"/>
      <c r="J119" s="10"/>
      <c r="K119" s="10" t="s">
        <v>77</v>
      </c>
      <c r="L119" s="11">
        <v>44</v>
      </c>
      <c r="M119" s="11"/>
      <c r="N119" s="12" t="s">
        <v>207</v>
      </c>
      <c r="O119" s="10"/>
    </row>
    <row r="120" spans="1:15" ht="50.1" customHeight="1" x14ac:dyDescent="0.3">
      <c r="A120" s="3">
        <f t="shared" si="1"/>
        <v>119</v>
      </c>
      <c r="B120" s="99" t="s">
        <v>78</v>
      </c>
      <c r="C120" s="99" t="s">
        <v>79</v>
      </c>
      <c r="D120" s="7" t="s">
        <v>442</v>
      </c>
      <c r="E120" s="99" t="s">
        <v>443</v>
      </c>
      <c r="F120" s="99">
        <v>2024</v>
      </c>
      <c r="G120" s="99">
        <v>12</v>
      </c>
      <c r="H120" s="7" t="s">
        <v>16</v>
      </c>
      <c r="I120" s="8">
        <v>5</v>
      </c>
      <c r="J120" s="7" t="s">
        <v>168</v>
      </c>
      <c r="K120" s="7" t="s">
        <v>24</v>
      </c>
      <c r="L120" s="8">
        <v>495</v>
      </c>
      <c r="M120" s="8">
        <v>99</v>
      </c>
      <c r="N120" s="9"/>
      <c r="O120" s="8"/>
    </row>
    <row r="121" spans="1:15" ht="50.1" customHeight="1" x14ac:dyDescent="0.3">
      <c r="A121" s="3">
        <f t="shared" si="1"/>
        <v>120</v>
      </c>
      <c r="B121" s="99"/>
      <c r="C121" s="99"/>
      <c r="D121" s="7" t="s">
        <v>444</v>
      </c>
      <c r="E121" s="99"/>
      <c r="F121" s="99"/>
      <c r="G121" s="99"/>
      <c r="H121" s="7" t="s">
        <v>16</v>
      </c>
      <c r="I121" s="8">
        <v>5</v>
      </c>
      <c r="J121" s="7" t="s">
        <v>168</v>
      </c>
      <c r="K121" s="7" t="s">
        <v>20</v>
      </c>
      <c r="L121" s="8">
        <v>473.56</v>
      </c>
      <c r="M121" s="8">
        <v>94.712000000000003</v>
      </c>
      <c r="N121" s="9"/>
      <c r="O121" s="8"/>
    </row>
    <row r="122" spans="1:15" ht="50.1" customHeight="1" x14ac:dyDescent="0.3">
      <c r="A122" s="3">
        <f t="shared" si="1"/>
        <v>121</v>
      </c>
      <c r="B122" s="99"/>
      <c r="C122" s="99"/>
      <c r="D122" s="7" t="s">
        <v>445</v>
      </c>
      <c r="E122" s="99"/>
      <c r="F122" s="99"/>
      <c r="G122" s="99"/>
      <c r="H122" s="7" t="s">
        <v>16</v>
      </c>
      <c r="I122" s="8">
        <v>5</v>
      </c>
      <c r="J122" s="7" t="s">
        <v>168</v>
      </c>
      <c r="K122" s="7" t="s">
        <v>446</v>
      </c>
      <c r="L122" s="8">
        <v>500.8</v>
      </c>
      <c r="M122" s="8">
        <v>100.16</v>
      </c>
      <c r="N122" s="9"/>
      <c r="O122" s="8"/>
    </row>
    <row r="123" spans="1:15" ht="50.1" customHeight="1" x14ac:dyDescent="0.3">
      <c r="A123" s="3">
        <f t="shared" si="1"/>
        <v>122</v>
      </c>
      <c r="B123" s="99"/>
      <c r="C123" s="99"/>
      <c r="D123" s="7" t="s">
        <v>447</v>
      </c>
      <c r="E123" s="99"/>
      <c r="F123" s="99"/>
      <c r="G123" s="99"/>
      <c r="H123" s="7" t="s">
        <v>39</v>
      </c>
      <c r="I123" s="8">
        <v>2.5</v>
      </c>
      <c r="J123" s="7" t="s">
        <v>40</v>
      </c>
      <c r="K123" s="7" t="s">
        <v>34</v>
      </c>
      <c r="L123" s="8">
        <v>676.6</v>
      </c>
      <c r="M123" s="8">
        <v>270.64</v>
      </c>
      <c r="N123" s="9"/>
      <c r="O123" s="8"/>
    </row>
    <row r="124" spans="1:15" ht="50.1" customHeight="1" x14ac:dyDescent="0.3">
      <c r="A124" s="3">
        <f t="shared" si="1"/>
        <v>123</v>
      </c>
      <c r="B124" s="99"/>
      <c r="C124" s="99"/>
      <c r="D124" s="7" t="s">
        <v>448</v>
      </c>
      <c r="E124" s="99"/>
      <c r="F124" s="99"/>
      <c r="G124" s="99"/>
      <c r="H124" s="7" t="s">
        <v>39</v>
      </c>
      <c r="I124" s="8">
        <v>2.5</v>
      </c>
      <c r="J124" s="7" t="s">
        <v>40</v>
      </c>
      <c r="K124" s="7" t="s">
        <v>449</v>
      </c>
      <c r="L124" s="8">
        <v>870.17499999999995</v>
      </c>
      <c r="M124" s="8">
        <v>348.07</v>
      </c>
      <c r="N124" s="9"/>
      <c r="O124" s="8"/>
    </row>
    <row r="125" spans="1:15" ht="50.1" customHeight="1" x14ac:dyDescent="0.3">
      <c r="A125" s="3">
        <f t="shared" si="1"/>
        <v>124</v>
      </c>
      <c r="B125" s="7" t="s">
        <v>225</v>
      </c>
      <c r="C125" s="7" t="s">
        <v>450</v>
      </c>
      <c r="D125" s="7" t="s">
        <v>451</v>
      </c>
      <c r="E125" s="7" t="s">
        <v>452</v>
      </c>
      <c r="F125" s="7">
        <v>2024</v>
      </c>
      <c r="G125" s="7">
        <v>12</v>
      </c>
      <c r="H125" s="7" t="s">
        <v>39</v>
      </c>
      <c r="I125" s="8">
        <v>0.05</v>
      </c>
      <c r="J125" s="7" t="s">
        <v>218</v>
      </c>
      <c r="K125" s="7" t="s">
        <v>66</v>
      </c>
      <c r="L125" s="8">
        <v>207.93690000000001</v>
      </c>
      <c r="M125" s="8">
        <v>4158.7380000000003</v>
      </c>
      <c r="N125" s="9"/>
      <c r="O125" s="8"/>
    </row>
    <row r="126" spans="1:15" ht="50.1" customHeight="1" x14ac:dyDescent="0.3">
      <c r="A126" s="3">
        <f t="shared" si="1"/>
        <v>125</v>
      </c>
      <c r="B126" s="10" t="s">
        <v>435</v>
      </c>
      <c r="C126" s="10"/>
      <c r="D126" s="10" t="s">
        <v>453</v>
      </c>
      <c r="E126" s="10" t="s">
        <v>188</v>
      </c>
      <c r="F126" s="10">
        <v>2024</v>
      </c>
      <c r="G126" s="10">
        <v>12</v>
      </c>
      <c r="H126" s="10" t="s">
        <v>16</v>
      </c>
      <c r="I126" s="11"/>
      <c r="J126" s="10" t="s">
        <v>398</v>
      </c>
      <c r="K126" s="10" t="s">
        <v>454</v>
      </c>
      <c r="L126" s="11"/>
      <c r="M126" s="11"/>
      <c r="N126" s="12" t="s">
        <v>190</v>
      </c>
      <c r="O126" s="11"/>
    </row>
    <row r="127" spans="1:15" ht="50.1" customHeight="1" x14ac:dyDescent="0.3">
      <c r="A127" s="3">
        <f t="shared" si="1"/>
        <v>126</v>
      </c>
      <c r="B127" s="10" t="s">
        <v>435</v>
      </c>
      <c r="C127" s="10"/>
      <c r="D127" s="10" t="s">
        <v>455</v>
      </c>
      <c r="E127" s="10" t="s">
        <v>188</v>
      </c>
      <c r="F127" s="10">
        <v>2024</v>
      </c>
      <c r="G127" s="10">
        <v>12</v>
      </c>
      <c r="H127" s="10" t="s">
        <v>16</v>
      </c>
      <c r="I127" s="11"/>
      <c r="J127" s="10" t="s">
        <v>82</v>
      </c>
      <c r="K127" s="10" t="s">
        <v>454</v>
      </c>
      <c r="L127" s="11"/>
      <c r="M127" s="11"/>
      <c r="N127" s="12" t="s">
        <v>190</v>
      </c>
      <c r="O127" s="11"/>
    </row>
    <row r="128" spans="1:15" ht="50.1" customHeight="1" x14ac:dyDescent="0.3">
      <c r="A128" s="3">
        <f t="shared" si="1"/>
        <v>127</v>
      </c>
      <c r="B128" s="99" t="s">
        <v>35</v>
      </c>
      <c r="C128" s="99" t="s">
        <v>456</v>
      </c>
      <c r="D128" s="7" t="s">
        <v>457</v>
      </c>
      <c r="E128" s="99" t="s">
        <v>458</v>
      </c>
      <c r="F128" s="99">
        <v>2025</v>
      </c>
      <c r="G128" s="99">
        <v>1</v>
      </c>
      <c r="H128" s="7" t="s">
        <v>16</v>
      </c>
      <c r="I128" s="8">
        <v>5</v>
      </c>
      <c r="J128" s="7" t="s">
        <v>168</v>
      </c>
      <c r="K128" s="7" t="s">
        <v>56</v>
      </c>
      <c r="L128" s="8">
        <v>598.79999999999995</v>
      </c>
      <c r="M128" s="8">
        <v>119.76</v>
      </c>
      <c r="N128" s="9"/>
      <c r="O128" s="8"/>
    </row>
    <row r="129" spans="1:15" ht="50.1" customHeight="1" x14ac:dyDescent="0.3">
      <c r="A129" s="3">
        <f t="shared" si="1"/>
        <v>128</v>
      </c>
      <c r="B129" s="99"/>
      <c r="C129" s="99"/>
      <c r="D129" s="7" t="s">
        <v>459</v>
      </c>
      <c r="E129" s="99"/>
      <c r="F129" s="99"/>
      <c r="G129" s="99"/>
      <c r="H129" s="7" t="s">
        <v>39</v>
      </c>
      <c r="I129" s="8">
        <v>1</v>
      </c>
      <c r="J129" s="7" t="s">
        <v>270</v>
      </c>
      <c r="K129" s="7" t="s">
        <v>95</v>
      </c>
      <c r="L129" s="8">
        <v>496.3</v>
      </c>
      <c r="M129" s="8">
        <v>496.3</v>
      </c>
      <c r="N129" s="9"/>
      <c r="O129" s="8"/>
    </row>
    <row r="130" spans="1:15" ht="50.1" customHeight="1" x14ac:dyDescent="0.3">
      <c r="A130" s="3">
        <f t="shared" si="1"/>
        <v>129</v>
      </c>
      <c r="B130" s="10" t="s">
        <v>78</v>
      </c>
      <c r="C130" s="10" t="s">
        <v>371</v>
      </c>
      <c r="D130" s="10" t="s">
        <v>460</v>
      </c>
      <c r="E130" s="10" t="s">
        <v>461</v>
      </c>
      <c r="F130" s="10">
        <v>2025</v>
      </c>
      <c r="G130" s="10">
        <v>1</v>
      </c>
      <c r="H130" s="10" t="s">
        <v>16</v>
      </c>
      <c r="I130" s="11"/>
      <c r="J130" s="10"/>
      <c r="K130" s="10" t="s">
        <v>59</v>
      </c>
      <c r="L130" s="11">
        <v>31.5</v>
      </c>
      <c r="M130" s="11"/>
      <c r="N130" s="12" t="s">
        <v>207</v>
      </c>
      <c r="O130" s="11"/>
    </row>
    <row r="131" spans="1:15" ht="50.1" customHeight="1" x14ac:dyDescent="0.3">
      <c r="A131" s="3">
        <f t="shared" si="1"/>
        <v>130</v>
      </c>
      <c r="B131" s="4" t="s">
        <v>44</v>
      </c>
      <c r="C131" s="4" t="s">
        <v>462</v>
      </c>
      <c r="D131" s="4" t="s">
        <v>463</v>
      </c>
      <c r="E131" s="4" t="s">
        <v>464</v>
      </c>
      <c r="F131" s="4">
        <v>2025</v>
      </c>
      <c r="G131" s="4">
        <v>2</v>
      </c>
      <c r="H131" s="4" t="s">
        <v>39</v>
      </c>
      <c r="I131" s="4"/>
      <c r="J131" s="4" t="s">
        <v>218</v>
      </c>
      <c r="K131" s="4"/>
      <c r="L131" s="4"/>
      <c r="M131" s="5"/>
      <c r="N131" s="6"/>
      <c r="O131" s="5"/>
    </row>
    <row r="132" spans="1:15" ht="50.1" customHeight="1" x14ac:dyDescent="0.3">
      <c r="A132" s="3">
        <f t="shared" ref="A132:A195" si="2">ROW()-1</f>
        <v>131</v>
      </c>
      <c r="B132" s="4" t="s">
        <v>277</v>
      </c>
      <c r="C132" s="4" t="s">
        <v>465</v>
      </c>
      <c r="D132" s="4" t="s">
        <v>466</v>
      </c>
      <c r="E132" s="4" t="s">
        <v>467</v>
      </c>
      <c r="F132" s="4">
        <v>2025</v>
      </c>
      <c r="G132" s="4">
        <v>2</v>
      </c>
      <c r="H132" s="4" t="s">
        <v>39</v>
      </c>
      <c r="I132" s="4"/>
      <c r="J132" s="4" t="s">
        <v>218</v>
      </c>
      <c r="K132" s="4"/>
      <c r="L132" s="4"/>
      <c r="M132" s="5"/>
      <c r="N132" s="6"/>
      <c r="O132" s="5"/>
    </row>
    <row r="133" spans="1:15" ht="50.1" customHeight="1" x14ac:dyDescent="0.3">
      <c r="A133" s="3">
        <f t="shared" si="2"/>
        <v>132</v>
      </c>
      <c r="B133" s="4" t="s">
        <v>214</v>
      </c>
      <c r="C133" s="4" t="s">
        <v>468</v>
      </c>
      <c r="D133" s="4" t="s">
        <v>469</v>
      </c>
      <c r="E133" s="4" t="s">
        <v>470</v>
      </c>
      <c r="F133" s="4">
        <v>2025</v>
      </c>
      <c r="G133" s="4">
        <v>2</v>
      </c>
      <c r="H133" s="4" t="s">
        <v>221</v>
      </c>
      <c r="I133" s="4"/>
      <c r="J133" s="4" t="s">
        <v>471</v>
      </c>
      <c r="K133" s="4"/>
      <c r="L133" s="4"/>
      <c r="M133" s="5"/>
      <c r="N133" s="6" t="s">
        <v>472</v>
      </c>
      <c r="O133" s="5"/>
    </row>
    <row r="134" spans="1:15" ht="50.1" customHeight="1" x14ac:dyDescent="0.3">
      <c r="A134" s="3">
        <f t="shared" si="2"/>
        <v>133</v>
      </c>
      <c r="B134" s="4" t="s">
        <v>277</v>
      </c>
      <c r="C134" s="4" t="s">
        <v>465</v>
      </c>
      <c r="D134" s="4" t="s">
        <v>473</v>
      </c>
      <c r="E134" s="4" t="s">
        <v>467</v>
      </c>
      <c r="F134" s="4">
        <v>2025</v>
      </c>
      <c r="G134" s="4">
        <v>2</v>
      </c>
      <c r="H134" s="4"/>
      <c r="I134" s="4"/>
      <c r="J134" s="4"/>
      <c r="K134" s="4"/>
      <c r="L134" s="4"/>
      <c r="M134" s="5"/>
      <c r="N134" s="6"/>
      <c r="O134" s="5"/>
    </row>
    <row r="135" spans="1:15" ht="50.1" customHeight="1" x14ac:dyDescent="0.3">
      <c r="A135" s="3">
        <f t="shared" si="2"/>
        <v>134</v>
      </c>
      <c r="B135" s="10" t="s">
        <v>403</v>
      </c>
      <c r="C135" s="10"/>
      <c r="D135" s="10" t="s">
        <v>406</v>
      </c>
      <c r="E135" s="10" t="s">
        <v>407</v>
      </c>
      <c r="F135" s="10">
        <v>2025</v>
      </c>
      <c r="G135" s="10">
        <v>3</v>
      </c>
      <c r="H135" s="10"/>
      <c r="I135" s="11"/>
      <c r="J135" s="10"/>
      <c r="K135" s="10" t="s">
        <v>408</v>
      </c>
      <c r="L135" s="11">
        <v>1270.4540999999999</v>
      </c>
      <c r="M135" s="11"/>
      <c r="N135" s="12" t="s">
        <v>276</v>
      </c>
      <c r="O135" s="11"/>
    </row>
    <row r="136" spans="1:15" ht="50.1" customHeight="1" x14ac:dyDescent="0.3">
      <c r="A136" s="3">
        <f t="shared" si="2"/>
        <v>135</v>
      </c>
      <c r="B136" s="4" t="s">
        <v>44</v>
      </c>
      <c r="C136" s="4" t="s">
        <v>462</v>
      </c>
      <c r="D136" s="4" t="s">
        <v>474</v>
      </c>
      <c r="E136" s="4" t="s">
        <v>464</v>
      </c>
      <c r="F136" s="4">
        <v>2025</v>
      </c>
      <c r="G136" s="4">
        <v>3</v>
      </c>
      <c r="H136" s="4" t="s">
        <v>39</v>
      </c>
      <c r="I136" s="4"/>
      <c r="J136" s="4" t="s">
        <v>218</v>
      </c>
      <c r="K136" s="4"/>
      <c r="L136" s="4"/>
      <c r="M136" s="5"/>
      <c r="N136" s="6"/>
      <c r="O136" s="5"/>
    </row>
    <row r="137" spans="1:15" ht="50.1" customHeight="1" x14ac:dyDescent="0.3">
      <c r="A137" s="3">
        <f t="shared" si="2"/>
        <v>136</v>
      </c>
      <c r="B137" s="13" t="s">
        <v>44</v>
      </c>
      <c r="C137" s="13" t="s">
        <v>462</v>
      </c>
      <c r="D137" s="13" t="s">
        <v>475</v>
      </c>
      <c r="E137" s="13" t="s">
        <v>464</v>
      </c>
      <c r="F137" s="13">
        <v>2025</v>
      </c>
      <c r="G137" s="13">
        <v>3</v>
      </c>
      <c r="H137" s="13" t="s">
        <v>39</v>
      </c>
      <c r="I137" s="14"/>
      <c r="J137" s="13" t="s">
        <v>218</v>
      </c>
      <c r="K137" s="13"/>
      <c r="L137" s="14"/>
      <c r="M137" s="14"/>
      <c r="N137" s="15" t="s">
        <v>339</v>
      </c>
      <c r="O137" s="14"/>
    </row>
    <row r="138" spans="1:15" ht="50.1" customHeight="1" x14ac:dyDescent="0.3">
      <c r="A138" s="3">
        <f t="shared" si="2"/>
        <v>137</v>
      </c>
      <c r="B138" s="4" t="s">
        <v>476</v>
      </c>
      <c r="C138" s="4" t="s">
        <v>477</v>
      </c>
      <c r="D138" s="4" t="s">
        <v>478</v>
      </c>
      <c r="E138" s="4" t="s">
        <v>354</v>
      </c>
      <c r="F138" s="4">
        <v>2025</v>
      </c>
      <c r="G138" s="4">
        <v>3</v>
      </c>
      <c r="H138" s="4" t="s">
        <v>39</v>
      </c>
      <c r="I138" s="4"/>
      <c r="J138" s="4" t="s">
        <v>82</v>
      </c>
      <c r="K138" s="4"/>
      <c r="L138" s="4"/>
      <c r="M138" s="5"/>
      <c r="N138" s="6" t="s">
        <v>479</v>
      </c>
      <c r="O138" s="5"/>
    </row>
    <row r="139" spans="1:15" ht="50.1" customHeight="1" x14ac:dyDescent="0.3">
      <c r="A139" s="3">
        <f t="shared" si="2"/>
        <v>138</v>
      </c>
      <c r="B139" s="7" t="s">
        <v>476</v>
      </c>
      <c r="C139" s="7" t="s">
        <v>477</v>
      </c>
      <c r="D139" s="7" t="s">
        <v>480</v>
      </c>
      <c r="E139" s="7" t="s">
        <v>354</v>
      </c>
      <c r="F139" s="7">
        <v>2025</v>
      </c>
      <c r="G139" s="7">
        <v>3</v>
      </c>
      <c r="H139" s="7" t="s">
        <v>39</v>
      </c>
      <c r="I139" s="8">
        <v>0.5</v>
      </c>
      <c r="J139" s="7" t="s">
        <v>82</v>
      </c>
      <c r="K139" s="7" t="s">
        <v>89</v>
      </c>
      <c r="L139" s="8">
        <v>588</v>
      </c>
      <c r="M139" s="8">
        <v>1176</v>
      </c>
      <c r="N139" s="9" t="s">
        <v>479</v>
      </c>
      <c r="O139" s="8"/>
    </row>
    <row r="140" spans="1:15" ht="50.1" customHeight="1" x14ac:dyDescent="0.3">
      <c r="A140" s="3">
        <f t="shared" si="2"/>
        <v>139</v>
      </c>
      <c r="B140" s="13" t="s">
        <v>25</v>
      </c>
      <c r="C140" s="13" t="s">
        <v>481</v>
      </c>
      <c r="D140" s="13" t="s">
        <v>482</v>
      </c>
      <c r="E140" s="13" t="s">
        <v>483</v>
      </c>
      <c r="F140" s="13">
        <v>2025</v>
      </c>
      <c r="G140" s="13">
        <v>3</v>
      </c>
      <c r="H140" s="13" t="s">
        <v>16</v>
      </c>
      <c r="I140" s="14"/>
      <c r="J140" s="13"/>
      <c r="K140" s="13"/>
      <c r="L140" s="14"/>
      <c r="M140" s="14"/>
      <c r="N140" s="15" t="s">
        <v>484</v>
      </c>
      <c r="O140" s="14"/>
    </row>
    <row r="141" spans="1:15" ht="50.1" customHeight="1" x14ac:dyDescent="0.3">
      <c r="A141" s="3">
        <f t="shared" si="2"/>
        <v>140</v>
      </c>
      <c r="B141" s="7" t="s">
        <v>133</v>
      </c>
      <c r="C141" s="7"/>
      <c r="D141" s="7" t="s">
        <v>485</v>
      </c>
      <c r="E141" s="7" t="s">
        <v>486</v>
      </c>
      <c r="F141" s="7">
        <v>2025</v>
      </c>
      <c r="G141" s="7">
        <v>3</v>
      </c>
      <c r="H141" s="7" t="s">
        <v>39</v>
      </c>
      <c r="I141" s="8">
        <v>2.5000000000000001E-2</v>
      </c>
      <c r="J141" s="7" t="s">
        <v>338</v>
      </c>
      <c r="K141" s="7" t="s">
        <v>487</v>
      </c>
      <c r="L141" s="8">
        <v>89.2</v>
      </c>
      <c r="M141" s="8">
        <v>3568</v>
      </c>
      <c r="N141" s="9"/>
      <c r="O141" s="8"/>
    </row>
    <row r="142" spans="1:15" ht="50.1" customHeight="1" x14ac:dyDescent="0.3">
      <c r="A142" s="3">
        <f t="shared" si="2"/>
        <v>141</v>
      </c>
      <c r="B142" s="10" t="s">
        <v>488</v>
      </c>
      <c r="C142" s="10"/>
      <c r="D142" s="10" t="s">
        <v>489</v>
      </c>
      <c r="E142" s="10" t="s">
        <v>490</v>
      </c>
      <c r="F142" s="10">
        <v>2025</v>
      </c>
      <c r="G142" s="10">
        <v>3</v>
      </c>
      <c r="H142" s="10"/>
      <c r="I142" s="11"/>
      <c r="J142" s="10"/>
      <c r="K142" s="10" t="s">
        <v>23</v>
      </c>
      <c r="L142" s="11"/>
      <c r="M142" s="11"/>
      <c r="N142" s="12" t="s">
        <v>276</v>
      </c>
      <c r="O142" s="11"/>
    </row>
    <row r="143" spans="1:15" ht="50.1" customHeight="1" x14ac:dyDescent="0.3">
      <c r="A143" s="3">
        <f t="shared" si="2"/>
        <v>142</v>
      </c>
      <c r="B143" s="4" t="s">
        <v>156</v>
      </c>
      <c r="C143" s="4" t="s">
        <v>157</v>
      </c>
      <c r="D143" s="4" t="s">
        <v>491</v>
      </c>
      <c r="E143" s="4" t="s">
        <v>370</v>
      </c>
      <c r="F143" s="4">
        <v>2025</v>
      </c>
      <c r="G143" s="4">
        <v>3</v>
      </c>
      <c r="H143" s="4" t="s">
        <v>16</v>
      </c>
      <c r="I143" s="4"/>
      <c r="J143" s="4" t="s">
        <v>398</v>
      </c>
      <c r="K143" s="4"/>
      <c r="L143" s="4"/>
      <c r="M143" s="5"/>
      <c r="N143" s="6"/>
      <c r="O143" s="5"/>
    </row>
    <row r="144" spans="1:15" ht="50.1" customHeight="1" x14ac:dyDescent="0.3">
      <c r="A144" s="3">
        <f t="shared" si="2"/>
        <v>143</v>
      </c>
      <c r="B144" s="7" t="s">
        <v>139</v>
      </c>
      <c r="C144" s="7" t="s">
        <v>140</v>
      </c>
      <c r="D144" s="7" t="s">
        <v>492</v>
      </c>
      <c r="E144" s="7" t="s">
        <v>266</v>
      </c>
      <c r="F144" s="7">
        <v>2025</v>
      </c>
      <c r="G144" s="7">
        <v>3</v>
      </c>
      <c r="H144" s="7" t="s">
        <v>16</v>
      </c>
      <c r="I144" s="8">
        <v>15</v>
      </c>
      <c r="J144" s="7" t="s">
        <v>287</v>
      </c>
      <c r="K144" s="7" t="s">
        <v>493</v>
      </c>
      <c r="L144" s="8">
        <v>1650</v>
      </c>
      <c r="M144" s="8">
        <v>110</v>
      </c>
      <c r="N144" s="9"/>
      <c r="O144" s="8"/>
    </row>
    <row r="145" spans="1:15" ht="50.1" customHeight="1" x14ac:dyDescent="0.3">
      <c r="A145" s="3">
        <f t="shared" si="2"/>
        <v>144</v>
      </c>
      <c r="B145" s="10" t="s">
        <v>156</v>
      </c>
      <c r="C145" s="10" t="s">
        <v>157</v>
      </c>
      <c r="D145" s="10" t="s">
        <v>494</v>
      </c>
      <c r="E145" s="10" t="s">
        <v>370</v>
      </c>
      <c r="F145" s="10">
        <v>2025</v>
      </c>
      <c r="G145" s="10">
        <v>4</v>
      </c>
      <c r="H145" s="10" t="s">
        <v>16</v>
      </c>
      <c r="I145" s="11"/>
      <c r="J145" s="10" t="s">
        <v>398</v>
      </c>
      <c r="K145" s="11" t="s">
        <v>495</v>
      </c>
      <c r="L145" s="11">
        <v>386</v>
      </c>
      <c r="M145" s="11"/>
      <c r="N145" s="12" t="s">
        <v>242</v>
      </c>
      <c r="O145" s="11"/>
    </row>
    <row r="146" spans="1:15" ht="50.1" customHeight="1" x14ac:dyDescent="0.3">
      <c r="A146" s="3">
        <f t="shared" si="2"/>
        <v>145</v>
      </c>
      <c r="B146" s="10" t="s">
        <v>277</v>
      </c>
      <c r="C146" s="10" t="s">
        <v>465</v>
      </c>
      <c r="D146" s="10" t="s">
        <v>496</v>
      </c>
      <c r="E146" s="10" t="s">
        <v>467</v>
      </c>
      <c r="F146" s="10">
        <v>2025</v>
      </c>
      <c r="G146" s="10">
        <v>4</v>
      </c>
      <c r="H146" s="10" t="s">
        <v>39</v>
      </c>
      <c r="I146" s="11"/>
      <c r="J146" s="10" t="s">
        <v>218</v>
      </c>
      <c r="K146" s="10" t="s">
        <v>402</v>
      </c>
      <c r="L146" s="11"/>
      <c r="M146" s="11"/>
      <c r="N146" s="12" t="s">
        <v>190</v>
      </c>
      <c r="O146" s="11"/>
    </row>
    <row r="147" spans="1:15" ht="50.1" customHeight="1" x14ac:dyDescent="0.3">
      <c r="A147" s="3">
        <f t="shared" si="2"/>
        <v>146</v>
      </c>
      <c r="B147" s="4" t="s">
        <v>156</v>
      </c>
      <c r="C147" s="4" t="s">
        <v>157</v>
      </c>
      <c r="D147" s="4" t="s">
        <v>497</v>
      </c>
      <c r="E147" s="4" t="s">
        <v>370</v>
      </c>
      <c r="F147" s="4">
        <v>2025</v>
      </c>
      <c r="G147" s="4">
        <v>4</v>
      </c>
      <c r="H147" s="4" t="s">
        <v>16</v>
      </c>
      <c r="I147" s="4"/>
      <c r="J147" s="4" t="s">
        <v>398</v>
      </c>
      <c r="K147" s="4"/>
      <c r="L147" s="4"/>
      <c r="M147" s="5"/>
      <c r="N147" s="6"/>
      <c r="O147" s="5"/>
    </row>
    <row r="148" spans="1:15" ht="50.1" customHeight="1" x14ac:dyDescent="0.3">
      <c r="A148" s="3">
        <f t="shared" si="2"/>
        <v>147</v>
      </c>
      <c r="B148" s="7" t="s">
        <v>139</v>
      </c>
      <c r="C148" s="7" t="s">
        <v>140</v>
      </c>
      <c r="D148" s="7" t="s">
        <v>498</v>
      </c>
      <c r="E148" s="7" t="s">
        <v>266</v>
      </c>
      <c r="F148" s="7">
        <v>2025</v>
      </c>
      <c r="G148" s="7">
        <v>4</v>
      </c>
      <c r="H148" s="7" t="s">
        <v>16</v>
      </c>
      <c r="I148" s="8">
        <v>12.5</v>
      </c>
      <c r="J148" s="7" t="s">
        <v>499</v>
      </c>
      <c r="K148" s="7" t="s">
        <v>500</v>
      </c>
      <c r="L148" s="8">
        <v>469</v>
      </c>
      <c r="M148" s="8">
        <v>37.520000000000003</v>
      </c>
      <c r="N148" s="9" t="s">
        <v>501</v>
      </c>
      <c r="O148" s="8"/>
    </row>
    <row r="149" spans="1:15" ht="50.1" customHeight="1" x14ac:dyDescent="0.3">
      <c r="A149" s="3">
        <f t="shared" si="2"/>
        <v>148</v>
      </c>
      <c r="B149" s="7" t="s">
        <v>50</v>
      </c>
      <c r="C149" s="7" t="s">
        <v>502</v>
      </c>
      <c r="D149" s="7" t="s">
        <v>503</v>
      </c>
      <c r="E149" s="7" t="s">
        <v>504</v>
      </c>
      <c r="F149" s="7">
        <v>2025</v>
      </c>
      <c r="G149" s="7">
        <v>4</v>
      </c>
      <c r="H149" s="7" t="s">
        <v>39</v>
      </c>
      <c r="I149" s="8">
        <v>0.05</v>
      </c>
      <c r="J149" s="7" t="s">
        <v>218</v>
      </c>
      <c r="K149" s="7" t="s">
        <v>402</v>
      </c>
      <c r="L149" s="8">
        <v>545.88</v>
      </c>
      <c r="M149" s="8">
        <v>10917.6</v>
      </c>
      <c r="N149" s="9"/>
      <c r="O149" s="8"/>
    </row>
    <row r="150" spans="1:15" ht="50.1" customHeight="1" x14ac:dyDescent="0.3">
      <c r="A150" s="3">
        <f t="shared" si="2"/>
        <v>149</v>
      </c>
      <c r="B150" s="10" t="s">
        <v>505</v>
      </c>
      <c r="C150" s="10" t="s">
        <v>506</v>
      </c>
      <c r="D150" s="10" t="s">
        <v>507</v>
      </c>
      <c r="E150" s="10" t="s">
        <v>508</v>
      </c>
      <c r="F150" s="10">
        <v>2025</v>
      </c>
      <c r="G150" s="10">
        <v>4</v>
      </c>
      <c r="H150" s="10" t="s">
        <v>221</v>
      </c>
      <c r="I150" s="11"/>
      <c r="J150" s="10" t="s">
        <v>270</v>
      </c>
      <c r="K150" s="10" t="s">
        <v>509</v>
      </c>
      <c r="L150" s="11">
        <v>2850</v>
      </c>
      <c r="M150" s="11"/>
      <c r="N150" s="12" t="s">
        <v>94</v>
      </c>
      <c r="O150" s="11"/>
    </row>
    <row r="151" spans="1:15" ht="50.1" customHeight="1" x14ac:dyDescent="0.3">
      <c r="A151" s="3">
        <f t="shared" si="2"/>
        <v>150</v>
      </c>
      <c r="B151" s="7" t="s">
        <v>277</v>
      </c>
      <c r="C151" s="7" t="s">
        <v>465</v>
      </c>
      <c r="D151" s="7" t="s">
        <v>510</v>
      </c>
      <c r="E151" s="7" t="s">
        <v>467</v>
      </c>
      <c r="F151" s="7">
        <v>2025</v>
      </c>
      <c r="G151" s="7">
        <v>4</v>
      </c>
      <c r="H151" s="7" t="s">
        <v>39</v>
      </c>
      <c r="I151" s="8">
        <v>0.05</v>
      </c>
      <c r="J151" s="7" t="s">
        <v>218</v>
      </c>
      <c r="K151" s="7" t="s">
        <v>402</v>
      </c>
      <c r="L151" s="8">
        <v>538.88</v>
      </c>
      <c r="M151" s="8">
        <v>10777.6</v>
      </c>
      <c r="N151" s="9"/>
      <c r="O151" s="8"/>
    </row>
    <row r="152" spans="1:15" ht="50.1" customHeight="1" x14ac:dyDescent="0.3">
      <c r="A152" s="3">
        <f t="shared" si="2"/>
        <v>151</v>
      </c>
      <c r="B152" s="13" t="s">
        <v>50</v>
      </c>
      <c r="C152" s="13" t="s">
        <v>511</v>
      </c>
      <c r="D152" s="13" t="s">
        <v>512</v>
      </c>
      <c r="E152" s="13" t="s">
        <v>513</v>
      </c>
      <c r="F152" s="13">
        <v>2025</v>
      </c>
      <c r="G152" s="13">
        <v>4</v>
      </c>
      <c r="H152" s="13" t="s">
        <v>16</v>
      </c>
      <c r="I152" s="14"/>
      <c r="J152" s="13">
        <v>100</v>
      </c>
      <c r="K152" s="13"/>
      <c r="L152" s="14"/>
      <c r="M152" s="14"/>
      <c r="N152" s="15" t="s">
        <v>339</v>
      </c>
      <c r="O152" s="14"/>
    </row>
    <row r="153" spans="1:15" ht="50.1" customHeight="1" x14ac:dyDescent="0.3">
      <c r="A153" s="3">
        <f t="shared" si="2"/>
        <v>152</v>
      </c>
      <c r="B153" s="10" t="s">
        <v>44</v>
      </c>
      <c r="C153" s="10" t="s">
        <v>45</v>
      </c>
      <c r="D153" s="10" t="s">
        <v>514</v>
      </c>
      <c r="E153" s="10" t="s">
        <v>515</v>
      </c>
      <c r="F153" s="10">
        <v>2025</v>
      </c>
      <c r="G153" s="10">
        <v>4</v>
      </c>
      <c r="H153" s="10" t="s">
        <v>16</v>
      </c>
      <c r="I153" s="11"/>
      <c r="J153" s="10" t="s">
        <v>168</v>
      </c>
      <c r="K153" s="10" t="s">
        <v>516</v>
      </c>
      <c r="L153" s="11"/>
      <c r="M153" s="11"/>
      <c r="N153" s="12" t="s">
        <v>190</v>
      </c>
      <c r="O153" s="11"/>
    </row>
    <row r="154" spans="1:15" ht="50.1" customHeight="1" x14ac:dyDescent="0.3">
      <c r="A154" s="3">
        <f t="shared" si="2"/>
        <v>153</v>
      </c>
      <c r="B154" s="10" t="s">
        <v>517</v>
      </c>
      <c r="C154" s="10"/>
      <c r="D154" s="10" t="s">
        <v>518</v>
      </c>
      <c r="E154" s="10" t="s">
        <v>519</v>
      </c>
      <c r="F154" s="10">
        <v>2025</v>
      </c>
      <c r="G154" s="10">
        <v>4</v>
      </c>
      <c r="H154" s="10"/>
      <c r="I154" s="11"/>
      <c r="J154" s="10"/>
      <c r="K154" s="10" t="s">
        <v>23</v>
      </c>
      <c r="L154" s="11"/>
      <c r="M154" s="11"/>
      <c r="N154" s="12" t="s">
        <v>276</v>
      </c>
      <c r="O154" s="11"/>
    </row>
    <row r="155" spans="1:15" ht="50.1" customHeight="1" x14ac:dyDescent="0.3">
      <c r="A155" s="3">
        <f t="shared" si="2"/>
        <v>154</v>
      </c>
      <c r="B155" s="4" t="s">
        <v>44</v>
      </c>
      <c r="C155" s="4" t="s">
        <v>347</v>
      </c>
      <c r="D155" s="4" t="s">
        <v>348</v>
      </c>
      <c r="E155" s="4" t="s">
        <v>349</v>
      </c>
      <c r="F155" s="4">
        <v>2025</v>
      </c>
      <c r="G155" s="4">
        <v>4</v>
      </c>
      <c r="H155" s="4" t="s">
        <v>16</v>
      </c>
      <c r="I155" s="4"/>
      <c r="J155" s="4"/>
      <c r="K155" s="4"/>
      <c r="L155" s="4"/>
      <c r="M155" s="5"/>
      <c r="N155" s="6" t="s">
        <v>520</v>
      </c>
      <c r="O155" s="5"/>
    </row>
    <row r="156" spans="1:15" ht="50.1" customHeight="1" x14ac:dyDescent="0.3">
      <c r="A156" s="3">
        <f t="shared" si="2"/>
        <v>155</v>
      </c>
      <c r="B156" s="7" t="s">
        <v>78</v>
      </c>
      <c r="C156" s="7" t="s">
        <v>79</v>
      </c>
      <c r="D156" s="7" t="s">
        <v>521</v>
      </c>
      <c r="E156" s="7" t="s">
        <v>522</v>
      </c>
      <c r="F156" s="7">
        <v>2025</v>
      </c>
      <c r="G156" s="7">
        <v>5</v>
      </c>
      <c r="H156" s="7" t="s">
        <v>39</v>
      </c>
      <c r="I156" s="8">
        <v>0.05</v>
      </c>
      <c r="J156" s="7" t="s">
        <v>218</v>
      </c>
      <c r="K156" s="7" t="s">
        <v>402</v>
      </c>
      <c r="L156" s="8">
        <v>532.88</v>
      </c>
      <c r="M156" s="8">
        <v>10657.6</v>
      </c>
      <c r="N156" s="9"/>
      <c r="O156" s="8"/>
    </row>
    <row r="157" spans="1:15" ht="50.1" customHeight="1" x14ac:dyDescent="0.3">
      <c r="A157" s="3">
        <f t="shared" si="2"/>
        <v>156</v>
      </c>
      <c r="B157" s="4" t="s">
        <v>156</v>
      </c>
      <c r="C157" s="4" t="s">
        <v>157</v>
      </c>
      <c r="D157" s="4" t="s">
        <v>523</v>
      </c>
      <c r="E157" s="4" t="s">
        <v>370</v>
      </c>
      <c r="F157" s="4">
        <v>2025</v>
      </c>
      <c r="G157" s="4">
        <v>5</v>
      </c>
      <c r="H157" s="4" t="s">
        <v>16</v>
      </c>
      <c r="I157" s="4"/>
      <c r="J157" s="4" t="s">
        <v>398</v>
      </c>
      <c r="K157" s="4"/>
      <c r="L157" s="4"/>
      <c r="M157" s="5"/>
      <c r="N157" s="6"/>
      <c r="O157" s="5"/>
    </row>
    <row r="158" spans="1:15" ht="50.1" customHeight="1" x14ac:dyDescent="0.3">
      <c r="A158" s="3">
        <f t="shared" si="2"/>
        <v>157</v>
      </c>
      <c r="B158" s="10" t="s">
        <v>133</v>
      </c>
      <c r="C158" s="10" t="s">
        <v>134</v>
      </c>
      <c r="D158" s="10" t="s">
        <v>524</v>
      </c>
      <c r="E158" s="10" t="s">
        <v>525</v>
      </c>
      <c r="F158" s="10">
        <v>2025</v>
      </c>
      <c r="G158" s="10">
        <v>5</v>
      </c>
      <c r="H158" s="10" t="s">
        <v>16</v>
      </c>
      <c r="I158" s="11"/>
      <c r="J158" s="10" t="s">
        <v>338</v>
      </c>
      <c r="K158" s="10" t="s">
        <v>526</v>
      </c>
      <c r="L158" s="11">
        <v>53.9</v>
      </c>
      <c r="M158" s="11"/>
      <c r="N158" s="12" t="s">
        <v>242</v>
      </c>
      <c r="O158" s="11"/>
    </row>
    <row r="159" spans="1:15" ht="50.1" customHeight="1" x14ac:dyDescent="0.3">
      <c r="A159" s="3">
        <f t="shared" si="2"/>
        <v>158</v>
      </c>
      <c r="B159" s="10" t="s">
        <v>156</v>
      </c>
      <c r="C159" s="10" t="s">
        <v>157</v>
      </c>
      <c r="D159" s="10" t="s">
        <v>527</v>
      </c>
      <c r="E159" s="10" t="s">
        <v>370</v>
      </c>
      <c r="F159" s="10">
        <v>2025</v>
      </c>
      <c r="G159" s="10">
        <v>5</v>
      </c>
      <c r="H159" s="10" t="s">
        <v>16</v>
      </c>
      <c r="I159" s="11"/>
      <c r="J159" s="10" t="s">
        <v>398</v>
      </c>
      <c r="K159" s="10" t="s">
        <v>528</v>
      </c>
      <c r="L159" s="11">
        <v>186</v>
      </c>
      <c r="M159" s="11"/>
      <c r="N159" s="12" t="s">
        <v>242</v>
      </c>
      <c r="O159" s="11"/>
    </row>
    <row r="160" spans="1:15" ht="50.1" customHeight="1" x14ac:dyDescent="0.3">
      <c r="A160" s="3">
        <f t="shared" si="2"/>
        <v>159</v>
      </c>
      <c r="B160" s="10" t="s">
        <v>96</v>
      </c>
      <c r="C160" s="10" t="s">
        <v>301</v>
      </c>
      <c r="D160" s="10" t="s">
        <v>529</v>
      </c>
      <c r="E160" s="10" t="s">
        <v>303</v>
      </c>
      <c r="F160" s="10">
        <v>2025</v>
      </c>
      <c r="G160" s="10">
        <v>5</v>
      </c>
      <c r="H160" s="10" t="s">
        <v>16</v>
      </c>
      <c r="I160" s="11"/>
      <c r="J160" s="10" t="s">
        <v>530</v>
      </c>
      <c r="K160" s="10" t="s">
        <v>516</v>
      </c>
      <c r="L160" s="11">
        <v>28</v>
      </c>
      <c r="M160" s="11"/>
      <c r="N160" s="12" t="s">
        <v>242</v>
      </c>
      <c r="O160" s="11"/>
    </row>
    <row r="161" spans="1:15" ht="50.1" customHeight="1" x14ac:dyDescent="0.3">
      <c r="A161" s="3">
        <f t="shared" si="2"/>
        <v>160</v>
      </c>
      <c r="B161" s="4" t="s">
        <v>25</v>
      </c>
      <c r="C161" s="4" t="s">
        <v>26</v>
      </c>
      <c r="D161" s="4" t="s">
        <v>531</v>
      </c>
      <c r="E161" s="4" t="s">
        <v>532</v>
      </c>
      <c r="F161" s="4">
        <v>2025</v>
      </c>
      <c r="G161" s="4">
        <v>5</v>
      </c>
      <c r="H161" s="4" t="s">
        <v>16</v>
      </c>
      <c r="I161" s="4"/>
      <c r="J161" s="4" t="s">
        <v>270</v>
      </c>
      <c r="K161" s="4"/>
      <c r="L161" s="4"/>
      <c r="M161" s="5"/>
      <c r="N161" s="6"/>
      <c r="O161" s="5"/>
    </row>
    <row r="162" spans="1:15" ht="50.1" customHeight="1" x14ac:dyDescent="0.3">
      <c r="A162" s="3">
        <f t="shared" si="2"/>
        <v>161</v>
      </c>
      <c r="B162" s="102" t="s">
        <v>122</v>
      </c>
      <c r="C162" s="102" t="s">
        <v>533</v>
      </c>
      <c r="D162" s="105" t="s">
        <v>534</v>
      </c>
      <c r="E162" s="102" t="s">
        <v>535</v>
      </c>
      <c r="F162" s="106">
        <v>2025</v>
      </c>
      <c r="G162" s="106">
        <v>6</v>
      </c>
      <c r="H162" s="4" t="s">
        <v>16</v>
      </c>
      <c r="I162" s="4"/>
      <c r="J162" s="4" t="s">
        <v>168</v>
      </c>
      <c r="K162" s="4"/>
      <c r="L162" s="4"/>
      <c r="M162" s="4"/>
      <c r="N162" s="6" t="s">
        <v>536</v>
      </c>
      <c r="O162" s="6"/>
    </row>
    <row r="163" spans="1:15" ht="50.1" customHeight="1" x14ac:dyDescent="0.3">
      <c r="A163" s="3">
        <f t="shared" si="2"/>
        <v>162</v>
      </c>
      <c r="B163" s="103"/>
      <c r="C163" s="103"/>
      <c r="D163" s="105"/>
      <c r="E163" s="103"/>
      <c r="F163" s="107"/>
      <c r="G163" s="107"/>
      <c r="H163" s="4" t="s">
        <v>39</v>
      </c>
      <c r="I163" s="4"/>
      <c r="J163" s="4" t="s">
        <v>270</v>
      </c>
      <c r="K163" s="4"/>
      <c r="L163" s="4"/>
      <c r="M163" s="4"/>
      <c r="N163" s="6" t="s">
        <v>536</v>
      </c>
      <c r="O163" s="6"/>
    </row>
    <row r="164" spans="1:15" ht="50.1" customHeight="1" x14ac:dyDescent="0.3">
      <c r="A164" s="3">
        <f t="shared" si="2"/>
        <v>163</v>
      </c>
      <c r="B164" s="104"/>
      <c r="C164" s="104"/>
      <c r="D164" s="8" t="s">
        <v>537</v>
      </c>
      <c r="E164" s="104"/>
      <c r="F164" s="108"/>
      <c r="G164" s="108"/>
      <c r="H164" s="8" t="s">
        <v>16</v>
      </c>
      <c r="I164" s="8">
        <v>15</v>
      </c>
      <c r="J164" s="8" t="s">
        <v>538</v>
      </c>
      <c r="K164" s="8" t="s">
        <v>49</v>
      </c>
      <c r="L164" s="8">
        <v>1902.69</v>
      </c>
      <c r="M164" s="8">
        <v>126.846</v>
      </c>
      <c r="N164" s="9"/>
      <c r="O164" s="9"/>
    </row>
    <row r="165" spans="1:15" ht="50.1" customHeight="1" x14ac:dyDescent="0.3">
      <c r="A165" s="3">
        <f t="shared" si="2"/>
        <v>164</v>
      </c>
      <c r="B165" s="7" t="s">
        <v>78</v>
      </c>
      <c r="C165" s="7" t="s">
        <v>79</v>
      </c>
      <c r="D165" s="7" t="s">
        <v>539</v>
      </c>
      <c r="E165" s="7" t="s">
        <v>540</v>
      </c>
      <c r="F165" s="7">
        <v>2025</v>
      </c>
      <c r="G165" s="7">
        <v>6</v>
      </c>
      <c r="H165" s="7" t="s">
        <v>39</v>
      </c>
      <c r="I165" s="8">
        <v>2</v>
      </c>
      <c r="J165" s="7" t="s">
        <v>361</v>
      </c>
      <c r="K165" s="7" t="s">
        <v>58</v>
      </c>
      <c r="L165" s="8">
        <v>298</v>
      </c>
      <c r="M165" s="8">
        <v>149</v>
      </c>
      <c r="N165" s="9"/>
      <c r="O165" s="8"/>
    </row>
    <row r="166" spans="1:15" ht="50.1" customHeight="1" x14ac:dyDescent="0.3">
      <c r="A166" s="3">
        <f t="shared" si="2"/>
        <v>165</v>
      </c>
      <c r="B166" s="10" t="s">
        <v>44</v>
      </c>
      <c r="C166" s="10" t="s">
        <v>347</v>
      </c>
      <c r="D166" s="10" t="s">
        <v>348</v>
      </c>
      <c r="E166" s="10" t="s">
        <v>349</v>
      </c>
      <c r="F166" s="10">
        <v>2025</v>
      </c>
      <c r="G166" s="10">
        <v>6</v>
      </c>
      <c r="H166" s="10" t="s">
        <v>16</v>
      </c>
      <c r="I166" s="11"/>
      <c r="J166" s="10"/>
      <c r="K166" s="10" t="s">
        <v>454</v>
      </c>
      <c r="L166" s="11">
        <v>221.34100000000001</v>
      </c>
      <c r="M166" s="11"/>
      <c r="N166" s="12" t="s">
        <v>207</v>
      </c>
      <c r="O166" s="11"/>
    </row>
    <row r="167" spans="1:15" ht="50.1" customHeight="1" x14ac:dyDescent="0.3">
      <c r="A167" s="3">
        <f t="shared" si="2"/>
        <v>166</v>
      </c>
      <c r="B167" s="10" t="s">
        <v>44</v>
      </c>
      <c r="C167" s="10" t="s">
        <v>541</v>
      </c>
      <c r="D167" s="10" t="s">
        <v>542</v>
      </c>
      <c r="E167" s="10" t="s">
        <v>515</v>
      </c>
      <c r="F167" s="10">
        <v>2025</v>
      </c>
      <c r="G167" s="10">
        <v>6</v>
      </c>
      <c r="H167" s="10" t="s">
        <v>16</v>
      </c>
      <c r="I167" s="11"/>
      <c r="J167" s="10" t="s">
        <v>40</v>
      </c>
      <c r="K167" s="10" t="s">
        <v>59</v>
      </c>
      <c r="L167" s="11"/>
      <c r="M167" s="11"/>
      <c r="N167" s="12" t="s">
        <v>190</v>
      </c>
      <c r="O167" s="11"/>
    </row>
    <row r="168" spans="1:15" ht="50.1" customHeight="1" x14ac:dyDescent="0.3">
      <c r="A168" s="3">
        <f t="shared" si="2"/>
        <v>167</v>
      </c>
      <c r="B168" s="7" t="s">
        <v>25</v>
      </c>
      <c r="C168" s="7" t="s">
        <v>26</v>
      </c>
      <c r="D168" s="7" t="s">
        <v>531</v>
      </c>
      <c r="E168" s="7" t="s">
        <v>532</v>
      </c>
      <c r="F168" s="7">
        <v>2025</v>
      </c>
      <c r="G168" s="7">
        <v>6</v>
      </c>
      <c r="H168" s="7" t="s">
        <v>16</v>
      </c>
      <c r="I168" s="8">
        <v>1</v>
      </c>
      <c r="J168" s="7" t="s">
        <v>270</v>
      </c>
      <c r="K168" s="7" t="s">
        <v>56</v>
      </c>
      <c r="L168" s="8">
        <v>1017</v>
      </c>
      <c r="M168" s="8">
        <v>1017</v>
      </c>
      <c r="N168" s="9"/>
      <c r="O168" s="8"/>
    </row>
    <row r="169" spans="1:15" ht="50.1" customHeight="1" x14ac:dyDescent="0.3">
      <c r="A169" s="3">
        <f t="shared" si="2"/>
        <v>168</v>
      </c>
      <c r="B169" s="106" t="s">
        <v>133</v>
      </c>
      <c r="C169" s="106" t="s">
        <v>134</v>
      </c>
      <c r="D169" s="7" t="s">
        <v>543</v>
      </c>
      <c r="E169" s="106" t="s">
        <v>544</v>
      </c>
      <c r="F169" s="106">
        <v>2025</v>
      </c>
      <c r="G169" s="106">
        <v>6</v>
      </c>
      <c r="H169" s="7" t="s">
        <v>545</v>
      </c>
      <c r="I169" s="8">
        <v>15</v>
      </c>
      <c r="J169" s="7" t="s">
        <v>546</v>
      </c>
      <c r="K169" s="7" t="s">
        <v>23</v>
      </c>
      <c r="L169" s="8">
        <v>5406.3</v>
      </c>
      <c r="M169" s="8">
        <v>360.42</v>
      </c>
      <c r="N169" s="9"/>
      <c r="O169" s="8"/>
    </row>
    <row r="170" spans="1:15" ht="50.1" customHeight="1" x14ac:dyDescent="0.3">
      <c r="A170" s="3">
        <f t="shared" si="2"/>
        <v>169</v>
      </c>
      <c r="B170" s="108"/>
      <c r="C170" s="108"/>
      <c r="D170" s="7" t="s">
        <v>547</v>
      </c>
      <c r="E170" s="108"/>
      <c r="F170" s="108"/>
      <c r="G170" s="108"/>
      <c r="H170" s="7" t="s">
        <v>545</v>
      </c>
      <c r="I170" s="8">
        <v>10</v>
      </c>
      <c r="J170" s="7" t="s">
        <v>548</v>
      </c>
      <c r="K170" s="7" t="s">
        <v>112</v>
      </c>
      <c r="L170" s="8">
        <v>3560</v>
      </c>
      <c r="M170" s="8">
        <v>356</v>
      </c>
      <c r="N170" s="9"/>
      <c r="O170" s="8"/>
    </row>
    <row r="171" spans="1:15" ht="50.1" customHeight="1" x14ac:dyDescent="0.3">
      <c r="A171" s="3">
        <f t="shared" si="2"/>
        <v>170</v>
      </c>
      <c r="B171" s="10" t="s">
        <v>13</v>
      </c>
      <c r="C171" s="10"/>
      <c r="D171" s="10" t="s">
        <v>549</v>
      </c>
      <c r="E171" s="10" t="s">
        <v>550</v>
      </c>
      <c r="F171" s="10">
        <v>2025</v>
      </c>
      <c r="G171" s="10">
        <v>6</v>
      </c>
      <c r="H171" s="10"/>
      <c r="I171" s="11"/>
      <c r="J171" s="10"/>
      <c r="K171" s="10" t="s">
        <v>551</v>
      </c>
      <c r="L171" s="11">
        <v>698.5</v>
      </c>
      <c r="M171" s="11"/>
      <c r="N171" s="12" t="s">
        <v>552</v>
      </c>
      <c r="O171" s="11"/>
    </row>
    <row r="172" spans="1:15" ht="50.1" customHeight="1" x14ac:dyDescent="0.3">
      <c r="A172" s="3">
        <f t="shared" si="2"/>
        <v>171</v>
      </c>
      <c r="B172" s="10" t="s">
        <v>50</v>
      </c>
      <c r="C172" s="10"/>
      <c r="D172" s="10" t="s">
        <v>553</v>
      </c>
      <c r="E172" s="10" t="s">
        <v>554</v>
      </c>
      <c r="F172" s="10">
        <v>2025</v>
      </c>
      <c r="G172" s="10">
        <v>6</v>
      </c>
      <c r="H172" s="10"/>
      <c r="I172" s="11"/>
      <c r="J172" s="10"/>
      <c r="K172" s="10" t="s">
        <v>65</v>
      </c>
      <c r="L172" s="11"/>
      <c r="M172" s="11"/>
      <c r="N172" s="12" t="s">
        <v>276</v>
      </c>
      <c r="O172" s="11"/>
    </row>
    <row r="173" spans="1:15" ht="50.1" customHeight="1" x14ac:dyDescent="0.3">
      <c r="A173" s="3">
        <f t="shared" si="2"/>
        <v>172</v>
      </c>
      <c r="B173" s="4" t="s">
        <v>25</v>
      </c>
      <c r="C173" s="4" t="s">
        <v>555</v>
      </c>
      <c r="D173" s="4" t="s">
        <v>556</v>
      </c>
      <c r="E173" s="4" t="s">
        <v>557</v>
      </c>
      <c r="F173" s="4">
        <v>2025</v>
      </c>
      <c r="G173" s="4">
        <v>6</v>
      </c>
      <c r="H173" s="4" t="s">
        <v>16</v>
      </c>
      <c r="I173" s="4"/>
      <c r="J173" s="4"/>
      <c r="K173" s="4"/>
      <c r="L173" s="4"/>
      <c r="M173" s="5"/>
      <c r="N173" s="6" t="s">
        <v>558</v>
      </c>
      <c r="O173" s="5"/>
    </row>
    <row r="174" spans="1:15" ht="50.1" customHeight="1" x14ac:dyDescent="0.3">
      <c r="A174" s="3">
        <f t="shared" si="2"/>
        <v>173</v>
      </c>
      <c r="B174" s="10" t="s">
        <v>50</v>
      </c>
      <c r="C174" s="10" t="s">
        <v>559</v>
      </c>
      <c r="D174" s="10" t="s">
        <v>560</v>
      </c>
      <c r="E174" s="10" t="s">
        <v>561</v>
      </c>
      <c r="F174" s="10">
        <v>2025</v>
      </c>
      <c r="G174" s="10">
        <v>6</v>
      </c>
      <c r="H174" s="10" t="s">
        <v>16</v>
      </c>
      <c r="I174" s="11">
        <v>20</v>
      </c>
      <c r="J174" s="10" t="s">
        <v>120</v>
      </c>
      <c r="K174" s="10" t="s">
        <v>49</v>
      </c>
      <c r="L174" s="11"/>
      <c r="M174" s="11"/>
      <c r="N174" s="12" t="s">
        <v>562</v>
      </c>
      <c r="O174" s="11"/>
    </row>
    <row r="175" spans="1:15" ht="50.1" customHeight="1" x14ac:dyDescent="0.3">
      <c r="A175" s="3">
        <f t="shared" si="2"/>
        <v>174</v>
      </c>
      <c r="B175" s="10" t="s">
        <v>191</v>
      </c>
      <c r="C175" s="10" t="s">
        <v>563</v>
      </c>
      <c r="D175" s="10" t="s">
        <v>564</v>
      </c>
      <c r="E175" s="10" t="s">
        <v>565</v>
      </c>
      <c r="F175" s="10">
        <v>2025</v>
      </c>
      <c r="G175" s="10">
        <v>7</v>
      </c>
      <c r="H175" s="10"/>
      <c r="I175" s="11"/>
      <c r="J175" s="10"/>
      <c r="K175" s="10" t="s">
        <v>23</v>
      </c>
      <c r="L175" s="11">
        <v>24.6</v>
      </c>
      <c r="M175" s="11"/>
      <c r="N175" s="12" t="s">
        <v>276</v>
      </c>
      <c r="O175" s="11"/>
    </row>
    <row r="176" spans="1:15" ht="50.1" customHeight="1" x14ac:dyDescent="0.3">
      <c r="A176" s="3">
        <f t="shared" si="2"/>
        <v>175</v>
      </c>
      <c r="B176" s="13" t="s">
        <v>35</v>
      </c>
      <c r="C176" s="13" t="s">
        <v>566</v>
      </c>
      <c r="D176" s="13" t="s">
        <v>567</v>
      </c>
      <c r="E176" s="13" t="s">
        <v>568</v>
      </c>
      <c r="F176" s="13">
        <v>2025</v>
      </c>
      <c r="G176" s="13">
        <v>7</v>
      </c>
      <c r="H176" s="13"/>
      <c r="I176" s="14"/>
      <c r="J176" s="13"/>
      <c r="K176" s="13"/>
      <c r="L176" s="14"/>
      <c r="M176" s="14"/>
      <c r="N176" s="15"/>
      <c r="O176" s="14"/>
    </row>
    <row r="177" spans="1:16" ht="50.1" customHeight="1" x14ac:dyDescent="0.3">
      <c r="A177" s="3">
        <f t="shared" si="2"/>
        <v>176</v>
      </c>
      <c r="B177" s="13" t="s">
        <v>50</v>
      </c>
      <c r="C177" s="13" t="s">
        <v>569</v>
      </c>
      <c r="D177" s="13" t="s">
        <v>570</v>
      </c>
      <c r="E177" s="13" t="s">
        <v>571</v>
      </c>
      <c r="F177" s="13">
        <v>2025</v>
      </c>
      <c r="G177" s="13">
        <v>7</v>
      </c>
      <c r="H177" s="13" t="s">
        <v>16</v>
      </c>
      <c r="I177" s="14"/>
      <c r="J177" s="13"/>
      <c r="K177" s="13"/>
      <c r="L177" s="14"/>
      <c r="M177" s="14"/>
      <c r="N177" s="15"/>
      <c r="O177" s="14"/>
    </row>
    <row r="178" spans="1:16" ht="50.1" customHeight="1" x14ac:dyDescent="0.3">
      <c r="A178" s="3">
        <f t="shared" si="2"/>
        <v>177</v>
      </c>
      <c r="B178" s="16" t="s">
        <v>214</v>
      </c>
      <c r="C178" s="16" t="s">
        <v>572</v>
      </c>
      <c r="D178" s="7" t="s">
        <v>573</v>
      </c>
      <c r="E178" s="16" t="s">
        <v>574</v>
      </c>
      <c r="F178" s="16">
        <v>2025</v>
      </c>
      <c r="G178" s="16">
        <v>7</v>
      </c>
      <c r="H178" s="7" t="s">
        <v>39</v>
      </c>
      <c r="I178" s="8">
        <v>1</v>
      </c>
      <c r="J178" s="7" t="s">
        <v>270</v>
      </c>
      <c r="K178" s="7" t="s">
        <v>575</v>
      </c>
      <c r="L178" s="8">
        <v>1419</v>
      </c>
      <c r="M178" s="8">
        <v>1419</v>
      </c>
      <c r="N178" s="9"/>
      <c r="O178" s="8"/>
    </row>
    <row r="179" spans="1:16" ht="50.1" customHeight="1" x14ac:dyDescent="0.3">
      <c r="A179" s="3">
        <f t="shared" si="2"/>
        <v>178</v>
      </c>
      <c r="B179" s="10" t="s">
        <v>576</v>
      </c>
      <c r="C179" s="10" t="s">
        <v>577</v>
      </c>
      <c r="D179" s="10" t="s">
        <v>578</v>
      </c>
      <c r="E179" s="10" t="s">
        <v>579</v>
      </c>
      <c r="F179" s="10">
        <v>2025</v>
      </c>
      <c r="G179" s="10">
        <v>7</v>
      </c>
      <c r="H179" s="10"/>
      <c r="I179" s="11"/>
      <c r="J179" s="10"/>
      <c r="K179" s="10" t="s">
        <v>24</v>
      </c>
      <c r="L179" s="11">
        <v>252</v>
      </c>
      <c r="M179" s="11"/>
      <c r="N179" s="12" t="s">
        <v>207</v>
      </c>
      <c r="O179" s="11"/>
    </row>
    <row r="180" spans="1:16" ht="50.1" customHeight="1" x14ac:dyDescent="0.3">
      <c r="A180" s="3">
        <f t="shared" si="2"/>
        <v>179</v>
      </c>
      <c r="B180" s="10" t="s">
        <v>156</v>
      </c>
      <c r="C180" s="10" t="s">
        <v>157</v>
      </c>
      <c r="D180" s="10" t="s">
        <v>580</v>
      </c>
      <c r="E180" s="10" t="s">
        <v>581</v>
      </c>
      <c r="F180" s="10">
        <v>2025</v>
      </c>
      <c r="G180" s="10">
        <v>7</v>
      </c>
      <c r="H180" s="10" t="s">
        <v>16</v>
      </c>
      <c r="I180" s="11"/>
      <c r="J180" s="10"/>
      <c r="K180" s="10" t="s">
        <v>495</v>
      </c>
      <c r="L180" s="11">
        <v>299.39999999999998</v>
      </c>
      <c r="M180" s="11"/>
      <c r="N180" s="12" t="s">
        <v>207</v>
      </c>
      <c r="O180" s="11"/>
    </row>
    <row r="181" spans="1:16" ht="50.1" customHeight="1" x14ac:dyDescent="0.3">
      <c r="A181" s="3">
        <f t="shared" si="2"/>
        <v>180</v>
      </c>
      <c r="B181" s="17" t="s">
        <v>50</v>
      </c>
      <c r="C181" s="17" t="s">
        <v>582</v>
      </c>
      <c r="D181" s="17" t="s">
        <v>583</v>
      </c>
      <c r="E181" s="17" t="s">
        <v>584</v>
      </c>
      <c r="F181" s="17">
        <v>2025</v>
      </c>
      <c r="G181" s="17">
        <v>8</v>
      </c>
      <c r="H181" s="17" t="s">
        <v>16</v>
      </c>
      <c r="I181" s="18">
        <v>10</v>
      </c>
      <c r="J181" s="19" t="s">
        <v>378</v>
      </c>
      <c r="K181" s="17" t="s">
        <v>585</v>
      </c>
      <c r="L181" s="17">
        <v>3264.9789770000002</v>
      </c>
      <c r="M181" s="20"/>
      <c r="N181" s="21" t="s">
        <v>586</v>
      </c>
      <c r="O181" s="20"/>
    </row>
    <row r="182" spans="1:16" ht="50.1" customHeight="1" x14ac:dyDescent="0.3">
      <c r="A182" s="3">
        <f t="shared" si="2"/>
        <v>181</v>
      </c>
      <c r="B182" s="10" t="s">
        <v>25</v>
      </c>
      <c r="C182" s="10" t="s">
        <v>555</v>
      </c>
      <c r="D182" s="10" t="s">
        <v>587</v>
      </c>
      <c r="E182" s="10" t="s">
        <v>557</v>
      </c>
      <c r="F182" s="10">
        <v>2025</v>
      </c>
      <c r="G182" s="10">
        <v>8</v>
      </c>
      <c r="H182" s="10" t="s">
        <v>16</v>
      </c>
      <c r="I182" s="11">
        <v>2</v>
      </c>
      <c r="J182" s="10" t="s">
        <v>361</v>
      </c>
      <c r="K182" s="10" t="s">
        <v>588</v>
      </c>
      <c r="L182" s="11">
        <v>3413.655694</v>
      </c>
      <c r="M182" s="11"/>
      <c r="N182" s="22" t="s">
        <v>589</v>
      </c>
      <c r="O182" s="11"/>
    </row>
    <row r="183" spans="1:16" ht="50.1" customHeight="1" x14ac:dyDescent="0.3">
      <c r="A183" s="3">
        <f t="shared" si="2"/>
        <v>182</v>
      </c>
      <c r="B183" s="4" t="s">
        <v>35</v>
      </c>
      <c r="C183" s="4" t="s">
        <v>36</v>
      </c>
      <c r="D183" s="4" t="s">
        <v>590</v>
      </c>
      <c r="E183" s="4" t="s">
        <v>591</v>
      </c>
      <c r="F183" s="4">
        <v>2025</v>
      </c>
      <c r="G183" s="4">
        <v>8</v>
      </c>
      <c r="H183" s="4" t="s">
        <v>39</v>
      </c>
      <c r="I183" s="4"/>
      <c r="J183" s="4" t="s">
        <v>592</v>
      </c>
      <c r="K183" s="4"/>
      <c r="L183" s="4"/>
      <c r="M183" s="5"/>
      <c r="N183" s="6" t="s">
        <v>593</v>
      </c>
      <c r="O183" s="5"/>
    </row>
    <row r="184" spans="1:16" ht="50.1" customHeight="1" x14ac:dyDescent="0.3">
      <c r="A184" s="3">
        <f t="shared" si="2"/>
        <v>183</v>
      </c>
      <c r="B184" s="4" t="s">
        <v>78</v>
      </c>
      <c r="C184" s="4" t="s">
        <v>594</v>
      </c>
      <c r="D184" s="4" t="s">
        <v>243</v>
      </c>
      <c r="E184" s="4" t="s">
        <v>595</v>
      </c>
      <c r="F184" s="4">
        <v>2025</v>
      </c>
      <c r="G184" s="4">
        <v>8</v>
      </c>
      <c r="H184" s="4"/>
      <c r="I184" s="4"/>
      <c r="J184" s="4"/>
      <c r="K184" s="4"/>
      <c r="L184" s="4"/>
      <c r="M184" s="5"/>
      <c r="N184" s="6"/>
      <c r="O184" s="5"/>
    </row>
    <row r="185" spans="1:16" ht="50.1" customHeight="1" x14ac:dyDescent="0.3">
      <c r="A185" s="3">
        <f t="shared" si="2"/>
        <v>184</v>
      </c>
      <c r="B185" s="10" t="s">
        <v>35</v>
      </c>
      <c r="C185" s="10" t="s">
        <v>36</v>
      </c>
      <c r="D185" s="10" t="s">
        <v>596</v>
      </c>
      <c r="E185" s="10" t="s">
        <v>93</v>
      </c>
      <c r="F185" s="10">
        <v>2025</v>
      </c>
      <c r="G185" s="10">
        <v>8</v>
      </c>
      <c r="H185" s="10" t="s">
        <v>16</v>
      </c>
      <c r="I185" s="10"/>
      <c r="J185" s="10" t="s">
        <v>538</v>
      </c>
      <c r="K185" s="10" t="s">
        <v>597</v>
      </c>
      <c r="L185" s="11"/>
      <c r="M185" s="11"/>
      <c r="N185" s="12" t="s">
        <v>190</v>
      </c>
      <c r="O185" s="11"/>
    </row>
    <row r="186" spans="1:16" ht="50.1" customHeight="1" x14ac:dyDescent="0.3">
      <c r="A186" s="3">
        <f t="shared" si="2"/>
        <v>185</v>
      </c>
      <c r="B186" s="10" t="s">
        <v>35</v>
      </c>
      <c r="C186" s="10" t="s">
        <v>598</v>
      </c>
      <c r="D186" s="10" t="s">
        <v>599</v>
      </c>
      <c r="E186" s="10" t="s">
        <v>600</v>
      </c>
      <c r="F186" s="10">
        <v>2025</v>
      </c>
      <c r="G186" s="10">
        <v>8</v>
      </c>
      <c r="H186" s="10" t="s">
        <v>545</v>
      </c>
      <c r="I186" s="10"/>
      <c r="J186" s="10"/>
      <c r="K186" s="10" t="s">
        <v>43</v>
      </c>
      <c r="L186" s="11">
        <v>148</v>
      </c>
      <c r="M186" s="11"/>
      <c r="N186" s="12" t="s">
        <v>601</v>
      </c>
      <c r="O186" s="11"/>
    </row>
    <row r="187" spans="1:16" ht="50.1" customHeight="1" x14ac:dyDescent="0.3">
      <c r="A187" s="3">
        <f t="shared" si="2"/>
        <v>186</v>
      </c>
      <c r="B187" s="109" t="s">
        <v>122</v>
      </c>
      <c r="C187" s="109" t="s">
        <v>533</v>
      </c>
      <c r="D187" s="109" t="s">
        <v>602</v>
      </c>
      <c r="E187" s="109" t="s">
        <v>535</v>
      </c>
      <c r="F187" s="109">
        <v>2025</v>
      </c>
      <c r="G187" s="109">
        <v>8</v>
      </c>
      <c r="H187" s="23" t="s">
        <v>16</v>
      </c>
      <c r="I187" s="24"/>
      <c r="J187" s="23" t="s">
        <v>168</v>
      </c>
      <c r="K187" s="109" t="s">
        <v>49</v>
      </c>
      <c r="L187" s="109">
        <v>2327.1</v>
      </c>
      <c r="M187" s="24"/>
      <c r="N187" s="22" t="s">
        <v>589</v>
      </c>
      <c r="O187" s="24"/>
    </row>
    <row r="188" spans="1:16" ht="50.1" customHeight="1" x14ac:dyDescent="0.3">
      <c r="A188" s="3">
        <f t="shared" si="2"/>
        <v>187</v>
      </c>
      <c r="B188" s="110"/>
      <c r="C188" s="110"/>
      <c r="D188" s="110"/>
      <c r="E188" s="110"/>
      <c r="F188" s="110"/>
      <c r="G188" s="110"/>
      <c r="H188" s="23" t="s">
        <v>39</v>
      </c>
      <c r="I188" s="24"/>
      <c r="J188" s="23" t="s">
        <v>270</v>
      </c>
      <c r="K188" s="110"/>
      <c r="L188" s="110"/>
      <c r="M188" s="24"/>
      <c r="N188" s="22" t="s">
        <v>589</v>
      </c>
      <c r="O188" s="24"/>
    </row>
    <row r="189" spans="1:16" ht="50.1" customHeight="1" x14ac:dyDescent="0.3">
      <c r="A189" s="3">
        <f t="shared" si="2"/>
        <v>188</v>
      </c>
      <c r="B189" s="111" t="s">
        <v>35</v>
      </c>
      <c r="C189" s="111" t="s">
        <v>102</v>
      </c>
      <c r="D189" s="111" t="s">
        <v>603</v>
      </c>
      <c r="E189" s="111" t="s">
        <v>604</v>
      </c>
      <c r="F189" s="111">
        <v>2025</v>
      </c>
      <c r="G189" s="111">
        <v>8</v>
      </c>
      <c r="H189" s="111" t="s">
        <v>16</v>
      </c>
      <c r="I189" s="25">
        <v>240</v>
      </c>
      <c r="J189" s="111" t="s">
        <v>605</v>
      </c>
      <c r="K189" s="25" t="s">
        <v>24</v>
      </c>
      <c r="L189" s="26">
        <v>13695.504000000001</v>
      </c>
      <c r="M189" s="26">
        <v>57.064599999999999</v>
      </c>
      <c r="N189" s="27" t="s">
        <v>606</v>
      </c>
      <c r="O189" s="28" t="s">
        <v>607</v>
      </c>
      <c r="P189" s="2" t="s">
        <v>608</v>
      </c>
    </row>
    <row r="190" spans="1:16" ht="50.1" customHeight="1" x14ac:dyDescent="0.3">
      <c r="A190" s="3">
        <f t="shared" si="2"/>
        <v>189</v>
      </c>
      <c r="B190" s="112"/>
      <c r="C190" s="112"/>
      <c r="D190" s="112"/>
      <c r="E190" s="112"/>
      <c r="F190" s="112"/>
      <c r="G190" s="112"/>
      <c r="H190" s="112"/>
      <c r="I190" s="25">
        <v>240</v>
      </c>
      <c r="J190" s="112"/>
      <c r="K190" s="25" t="s">
        <v>115</v>
      </c>
      <c r="L190" s="26">
        <v>13248</v>
      </c>
      <c r="M190" s="26">
        <v>55.2</v>
      </c>
      <c r="N190" s="27" t="s">
        <v>606</v>
      </c>
      <c r="O190" s="26"/>
      <c r="P190" s="2" t="s">
        <v>609</v>
      </c>
    </row>
    <row r="191" spans="1:16" ht="50.1" customHeight="1" x14ac:dyDescent="0.3">
      <c r="A191" s="3">
        <f t="shared" si="2"/>
        <v>190</v>
      </c>
      <c r="B191" s="113"/>
      <c r="C191" s="113"/>
      <c r="D191" s="113"/>
      <c r="E191" s="113"/>
      <c r="F191" s="113"/>
      <c r="G191" s="113"/>
      <c r="H191" s="113"/>
      <c r="I191" s="25">
        <v>240</v>
      </c>
      <c r="J191" s="113"/>
      <c r="K191" s="25" t="s">
        <v>59</v>
      </c>
      <c r="L191" s="26">
        <v>12950.4</v>
      </c>
      <c r="M191" s="26">
        <v>53.96</v>
      </c>
      <c r="N191" s="27" t="s">
        <v>606</v>
      </c>
      <c r="O191" s="28" t="s">
        <v>610</v>
      </c>
    </row>
    <row r="192" spans="1:16" ht="50.1" customHeight="1" x14ac:dyDescent="0.3">
      <c r="A192" s="3">
        <f t="shared" si="2"/>
        <v>191</v>
      </c>
      <c r="B192" s="10" t="s">
        <v>25</v>
      </c>
      <c r="C192" s="10" t="s">
        <v>481</v>
      </c>
      <c r="D192" s="10" t="s">
        <v>611</v>
      </c>
      <c r="E192" s="10" t="s">
        <v>612</v>
      </c>
      <c r="F192" s="10">
        <v>2025</v>
      </c>
      <c r="G192" s="10">
        <v>8</v>
      </c>
      <c r="H192" s="10"/>
      <c r="I192" s="11"/>
      <c r="J192" s="10"/>
      <c r="K192" s="10" t="s">
        <v>23</v>
      </c>
      <c r="L192" s="11">
        <v>209.8</v>
      </c>
      <c r="M192" s="11"/>
      <c r="N192" s="12" t="s">
        <v>613</v>
      </c>
      <c r="O192" s="11"/>
    </row>
    <row r="193" spans="1:15" ht="50.1" customHeight="1" x14ac:dyDescent="0.3">
      <c r="A193" s="3">
        <f t="shared" si="2"/>
        <v>192</v>
      </c>
      <c r="B193" s="10" t="s">
        <v>35</v>
      </c>
      <c r="C193" s="10"/>
      <c r="D193" s="10" t="s">
        <v>614</v>
      </c>
      <c r="E193" s="10" t="s">
        <v>550</v>
      </c>
      <c r="F193" s="10">
        <v>2025</v>
      </c>
      <c r="G193" s="10">
        <v>8</v>
      </c>
      <c r="H193" s="10"/>
      <c r="I193" s="11"/>
      <c r="J193" s="10"/>
      <c r="K193" s="10" t="s">
        <v>43</v>
      </c>
      <c r="L193" s="11"/>
      <c r="M193" s="11"/>
      <c r="N193" s="12" t="s">
        <v>276</v>
      </c>
      <c r="O193" s="11"/>
    </row>
    <row r="194" spans="1:15" ht="50.1" customHeight="1" x14ac:dyDescent="0.3">
      <c r="A194" s="3">
        <f t="shared" si="2"/>
        <v>193</v>
      </c>
      <c r="B194" s="13" t="s">
        <v>35</v>
      </c>
      <c r="C194" s="13" t="s">
        <v>102</v>
      </c>
      <c r="D194" s="13" t="s">
        <v>615</v>
      </c>
      <c r="E194" s="13" t="s">
        <v>616</v>
      </c>
      <c r="F194" s="13">
        <v>2025</v>
      </c>
      <c r="G194" s="13">
        <v>9</v>
      </c>
      <c r="H194" s="13"/>
      <c r="I194" s="14"/>
      <c r="J194" s="13"/>
      <c r="K194" s="13"/>
      <c r="L194" s="14"/>
      <c r="M194" s="14"/>
      <c r="N194" s="15"/>
      <c r="O194" s="14"/>
    </row>
    <row r="195" spans="1:15" ht="50.1" customHeight="1" x14ac:dyDescent="0.3">
      <c r="A195" s="3">
        <f t="shared" si="2"/>
        <v>194</v>
      </c>
      <c r="B195" s="10" t="s">
        <v>78</v>
      </c>
      <c r="C195" s="10" t="s">
        <v>594</v>
      </c>
      <c r="D195" s="10" t="s">
        <v>617</v>
      </c>
      <c r="E195" s="10" t="s">
        <v>595</v>
      </c>
      <c r="F195" s="10">
        <v>2025</v>
      </c>
      <c r="G195" s="10">
        <v>9</v>
      </c>
      <c r="H195" s="10"/>
      <c r="I195" s="10"/>
      <c r="J195" s="10"/>
      <c r="K195" s="10" t="s">
        <v>618</v>
      </c>
      <c r="L195" s="11"/>
      <c r="M195" s="11"/>
      <c r="N195" s="12" t="s">
        <v>276</v>
      </c>
      <c r="O195" s="11"/>
    </row>
    <row r="196" spans="1:15" ht="50.1" customHeight="1" x14ac:dyDescent="0.3">
      <c r="A196" s="3">
        <f t="shared" ref="A196:A234" si="3">ROW()-1</f>
        <v>195</v>
      </c>
      <c r="B196" s="10" t="s">
        <v>25</v>
      </c>
      <c r="C196" s="10" t="s">
        <v>61</v>
      </c>
      <c r="D196" s="10" t="s">
        <v>619</v>
      </c>
      <c r="E196" s="10" t="s">
        <v>620</v>
      </c>
      <c r="F196" s="10">
        <v>2025</v>
      </c>
      <c r="G196" s="10">
        <v>10</v>
      </c>
      <c r="H196" s="10"/>
      <c r="I196" s="11"/>
      <c r="J196" s="10"/>
      <c r="K196" s="10" t="s">
        <v>487</v>
      </c>
      <c r="L196" s="11"/>
      <c r="M196" s="11"/>
      <c r="N196" s="12" t="s">
        <v>276</v>
      </c>
      <c r="O196" s="11"/>
    </row>
    <row r="197" spans="1:15" ht="50.1" customHeight="1" x14ac:dyDescent="0.3">
      <c r="A197" s="3">
        <f t="shared" si="3"/>
        <v>196</v>
      </c>
      <c r="B197" s="10" t="s">
        <v>84</v>
      </c>
      <c r="C197" s="10" t="s">
        <v>621</v>
      </c>
      <c r="D197" s="10" t="s">
        <v>622</v>
      </c>
      <c r="E197" s="10" t="s">
        <v>623</v>
      </c>
      <c r="F197" s="10">
        <v>2025</v>
      </c>
      <c r="G197" s="10">
        <v>10</v>
      </c>
      <c r="H197" s="10"/>
      <c r="I197" s="11"/>
      <c r="J197" s="10"/>
      <c r="K197" s="10" t="s">
        <v>624</v>
      </c>
      <c r="L197" s="11">
        <v>4210.3689999999997</v>
      </c>
      <c r="M197" s="11"/>
      <c r="N197" s="12" t="s">
        <v>276</v>
      </c>
      <c r="O197" s="11"/>
    </row>
    <row r="198" spans="1:15" ht="50.1" customHeight="1" x14ac:dyDescent="0.3">
      <c r="A198" s="3">
        <f t="shared" si="3"/>
        <v>197</v>
      </c>
      <c r="B198" s="4" t="s">
        <v>211</v>
      </c>
      <c r="C198" s="4"/>
      <c r="D198" s="4" t="s">
        <v>625</v>
      </c>
      <c r="E198" s="4" t="s">
        <v>213</v>
      </c>
      <c r="F198" s="4">
        <v>2025</v>
      </c>
      <c r="G198" s="4">
        <v>10</v>
      </c>
      <c r="H198" s="4"/>
      <c r="I198" s="4"/>
      <c r="J198" s="4"/>
      <c r="K198" s="4"/>
      <c r="L198" s="4"/>
      <c r="M198" s="5"/>
      <c r="N198" s="6"/>
      <c r="O198" s="5"/>
    </row>
    <row r="199" spans="1:15" ht="50.1" customHeight="1" x14ac:dyDescent="0.3">
      <c r="A199" s="3">
        <f t="shared" si="3"/>
        <v>198</v>
      </c>
      <c r="B199" s="10" t="s">
        <v>214</v>
      </c>
      <c r="C199" s="10" t="s">
        <v>355</v>
      </c>
      <c r="D199" s="10" t="s">
        <v>626</v>
      </c>
      <c r="E199" s="10" t="s">
        <v>627</v>
      </c>
      <c r="F199" s="10">
        <v>2025</v>
      </c>
      <c r="G199" s="10">
        <v>10</v>
      </c>
      <c r="H199" s="10" t="s">
        <v>16</v>
      </c>
      <c r="I199" s="11">
        <v>0.05</v>
      </c>
      <c r="J199" s="10" t="s">
        <v>218</v>
      </c>
      <c r="K199" s="10" t="s">
        <v>195</v>
      </c>
      <c r="L199" s="11">
        <v>440</v>
      </c>
      <c r="M199" s="11">
        <v>8800</v>
      </c>
      <c r="N199" s="12" t="s">
        <v>242</v>
      </c>
      <c r="O199" s="11"/>
    </row>
    <row r="200" spans="1:15" ht="50.1" customHeight="1" x14ac:dyDescent="0.3">
      <c r="A200" s="3">
        <f t="shared" si="3"/>
        <v>199</v>
      </c>
      <c r="B200" s="111" t="s">
        <v>107</v>
      </c>
      <c r="C200" s="111" t="s">
        <v>628</v>
      </c>
      <c r="D200" s="111" t="s">
        <v>629</v>
      </c>
      <c r="E200" s="111" t="s">
        <v>354</v>
      </c>
      <c r="F200" s="111">
        <v>2025</v>
      </c>
      <c r="G200" s="111">
        <v>11</v>
      </c>
      <c r="H200" s="111" t="s">
        <v>16</v>
      </c>
      <c r="I200" s="26">
        <v>60</v>
      </c>
      <c r="J200" s="25" t="s">
        <v>114</v>
      </c>
      <c r="K200" s="25" t="s">
        <v>19</v>
      </c>
      <c r="L200" s="26">
        <v>6521.33</v>
      </c>
      <c r="M200" s="26">
        <v>108.68883333333299</v>
      </c>
      <c r="N200" s="27" t="s">
        <v>630</v>
      </c>
      <c r="O200" s="26"/>
    </row>
    <row r="201" spans="1:15" ht="50.1" customHeight="1" x14ac:dyDescent="0.3">
      <c r="A201" s="3">
        <f t="shared" si="3"/>
        <v>200</v>
      </c>
      <c r="B201" s="113"/>
      <c r="C201" s="113"/>
      <c r="D201" s="113"/>
      <c r="E201" s="113"/>
      <c r="F201" s="113"/>
      <c r="G201" s="113"/>
      <c r="H201" s="113"/>
      <c r="I201" s="26">
        <v>90</v>
      </c>
      <c r="J201" s="25" t="s">
        <v>631</v>
      </c>
      <c r="K201" s="29" t="s">
        <v>19</v>
      </c>
      <c r="L201" s="26">
        <v>8820</v>
      </c>
      <c r="M201" s="26">
        <v>98</v>
      </c>
      <c r="N201" s="27" t="s">
        <v>632</v>
      </c>
      <c r="O201" s="28" t="s">
        <v>633</v>
      </c>
    </row>
    <row r="202" spans="1:15" ht="50.1" customHeight="1" x14ac:dyDescent="0.3">
      <c r="A202" s="3">
        <f t="shared" si="3"/>
        <v>201</v>
      </c>
      <c r="B202" s="16" t="s">
        <v>96</v>
      </c>
      <c r="C202" s="16" t="s">
        <v>301</v>
      </c>
      <c r="D202" s="7" t="s">
        <v>634</v>
      </c>
      <c r="E202" s="16" t="s">
        <v>303</v>
      </c>
      <c r="F202" s="16">
        <v>2025</v>
      </c>
      <c r="G202" s="16">
        <v>11</v>
      </c>
      <c r="H202" s="7" t="s">
        <v>221</v>
      </c>
      <c r="I202" s="8">
        <f>16/1000</f>
        <v>1.6E-2</v>
      </c>
      <c r="J202" s="7">
        <v>1.6E-2</v>
      </c>
      <c r="K202" s="7" t="s">
        <v>635</v>
      </c>
      <c r="L202" s="8">
        <v>11</v>
      </c>
      <c r="M202" s="8">
        <v>550</v>
      </c>
      <c r="N202" s="9"/>
      <c r="O202" s="8"/>
    </row>
    <row r="203" spans="1:15" ht="50.1" customHeight="1" x14ac:dyDescent="0.3">
      <c r="A203" s="3">
        <f t="shared" si="3"/>
        <v>202</v>
      </c>
      <c r="B203" s="114" t="s">
        <v>84</v>
      </c>
      <c r="C203" s="114" t="s">
        <v>85</v>
      </c>
      <c r="D203" s="114" t="s">
        <v>636</v>
      </c>
      <c r="E203" s="114" t="s">
        <v>637</v>
      </c>
      <c r="F203" s="114">
        <v>2025</v>
      </c>
      <c r="G203" s="114">
        <v>11</v>
      </c>
      <c r="H203" s="114" t="s">
        <v>16</v>
      </c>
      <c r="I203" s="18">
        <v>15</v>
      </c>
      <c r="J203" s="19" t="s">
        <v>538</v>
      </c>
      <c r="K203" s="114" t="s">
        <v>638</v>
      </c>
      <c r="L203" s="114">
        <v>14862.0396</v>
      </c>
      <c r="M203" s="117">
        <v>135.10945090909101</v>
      </c>
      <c r="N203" s="120" t="s">
        <v>639</v>
      </c>
      <c r="O203" s="117" t="s">
        <v>260</v>
      </c>
    </row>
    <row r="204" spans="1:15" ht="50.1" customHeight="1" x14ac:dyDescent="0.3">
      <c r="A204" s="3">
        <f t="shared" si="3"/>
        <v>203</v>
      </c>
      <c r="B204" s="115"/>
      <c r="C204" s="115"/>
      <c r="D204" s="115"/>
      <c r="E204" s="115"/>
      <c r="F204" s="115"/>
      <c r="G204" s="115"/>
      <c r="H204" s="115"/>
      <c r="I204" s="18">
        <v>80</v>
      </c>
      <c r="J204" s="19" t="s">
        <v>640</v>
      </c>
      <c r="K204" s="115"/>
      <c r="L204" s="115"/>
      <c r="M204" s="118"/>
      <c r="N204" s="121"/>
      <c r="O204" s="118"/>
    </row>
    <row r="205" spans="1:15" ht="50.1" customHeight="1" x14ac:dyDescent="0.3">
      <c r="A205" s="3">
        <f t="shared" si="3"/>
        <v>204</v>
      </c>
      <c r="B205" s="116"/>
      <c r="C205" s="116"/>
      <c r="D205" s="116"/>
      <c r="E205" s="116"/>
      <c r="F205" s="116"/>
      <c r="G205" s="116"/>
      <c r="H205" s="116"/>
      <c r="I205" s="18">
        <v>15</v>
      </c>
      <c r="J205" s="19" t="s">
        <v>287</v>
      </c>
      <c r="K205" s="116"/>
      <c r="L205" s="116"/>
      <c r="M205" s="119"/>
      <c r="N205" s="122"/>
      <c r="O205" s="119"/>
    </row>
    <row r="206" spans="1:15" ht="50.1" customHeight="1" x14ac:dyDescent="0.3">
      <c r="A206" s="3">
        <f t="shared" si="3"/>
        <v>205</v>
      </c>
      <c r="B206" s="10" t="s">
        <v>25</v>
      </c>
      <c r="C206" s="10" t="s">
        <v>641</v>
      </c>
      <c r="D206" s="10" t="s">
        <v>642</v>
      </c>
      <c r="E206" s="10" t="s">
        <v>643</v>
      </c>
      <c r="F206" s="10">
        <v>2025</v>
      </c>
      <c r="G206" s="10">
        <v>11</v>
      </c>
      <c r="H206" s="10" t="s">
        <v>16</v>
      </c>
      <c r="I206" s="11">
        <v>60</v>
      </c>
      <c r="J206" s="10" t="s">
        <v>644</v>
      </c>
      <c r="K206" s="10"/>
      <c r="L206" s="11"/>
      <c r="M206" s="11"/>
      <c r="N206" s="12" t="s">
        <v>76</v>
      </c>
      <c r="O206" s="11"/>
    </row>
    <row r="207" spans="1:15" ht="50.1" customHeight="1" x14ac:dyDescent="0.3">
      <c r="A207" s="3">
        <f t="shared" si="3"/>
        <v>206</v>
      </c>
      <c r="B207" s="10" t="s">
        <v>191</v>
      </c>
      <c r="C207" s="10" t="s">
        <v>645</v>
      </c>
      <c r="D207" s="10" t="s">
        <v>646</v>
      </c>
      <c r="E207" s="10" t="s">
        <v>647</v>
      </c>
      <c r="F207" s="10">
        <v>2025</v>
      </c>
      <c r="G207" s="10">
        <v>11</v>
      </c>
      <c r="H207" s="10" t="s">
        <v>16</v>
      </c>
      <c r="I207" s="11">
        <v>15</v>
      </c>
      <c r="J207" s="10" t="s">
        <v>538</v>
      </c>
      <c r="K207" s="10" t="s">
        <v>648</v>
      </c>
      <c r="L207" s="11"/>
      <c r="M207" s="11"/>
      <c r="N207" s="12" t="s">
        <v>190</v>
      </c>
      <c r="O207" s="11"/>
    </row>
    <row r="208" spans="1:15" ht="50.1" customHeight="1" x14ac:dyDescent="0.3">
      <c r="A208" s="3">
        <f t="shared" si="3"/>
        <v>207</v>
      </c>
      <c r="B208" s="16" t="s">
        <v>35</v>
      </c>
      <c r="C208" s="16" t="s">
        <v>36</v>
      </c>
      <c r="D208" s="7" t="s">
        <v>649</v>
      </c>
      <c r="E208" s="16" t="s">
        <v>591</v>
      </c>
      <c r="F208" s="16">
        <v>2025</v>
      </c>
      <c r="G208" s="16">
        <v>11</v>
      </c>
      <c r="H208" s="7" t="s">
        <v>39</v>
      </c>
      <c r="I208" s="8">
        <v>45</v>
      </c>
      <c r="J208" s="7" t="s">
        <v>592</v>
      </c>
      <c r="K208" s="7" t="s">
        <v>650</v>
      </c>
      <c r="L208" s="8">
        <v>14397.1</v>
      </c>
      <c r="M208" s="8">
        <v>319.93555555555599</v>
      </c>
      <c r="N208" s="9" t="s">
        <v>651</v>
      </c>
      <c r="O208" s="8"/>
    </row>
    <row r="209" spans="1:15" ht="50.1" customHeight="1" x14ac:dyDescent="0.3">
      <c r="A209" s="3">
        <f t="shared" si="3"/>
        <v>208</v>
      </c>
      <c r="B209" s="4" t="s">
        <v>156</v>
      </c>
      <c r="C209" s="4" t="s">
        <v>157</v>
      </c>
      <c r="D209" s="4" t="s">
        <v>652</v>
      </c>
      <c r="E209" s="4" t="s">
        <v>653</v>
      </c>
      <c r="F209" s="4">
        <v>2025</v>
      </c>
      <c r="G209" s="4">
        <v>11</v>
      </c>
      <c r="H209" s="4" t="s">
        <v>39</v>
      </c>
      <c r="I209" s="4"/>
      <c r="J209" s="4" t="s">
        <v>82</v>
      </c>
      <c r="K209" s="4"/>
      <c r="L209" s="4"/>
      <c r="M209" s="4"/>
      <c r="N209" s="6" t="s">
        <v>654</v>
      </c>
      <c r="O209" s="5"/>
    </row>
    <row r="210" spans="1:15" ht="50.1" customHeight="1" x14ac:dyDescent="0.3">
      <c r="A210" s="3">
        <f t="shared" si="3"/>
        <v>209</v>
      </c>
      <c r="B210" s="19" t="s">
        <v>261</v>
      </c>
      <c r="C210" s="19" t="s">
        <v>655</v>
      </c>
      <c r="D210" s="19" t="s">
        <v>656</v>
      </c>
      <c r="E210" s="19" t="s">
        <v>657</v>
      </c>
      <c r="F210" s="19">
        <v>2025</v>
      </c>
      <c r="G210" s="19">
        <v>11</v>
      </c>
      <c r="H210" s="19" t="s">
        <v>39</v>
      </c>
      <c r="I210" s="30">
        <v>1.5</v>
      </c>
      <c r="J210" s="31" t="s">
        <v>658</v>
      </c>
      <c r="K210" s="19" t="s">
        <v>121</v>
      </c>
      <c r="L210" s="18">
        <v>765.2</v>
      </c>
      <c r="M210" s="30">
        <v>510.13333333333298</v>
      </c>
      <c r="N210" s="32" t="s">
        <v>659</v>
      </c>
      <c r="O210" s="18"/>
    </row>
    <row r="211" spans="1:15" ht="50.1" customHeight="1" x14ac:dyDescent="0.3">
      <c r="A211" s="3">
        <f t="shared" si="3"/>
        <v>210</v>
      </c>
      <c r="B211" s="16" t="s">
        <v>208</v>
      </c>
      <c r="C211" s="16" t="s">
        <v>660</v>
      </c>
      <c r="D211" s="7" t="s">
        <v>661</v>
      </c>
      <c r="E211" s="16" t="s">
        <v>662</v>
      </c>
      <c r="F211" s="16">
        <v>2025</v>
      </c>
      <c r="G211" s="16">
        <v>12</v>
      </c>
      <c r="H211" s="7" t="s">
        <v>16</v>
      </c>
      <c r="I211" s="8">
        <v>1.5</v>
      </c>
      <c r="J211" s="7" t="s">
        <v>663</v>
      </c>
      <c r="K211" s="7" t="s">
        <v>515</v>
      </c>
      <c r="L211" s="8">
        <v>419</v>
      </c>
      <c r="M211" s="8">
        <v>279.33333333333297</v>
      </c>
      <c r="N211" s="9" t="s">
        <v>664</v>
      </c>
      <c r="O211" s="8"/>
    </row>
    <row r="212" spans="1:15" ht="50.1" customHeight="1" x14ac:dyDescent="0.3">
      <c r="A212" s="3">
        <f t="shared" si="3"/>
        <v>211</v>
      </c>
      <c r="B212" s="16" t="s">
        <v>156</v>
      </c>
      <c r="C212" s="16" t="s">
        <v>157</v>
      </c>
      <c r="D212" s="7" t="s">
        <v>665</v>
      </c>
      <c r="E212" s="16" t="s">
        <v>653</v>
      </c>
      <c r="F212" s="16">
        <v>2025</v>
      </c>
      <c r="G212" s="16">
        <v>12</v>
      </c>
      <c r="H212" s="7" t="s">
        <v>16</v>
      </c>
      <c r="I212" s="8">
        <v>0.5</v>
      </c>
      <c r="J212" s="7" t="s">
        <v>82</v>
      </c>
      <c r="K212" s="7" t="s">
        <v>666</v>
      </c>
      <c r="L212" s="8">
        <v>492</v>
      </c>
      <c r="M212" s="8">
        <v>984</v>
      </c>
      <c r="N212" s="9" t="s">
        <v>667</v>
      </c>
      <c r="O212" s="8"/>
    </row>
    <row r="213" spans="1:15" ht="50.1" customHeight="1" x14ac:dyDescent="0.3">
      <c r="A213" s="3">
        <f t="shared" si="3"/>
        <v>212</v>
      </c>
      <c r="B213" s="10" t="s">
        <v>122</v>
      </c>
      <c r="C213" s="10" t="s">
        <v>123</v>
      </c>
      <c r="D213" s="10" t="s">
        <v>668</v>
      </c>
      <c r="E213" s="10" t="s">
        <v>669</v>
      </c>
      <c r="F213" s="10">
        <v>2025</v>
      </c>
      <c r="G213" s="10">
        <v>12</v>
      </c>
      <c r="H213" s="10"/>
      <c r="I213" s="11"/>
      <c r="J213" s="10"/>
      <c r="K213" s="10" t="s">
        <v>116</v>
      </c>
      <c r="L213" s="11">
        <v>30</v>
      </c>
      <c r="M213" s="11"/>
      <c r="N213" s="12" t="s">
        <v>276</v>
      </c>
      <c r="O213" s="11"/>
    </row>
    <row r="214" spans="1:15" ht="50.1" customHeight="1" x14ac:dyDescent="0.3">
      <c r="A214" s="3">
        <f t="shared" si="3"/>
        <v>213</v>
      </c>
      <c r="B214" s="4" t="s">
        <v>211</v>
      </c>
      <c r="C214" s="4"/>
      <c r="D214" s="4" t="s">
        <v>670</v>
      </c>
      <c r="E214" s="4" t="s">
        <v>213</v>
      </c>
      <c r="F214" s="4">
        <v>2025</v>
      </c>
      <c r="G214" s="4">
        <v>12</v>
      </c>
      <c r="H214" s="4"/>
      <c r="I214" s="4"/>
      <c r="J214" s="4"/>
      <c r="K214" s="4"/>
      <c r="L214" s="4"/>
      <c r="M214" s="5"/>
      <c r="N214" s="6" t="s">
        <v>671</v>
      </c>
      <c r="O214" s="5"/>
    </row>
    <row r="215" spans="1:15" ht="50.1" customHeight="1" x14ac:dyDescent="0.3">
      <c r="A215" s="3">
        <f t="shared" si="3"/>
        <v>214</v>
      </c>
      <c r="B215" s="16" t="s">
        <v>107</v>
      </c>
      <c r="C215" s="16" t="s">
        <v>628</v>
      </c>
      <c r="D215" s="7" t="s">
        <v>672</v>
      </c>
      <c r="E215" s="16" t="s">
        <v>354</v>
      </c>
      <c r="F215" s="16">
        <v>2025</v>
      </c>
      <c r="G215" s="16">
        <v>12</v>
      </c>
      <c r="H215" s="7" t="s">
        <v>39</v>
      </c>
      <c r="I215" s="8">
        <v>10</v>
      </c>
      <c r="J215" s="7" t="s">
        <v>673</v>
      </c>
      <c r="K215" s="33" t="s">
        <v>89</v>
      </c>
      <c r="L215" s="34">
        <v>3088</v>
      </c>
      <c r="M215" s="34">
        <v>308.8</v>
      </c>
      <c r="N215" s="9"/>
      <c r="O215" s="8"/>
    </row>
    <row r="216" spans="1:15" ht="50.1" customHeight="1" x14ac:dyDescent="0.3">
      <c r="A216" s="3">
        <f t="shared" si="3"/>
        <v>215</v>
      </c>
      <c r="B216" s="16" t="s">
        <v>139</v>
      </c>
      <c r="C216" s="16" t="s">
        <v>674</v>
      </c>
      <c r="D216" s="7" t="s">
        <v>675</v>
      </c>
      <c r="E216" s="16" t="s">
        <v>115</v>
      </c>
      <c r="F216" s="16">
        <v>2025</v>
      </c>
      <c r="G216" s="16">
        <v>12</v>
      </c>
      <c r="H216" s="7" t="s">
        <v>39</v>
      </c>
      <c r="I216" s="8">
        <v>15</v>
      </c>
      <c r="J216" s="7" t="s">
        <v>676</v>
      </c>
      <c r="K216" s="7" t="s">
        <v>112</v>
      </c>
      <c r="L216" s="8">
        <v>7104.8649999999998</v>
      </c>
      <c r="M216" s="8">
        <v>473.65766666666701</v>
      </c>
      <c r="N216" s="9"/>
      <c r="O216" s="8"/>
    </row>
    <row r="217" spans="1:15" ht="50.1" customHeight="1" x14ac:dyDescent="0.3">
      <c r="A217" s="3">
        <f t="shared" si="3"/>
        <v>216</v>
      </c>
      <c r="B217" s="16" t="s">
        <v>133</v>
      </c>
      <c r="C217" s="16" t="s">
        <v>677</v>
      </c>
      <c r="D217" s="7" t="s">
        <v>678</v>
      </c>
      <c r="E217" s="16" t="s">
        <v>679</v>
      </c>
      <c r="F217" s="16">
        <v>2025</v>
      </c>
      <c r="G217" s="16">
        <v>12</v>
      </c>
      <c r="H217" s="7" t="s">
        <v>39</v>
      </c>
      <c r="I217" s="8">
        <v>0.05</v>
      </c>
      <c r="J217" s="7" t="s">
        <v>218</v>
      </c>
      <c r="K217" s="7" t="s">
        <v>454</v>
      </c>
      <c r="L217" s="8">
        <v>206.2</v>
      </c>
      <c r="M217" s="8">
        <v>4124</v>
      </c>
      <c r="N217" s="9"/>
      <c r="O217" s="8"/>
    </row>
    <row r="218" spans="1:15" ht="50.1" customHeight="1" x14ac:dyDescent="0.3">
      <c r="A218" s="3">
        <f t="shared" si="3"/>
        <v>217</v>
      </c>
      <c r="B218" s="16" t="s">
        <v>13</v>
      </c>
      <c r="C218" s="16"/>
      <c r="D218" s="7" t="s">
        <v>680</v>
      </c>
      <c r="E218" s="16" t="s">
        <v>681</v>
      </c>
      <c r="F218" s="16">
        <v>2025</v>
      </c>
      <c r="G218" s="16">
        <v>12</v>
      </c>
      <c r="H218" s="7" t="s">
        <v>221</v>
      </c>
      <c r="I218" s="8">
        <v>1</v>
      </c>
      <c r="J218" s="7" t="s">
        <v>682</v>
      </c>
      <c r="K218" s="7" t="s">
        <v>393</v>
      </c>
      <c r="L218" s="8">
        <v>306.749977</v>
      </c>
      <c r="M218" s="8">
        <v>306.749977</v>
      </c>
      <c r="N218" s="9"/>
      <c r="O218" s="8"/>
    </row>
    <row r="219" spans="1:15" ht="50.1" customHeight="1" x14ac:dyDescent="0.3">
      <c r="A219" s="3">
        <f t="shared" si="3"/>
        <v>218</v>
      </c>
      <c r="B219" s="115" t="s">
        <v>214</v>
      </c>
      <c r="C219" s="115" t="s">
        <v>683</v>
      </c>
      <c r="D219" s="115" t="s">
        <v>684</v>
      </c>
      <c r="E219" s="115" t="s">
        <v>685</v>
      </c>
      <c r="F219" s="115">
        <v>2026</v>
      </c>
      <c r="G219" s="115">
        <v>2</v>
      </c>
      <c r="H219" s="115" t="s">
        <v>16</v>
      </c>
      <c r="I219" s="18">
        <v>48</v>
      </c>
      <c r="J219" s="19" t="s">
        <v>686</v>
      </c>
      <c r="K219" s="19" t="s">
        <v>19</v>
      </c>
      <c r="L219" s="18">
        <v>5976</v>
      </c>
      <c r="M219" s="18">
        <v>124.5</v>
      </c>
      <c r="N219" s="35" t="s">
        <v>687</v>
      </c>
      <c r="O219" s="18"/>
    </row>
    <row r="220" spans="1:15" ht="50.1" customHeight="1" x14ac:dyDescent="0.3">
      <c r="A220" s="3">
        <f t="shared" si="3"/>
        <v>219</v>
      </c>
      <c r="B220" s="116"/>
      <c r="C220" s="116"/>
      <c r="D220" s="116"/>
      <c r="E220" s="116"/>
      <c r="F220" s="116"/>
      <c r="G220" s="116"/>
      <c r="H220" s="116"/>
      <c r="I220" s="18">
        <v>24</v>
      </c>
      <c r="J220" s="19" t="s">
        <v>688</v>
      </c>
      <c r="K220" s="19" t="s">
        <v>43</v>
      </c>
      <c r="L220" s="18">
        <v>6419.268</v>
      </c>
      <c r="M220" s="18">
        <v>267.46949999999998</v>
      </c>
      <c r="N220" s="35" t="s">
        <v>689</v>
      </c>
      <c r="O220" s="18"/>
    </row>
    <row r="221" spans="1:15" ht="50.1" customHeight="1" x14ac:dyDescent="0.3">
      <c r="A221" s="3">
        <f t="shared" si="3"/>
        <v>220</v>
      </c>
      <c r="B221" s="16" t="s">
        <v>78</v>
      </c>
      <c r="C221" s="16" t="s">
        <v>79</v>
      </c>
      <c r="D221" s="7" t="s">
        <v>690</v>
      </c>
      <c r="E221" s="16" t="s">
        <v>691</v>
      </c>
      <c r="F221" s="16">
        <v>2026</v>
      </c>
      <c r="G221" s="16">
        <v>2</v>
      </c>
      <c r="H221" s="7" t="s">
        <v>16</v>
      </c>
      <c r="I221" s="8">
        <v>1</v>
      </c>
      <c r="J221" s="7" t="s">
        <v>270</v>
      </c>
      <c r="K221" s="7" t="s">
        <v>692</v>
      </c>
      <c r="L221" s="8">
        <v>256</v>
      </c>
      <c r="M221" s="8">
        <v>256</v>
      </c>
      <c r="N221" s="9"/>
      <c r="O221" s="8"/>
    </row>
    <row r="222" spans="1:15" ht="50.1" customHeight="1" x14ac:dyDescent="0.3">
      <c r="A222" s="3">
        <f t="shared" si="3"/>
        <v>221</v>
      </c>
      <c r="B222" s="4" t="s">
        <v>156</v>
      </c>
      <c r="C222" s="4" t="s">
        <v>157</v>
      </c>
      <c r="D222" s="4" t="s">
        <v>693</v>
      </c>
      <c r="E222" s="4" t="s">
        <v>370</v>
      </c>
      <c r="F222" s="4">
        <v>2026</v>
      </c>
      <c r="G222" s="4">
        <v>2</v>
      </c>
      <c r="H222" s="4" t="s">
        <v>175</v>
      </c>
      <c r="I222" s="4"/>
      <c r="J222" s="4"/>
      <c r="K222" s="4"/>
      <c r="L222" s="4"/>
      <c r="M222" s="5"/>
      <c r="N222" s="6" t="s">
        <v>694</v>
      </c>
      <c r="O222" s="5"/>
    </row>
    <row r="223" spans="1:15" ht="50.1" customHeight="1" x14ac:dyDescent="0.3">
      <c r="A223" s="3">
        <f t="shared" si="3"/>
        <v>222</v>
      </c>
      <c r="B223" s="10" t="s">
        <v>35</v>
      </c>
      <c r="C223" s="10" t="s">
        <v>102</v>
      </c>
      <c r="D223" s="10" t="s">
        <v>695</v>
      </c>
      <c r="E223" s="10" t="s">
        <v>696</v>
      </c>
      <c r="F223" s="10">
        <v>2026</v>
      </c>
      <c r="G223" s="10">
        <v>2</v>
      </c>
      <c r="H223" s="10"/>
      <c r="I223" s="11"/>
      <c r="J223" s="10"/>
      <c r="K223" s="10" t="s">
        <v>526</v>
      </c>
      <c r="L223" s="11"/>
      <c r="M223" s="11"/>
      <c r="N223" s="12" t="s">
        <v>276</v>
      </c>
      <c r="O223" s="11"/>
    </row>
    <row r="224" spans="1:15" ht="50.1" customHeight="1" x14ac:dyDescent="0.3">
      <c r="A224" s="3">
        <f t="shared" si="3"/>
        <v>223</v>
      </c>
      <c r="B224" s="36" t="s">
        <v>78</v>
      </c>
      <c r="C224" s="36" t="s">
        <v>79</v>
      </c>
      <c r="D224" s="36" t="s">
        <v>697</v>
      </c>
      <c r="E224" s="36" t="s">
        <v>698</v>
      </c>
      <c r="F224" s="36">
        <v>2026</v>
      </c>
      <c r="G224" s="36">
        <v>2</v>
      </c>
      <c r="H224" s="36" t="s">
        <v>16</v>
      </c>
      <c r="I224" s="14">
        <v>60</v>
      </c>
      <c r="J224" s="13" t="s">
        <v>699</v>
      </c>
      <c r="K224" s="13"/>
      <c r="L224" s="14"/>
      <c r="M224" s="14"/>
      <c r="N224" s="15"/>
      <c r="O224" s="14"/>
    </row>
    <row r="225" spans="1:15" ht="50.1" customHeight="1" x14ac:dyDescent="0.3">
      <c r="A225" s="3">
        <f t="shared" si="3"/>
        <v>224</v>
      </c>
      <c r="B225" s="10" t="s">
        <v>211</v>
      </c>
      <c r="C225" s="10"/>
      <c r="D225" s="10" t="s">
        <v>670</v>
      </c>
      <c r="E225" s="10" t="s">
        <v>213</v>
      </c>
      <c r="F225" s="10">
        <v>2026</v>
      </c>
      <c r="G225" s="10">
        <v>2</v>
      </c>
      <c r="H225" s="10"/>
      <c r="I225" s="11"/>
      <c r="J225" s="10"/>
      <c r="K225" s="10" t="s">
        <v>700</v>
      </c>
      <c r="L225" s="11">
        <v>261</v>
      </c>
      <c r="M225" s="11"/>
      <c r="N225" s="12" t="s">
        <v>701</v>
      </c>
      <c r="O225" s="11"/>
    </row>
    <row r="226" spans="1:15" ht="50.1" customHeight="1" x14ac:dyDescent="0.3">
      <c r="A226" s="3">
        <f t="shared" si="3"/>
        <v>225</v>
      </c>
      <c r="B226" s="4" t="s">
        <v>156</v>
      </c>
      <c r="C226" s="4" t="s">
        <v>702</v>
      </c>
      <c r="D226" s="4" t="s">
        <v>703</v>
      </c>
      <c r="E226" s="4" t="s">
        <v>704</v>
      </c>
      <c r="F226" s="4">
        <v>2026</v>
      </c>
      <c r="G226" s="4">
        <v>3</v>
      </c>
      <c r="H226" s="4" t="s">
        <v>39</v>
      </c>
      <c r="I226" s="4"/>
      <c r="J226" s="4"/>
      <c r="K226" s="4"/>
      <c r="L226" s="4"/>
      <c r="M226" s="5"/>
      <c r="N226" s="6"/>
      <c r="O226" s="5"/>
    </row>
    <row r="227" spans="1:15" ht="50.1" customHeight="1" x14ac:dyDescent="0.3">
      <c r="A227" s="3">
        <f t="shared" si="3"/>
        <v>226</v>
      </c>
      <c r="B227" s="10" t="s">
        <v>156</v>
      </c>
      <c r="C227" s="10" t="s">
        <v>702</v>
      </c>
      <c r="D227" s="10" t="s">
        <v>705</v>
      </c>
      <c r="E227" s="10" t="s">
        <v>704</v>
      </c>
      <c r="F227" s="10">
        <v>2026</v>
      </c>
      <c r="G227" s="10">
        <v>3</v>
      </c>
      <c r="H227" s="10" t="s">
        <v>39</v>
      </c>
      <c r="I227" s="11"/>
      <c r="J227" s="10"/>
      <c r="K227" s="10"/>
      <c r="L227" s="11"/>
      <c r="M227" s="11"/>
      <c r="N227" s="12" t="s">
        <v>207</v>
      </c>
      <c r="O227" s="11"/>
    </row>
    <row r="228" spans="1:15" ht="50.1" customHeight="1" x14ac:dyDescent="0.3">
      <c r="A228" s="3">
        <f t="shared" si="3"/>
        <v>227</v>
      </c>
      <c r="B228" s="10" t="s">
        <v>505</v>
      </c>
      <c r="C228" s="10" t="s">
        <v>706</v>
      </c>
      <c r="D228" s="10" t="s">
        <v>707</v>
      </c>
      <c r="E228" s="10" t="s">
        <v>708</v>
      </c>
      <c r="F228" s="10">
        <v>2026</v>
      </c>
      <c r="G228" s="10">
        <v>3</v>
      </c>
      <c r="H228" s="10"/>
      <c r="I228" s="11"/>
      <c r="J228" s="10"/>
      <c r="K228" s="10"/>
      <c r="L228" s="11"/>
      <c r="M228" s="11"/>
      <c r="N228" s="12" t="s">
        <v>276</v>
      </c>
      <c r="O228" s="11"/>
    </row>
    <row r="229" spans="1:15" ht="50.1" customHeight="1" x14ac:dyDescent="0.3">
      <c r="A229" s="3">
        <f t="shared" si="3"/>
        <v>228</v>
      </c>
      <c r="B229" s="36" t="s">
        <v>156</v>
      </c>
      <c r="C229" s="36" t="s">
        <v>157</v>
      </c>
      <c r="D229" s="36" t="s">
        <v>709</v>
      </c>
      <c r="E229" s="36" t="s">
        <v>370</v>
      </c>
      <c r="F229" s="36">
        <v>2026</v>
      </c>
      <c r="G229" s="36">
        <v>3</v>
      </c>
      <c r="H229" s="36"/>
      <c r="I229" s="14"/>
      <c r="J229" s="13"/>
      <c r="K229" s="13"/>
      <c r="L229" s="14"/>
      <c r="M229" s="14"/>
      <c r="N229" s="15"/>
      <c r="O229" s="14"/>
    </row>
    <row r="230" spans="1:15" ht="50.1" customHeight="1" x14ac:dyDescent="0.3">
      <c r="A230" s="3">
        <f t="shared" si="3"/>
        <v>229</v>
      </c>
      <c r="B230" s="36" t="s">
        <v>156</v>
      </c>
      <c r="C230" s="36" t="s">
        <v>157</v>
      </c>
      <c r="D230" s="36" t="s">
        <v>710</v>
      </c>
      <c r="E230" s="36" t="s">
        <v>370</v>
      </c>
      <c r="F230" s="36">
        <v>2026</v>
      </c>
      <c r="G230" s="36">
        <v>3</v>
      </c>
      <c r="H230" s="36" t="s">
        <v>175</v>
      </c>
      <c r="I230" s="14">
        <v>0.94399999999999995</v>
      </c>
      <c r="J230" s="13" t="s">
        <v>711</v>
      </c>
      <c r="K230" s="13"/>
      <c r="L230" s="14"/>
      <c r="M230" s="14"/>
      <c r="N230" s="15" t="s">
        <v>694</v>
      </c>
      <c r="O230" s="14"/>
    </row>
    <row r="231" spans="1:15" ht="50.1" customHeight="1" x14ac:dyDescent="0.3">
      <c r="A231" s="3">
        <f t="shared" si="3"/>
        <v>230</v>
      </c>
      <c r="B231" s="10" t="s">
        <v>191</v>
      </c>
      <c r="C231" s="10" t="s">
        <v>192</v>
      </c>
      <c r="D231" s="10" t="s">
        <v>712</v>
      </c>
      <c r="E231" s="10" t="s">
        <v>713</v>
      </c>
      <c r="F231" s="10">
        <v>2026</v>
      </c>
      <c r="G231" s="10">
        <v>3</v>
      </c>
      <c r="H231" s="10" t="s">
        <v>39</v>
      </c>
      <c r="I231" s="11">
        <v>0.5</v>
      </c>
      <c r="J231" s="10" t="s">
        <v>82</v>
      </c>
      <c r="K231" s="10" t="s">
        <v>31</v>
      </c>
      <c r="L231" s="11">
        <v>2127.2388000000001</v>
      </c>
      <c r="M231" s="11">
        <v>4254.4776000000002</v>
      </c>
      <c r="N231" s="12" t="s">
        <v>714</v>
      </c>
      <c r="O231" s="11"/>
    </row>
    <row r="232" spans="1:15" ht="50.1" customHeight="1" x14ac:dyDescent="0.3">
      <c r="A232" s="3">
        <f t="shared" si="3"/>
        <v>231</v>
      </c>
      <c r="B232" s="10" t="s">
        <v>476</v>
      </c>
      <c r="C232" s="10"/>
      <c r="D232" s="10" t="s">
        <v>715</v>
      </c>
      <c r="E232" s="10" t="s">
        <v>716</v>
      </c>
      <c r="F232" s="10">
        <v>2026</v>
      </c>
      <c r="G232" s="10">
        <v>4</v>
      </c>
      <c r="H232" s="10" t="s">
        <v>39</v>
      </c>
      <c r="I232" s="11"/>
      <c r="J232" s="10"/>
      <c r="K232" s="10" t="s">
        <v>116</v>
      </c>
      <c r="L232" s="11">
        <v>110</v>
      </c>
      <c r="M232" s="11"/>
      <c r="N232" s="12"/>
      <c r="O232" s="11"/>
    </row>
    <row r="233" spans="1:15" ht="50.1" customHeight="1" x14ac:dyDescent="0.3">
      <c r="A233" s="3">
        <f t="shared" si="3"/>
        <v>232</v>
      </c>
      <c r="B233" s="36" t="s">
        <v>84</v>
      </c>
      <c r="C233" s="36" t="s">
        <v>85</v>
      </c>
      <c r="D233" s="36" t="s">
        <v>717</v>
      </c>
      <c r="E233" s="36" t="s">
        <v>637</v>
      </c>
      <c r="F233" s="36">
        <v>2026</v>
      </c>
      <c r="G233" s="36">
        <v>4</v>
      </c>
      <c r="H233" s="36" t="s">
        <v>39</v>
      </c>
      <c r="I233" s="14">
        <v>2.5</v>
      </c>
      <c r="J233" s="13" t="s">
        <v>40</v>
      </c>
      <c r="K233" s="13"/>
      <c r="L233" s="14"/>
      <c r="M233" s="14"/>
      <c r="N233" s="15"/>
      <c r="O233" s="14"/>
    </row>
    <row r="234" spans="1:15" ht="50.1" customHeight="1" x14ac:dyDescent="0.3">
      <c r="A234" s="3">
        <f t="shared" si="3"/>
        <v>233</v>
      </c>
      <c r="B234" s="36" t="s">
        <v>277</v>
      </c>
      <c r="C234" s="36" t="s">
        <v>718</v>
      </c>
      <c r="D234" s="36" t="s">
        <v>719</v>
      </c>
      <c r="E234" s="36" t="s">
        <v>720</v>
      </c>
      <c r="F234" s="36">
        <v>2026</v>
      </c>
      <c r="G234" s="36">
        <v>5</v>
      </c>
      <c r="H234" s="36" t="s">
        <v>16</v>
      </c>
      <c r="I234" s="14"/>
      <c r="J234" s="13"/>
      <c r="K234" s="13"/>
      <c r="L234" s="14"/>
      <c r="M234" s="14"/>
      <c r="N234" s="15"/>
      <c r="O234" s="14"/>
    </row>
  </sheetData>
  <autoFilter ref="A1:N234" xr:uid="{00000000-0009-0000-0000-000025000000}"/>
  <mergeCells count="131">
    <mergeCell ref="H219:H220"/>
    <mergeCell ref="B219:B220"/>
    <mergeCell ref="C219:C220"/>
    <mergeCell ref="D219:D220"/>
    <mergeCell ref="E219:E220"/>
    <mergeCell ref="F219:F220"/>
    <mergeCell ref="G219:G220"/>
    <mergeCell ref="H203:H205"/>
    <mergeCell ref="K203:K205"/>
    <mergeCell ref="M203:M205"/>
    <mergeCell ref="N203:N205"/>
    <mergeCell ref="O203:O205"/>
    <mergeCell ref="B203:B205"/>
    <mergeCell ref="C203:C205"/>
    <mergeCell ref="D203:D205"/>
    <mergeCell ref="E203:E205"/>
    <mergeCell ref="F203:F205"/>
    <mergeCell ref="G203:G205"/>
    <mergeCell ref="B200:B201"/>
    <mergeCell ref="C200:C201"/>
    <mergeCell ref="D200:D201"/>
    <mergeCell ref="E200:E201"/>
    <mergeCell ref="F200:F201"/>
    <mergeCell ref="G200:G201"/>
    <mergeCell ref="H200:H201"/>
    <mergeCell ref="G187:G188"/>
    <mergeCell ref="L203:L205"/>
    <mergeCell ref="K187:K188"/>
    <mergeCell ref="L187:L188"/>
    <mergeCell ref="B189:B191"/>
    <mergeCell ref="C189:C191"/>
    <mergeCell ref="D189:D191"/>
    <mergeCell ref="E189:E191"/>
    <mergeCell ref="F189:F191"/>
    <mergeCell ref="G189:G191"/>
    <mergeCell ref="H189:H191"/>
    <mergeCell ref="J189:J191"/>
    <mergeCell ref="B169:B170"/>
    <mergeCell ref="C169:C170"/>
    <mergeCell ref="E169:E170"/>
    <mergeCell ref="F169:F170"/>
    <mergeCell ref="G169:G170"/>
    <mergeCell ref="B187:B188"/>
    <mergeCell ref="C187:C188"/>
    <mergeCell ref="D187:D188"/>
    <mergeCell ref="E187:E188"/>
    <mergeCell ref="F187:F188"/>
    <mergeCell ref="B162:B164"/>
    <mergeCell ref="C162:C164"/>
    <mergeCell ref="D162:D163"/>
    <mergeCell ref="E162:E164"/>
    <mergeCell ref="F162:F164"/>
    <mergeCell ref="G162:G164"/>
    <mergeCell ref="B120:B124"/>
    <mergeCell ref="C120:C124"/>
    <mergeCell ref="E120:E124"/>
    <mergeCell ref="F120:F124"/>
    <mergeCell ref="G120:G124"/>
    <mergeCell ref="B128:B129"/>
    <mergeCell ref="C128:C129"/>
    <mergeCell ref="E128:E129"/>
    <mergeCell ref="F128:F129"/>
    <mergeCell ref="G128:G129"/>
    <mergeCell ref="B113:B115"/>
    <mergeCell ref="C113:C115"/>
    <mergeCell ref="E113:E115"/>
    <mergeCell ref="F113:F115"/>
    <mergeCell ref="G113:G115"/>
    <mergeCell ref="B117:B118"/>
    <mergeCell ref="C117:C118"/>
    <mergeCell ref="E117:E118"/>
    <mergeCell ref="F117:F118"/>
    <mergeCell ref="G117:G118"/>
    <mergeCell ref="H73:H77"/>
    <mergeCell ref="I73:I77"/>
    <mergeCell ref="J73:J77"/>
    <mergeCell ref="B108:B109"/>
    <mergeCell ref="C108:C109"/>
    <mergeCell ref="D108:D109"/>
    <mergeCell ref="E108:E109"/>
    <mergeCell ref="F108:F109"/>
    <mergeCell ref="G108:G109"/>
    <mergeCell ref="B59:B60"/>
    <mergeCell ref="C59:C60"/>
    <mergeCell ref="E59:E60"/>
    <mergeCell ref="F59:F60"/>
    <mergeCell ref="G59:G60"/>
    <mergeCell ref="B73:B77"/>
    <mergeCell ref="C73:C77"/>
    <mergeCell ref="D73:D77"/>
    <mergeCell ref="E73:E77"/>
    <mergeCell ref="F73:F77"/>
    <mergeCell ref="G73:G77"/>
    <mergeCell ref="B45:B46"/>
    <mergeCell ref="C45:C46"/>
    <mergeCell ref="D45:D46"/>
    <mergeCell ref="E45:E46"/>
    <mergeCell ref="F45:F46"/>
    <mergeCell ref="G45:G46"/>
    <mergeCell ref="G27:G28"/>
    <mergeCell ref="B32:B33"/>
    <mergeCell ref="C32:C33"/>
    <mergeCell ref="D32:D33"/>
    <mergeCell ref="E32:E33"/>
    <mergeCell ref="F32:F33"/>
    <mergeCell ref="G32:G33"/>
    <mergeCell ref="B25:B26"/>
    <mergeCell ref="C25:C26"/>
    <mergeCell ref="E25:E26"/>
    <mergeCell ref="F25:F26"/>
    <mergeCell ref="G25:G26"/>
    <mergeCell ref="B27:B28"/>
    <mergeCell ref="C27:C28"/>
    <mergeCell ref="D27:D28"/>
    <mergeCell ref="E27:E28"/>
    <mergeCell ref="F27:F28"/>
    <mergeCell ref="H8:H10"/>
    <mergeCell ref="I8:I10"/>
    <mergeCell ref="J8:J10"/>
    <mergeCell ref="B19:B22"/>
    <mergeCell ref="C19:C22"/>
    <mergeCell ref="E19:E22"/>
    <mergeCell ref="F19:F22"/>
    <mergeCell ref="G19:G22"/>
    <mergeCell ref="F1:G1"/>
    <mergeCell ref="B8:B10"/>
    <mergeCell ref="C8:C10"/>
    <mergeCell ref="D8:D10"/>
    <mergeCell ref="E8:E10"/>
    <mergeCell ref="F8:F10"/>
    <mergeCell ref="G8:G10"/>
  </mergeCells>
  <phoneticPr fontId="2"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26A7-F620-4192-ACBB-ECC04E5772C2}">
  <dimension ref="A1:IU620"/>
  <sheetViews>
    <sheetView tabSelected="1" zoomScale="85" zoomScaleNormal="85" workbookViewId="0">
      <pane ySplit="1" topLeftCell="A2" activePane="bottomLeft" state="frozen"/>
      <selection pane="bottomLeft" activeCell="B616" sqref="B616:B617"/>
    </sheetView>
  </sheetViews>
  <sheetFormatPr defaultColWidth="15.59765625" defaultRowHeight="24.95" customHeight="1" x14ac:dyDescent="0.3"/>
  <cols>
    <col min="1" max="2" width="10.59765625" style="38" customWidth="1"/>
    <col min="3" max="5" width="8.1328125" style="38" customWidth="1"/>
    <col min="6" max="6" width="30.59765625" style="38" customWidth="1"/>
    <col min="7" max="7" width="25.59765625" style="38" customWidth="1"/>
    <col min="8" max="9" width="30.59765625" style="38" customWidth="1"/>
    <col min="10" max="10" width="20.59765625" style="38" customWidth="1"/>
    <col min="11" max="11" width="15.59765625" style="38" customWidth="1"/>
    <col min="12" max="14" width="10.59765625" style="38" customWidth="1"/>
    <col min="15" max="15" width="30.59765625" style="38" customWidth="1"/>
    <col min="16" max="18" width="10.59765625" style="38" customWidth="1"/>
    <col min="19" max="19" width="15.59765625" style="38" customWidth="1"/>
    <col min="20" max="20" width="5.59765625" style="38" customWidth="1"/>
    <col min="21" max="21" width="25.46484375" style="39" customWidth="1"/>
    <col min="22" max="255" width="15.59765625" style="38"/>
  </cols>
  <sheetData>
    <row r="1" spans="1:21" s="38" customFormat="1" ht="24.95" customHeight="1" x14ac:dyDescent="0.3">
      <c r="A1" s="97" t="s">
        <v>2573</v>
      </c>
      <c r="B1" s="98" t="s">
        <v>2572</v>
      </c>
      <c r="C1" s="184" t="s">
        <v>2571</v>
      </c>
      <c r="D1" s="185"/>
      <c r="E1" s="186"/>
      <c r="F1" s="97" t="s">
        <v>2570</v>
      </c>
      <c r="G1" s="97" t="s">
        <v>2569</v>
      </c>
      <c r="H1" s="97" t="s">
        <v>2568</v>
      </c>
      <c r="I1" s="97" t="s">
        <v>2567</v>
      </c>
      <c r="J1" s="97" t="s">
        <v>2566</v>
      </c>
      <c r="K1" s="97"/>
      <c r="L1" s="97" t="s">
        <v>2565</v>
      </c>
      <c r="M1" s="97" t="s">
        <v>2564</v>
      </c>
      <c r="N1" s="97" t="s">
        <v>2563</v>
      </c>
      <c r="O1" s="97" t="s">
        <v>2562</v>
      </c>
      <c r="P1" s="97" t="s">
        <v>2561</v>
      </c>
      <c r="Q1" s="97" t="s">
        <v>2560</v>
      </c>
      <c r="R1" s="97" t="s">
        <v>2559</v>
      </c>
      <c r="S1" s="97" t="s">
        <v>2558</v>
      </c>
      <c r="T1" s="97" t="s">
        <v>2557</v>
      </c>
      <c r="U1" s="97" t="s">
        <v>12</v>
      </c>
    </row>
    <row r="2" spans="1:21" s="40" customFormat="1" ht="24.95" customHeight="1" x14ac:dyDescent="0.3">
      <c r="A2" s="42">
        <v>2016.09</v>
      </c>
      <c r="B2" s="42" t="s">
        <v>734</v>
      </c>
      <c r="C2" s="42" t="s">
        <v>156</v>
      </c>
      <c r="D2" s="42" t="s">
        <v>2552</v>
      </c>
      <c r="E2" s="42"/>
      <c r="F2" s="42" t="s">
        <v>2551</v>
      </c>
      <c r="G2" s="42" t="s">
        <v>2556</v>
      </c>
      <c r="H2" s="42" t="s">
        <v>2555</v>
      </c>
      <c r="I2" s="42" t="s">
        <v>801</v>
      </c>
      <c r="J2" s="42" t="s">
        <v>1055</v>
      </c>
      <c r="K2" s="42"/>
      <c r="L2" s="42">
        <v>11</v>
      </c>
      <c r="M2" s="42">
        <v>28</v>
      </c>
      <c r="N2" s="42">
        <v>16800</v>
      </c>
      <c r="O2" s="42" t="s">
        <v>1074</v>
      </c>
      <c r="P2" s="42">
        <v>16765.84</v>
      </c>
      <c r="Q2" s="42">
        <v>28</v>
      </c>
      <c r="R2" s="42">
        <v>598.78</v>
      </c>
      <c r="S2" s="42" t="s">
        <v>1227</v>
      </c>
      <c r="T2" s="42"/>
      <c r="U2" s="41"/>
    </row>
    <row r="3" spans="1:21" s="40" customFormat="1" ht="24.95" customHeight="1" x14ac:dyDescent="0.3">
      <c r="A3" s="57">
        <v>2017.08</v>
      </c>
      <c r="B3" s="57" t="s">
        <v>877</v>
      </c>
      <c r="C3" s="57" t="s">
        <v>156</v>
      </c>
      <c r="D3" s="57" t="s">
        <v>2552</v>
      </c>
      <c r="E3" s="57"/>
      <c r="F3" s="57" t="s">
        <v>2551</v>
      </c>
      <c r="G3" s="57" t="s">
        <v>2550</v>
      </c>
      <c r="H3" s="57" t="s">
        <v>2554</v>
      </c>
      <c r="I3" s="57" t="s">
        <v>801</v>
      </c>
      <c r="J3" s="57"/>
      <c r="K3" s="57"/>
      <c r="L3" s="57">
        <v>8.6</v>
      </c>
      <c r="M3" s="57">
        <v>300</v>
      </c>
      <c r="N3" s="57">
        <v>33000</v>
      </c>
      <c r="O3" s="57"/>
      <c r="P3" s="57"/>
      <c r="Q3" s="57"/>
      <c r="R3" s="57"/>
      <c r="S3" s="57"/>
      <c r="T3" s="57"/>
      <c r="U3" s="60" t="s">
        <v>2547</v>
      </c>
    </row>
    <row r="4" spans="1:21" s="40" customFormat="1" ht="24.95" customHeight="1" x14ac:dyDescent="0.3">
      <c r="A4" s="57">
        <v>2017.09</v>
      </c>
      <c r="B4" s="57" t="s">
        <v>877</v>
      </c>
      <c r="C4" s="57" t="s">
        <v>156</v>
      </c>
      <c r="D4" s="57" t="s">
        <v>2552</v>
      </c>
      <c r="E4" s="57"/>
      <c r="F4" s="57" t="s">
        <v>2551</v>
      </c>
      <c r="G4" s="57" t="s">
        <v>2550</v>
      </c>
      <c r="H4" s="57" t="s">
        <v>2553</v>
      </c>
      <c r="I4" s="57" t="s">
        <v>801</v>
      </c>
      <c r="J4" s="57"/>
      <c r="K4" s="57"/>
      <c r="L4" s="57">
        <v>8.6</v>
      </c>
      <c r="M4" s="57">
        <v>300</v>
      </c>
      <c r="N4" s="57">
        <v>33000</v>
      </c>
      <c r="O4" s="57"/>
      <c r="P4" s="57"/>
      <c r="Q4" s="57"/>
      <c r="R4" s="57"/>
      <c r="S4" s="57"/>
      <c r="T4" s="57"/>
      <c r="U4" s="60" t="s">
        <v>2547</v>
      </c>
    </row>
    <row r="5" spans="1:21" s="40" customFormat="1" ht="24.95" customHeight="1" x14ac:dyDescent="0.3">
      <c r="A5" s="86">
        <v>2017.11</v>
      </c>
      <c r="B5" s="86" t="s">
        <v>789</v>
      </c>
      <c r="C5" s="86" t="s">
        <v>156</v>
      </c>
      <c r="D5" s="86" t="s">
        <v>2552</v>
      </c>
      <c r="E5" s="86"/>
      <c r="F5" s="86" t="s">
        <v>2551</v>
      </c>
      <c r="G5" s="86" t="s">
        <v>2550</v>
      </c>
      <c r="H5" s="86" t="s">
        <v>2549</v>
      </c>
      <c r="I5" s="86" t="s">
        <v>801</v>
      </c>
      <c r="J5" s="86" t="s">
        <v>728</v>
      </c>
      <c r="K5" s="86"/>
      <c r="L5" s="86">
        <v>8.6</v>
      </c>
      <c r="M5" s="86">
        <v>300</v>
      </c>
      <c r="N5" s="86">
        <v>33000</v>
      </c>
      <c r="O5" s="86" t="s">
        <v>2548</v>
      </c>
      <c r="P5" s="86">
        <v>33000</v>
      </c>
      <c r="Q5" s="86">
        <v>300</v>
      </c>
      <c r="R5" s="86">
        <v>110</v>
      </c>
      <c r="S5" s="86" t="s">
        <v>1227</v>
      </c>
      <c r="T5" s="86"/>
      <c r="U5" s="85" t="s">
        <v>2547</v>
      </c>
    </row>
    <row r="6" spans="1:21" s="40" customFormat="1" ht="24.95" customHeight="1" x14ac:dyDescent="0.3">
      <c r="A6" s="42">
        <v>2017.12</v>
      </c>
      <c r="B6" s="42" t="s">
        <v>734</v>
      </c>
      <c r="C6" s="42" t="s">
        <v>351</v>
      </c>
      <c r="D6" s="42" t="s">
        <v>2546</v>
      </c>
      <c r="E6" s="42"/>
      <c r="F6" s="42" t="s">
        <v>2545</v>
      </c>
      <c r="G6" s="42" t="s">
        <v>2544</v>
      </c>
      <c r="H6" s="42" t="s">
        <v>2543</v>
      </c>
      <c r="I6" s="42" t="s">
        <v>2542</v>
      </c>
      <c r="J6" s="42" t="s">
        <v>737</v>
      </c>
      <c r="K6" s="42"/>
      <c r="L6" s="42" t="s">
        <v>721</v>
      </c>
      <c r="M6" s="42">
        <v>5</v>
      </c>
      <c r="N6" s="42">
        <v>750</v>
      </c>
      <c r="O6" s="42" t="s">
        <v>2541</v>
      </c>
      <c r="P6" s="42">
        <v>748</v>
      </c>
      <c r="Q6" s="42">
        <v>5</v>
      </c>
      <c r="R6" s="42">
        <v>149.6</v>
      </c>
      <c r="S6" s="42" t="s">
        <v>2397</v>
      </c>
      <c r="T6" s="42"/>
      <c r="U6" s="41"/>
    </row>
    <row r="7" spans="1:21" s="40" customFormat="1" ht="24.95" customHeight="1" x14ac:dyDescent="0.3">
      <c r="A7" s="127">
        <v>2018.01</v>
      </c>
      <c r="B7" s="127" t="s">
        <v>734</v>
      </c>
      <c r="C7" s="127" t="s">
        <v>25</v>
      </c>
      <c r="D7" s="127" t="s">
        <v>26</v>
      </c>
      <c r="E7" s="127"/>
      <c r="F7" s="127" t="s">
        <v>2540</v>
      </c>
      <c r="G7" s="127" t="s">
        <v>2539</v>
      </c>
      <c r="H7" s="42" t="s">
        <v>2521</v>
      </c>
      <c r="I7" s="42" t="s">
        <v>2537</v>
      </c>
      <c r="J7" s="42" t="s">
        <v>1055</v>
      </c>
      <c r="K7" s="42"/>
      <c r="L7" s="42" t="s">
        <v>2327</v>
      </c>
      <c r="M7" s="42">
        <v>25</v>
      </c>
      <c r="N7" s="127" t="s">
        <v>2538</v>
      </c>
      <c r="O7" s="42" t="s">
        <v>1145</v>
      </c>
      <c r="P7" s="42">
        <v>7420</v>
      </c>
      <c r="Q7" s="42">
        <v>25</v>
      </c>
      <c r="R7" s="42">
        <v>296.8</v>
      </c>
      <c r="S7" s="42" t="s">
        <v>1178</v>
      </c>
      <c r="T7" s="42"/>
      <c r="U7" s="41"/>
    </row>
    <row r="8" spans="1:21" s="40" customFormat="1" ht="24.95" customHeight="1" x14ac:dyDescent="0.3">
      <c r="A8" s="128"/>
      <c r="B8" s="128"/>
      <c r="C8" s="128"/>
      <c r="D8" s="128"/>
      <c r="E8" s="128"/>
      <c r="F8" s="128"/>
      <c r="G8" s="128"/>
      <c r="H8" s="42" t="s">
        <v>2520</v>
      </c>
      <c r="I8" s="42" t="s">
        <v>2537</v>
      </c>
      <c r="J8" s="42" t="s">
        <v>1055</v>
      </c>
      <c r="K8" s="42"/>
      <c r="L8" s="42" t="s">
        <v>2536</v>
      </c>
      <c r="M8" s="42">
        <v>49</v>
      </c>
      <c r="N8" s="128"/>
      <c r="O8" s="42" t="s">
        <v>2535</v>
      </c>
      <c r="P8" s="42">
        <v>10568.32</v>
      </c>
      <c r="Q8" s="42">
        <v>49</v>
      </c>
      <c r="R8" s="42">
        <v>215.68</v>
      </c>
      <c r="S8" s="42" t="s">
        <v>1178</v>
      </c>
      <c r="T8" s="42"/>
      <c r="U8" s="41"/>
    </row>
    <row r="9" spans="1:21" s="40" customFormat="1" ht="24.95" customHeight="1" x14ac:dyDescent="0.3">
      <c r="A9" s="57">
        <v>2018.08</v>
      </c>
      <c r="B9" s="57" t="s">
        <v>877</v>
      </c>
      <c r="C9" s="57" t="s">
        <v>225</v>
      </c>
      <c r="D9" s="57" t="s">
        <v>1144</v>
      </c>
      <c r="E9" s="57"/>
      <c r="F9" s="57" t="s">
        <v>2454</v>
      </c>
      <c r="G9" s="57" t="s">
        <v>517</v>
      </c>
      <c r="H9" s="57" t="s">
        <v>2533</v>
      </c>
      <c r="I9" s="57" t="s">
        <v>2533</v>
      </c>
      <c r="J9" s="57"/>
      <c r="K9" s="57"/>
      <c r="L9" s="57">
        <v>12</v>
      </c>
      <c r="M9" s="57">
        <v>20</v>
      </c>
      <c r="N9" s="57" t="s">
        <v>721</v>
      </c>
      <c r="O9" s="57" t="s">
        <v>877</v>
      </c>
      <c r="P9" s="57"/>
      <c r="Q9" s="57"/>
      <c r="R9" s="57"/>
      <c r="S9" s="57"/>
      <c r="T9" s="57"/>
      <c r="U9" s="60"/>
    </row>
    <row r="10" spans="1:21" s="76" customFormat="1" ht="24.95" customHeight="1" x14ac:dyDescent="0.3">
      <c r="A10" s="52">
        <v>2018.09</v>
      </c>
      <c r="B10" s="49" t="s">
        <v>734</v>
      </c>
      <c r="C10" s="49" t="s">
        <v>225</v>
      </c>
      <c r="D10" s="49" t="s">
        <v>1144</v>
      </c>
      <c r="E10" s="49"/>
      <c r="F10" s="49" t="s">
        <v>2454</v>
      </c>
      <c r="G10" s="49" t="s">
        <v>517</v>
      </c>
      <c r="H10" s="49" t="s">
        <v>2534</v>
      </c>
      <c r="I10" s="49" t="s">
        <v>2533</v>
      </c>
      <c r="J10" s="49" t="s">
        <v>1055</v>
      </c>
      <c r="K10" s="49" t="s">
        <v>753</v>
      </c>
      <c r="L10" s="49">
        <v>12</v>
      </c>
      <c r="M10" s="49">
        <v>20</v>
      </c>
      <c r="N10" s="49" t="s">
        <v>721</v>
      </c>
      <c r="O10" s="49" t="s">
        <v>1145</v>
      </c>
      <c r="P10" s="49"/>
      <c r="Q10" s="49"/>
      <c r="R10" s="49"/>
      <c r="S10" s="49" t="s">
        <v>1178</v>
      </c>
      <c r="T10" s="49"/>
      <c r="U10" s="48"/>
    </row>
    <row r="11" spans="1:21" s="40" customFormat="1" ht="24.95" customHeight="1" x14ac:dyDescent="0.3">
      <c r="A11" s="42">
        <v>2018.09</v>
      </c>
      <c r="B11" s="42" t="s">
        <v>734</v>
      </c>
      <c r="C11" s="42" t="s">
        <v>351</v>
      </c>
      <c r="D11" s="42" t="s">
        <v>352</v>
      </c>
      <c r="E11" s="42"/>
      <c r="F11" s="42" t="s">
        <v>2532</v>
      </c>
      <c r="G11" s="42" t="s">
        <v>2531</v>
      </c>
      <c r="H11" s="42" t="s">
        <v>2530</v>
      </c>
      <c r="I11" s="42" t="s">
        <v>833</v>
      </c>
      <c r="J11" s="42" t="s">
        <v>1055</v>
      </c>
      <c r="K11" s="42"/>
      <c r="L11" s="42">
        <v>12</v>
      </c>
      <c r="M11" s="42">
        <v>8</v>
      </c>
      <c r="N11" s="42">
        <v>1600</v>
      </c>
      <c r="O11" s="42" t="s">
        <v>1013</v>
      </c>
      <c r="P11" s="42">
        <v>1575.2</v>
      </c>
      <c r="Q11" s="42">
        <v>8</v>
      </c>
      <c r="R11" s="42">
        <v>196.9</v>
      </c>
      <c r="S11" s="42" t="s">
        <v>2529</v>
      </c>
      <c r="T11" s="42"/>
      <c r="U11" s="41"/>
    </row>
    <row r="12" spans="1:21" s="40" customFormat="1" ht="24.95" customHeight="1" x14ac:dyDescent="0.3">
      <c r="A12" s="42">
        <v>2018.12</v>
      </c>
      <c r="B12" s="42" t="s">
        <v>734</v>
      </c>
      <c r="C12" s="42" t="s">
        <v>122</v>
      </c>
      <c r="D12" s="42" t="s">
        <v>123</v>
      </c>
      <c r="E12" s="42"/>
      <c r="F12" s="42" t="s">
        <v>2528</v>
      </c>
      <c r="G12" s="42" t="s">
        <v>2527</v>
      </c>
      <c r="H12" s="42" t="s">
        <v>2526</v>
      </c>
      <c r="I12" s="42" t="s">
        <v>1116</v>
      </c>
      <c r="J12" s="42" t="s">
        <v>737</v>
      </c>
      <c r="K12" s="42"/>
      <c r="L12" s="42" t="s">
        <v>721</v>
      </c>
      <c r="M12" s="42">
        <v>21</v>
      </c>
      <c r="N12" s="42">
        <v>2445</v>
      </c>
      <c r="O12" s="42" t="s">
        <v>1369</v>
      </c>
      <c r="P12" s="42">
        <v>2340</v>
      </c>
      <c r="Q12" s="42">
        <v>21</v>
      </c>
      <c r="R12" s="42">
        <v>111.43</v>
      </c>
      <c r="S12" s="42" t="s">
        <v>2525</v>
      </c>
      <c r="T12" s="42"/>
      <c r="U12" s="41"/>
    </row>
    <row r="13" spans="1:21" s="40" customFormat="1" ht="24.95" customHeight="1" x14ac:dyDescent="0.3">
      <c r="A13" s="42">
        <v>2018.12</v>
      </c>
      <c r="B13" s="42" t="s">
        <v>734</v>
      </c>
      <c r="C13" s="42" t="s">
        <v>156</v>
      </c>
      <c r="D13" s="42" t="s">
        <v>758</v>
      </c>
      <c r="E13" s="42" t="s">
        <v>2459</v>
      </c>
      <c r="F13" s="42" t="s">
        <v>2513</v>
      </c>
      <c r="G13" s="42" t="s">
        <v>2524</v>
      </c>
      <c r="H13" s="42" t="s">
        <v>1793</v>
      </c>
      <c r="I13" s="42" t="s">
        <v>738</v>
      </c>
      <c r="J13" s="42" t="s">
        <v>728</v>
      </c>
      <c r="K13" s="42"/>
      <c r="L13" s="42">
        <v>8.6</v>
      </c>
      <c r="M13" s="42">
        <v>40</v>
      </c>
      <c r="N13" s="42">
        <v>2608</v>
      </c>
      <c r="O13" s="42" t="s">
        <v>1074</v>
      </c>
      <c r="P13" s="42">
        <v>2608</v>
      </c>
      <c r="Q13" s="42">
        <v>40</v>
      </c>
      <c r="R13" s="42">
        <v>65.2</v>
      </c>
      <c r="S13" s="42" t="s">
        <v>1227</v>
      </c>
      <c r="T13" s="42"/>
      <c r="U13" s="41"/>
    </row>
    <row r="14" spans="1:21" s="40" customFormat="1" ht="24.95" customHeight="1" x14ac:dyDescent="0.3">
      <c r="A14" s="127">
        <v>2019.01</v>
      </c>
      <c r="B14" s="127" t="s">
        <v>734</v>
      </c>
      <c r="C14" s="127" t="s">
        <v>25</v>
      </c>
      <c r="D14" s="127" t="s">
        <v>26</v>
      </c>
      <c r="E14" s="127"/>
      <c r="F14" s="187" t="s">
        <v>2523</v>
      </c>
      <c r="G14" s="127" t="s">
        <v>2522</v>
      </c>
      <c r="H14" s="42" t="s">
        <v>2521</v>
      </c>
      <c r="I14" s="42" t="s">
        <v>2448</v>
      </c>
      <c r="J14" s="42" t="s">
        <v>1055</v>
      </c>
      <c r="K14" s="42"/>
      <c r="L14" s="42" t="s">
        <v>2327</v>
      </c>
      <c r="M14" s="42">
        <v>30</v>
      </c>
      <c r="N14" s="127">
        <v>32500</v>
      </c>
      <c r="O14" s="42" t="s">
        <v>1145</v>
      </c>
      <c r="P14" s="42">
        <v>8898</v>
      </c>
      <c r="Q14" s="42">
        <v>30</v>
      </c>
      <c r="R14" s="42">
        <v>296.60000000000002</v>
      </c>
      <c r="S14" s="42" t="s">
        <v>1178</v>
      </c>
      <c r="T14" s="42"/>
      <c r="U14" s="41"/>
    </row>
    <row r="15" spans="1:21" s="40" customFormat="1" ht="24.95" customHeight="1" x14ac:dyDescent="0.3">
      <c r="A15" s="148"/>
      <c r="B15" s="148"/>
      <c r="C15" s="148"/>
      <c r="D15" s="148"/>
      <c r="E15" s="148"/>
      <c r="F15" s="188"/>
      <c r="G15" s="148"/>
      <c r="H15" s="42" t="s">
        <v>2520</v>
      </c>
      <c r="I15" s="42" t="s">
        <v>2519</v>
      </c>
      <c r="J15" s="42" t="s">
        <v>1055</v>
      </c>
      <c r="K15" s="42"/>
      <c r="L15" s="42" t="s">
        <v>2327</v>
      </c>
      <c r="M15" s="42">
        <v>40</v>
      </c>
      <c r="N15" s="148"/>
      <c r="O15" s="42" t="s">
        <v>794</v>
      </c>
      <c r="P15" s="42">
        <v>11868</v>
      </c>
      <c r="Q15" s="42">
        <v>40</v>
      </c>
      <c r="R15" s="42">
        <v>296.7</v>
      </c>
      <c r="S15" s="42" t="s">
        <v>1178</v>
      </c>
      <c r="T15" s="42"/>
      <c r="U15" s="41"/>
    </row>
    <row r="16" spans="1:21" s="40" customFormat="1" ht="24.95" customHeight="1" x14ac:dyDescent="0.3">
      <c r="A16" s="128"/>
      <c r="B16" s="128"/>
      <c r="C16" s="128"/>
      <c r="D16" s="128"/>
      <c r="E16" s="128"/>
      <c r="F16" s="189"/>
      <c r="G16" s="128"/>
      <c r="H16" s="42" t="s">
        <v>2518</v>
      </c>
      <c r="I16" s="42" t="s">
        <v>2517</v>
      </c>
      <c r="J16" s="42" t="s">
        <v>1055</v>
      </c>
      <c r="K16" s="42"/>
      <c r="L16" s="42" t="s">
        <v>2327</v>
      </c>
      <c r="M16" s="42">
        <v>30</v>
      </c>
      <c r="N16" s="128"/>
      <c r="O16" s="42" t="s">
        <v>2394</v>
      </c>
      <c r="P16" s="42">
        <v>8856</v>
      </c>
      <c r="Q16" s="42">
        <v>30</v>
      </c>
      <c r="R16" s="42">
        <v>295.2</v>
      </c>
      <c r="S16" s="42" t="s">
        <v>1178</v>
      </c>
      <c r="T16" s="42"/>
      <c r="U16" s="41"/>
    </row>
    <row r="17" spans="1:21" s="40" customFormat="1" ht="24.95" customHeight="1" x14ac:dyDescent="0.3">
      <c r="A17" s="42">
        <v>2019.01</v>
      </c>
      <c r="B17" s="42" t="s">
        <v>734</v>
      </c>
      <c r="C17" s="42" t="s">
        <v>191</v>
      </c>
      <c r="D17" s="42" t="s">
        <v>192</v>
      </c>
      <c r="E17" s="42"/>
      <c r="F17" s="42" t="s">
        <v>2421</v>
      </c>
      <c r="G17" s="42" t="s">
        <v>2516</v>
      </c>
      <c r="H17" s="42" t="s">
        <v>2515</v>
      </c>
      <c r="I17" s="42" t="s">
        <v>2514</v>
      </c>
      <c r="J17" s="42" t="s">
        <v>728</v>
      </c>
      <c r="K17" s="42"/>
      <c r="L17" s="42">
        <v>9</v>
      </c>
      <c r="M17" s="42">
        <v>30</v>
      </c>
      <c r="N17" s="42">
        <v>4500</v>
      </c>
      <c r="O17" s="42" t="s">
        <v>1505</v>
      </c>
      <c r="P17" s="42">
        <v>4495.5</v>
      </c>
      <c r="Q17" s="42">
        <v>9</v>
      </c>
      <c r="R17" s="42">
        <v>149.85</v>
      </c>
      <c r="S17" s="42" t="s">
        <v>1242</v>
      </c>
      <c r="T17" s="42"/>
      <c r="U17" s="41"/>
    </row>
    <row r="18" spans="1:21" s="40" customFormat="1" ht="24.95" customHeight="1" x14ac:dyDescent="0.3">
      <c r="A18" s="57">
        <v>2019.01</v>
      </c>
      <c r="B18" s="57" t="s">
        <v>877</v>
      </c>
      <c r="C18" s="57" t="s">
        <v>191</v>
      </c>
      <c r="D18" s="57" t="s">
        <v>2510</v>
      </c>
      <c r="E18" s="57"/>
      <c r="F18" s="57" t="s">
        <v>2509</v>
      </c>
      <c r="G18" s="57" t="s">
        <v>2508</v>
      </c>
      <c r="H18" s="57" t="s">
        <v>1986</v>
      </c>
      <c r="I18" s="57" t="s">
        <v>729</v>
      </c>
      <c r="J18" s="57"/>
      <c r="K18" s="57"/>
      <c r="L18" s="57" t="s">
        <v>721</v>
      </c>
      <c r="M18" s="57" t="s">
        <v>721</v>
      </c>
      <c r="N18" s="57">
        <v>3000</v>
      </c>
      <c r="O18" s="57"/>
      <c r="P18" s="57"/>
      <c r="Q18" s="57"/>
      <c r="R18" s="57"/>
      <c r="S18" s="57"/>
      <c r="T18" s="57"/>
      <c r="U18" s="60"/>
    </row>
    <row r="19" spans="1:21" s="40" customFormat="1" ht="24.95" customHeight="1" x14ac:dyDescent="0.3">
      <c r="A19" s="42">
        <v>2019.02</v>
      </c>
      <c r="B19" s="42" t="s">
        <v>734</v>
      </c>
      <c r="C19" s="42" t="s">
        <v>156</v>
      </c>
      <c r="D19" s="42" t="s">
        <v>758</v>
      </c>
      <c r="E19" s="42" t="s">
        <v>2459</v>
      </c>
      <c r="F19" s="42" t="s">
        <v>2513</v>
      </c>
      <c r="G19" s="42" t="s">
        <v>2512</v>
      </c>
      <c r="H19" s="42" t="s">
        <v>2511</v>
      </c>
      <c r="I19" s="42" t="s">
        <v>738</v>
      </c>
      <c r="J19" s="42" t="s">
        <v>728</v>
      </c>
      <c r="K19" s="42"/>
      <c r="L19" s="42">
        <v>8.5</v>
      </c>
      <c r="M19" s="42">
        <v>6</v>
      </c>
      <c r="N19" s="42">
        <v>392</v>
      </c>
      <c r="O19" s="42" t="s">
        <v>1074</v>
      </c>
      <c r="P19" s="42">
        <v>391.2</v>
      </c>
      <c r="Q19" s="42">
        <v>6</v>
      </c>
      <c r="R19" s="42">
        <v>65.2</v>
      </c>
      <c r="S19" s="42" t="s">
        <v>1227</v>
      </c>
      <c r="T19" s="42"/>
      <c r="U19" s="41"/>
    </row>
    <row r="20" spans="1:21" s="40" customFormat="1" ht="24.95" customHeight="1" x14ac:dyDescent="0.3">
      <c r="A20" s="57">
        <v>2019.02</v>
      </c>
      <c r="B20" s="57" t="s">
        <v>877</v>
      </c>
      <c r="C20" s="57" t="s">
        <v>191</v>
      </c>
      <c r="D20" s="57" t="s">
        <v>2510</v>
      </c>
      <c r="E20" s="57"/>
      <c r="F20" s="57" t="s">
        <v>2509</v>
      </c>
      <c r="G20" s="57" t="s">
        <v>2508</v>
      </c>
      <c r="H20" s="57" t="s">
        <v>1986</v>
      </c>
      <c r="I20" s="57" t="s">
        <v>738</v>
      </c>
      <c r="J20" s="57"/>
      <c r="K20" s="57"/>
      <c r="L20" s="57" t="s">
        <v>721</v>
      </c>
      <c r="M20" s="57" t="s">
        <v>721</v>
      </c>
      <c r="N20" s="57"/>
      <c r="O20" s="57"/>
      <c r="P20" s="57"/>
      <c r="Q20" s="57"/>
      <c r="R20" s="57"/>
      <c r="S20" s="57"/>
      <c r="T20" s="57"/>
      <c r="U20" s="60"/>
    </row>
    <row r="21" spans="1:21" s="76" customFormat="1" ht="24.95" customHeight="1" x14ac:dyDescent="0.3">
      <c r="A21" s="52">
        <v>2019.02</v>
      </c>
      <c r="B21" s="49" t="s">
        <v>789</v>
      </c>
      <c r="C21" s="49" t="s">
        <v>191</v>
      </c>
      <c r="D21" s="49" t="s">
        <v>2510</v>
      </c>
      <c r="E21" s="49"/>
      <c r="F21" s="49" t="s">
        <v>2509</v>
      </c>
      <c r="G21" s="49" t="s">
        <v>2508</v>
      </c>
      <c r="H21" s="49" t="s">
        <v>1986</v>
      </c>
      <c r="I21" s="49" t="s">
        <v>738</v>
      </c>
      <c r="J21" s="49" t="s">
        <v>737</v>
      </c>
      <c r="K21" s="49" t="s">
        <v>753</v>
      </c>
      <c r="L21" s="49" t="s">
        <v>721</v>
      </c>
      <c r="M21" s="49" t="s">
        <v>721</v>
      </c>
      <c r="N21" s="49">
        <v>3000</v>
      </c>
      <c r="O21" s="49" t="s">
        <v>1505</v>
      </c>
      <c r="P21" s="49">
        <v>3000</v>
      </c>
      <c r="Q21" s="49" t="s">
        <v>721</v>
      </c>
      <c r="R21" s="49" t="s">
        <v>721</v>
      </c>
      <c r="S21" s="49" t="s">
        <v>1242</v>
      </c>
      <c r="T21" s="49"/>
      <c r="U21" s="48"/>
    </row>
    <row r="22" spans="1:21" s="40" customFormat="1" ht="24.95" customHeight="1" x14ac:dyDescent="0.3">
      <c r="A22" s="42">
        <v>2019.04</v>
      </c>
      <c r="B22" s="42" t="s">
        <v>734</v>
      </c>
      <c r="C22" s="42" t="s">
        <v>225</v>
      </c>
      <c r="D22" s="42" t="s">
        <v>2403</v>
      </c>
      <c r="E22" s="42"/>
      <c r="F22" s="42" t="s">
        <v>2402</v>
      </c>
      <c r="G22" s="42" t="s">
        <v>517</v>
      </c>
      <c r="H22" s="42" t="s">
        <v>2507</v>
      </c>
      <c r="I22" s="42" t="s">
        <v>1108</v>
      </c>
      <c r="J22" s="42" t="s">
        <v>737</v>
      </c>
      <c r="K22" s="42"/>
      <c r="L22" s="42" t="s">
        <v>721</v>
      </c>
      <c r="M22" s="42" t="s">
        <v>721</v>
      </c>
      <c r="N22" s="42" t="s">
        <v>721</v>
      </c>
      <c r="O22" s="42" t="s">
        <v>2506</v>
      </c>
      <c r="P22" s="42">
        <v>8640</v>
      </c>
      <c r="Q22" s="42">
        <v>72</v>
      </c>
      <c r="R22" s="42">
        <v>120</v>
      </c>
      <c r="S22" s="42" t="s">
        <v>2397</v>
      </c>
      <c r="T22" s="42"/>
      <c r="U22" s="41"/>
    </row>
    <row r="23" spans="1:21" s="40" customFormat="1" ht="24.95" customHeight="1" x14ac:dyDescent="0.3">
      <c r="A23" s="57">
        <v>2019.05</v>
      </c>
      <c r="B23" s="57" t="s">
        <v>877</v>
      </c>
      <c r="C23" s="57" t="s">
        <v>191</v>
      </c>
      <c r="D23" s="57" t="s">
        <v>563</v>
      </c>
      <c r="E23" s="57"/>
      <c r="F23" s="57" t="s">
        <v>2505</v>
      </c>
      <c r="G23" s="57" t="s">
        <v>2504</v>
      </c>
      <c r="H23" s="57" t="s">
        <v>1330</v>
      </c>
      <c r="I23" s="57" t="s">
        <v>2318</v>
      </c>
      <c r="J23" s="57"/>
      <c r="K23" s="57"/>
      <c r="L23" s="57">
        <v>9</v>
      </c>
      <c r="M23" s="57">
        <v>2</v>
      </c>
      <c r="N23" s="57" t="s">
        <v>721</v>
      </c>
      <c r="O23" s="57"/>
      <c r="P23" s="57"/>
      <c r="Q23" s="57"/>
      <c r="R23" s="57"/>
      <c r="S23" s="57"/>
      <c r="T23" s="57"/>
      <c r="U23" s="60"/>
    </row>
    <row r="24" spans="1:21" s="76" customFormat="1" ht="24.95" customHeight="1" x14ac:dyDescent="0.3">
      <c r="A24" s="52">
        <v>2019.05</v>
      </c>
      <c r="B24" s="49" t="s">
        <v>734</v>
      </c>
      <c r="C24" s="49" t="s">
        <v>191</v>
      </c>
      <c r="D24" s="49" t="s">
        <v>563</v>
      </c>
      <c r="E24" s="49"/>
      <c r="F24" s="49" t="s">
        <v>2505</v>
      </c>
      <c r="G24" s="49" t="s">
        <v>2504</v>
      </c>
      <c r="H24" s="49" t="s">
        <v>2503</v>
      </c>
      <c r="I24" s="49" t="s">
        <v>2318</v>
      </c>
      <c r="J24" s="49" t="s">
        <v>728</v>
      </c>
      <c r="K24" s="49" t="s">
        <v>753</v>
      </c>
      <c r="L24" s="49">
        <v>9</v>
      </c>
      <c r="M24" s="49">
        <v>2</v>
      </c>
      <c r="N24" s="49" t="s">
        <v>721</v>
      </c>
      <c r="O24" s="49" t="s">
        <v>1505</v>
      </c>
      <c r="P24" s="49" t="s">
        <v>721</v>
      </c>
      <c r="Q24" s="49">
        <v>2</v>
      </c>
      <c r="R24" s="49" t="s">
        <v>721</v>
      </c>
      <c r="S24" s="49" t="s">
        <v>1242</v>
      </c>
      <c r="T24" s="49"/>
      <c r="U24" s="48"/>
    </row>
    <row r="25" spans="1:21" s="40" customFormat="1" ht="24.95" customHeight="1" x14ac:dyDescent="0.3">
      <c r="A25" s="57">
        <v>2019.07</v>
      </c>
      <c r="B25" s="57" t="s">
        <v>877</v>
      </c>
      <c r="C25" s="57" t="s">
        <v>576</v>
      </c>
      <c r="D25" s="57" t="s">
        <v>885</v>
      </c>
      <c r="E25" s="57"/>
      <c r="F25" s="57" t="s">
        <v>2326</v>
      </c>
      <c r="G25" s="57" t="s">
        <v>2497</v>
      </c>
      <c r="H25" s="57" t="s">
        <v>2496</v>
      </c>
      <c r="I25" s="57" t="s">
        <v>833</v>
      </c>
      <c r="J25" s="57"/>
      <c r="K25" s="57"/>
      <c r="L25" s="57">
        <v>8.5</v>
      </c>
      <c r="M25" s="57">
        <v>2</v>
      </c>
      <c r="N25" s="57" t="s">
        <v>721</v>
      </c>
      <c r="O25" s="57"/>
      <c r="P25" s="57"/>
      <c r="Q25" s="57"/>
      <c r="R25" s="57"/>
      <c r="S25" s="57"/>
      <c r="T25" s="57"/>
      <c r="U25" s="60"/>
    </row>
    <row r="26" spans="1:21" s="40" customFormat="1" ht="24.95" customHeight="1" x14ac:dyDescent="0.3">
      <c r="A26" s="146">
        <v>2019.07</v>
      </c>
      <c r="B26" s="146" t="s">
        <v>877</v>
      </c>
      <c r="C26" s="146" t="s">
        <v>233</v>
      </c>
      <c r="D26" s="146" t="s">
        <v>1311</v>
      </c>
      <c r="E26" s="146" t="s">
        <v>1854</v>
      </c>
      <c r="F26" s="146" t="s">
        <v>2499</v>
      </c>
      <c r="G26" s="146" t="s">
        <v>517</v>
      </c>
      <c r="H26" s="146" t="s">
        <v>2502</v>
      </c>
      <c r="I26" s="146" t="s">
        <v>1567</v>
      </c>
      <c r="J26" s="57"/>
      <c r="K26" s="57"/>
      <c r="L26" s="57">
        <v>8.5</v>
      </c>
      <c r="M26" s="57">
        <v>50</v>
      </c>
      <c r="N26" s="146">
        <v>20000</v>
      </c>
      <c r="O26" s="146"/>
      <c r="P26" s="57"/>
      <c r="Q26" s="57"/>
      <c r="R26" s="57"/>
      <c r="S26" s="57"/>
      <c r="T26" s="57"/>
      <c r="U26" s="60"/>
    </row>
    <row r="27" spans="1:21" s="40" customFormat="1" ht="24.95" customHeight="1" x14ac:dyDescent="0.3">
      <c r="A27" s="156"/>
      <c r="B27" s="156"/>
      <c r="C27" s="156"/>
      <c r="D27" s="156"/>
      <c r="E27" s="156"/>
      <c r="F27" s="156"/>
      <c r="G27" s="156"/>
      <c r="H27" s="156"/>
      <c r="I27" s="156"/>
      <c r="J27" s="57"/>
      <c r="K27" s="57"/>
      <c r="L27" s="57">
        <v>12</v>
      </c>
      <c r="M27" s="57" t="s">
        <v>2501</v>
      </c>
      <c r="N27" s="156"/>
      <c r="O27" s="156"/>
      <c r="P27" s="57"/>
      <c r="Q27" s="57"/>
      <c r="R27" s="57"/>
      <c r="S27" s="57"/>
      <c r="T27" s="57"/>
      <c r="U27" s="60"/>
    </row>
    <row r="28" spans="1:21" s="40" customFormat="1" ht="24.95" customHeight="1" x14ac:dyDescent="0.3">
      <c r="A28" s="147"/>
      <c r="B28" s="147"/>
      <c r="C28" s="147"/>
      <c r="D28" s="147"/>
      <c r="E28" s="147"/>
      <c r="F28" s="147"/>
      <c r="G28" s="147"/>
      <c r="H28" s="147"/>
      <c r="I28" s="147"/>
      <c r="J28" s="57"/>
      <c r="K28" s="57"/>
      <c r="L28" s="57">
        <v>8.5</v>
      </c>
      <c r="M28" s="57" t="s">
        <v>2500</v>
      </c>
      <c r="N28" s="147"/>
      <c r="O28" s="147"/>
      <c r="P28" s="57"/>
      <c r="Q28" s="57"/>
      <c r="R28" s="57"/>
      <c r="S28" s="57"/>
      <c r="T28" s="57"/>
      <c r="U28" s="60"/>
    </row>
    <row r="29" spans="1:21" s="40" customFormat="1" ht="24.95" customHeight="1" x14ac:dyDescent="0.3">
      <c r="A29" s="152">
        <v>2019.07</v>
      </c>
      <c r="B29" s="152" t="s">
        <v>734</v>
      </c>
      <c r="C29" s="152" t="s">
        <v>233</v>
      </c>
      <c r="D29" s="152" t="s">
        <v>1311</v>
      </c>
      <c r="E29" s="152" t="s">
        <v>1854</v>
      </c>
      <c r="F29" s="152" t="s">
        <v>2499</v>
      </c>
      <c r="G29" s="152" t="s">
        <v>517</v>
      </c>
      <c r="H29" s="152" t="s">
        <v>2498</v>
      </c>
      <c r="I29" s="152" t="s">
        <v>1567</v>
      </c>
      <c r="J29" s="49" t="s">
        <v>728</v>
      </c>
      <c r="K29" s="152" t="s">
        <v>753</v>
      </c>
      <c r="L29" s="49">
        <v>8.5</v>
      </c>
      <c r="M29" s="49">
        <v>50</v>
      </c>
      <c r="N29" s="152">
        <v>20000</v>
      </c>
      <c r="O29" s="152" t="s">
        <v>880</v>
      </c>
      <c r="P29" s="152">
        <v>14800</v>
      </c>
      <c r="Q29" s="49">
        <v>50</v>
      </c>
      <c r="R29" s="49" t="s">
        <v>721</v>
      </c>
      <c r="S29" s="49" t="s">
        <v>2033</v>
      </c>
      <c r="T29" s="49"/>
      <c r="U29" s="48"/>
    </row>
    <row r="30" spans="1:21" s="40" customFormat="1" ht="24.95" customHeight="1" x14ac:dyDescent="0.3">
      <c r="A30" s="154"/>
      <c r="B30" s="154"/>
      <c r="C30" s="154"/>
      <c r="D30" s="154"/>
      <c r="E30" s="154"/>
      <c r="F30" s="154"/>
      <c r="G30" s="154"/>
      <c r="H30" s="154"/>
      <c r="I30" s="154"/>
      <c r="J30" s="49" t="s">
        <v>1055</v>
      </c>
      <c r="K30" s="154"/>
      <c r="L30" s="49">
        <v>12</v>
      </c>
      <c r="M30" s="49">
        <v>20</v>
      </c>
      <c r="N30" s="154"/>
      <c r="O30" s="154"/>
      <c r="P30" s="154"/>
      <c r="Q30" s="49">
        <v>20</v>
      </c>
      <c r="R30" s="49" t="s">
        <v>721</v>
      </c>
      <c r="S30" s="49" t="s">
        <v>2033</v>
      </c>
      <c r="T30" s="49"/>
      <c r="U30" s="48"/>
    </row>
    <row r="31" spans="1:21" s="40" customFormat="1" ht="24.95" customHeight="1" x14ac:dyDescent="0.3">
      <c r="A31" s="153"/>
      <c r="B31" s="153"/>
      <c r="C31" s="153"/>
      <c r="D31" s="153"/>
      <c r="E31" s="153"/>
      <c r="F31" s="153"/>
      <c r="G31" s="153"/>
      <c r="H31" s="153"/>
      <c r="I31" s="153"/>
      <c r="J31" s="49" t="s">
        <v>728</v>
      </c>
      <c r="K31" s="153"/>
      <c r="L31" s="49">
        <v>8.5</v>
      </c>
      <c r="M31" s="49">
        <v>20</v>
      </c>
      <c r="N31" s="153"/>
      <c r="O31" s="153"/>
      <c r="P31" s="153"/>
      <c r="Q31" s="49">
        <v>30</v>
      </c>
      <c r="R31" s="49" t="s">
        <v>721</v>
      </c>
      <c r="S31" s="49" t="s">
        <v>2033</v>
      </c>
      <c r="T31" s="49"/>
      <c r="U31" s="48"/>
    </row>
    <row r="32" spans="1:21" s="40" customFormat="1" ht="24.95" customHeight="1" x14ac:dyDescent="0.3">
      <c r="A32" s="86">
        <v>2019.08</v>
      </c>
      <c r="B32" s="86" t="s">
        <v>789</v>
      </c>
      <c r="C32" s="86" t="s">
        <v>576</v>
      </c>
      <c r="D32" s="86" t="s">
        <v>885</v>
      </c>
      <c r="E32" s="86"/>
      <c r="F32" s="86" t="s">
        <v>2326</v>
      </c>
      <c r="G32" s="86" t="s">
        <v>2497</v>
      </c>
      <c r="H32" s="86" t="s">
        <v>2496</v>
      </c>
      <c r="I32" s="86" t="s">
        <v>833</v>
      </c>
      <c r="J32" s="86" t="s">
        <v>728</v>
      </c>
      <c r="K32" s="86"/>
      <c r="L32" s="86">
        <v>8.5</v>
      </c>
      <c r="M32" s="86">
        <v>2</v>
      </c>
      <c r="N32" s="86">
        <v>302</v>
      </c>
      <c r="O32" s="86" t="s">
        <v>1459</v>
      </c>
      <c r="P32" s="86">
        <v>301</v>
      </c>
      <c r="Q32" s="86">
        <v>2</v>
      </c>
      <c r="R32" s="86">
        <v>150.5</v>
      </c>
      <c r="S32" s="86" t="s">
        <v>879</v>
      </c>
      <c r="T32" s="86"/>
      <c r="U32" s="85"/>
    </row>
    <row r="33" spans="1:21" s="40" customFormat="1" ht="24.95" customHeight="1" x14ac:dyDescent="0.3">
      <c r="A33" s="42">
        <v>2019.09</v>
      </c>
      <c r="B33" s="42" t="s">
        <v>734</v>
      </c>
      <c r="C33" s="42" t="s">
        <v>191</v>
      </c>
      <c r="D33" s="42" t="s">
        <v>1725</v>
      </c>
      <c r="E33" s="42"/>
      <c r="F33" s="42" t="s">
        <v>2495</v>
      </c>
      <c r="G33" s="42" t="s">
        <v>2494</v>
      </c>
      <c r="H33" s="42" t="s">
        <v>1551</v>
      </c>
      <c r="I33" s="42" t="s">
        <v>833</v>
      </c>
      <c r="J33" s="42" t="s">
        <v>1055</v>
      </c>
      <c r="K33" s="42"/>
      <c r="L33" s="42">
        <v>10.5</v>
      </c>
      <c r="M33" s="42">
        <v>40</v>
      </c>
      <c r="N33" s="42">
        <v>6800</v>
      </c>
      <c r="O33" s="42" t="s">
        <v>1505</v>
      </c>
      <c r="P33" s="42">
        <v>6798</v>
      </c>
      <c r="Q33" s="42">
        <v>40</v>
      </c>
      <c r="R33" s="42">
        <v>169.95</v>
      </c>
      <c r="S33" s="42" t="s">
        <v>1242</v>
      </c>
      <c r="T33" s="42"/>
      <c r="U33" s="41" t="s">
        <v>2493</v>
      </c>
    </row>
    <row r="34" spans="1:21" s="40" customFormat="1" ht="24.95" customHeight="1" x14ac:dyDescent="0.3">
      <c r="A34" s="42">
        <v>2019.09</v>
      </c>
      <c r="B34" s="42" t="s">
        <v>734</v>
      </c>
      <c r="C34" s="42" t="s">
        <v>156</v>
      </c>
      <c r="D34" s="42" t="s">
        <v>2492</v>
      </c>
      <c r="E34" s="42"/>
      <c r="F34" s="42" t="s">
        <v>2491</v>
      </c>
      <c r="G34" s="96">
        <v>2200000061251</v>
      </c>
      <c r="H34" s="42" t="s">
        <v>2490</v>
      </c>
      <c r="I34" s="42" t="s">
        <v>2489</v>
      </c>
      <c r="J34" s="42" t="s">
        <v>768</v>
      </c>
      <c r="K34" s="42"/>
      <c r="L34" s="42" t="s">
        <v>721</v>
      </c>
      <c r="M34" s="42">
        <v>1</v>
      </c>
      <c r="N34" s="42">
        <v>490</v>
      </c>
      <c r="O34" s="42" t="s">
        <v>2488</v>
      </c>
      <c r="P34" s="42">
        <v>465</v>
      </c>
      <c r="Q34" s="42">
        <v>1</v>
      </c>
      <c r="R34" s="42">
        <v>465</v>
      </c>
      <c r="S34" s="42" t="s">
        <v>1227</v>
      </c>
      <c r="T34" s="42"/>
      <c r="U34" s="41" t="s">
        <v>2487</v>
      </c>
    </row>
    <row r="35" spans="1:21" s="76" customFormat="1" ht="24.95" customHeight="1" x14ac:dyDescent="0.3">
      <c r="A35" s="52">
        <v>2019.1</v>
      </c>
      <c r="B35" s="49" t="s">
        <v>789</v>
      </c>
      <c r="C35" s="49" t="s">
        <v>156</v>
      </c>
      <c r="D35" s="49" t="s">
        <v>172</v>
      </c>
      <c r="E35" s="49"/>
      <c r="F35" s="49" t="s">
        <v>772</v>
      </c>
      <c r="G35" s="49" t="s">
        <v>2486</v>
      </c>
      <c r="H35" s="49" t="s">
        <v>2485</v>
      </c>
      <c r="I35" s="49" t="s">
        <v>2484</v>
      </c>
      <c r="J35" s="49" t="s">
        <v>743</v>
      </c>
      <c r="K35" s="49" t="s">
        <v>753</v>
      </c>
      <c r="L35" s="49" t="s">
        <v>721</v>
      </c>
      <c r="M35" s="49">
        <v>2</v>
      </c>
      <c r="N35" s="49">
        <v>126</v>
      </c>
      <c r="O35" s="49" t="s">
        <v>2483</v>
      </c>
      <c r="P35" s="49" t="s">
        <v>721</v>
      </c>
      <c r="Q35" s="49">
        <v>2</v>
      </c>
      <c r="R35" s="49" t="s">
        <v>721</v>
      </c>
      <c r="S35" s="49" t="s">
        <v>1066</v>
      </c>
      <c r="T35" s="49"/>
      <c r="U35" s="48"/>
    </row>
    <row r="36" spans="1:21" s="40" customFormat="1" ht="24.95" customHeight="1" x14ac:dyDescent="0.3">
      <c r="A36" s="57">
        <v>2019.11</v>
      </c>
      <c r="B36" s="57" t="s">
        <v>877</v>
      </c>
      <c r="C36" s="57" t="s">
        <v>122</v>
      </c>
      <c r="D36" s="57" t="s">
        <v>2446</v>
      </c>
      <c r="E36" s="57"/>
      <c r="F36" s="57" t="s">
        <v>2445</v>
      </c>
      <c r="G36" s="57" t="s">
        <v>2444</v>
      </c>
      <c r="H36" s="57" t="s">
        <v>2482</v>
      </c>
      <c r="I36" s="57" t="s">
        <v>801</v>
      </c>
      <c r="J36" s="57"/>
      <c r="K36" s="57"/>
      <c r="L36" s="57">
        <v>8.5</v>
      </c>
      <c r="M36" s="57">
        <v>10</v>
      </c>
      <c r="N36" s="57">
        <v>2000</v>
      </c>
      <c r="O36" s="57" t="s">
        <v>877</v>
      </c>
      <c r="P36" s="57"/>
      <c r="Q36" s="57"/>
      <c r="R36" s="57"/>
      <c r="S36" s="57"/>
      <c r="T36" s="57"/>
      <c r="U36" s="60" t="s">
        <v>2442</v>
      </c>
    </row>
    <row r="37" spans="1:21" s="40" customFormat="1" ht="24.95" customHeight="1" x14ac:dyDescent="0.3">
      <c r="A37" s="42">
        <v>2019.11</v>
      </c>
      <c r="B37" s="42" t="s">
        <v>734</v>
      </c>
      <c r="C37" s="42" t="s">
        <v>122</v>
      </c>
      <c r="D37" s="42" t="s">
        <v>123</v>
      </c>
      <c r="E37" s="42" t="s">
        <v>2481</v>
      </c>
      <c r="F37" s="42" t="s">
        <v>2480</v>
      </c>
      <c r="G37" s="42" t="s">
        <v>2479</v>
      </c>
      <c r="H37" s="42" t="s">
        <v>1793</v>
      </c>
      <c r="I37" s="42" t="s">
        <v>738</v>
      </c>
      <c r="J37" s="42" t="s">
        <v>737</v>
      </c>
      <c r="K37" s="42"/>
      <c r="L37" s="42" t="s">
        <v>721</v>
      </c>
      <c r="M37" s="42">
        <v>10</v>
      </c>
      <c r="N37" s="42">
        <v>1400</v>
      </c>
      <c r="O37" s="42" t="s">
        <v>1013</v>
      </c>
      <c r="P37" s="42">
        <v>1380</v>
      </c>
      <c r="Q37" s="42">
        <v>10</v>
      </c>
      <c r="R37" s="42">
        <v>138</v>
      </c>
      <c r="S37" s="42" t="s">
        <v>2235</v>
      </c>
      <c r="T37" s="42"/>
      <c r="U37" s="41" t="s">
        <v>2478</v>
      </c>
    </row>
    <row r="38" spans="1:21" s="40" customFormat="1" ht="24.95" customHeight="1" x14ac:dyDescent="0.3">
      <c r="A38" s="127">
        <v>2019.11</v>
      </c>
      <c r="B38" s="127" t="s">
        <v>734</v>
      </c>
      <c r="C38" s="127" t="s">
        <v>156</v>
      </c>
      <c r="D38" s="127" t="s">
        <v>758</v>
      </c>
      <c r="E38" s="127" t="s">
        <v>1938</v>
      </c>
      <c r="F38" s="127" t="s">
        <v>2477</v>
      </c>
      <c r="G38" s="42" t="s">
        <v>2476</v>
      </c>
      <c r="H38" s="42" t="s">
        <v>2475</v>
      </c>
      <c r="I38" s="42" t="s">
        <v>1902</v>
      </c>
      <c r="J38" s="42" t="s">
        <v>737</v>
      </c>
      <c r="K38" s="42"/>
      <c r="L38" s="42" t="s">
        <v>721</v>
      </c>
      <c r="M38" s="42">
        <v>100</v>
      </c>
      <c r="N38" s="42" t="s">
        <v>2465</v>
      </c>
      <c r="O38" s="42" t="s">
        <v>2472</v>
      </c>
      <c r="P38" s="42">
        <v>187.8</v>
      </c>
      <c r="Q38" s="42">
        <v>100</v>
      </c>
      <c r="R38" s="42">
        <v>187.8</v>
      </c>
      <c r="S38" s="42" t="s">
        <v>2471</v>
      </c>
      <c r="T38" s="42"/>
      <c r="U38" s="41"/>
    </row>
    <row r="39" spans="1:21" s="40" customFormat="1" ht="24.95" customHeight="1" x14ac:dyDescent="0.3">
      <c r="A39" s="148"/>
      <c r="B39" s="148"/>
      <c r="C39" s="148"/>
      <c r="D39" s="148"/>
      <c r="E39" s="148"/>
      <c r="F39" s="148"/>
      <c r="G39" s="42" t="s">
        <v>2474</v>
      </c>
      <c r="H39" s="42" t="s">
        <v>2473</v>
      </c>
      <c r="I39" s="42" t="s">
        <v>1902</v>
      </c>
      <c r="J39" s="42" t="s">
        <v>737</v>
      </c>
      <c r="K39" s="42"/>
      <c r="L39" s="42" t="s">
        <v>721</v>
      </c>
      <c r="M39" s="42">
        <v>100</v>
      </c>
      <c r="N39" s="42" t="s">
        <v>2465</v>
      </c>
      <c r="O39" s="42" t="s">
        <v>2472</v>
      </c>
      <c r="P39" s="42">
        <v>187.8</v>
      </c>
      <c r="Q39" s="42">
        <v>100</v>
      </c>
      <c r="R39" s="42">
        <v>187.8</v>
      </c>
      <c r="S39" s="42" t="s">
        <v>2471</v>
      </c>
      <c r="T39" s="42"/>
      <c r="U39" s="41"/>
    </row>
    <row r="40" spans="1:21" s="40" customFormat="1" ht="24.95" customHeight="1" x14ac:dyDescent="0.3">
      <c r="A40" s="148"/>
      <c r="B40" s="148"/>
      <c r="C40" s="148"/>
      <c r="D40" s="148"/>
      <c r="E40" s="148"/>
      <c r="F40" s="148"/>
      <c r="G40" s="42" t="s">
        <v>2470</v>
      </c>
      <c r="H40" s="42" t="s">
        <v>2469</v>
      </c>
      <c r="I40" s="42" t="s">
        <v>1902</v>
      </c>
      <c r="J40" s="42" t="s">
        <v>737</v>
      </c>
      <c r="K40" s="42"/>
      <c r="L40" s="42" t="s">
        <v>721</v>
      </c>
      <c r="M40" s="42">
        <v>86</v>
      </c>
      <c r="N40" s="42" t="s">
        <v>2468</v>
      </c>
      <c r="O40" s="42" t="s">
        <v>1897</v>
      </c>
      <c r="P40" s="42">
        <v>17027.14</v>
      </c>
      <c r="Q40" s="42">
        <v>86</v>
      </c>
      <c r="R40" s="42">
        <v>197.99</v>
      </c>
      <c r="S40" s="42" t="s">
        <v>2033</v>
      </c>
      <c r="T40" s="42">
        <v>53</v>
      </c>
      <c r="U40" s="41"/>
    </row>
    <row r="41" spans="1:21" s="40" customFormat="1" ht="24.95" customHeight="1" x14ac:dyDescent="0.3">
      <c r="A41" s="128"/>
      <c r="B41" s="128"/>
      <c r="C41" s="128"/>
      <c r="D41" s="128"/>
      <c r="E41" s="128"/>
      <c r="F41" s="128"/>
      <c r="G41" s="42" t="s">
        <v>2467</v>
      </c>
      <c r="H41" s="42" t="s">
        <v>2466</v>
      </c>
      <c r="I41" s="42" t="s">
        <v>1902</v>
      </c>
      <c r="J41" s="42" t="s">
        <v>737</v>
      </c>
      <c r="K41" s="42"/>
      <c r="L41" s="42" t="s">
        <v>721</v>
      </c>
      <c r="M41" s="42">
        <v>100</v>
      </c>
      <c r="N41" s="42" t="s">
        <v>2465</v>
      </c>
      <c r="O41" s="42" t="s">
        <v>1897</v>
      </c>
      <c r="P41" s="42">
        <v>19799</v>
      </c>
      <c r="Q41" s="42">
        <v>100</v>
      </c>
      <c r="R41" s="42">
        <v>197.99</v>
      </c>
      <c r="S41" s="42" t="s">
        <v>2033</v>
      </c>
      <c r="T41" s="42"/>
      <c r="U41" s="41"/>
    </row>
    <row r="42" spans="1:21" s="40" customFormat="1" ht="24.95" customHeight="1" x14ac:dyDescent="0.3">
      <c r="A42" s="42">
        <v>2019.11</v>
      </c>
      <c r="B42" s="42" t="s">
        <v>734</v>
      </c>
      <c r="C42" s="42" t="s">
        <v>156</v>
      </c>
      <c r="D42" s="42" t="s">
        <v>758</v>
      </c>
      <c r="E42" s="42" t="s">
        <v>2418</v>
      </c>
      <c r="F42" s="42" t="s">
        <v>2464</v>
      </c>
      <c r="G42" s="42" t="s">
        <v>2463</v>
      </c>
      <c r="H42" s="42" t="s">
        <v>2462</v>
      </c>
      <c r="I42" s="42" t="s">
        <v>738</v>
      </c>
      <c r="J42" s="42" t="s">
        <v>728</v>
      </c>
      <c r="K42" s="42"/>
      <c r="L42" s="42" t="s">
        <v>2461</v>
      </c>
      <c r="M42" s="42">
        <v>42</v>
      </c>
      <c r="N42" s="42" t="s">
        <v>721</v>
      </c>
      <c r="O42" s="42" t="s">
        <v>2460</v>
      </c>
      <c r="P42" s="42">
        <v>7135.8</v>
      </c>
      <c r="Q42" s="42">
        <v>42</v>
      </c>
      <c r="R42" s="42">
        <v>169.9</v>
      </c>
      <c r="S42" s="42" t="s">
        <v>2422</v>
      </c>
      <c r="T42" s="42"/>
      <c r="U42" s="41"/>
    </row>
    <row r="43" spans="1:21" s="40" customFormat="1" ht="24.95" customHeight="1" x14ac:dyDescent="0.3">
      <c r="A43" s="42">
        <v>2019.11</v>
      </c>
      <c r="B43" s="42" t="s">
        <v>734</v>
      </c>
      <c r="C43" s="42" t="s">
        <v>156</v>
      </c>
      <c r="D43" s="42" t="s">
        <v>758</v>
      </c>
      <c r="E43" s="42" t="s">
        <v>2459</v>
      </c>
      <c r="F43" s="42" t="s">
        <v>2458</v>
      </c>
      <c r="G43" s="42" t="s">
        <v>2457</v>
      </c>
      <c r="H43" s="42" t="s">
        <v>2456</v>
      </c>
      <c r="I43" s="42" t="s">
        <v>907</v>
      </c>
      <c r="J43" s="42" t="s">
        <v>728</v>
      </c>
      <c r="K43" s="42"/>
      <c r="L43" s="42">
        <v>8.6</v>
      </c>
      <c r="M43" s="42" t="s">
        <v>721</v>
      </c>
      <c r="N43" s="42" t="s">
        <v>721</v>
      </c>
      <c r="O43" s="42" t="s">
        <v>2414</v>
      </c>
      <c r="P43" s="42">
        <v>8733</v>
      </c>
      <c r="Q43" s="42">
        <v>41</v>
      </c>
      <c r="R43" s="42">
        <v>213</v>
      </c>
      <c r="S43" s="42" t="s">
        <v>2422</v>
      </c>
      <c r="T43" s="42"/>
      <c r="U43" s="41"/>
    </row>
    <row r="44" spans="1:21" s="40" customFormat="1" ht="24.95" customHeight="1" x14ac:dyDescent="0.3">
      <c r="A44" s="57">
        <v>2019.11</v>
      </c>
      <c r="B44" s="57" t="s">
        <v>877</v>
      </c>
      <c r="C44" s="57" t="s">
        <v>225</v>
      </c>
      <c r="D44" s="57" t="s">
        <v>1144</v>
      </c>
      <c r="E44" s="57"/>
      <c r="F44" s="57" t="s">
        <v>2454</v>
      </c>
      <c r="G44" s="57" t="s">
        <v>2453</v>
      </c>
      <c r="H44" s="57" t="s">
        <v>2455</v>
      </c>
      <c r="I44" s="57" t="s">
        <v>2451</v>
      </c>
      <c r="J44" s="57"/>
      <c r="K44" s="57"/>
      <c r="L44" s="57">
        <v>12</v>
      </c>
      <c r="M44" s="57">
        <v>200</v>
      </c>
      <c r="N44" s="57" t="s">
        <v>721</v>
      </c>
      <c r="O44" s="57"/>
      <c r="P44" s="57"/>
      <c r="Q44" s="57"/>
      <c r="R44" s="57"/>
      <c r="S44" s="57"/>
      <c r="T44" s="57"/>
      <c r="U44" s="60"/>
    </row>
    <row r="45" spans="1:21" s="40" customFormat="1" ht="24.95" customHeight="1" x14ac:dyDescent="0.3">
      <c r="A45" s="152">
        <v>2019.11</v>
      </c>
      <c r="B45" s="152" t="s">
        <v>789</v>
      </c>
      <c r="C45" s="152" t="s">
        <v>225</v>
      </c>
      <c r="D45" s="152" t="s">
        <v>1144</v>
      </c>
      <c r="E45" s="152"/>
      <c r="F45" s="152" t="s">
        <v>2454</v>
      </c>
      <c r="G45" s="152" t="s">
        <v>2453</v>
      </c>
      <c r="H45" s="152" t="s">
        <v>2452</v>
      </c>
      <c r="I45" s="152" t="s">
        <v>2451</v>
      </c>
      <c r="J45" s="49" t="s">
        <v>1055</v>
      </c>
      <c r="K45" s="152" t="s">
        <v>753</v>
      </c>
      <c r="L45" s="49">
        <v>12</v>
      </c>
      <c r="M45" s="152">
        <v>200</v>
      </c>
      <c r="N45" s="152" t="s">
        <v>721</v>
      </c>
      <c r="O45" s="152" t="s">
        <v>1145</v>
      </c>
      <c r="P45" s="49" t="s">
        <v>721</v>
      </c>
      <c r="Q45" s="49">
        <v>50</v>
      </c>
      <c r="R45" s="49" t="s">
        <v>721</v>
      </c>
      <c r="S45" s="49" t="s">
        <v>1178</v>
      </c>
      <c r="T45" s="49">
        <v>60</v>
      </c>
      <c r="U45" s="160"/>
    </row>
    <row r="46" spans="1:21" s="40" customFormat="1" ht="24.95" customHeight="1" x14ac:dyDescent="0.3">
      <c r="A46" s="153"/>
      <c r="B46" s="153"/>
      <c r="C46" s="153"/>
      <c r="D46" s="153"/>
      <c r="E46" s="153"/>
      <c r="F46" s="153"/>
      <c r="G46" s="153"/>
      <c r="H46" s="153"/>
      <c r="I46" s="153"/>
      <c r="J46" s="49" t="s">
        <v>1055</v>
      </c>
      <c r="K46" s="153"/>
      <c r="L46" s="49">
        <v>12</v>
      </c>
      <c r="M46" s="153"/>
      <c r="N46" s="153"/>
      <c r="O46" s="153"/>
      <c r="P46" s="49" t="s">
        <v>721</v>
      </c>
      <c r="Q46" s="49">
        <v>150</v>
      </c>
      <c r="R46" s="49" t="s">
        <v>721</v>
      </c>
      <c r="S46" s="49" t="s">
        <v>1066</v>
      </c>
      <c r="T46" s="49">
        <v>50</v>
      </c>
      <c r="U46" s="162"/>
    </row>
    <row r="47" spans="1:21" s="40" customFormat="1" ht="24.95" customHeight="1" x14ac:dyDescent="0.3">
      <c r="A47" s="127">
        <v>2019.11</v>
      </c>
      <c r="B47" s="127" t="s">
        <v>734</v>
      </c>
      <c r="C47" s="127" t="s">
        <v>25</v>
      </c>
      <c r="D47" s="127" t="s">
        <v>26</v>
      </c>
      <c r="E47" s="127"/>
      <c r="F47" s="127" t="s">
        <v>2333</v>
      </c>
      <c r="G47" s="127" t="s">
        <v>2450</v>
      </c>
      <c r="H47" s="127" t="s">
        <v>2449</v>
      </c>
      <c r="I47" s="42" t="s">
        <v>2448</v>
      </c>
      <c r="J47" s="42" t="s">
        <v>1055</v>
      </c>
      <c r="K47" s="42"/>
      <c r="L47" s="42" t="s">
        <v>2327</v>
      </c>
      <c r="M47" s="42">
        <v>50</v>
      </c>
      <c r="N47" s="127">
        <v>21000</v>
      </c>
      <c r="O47" s="42" t="s">
        <v>2158</v>
      </c>
      <c r="P47" s="42">
        <v>14810</v>
      </c>
      <c r="Q47" s="42">
        <v>50</v>
      </c>
      <c r="R47" s="42">
        <v>296.2</v>
      </c>
      <c r="S47" s="42" t="s">
        <v>1178</v>
      </c>
      <c r="T47" s="42"/>
      <c r="U47" s="41"/>
    </row>
    <row r="48" spans="1:21" s="40" customFormat="1" ht="24.95" customHeight="1" x14ac:dyDescent="0.3">
      <c r="A48" s="128"/>
      <c r="B48" s="128"/>
      <c r="C48" s="128"/>
      <c r="D48" s="128"/>
      <c r="E48" s="128"/>
      <c r="F48" s="128"/>
      <c r="G48" s="128"/>
      <c r="H48" s="128"/>
      <c r="I48" s="42" t="s">
        <v>2447</v>
      </c>
      <c r="J48" s="42" t="s">
        <v>1055</v>
      </c>
      <c r="K48" s="42"/>
      <c r="L48" s="42" t="s">
        <v>2327</v>
      </c>
      <c r="M48" s="42">
        <v>20</v>
      </c>
      <c r="N48" s="128"/>
      <c r="O48" s="42" t="s">
        <v>794</v>
      </c>
      <c r="P48" s="42">
        <v>5930</v>
      </c>
      <c r="Q48" s="42">
        <v>20</v>
      </c>
      <c r="R48" s="42">
        <v>296.5</v>
      </c>
      <c r="S48" s="42" t="s">
        <v>1178</v>
      </c>
      <c r="T48" s="42"/>
      <c r="U48" s="41"/>
    </row>
    <row r="49" spans="1:21" s="40" customFormat="1" ht="24.95" customHeight="1" x14ac:dyDescent="0.3">
      <c r="A49" s="42">
        <v>2019.12</v>
      </c>
      <c r="B49" s="42" t="s">
        <v>734</v>
      </c>
      <c r="C49" s="42" t="s">
        <v>122</v>
      </c>
      <c r="D49" s="42" t="s">
        <v>2446</v>
      </c>
      <c r="E49" s="42"/>
      <c r="F49" s="42" t="s">
        <v>2445</v>
      </c>
      <c r="G49" s="42" t="s">
        <v>2444</v>
      </c>
      <c r="H49" s="42" t="s">
        <v>2443</v>
      </c>
      <c r="I49" s="42" t="s">
        <v>801</v>
      </c>
      <c r="J49" s="42" t="s">
        <v>728</v>
      </c>
      <c r="K49" s="42"/>
      <c r="L49" s="42">
        <v>8.5</v>
      </c>
      <c r="M49" s="42">
        <v>10</v>
      </c>
      <c r="N49" s="42">
        <v>2000</v>
      </c>
      <c r="O49" s="42" t="s">
        <v>2194</v>
      </c>
      <c r="P49" s="42">
        <v>1987</v>
      </c>
      <c r="Q49" s="42">
        <v>10</v>
      </c>
      <c r="R49" s="42">
        <v>198.7</v>
      </c>
      <c r="S49" s="42" t="s">
        <v>1474</v>
      </c>
      <c r="T49" s="42"/>
      <c r="U49" s="41" t="s">
        <v>2442</v>
      </c>
    </row>
    <row r="50" spans="1:21" s="40" customFormat="1" ht="24.95" customHeight="1" x14ac:dyDescent="0.3">
      <c r="A50" s="127">
        <v>2019.12</v>
      </c>
      <c r="B50" s="127" t="s">
        <v>734</v>
      </c>
      <c r="C50" s="127" t="s">
        <v>156</v>
      </c>
      <c r="D50" s="127" t="s">
        <v>758</v>
      </c>
      <c r="E50" s="127" t="s">
        <v>757</v>
      </c>
      <c r="F50" s="127" t="s">
        <v>2441</v>
      </c>
      <c r="G50" s="127" t="s">
        <v>2440</v>
      </c>
      <c r="H50" s="127" t="s">
        <v>2439</v>
      </c>
      <c r="I50" s="42" t="s">
        <v>2438</v>
      </c>
      <c r="J50" s="42" t="s">
        <v>728</v>
      </c>
      <c r="K50" s="42"/>
      <c r="L50" s="42">
        <v>8</v>
      </c>
      <c r="M50" s="42" t="s">
        <v>721</v>
      </c>
      <c r="N50" s="42" t="s">
        <v>721</v>
      </c>
      <c r="O50" s="42" t="s">
        <v>1013</v>
      </c>
      <c r="P50" s="42">
        <v>2823.6</v>
      </c>
      <c r="Q50" s="42">
        <v>26</v>
      </c>
      <c r="R50" s="42">
        <v>108.6</v>
      </c>
      <c r="S50" s="42" t="s">
        <v>2131</v>
      </c>
      <c r="T50" s="42"/>
      <c r="U50" s="41" t="s">
        <v>2437</v>
      </c>
    </row>
    <row r="51" spans="1:21" s="40" customFormat="1" ht="24.95" customHeight="1" x14ac:dyDescent="0.3">
      <c r="A51" s="128"/>
      <c r="B51" s="128"/>
      <c r="C51" s="128"/>
      <c r="D51" s="128"/>
      <c r="E51" s="128"/>
      <c r="F51" s="128"/>
      <c r="G51" s="128"/>
      <c r="H51" s="128"/>
      <c r="I51" s="42" t="s">
        <v>2436</v>
      </c>
      <c r="J51" s="42" t="s">
        <v>728</v>
      </c>
      <c r="K51" s="42"/>
      <c r="L51" s="42">
        <v>8</v>
      </c>
      <c r="M51" s="42" t="s">
        <v>721</v>
      </c>
      <c r="N51" s="42" t="s">
        <v>721</v>
      </c>
      <c r="O51" s="42" t="s">
        <v>2423</v>
      </c>
      <c r="P51" s="42">
        <v>2770</v>
      </c>
      <c r="Q51" s="42">
        <v>25</v>
      </c>
      <c r="R51" s="42">
        <v>110.8</v>
      </c>
      <c r="S51" s="42" t="s">
        <v>2422</v>
      </c>
      <c r="T51" s="42"/>
      <c r="U51" s="41"/>
    </row>
    <row r="52" spans="1:21" s="40" customFormat="1" ht="24.95" customHeight="1" x14ac:dyDescent="0.3">
      <c r="A52" s="127">
        <v>2019.12</v>
      </c>
      <c r="B52" s="127" t="s">
        <v>734</v>
      </c>
      <c r="C52" s="127" t="s">
        <v>156</v>
      </c>
      <c r="D52" s="127" t="s">
        <v>758</v>
      </c>
      <c r="E52" s="127" t="s">
        <v>757</v>
      </c>
      <c r="F52" s="127" t="s">
        <v>2435</v>
      </c>
      <c r="G52" s="127" t="s">
        <v>2434</v>
      </c>
      <c r="H52" s="90" t="s">
        <v>2433</v>
      </c>
      <c r="I52" s="90" t="s">
        <v>2432</v>
      </c>
      <c r="J52" s="90" t="s">
        <v>728</v>
      </c>
      <c r="K52" s="90"/>
      <c r="L52" s="90">
        <v>8</v>
      </c>
      <c r="M52" s="90" t="s">
        <v>721</v>
      </c>
      <c r="N52" s="90">
        <v>1620.8</v>
      </c>
      <c r="O52" s="90" t="s">
        <v>2431</v>
      </c>
      <c r="P52" s="90">
        <v>1615.2</v>
      </c>
      <c r="Q52" s="90">
        <v>8</v>
      </c>
      <c r="R52" s="90">
        <v>201.9</v>
      </c>
      <c r="S52" s="90"/>
      <c r="T52" s="42"/>
      <c r="U52" s="41" t="s">
        <v>2430</v>
      </c>
    </row>
    <row r="53" spans="1:21" s="40" customFormat="1" ht="24.95" customHeight="1" x14ac:dyDescent="0.3">
      <c r="A53" s="128"/>
      <c r="B53" s="128"/>
      <c r="C53" s="128"/>
      <c r="D53" s="128"/>
      <c r="E53" s="128"/>
      <c r="F53" s="128"/>
      <c r="G53" s="128"/>
      <c r="H53" s="42" t="s">
        <v>2429</v>
      </c>
      <c r="I53" s="42" t="s">
        <v>2428</v>
      </c>
      <c r="J53" s="42" t="s">
        <v>728</v>
      </c>
      <c r="K53" s="42"/>
      <c r="L53" s="42">
        <v>8</v>
      </c>
      <c r="M53" s="42" t="s">
        <v>721</v>
      </c>
      <c r="N53" s="42">
        <v>3750</v>
      </c>
      <c r="O53" s="42" t="s">
        <v>2423</v>
      </c>
      <c r="P53" s="42">
        <v>3324</v>
      </c>
      <c r="Q53" s="42">
        <v>30</v>
      </c>
      <c r="R53" s="42">
        <v>110.8</v>
      </c>
      <c r="S53" s="42" t="s">
        <v>2422</v>
      </c>
      <c r="T53" s="42"/>
      <c r="U53" s="41"/>
    </row>
    <row r="54" spans="1:21" s="40" customFormat="1" ht="24.95" customHeight="1" x14ac:dyDescent="0.3">
      <c r="A54" s="42">
        <v>2019.12</v>
      </c>
      <c r="B54" s="42" t="s">
        <v>734</v>
      </c>
      <c r="C54" s="42" t="s">
        <v>156</v>
      </c>
      <c r="D54" s="42" t="s">
        <v>758</v>
      </c>
      <c r="E54" s="42" t="s">
        <v>757</v>
      </c>
      <c r="F54" s="42" t="s">
        <v>2427</v>
      </c>
      <c r="G54" s="42" t="s">
        <v>2426</v>
      </c>
      <c r="H54" s="42" t="s">
        <v>2425</v>
      </c>
      <c r="I54" s="42" t="s">
        <v>2424</v>
      </c>
      <c r="J54" s="42" t="s">
        <v>728</v>
      </c>
      <c r="K54" s="42"/>
      <c r="L54" s="42">
        <v>8</v>
      </c>
      <c r="M54" s="42" t="s">
        <v>721</v>
      </c>
      <c r="N54" s="42">
        <v>2000</v>
      </c>
      <c r="O54" s="42" t="s">
        <v>2423</v>
      </c>
      <c r="P54" s="42">
        <v>1772.8</v>
      </c>
      <c r="Q54" s="42">
        <v>16</v>
      </c>
      <c r="R54" s="42">
        <v>110.8</v>
      </c>
      <c r="S54" s="42" t="s">
        <v>2422</v>
      </c>
      <c r="T54" s="42"/>
      <c r="U54" s="41"/>
    </row>
    <row r="55" spans="1:21" s="40" customFormat="1" ht="24.95" customHeight="1" x14ac:dyDescent="0.3">
      <c r="A55" s="127">
        <v>2019.12</v>
      </c>
      <c r="B55" s="127" t="s">
        <v>734</v>
      </c>
      <c r="C55" s="127" t="s">
        <v>191</v>
      </c>
      <c r="D55" s="127" t="s">
        <v>192</v>
      </c>
      <c r="E55" s="127"/>
      <c r="F55" s="127" t="s">
        <v>2421</v>
      </c>
      <c r="G55" s="127" t="s">
        <v>2420</v>
      </c>
      <c r="H55" s="127" t="s">
        <v>2419</v>
      </c>
      <c r="I55" s="42" t="s">
        <v>729</v>
      </c>
      <c r="J55" s="42" t="s">
        <v>1055</v>
      </c>
      <c r="K55" s="42"/>
      <c r="L55" s="42">
        <v>12</v>
      </c>
      <c r="M55" s="42">
        <v>40</v>
      </c>
      <c r="N55" s="42">
        <v>10400</v>
      </c>
      <c r="O55" s="42" t="s">
        <v>1505</v>
      </c>
      <c r="P55" s="42">
        <v>10396</v>
      </c>
      <c r="Q55" s="42">
        <v>40</v>
      </c>
      <c r="R55" s="42">
        <v>259.89999999999998</v>
      </c>
      <c r="S55" s="42" t="s">
        <v>1242</v>
      </c>
      <c r="T55" s="42"/>
      <c r="U55" s="41"/>
    </row>
    <row r="56" spans="1:21" s="40" customFormat="1" ht="24.95" customHeight="1" x14ac:dyDescent="0.3">
      <c r="A56" s="148"/>
      <c r="B56" s="148"/>
      <c r="C56" s="148"/>
      <c r="D56" s="148"/>
      <c r="E56" s="148"/>
      <c r="F56" s="148"/>
      <c r="G56" s="148"/>
      <c r="H56" s="148"/>
      <c r="I56" s="42" t="s">
        <v>729</v>
      </c>
      <c r="J56" s="42" t="s">
        <v>1055</v>
      </c>
      <c r="K56" s="42"/>
      <c r="L56" s="42">
        <v>12</v>
      </c>
      <c r="M56" s="42">
        <v>30</v>
      </c>
      <c r="N56" s="42">
        <v>7800</v>
      </c>
      <c r="O56" s="42" t="s">
        <v>1243</v>
      </c>
      <c r="P56" s="42">
        <v>7799.4</v>
      </c>
      <c r="Q56" s="42">
        <v>30</v>
      </c>
      <c r="R56" s="42">
        <v>259.98</v>
      </c>
      <c r="S56" s="42" t="s">
        <v>1242</v>
      </c>
      <c r="T56" s="42"/>
      <c r="U56" s="41"/>
    </row>
    <row r="57" spans="1:21" s="40" customFormat="1" ht="24.95" customHeight="1" x14ac:dyDescent="0.3">
      <c r="A57" s="128"/>
      <c r="B57" s="128"/>
      <c r="C57" s="128"/>
      <c r="D57" s="128"/>
      <c r="E57" s="128"/>
      <c r="F57" s="128"/>
      <c r="G57" s="128"/>
      <c r="H57" s="128"/>
      <c r="I57" s="42" t="s">
        <v>729</v>
      </c>
      <c r="J57" s="42" t="s">
        <v>1055</v>
      </c>
      <c r="K57" s="42"/>
      <c r="L57" s="42">
        <v>12</v>
      </c>
      <c r="M57" s="42">
        <v>30</v>
      </c>
      <c r="N57" s="42">
        <v>7800</v>
      </c>
      <c r="O57" s="42" t="s">
        <v>1145</v>
      </c>
      <c r="P57" s="42">
        <v>7797</v>
      </c>
      <c r="Q57" s="42">
        <v>30</v>
      </c>
      <c r="R57" s="42">
        <v>259.89999999999998</v>
      </c>
      <c r="S57" s="42" t="s">
        <v>1242</v>
      </c>
      <c r="T57" s="42"/>
      <c r="U57" s="41"/>
    </row>
    <row r="58" spans="1:21" s="40" customFormat="1" ht="24.95" customHeight="1" x14ac:dyDescent="0.3">
      <c r="A58" s="42">
        <v>2019.12</v>
      </c>
      <c r="B58" s="42" t="s">
        <v>734</v>
      </c>
      <c r="C58" s="42" t="s">
        <v>156</v>
      </c>
      <c r="D58" s="42" t="s">
        <v>758</v>
      </c>
      <c r="E58" s="42" t="s">
        <v>2418</v>
      </c>
      <c r="F58" s="42" t="s">
        <v>2417</v>
      </c>
      <c r="G58" s="42" t="s">
        <v>2416</v>
      </c>
      <c r="H58" s="42" t="s">
        <v>2410</v>
      </c>
      <c r="I58" s="42" t="s">
        <v>738</v>
      </c>
      <c r="J58" s="42" t="s">
        <v>728</v>
      </c>
      <c r="K58" s="42"/>
      <c r="L58" s="42">
        <v>8.5</v>
      </c>
      <c r="M58" s="42">
        <v>43</v>
      </c>
      <c r="N58" s="42" t="s">
        <v>2415</v>
      </c>
      <c r="O58" s="42" t="s">
        <v>2414</v>
      </c>
      <c r="P58" s="42">
        <v>7903.4</v>
      </c>
      <c r="Q58" s="42">
        <v>43</v>
      </c>
      <c r="R58" s="42">
        <v>183.8</v>
      </c>
      <c r="S58" s="42" t="s">
        <v>1227</v>
      </c>
      <c r="T58" s="42"/>
      <c r="U58" s="41" t="s">
        <v>2413</v>
      </c>
    </row>
    <row r="59" spans="1:21" s="40" customFormat="1" ht="24.95" customHeight="1" x14ac:dyDescent="0.3">
      <c r="A59" s="42">
        <v>2020.01</v>
      </c>
      <c r="B59" s="42" t="s">
        <v>734</v>
      </c>
      <c r="C59" s="42" t="s">
        <v>156</v>
      </c>
      <c r="D59" s="42" t="s">
        <v>172</v>
      </c>
      <c r="E59" s="42" t="s">
        <v>773</v>
      </c>
      <c r="F59" s="42" t="s">
        <v>2412</v>
      </c>
      <c r="G59" s="42" t="s">
        <v>2411</v>
      </c>
      <c r="H59" s="42" t="s">
        <v>2410</v>
      </c>
      <c r="I59" s="42" t="s">
        <v>738</v>
      </c>
      <c r="J59" s="42" t="s">
        <v>737</v>
      </c>
      <c r="K59" s="42"/>
      <c r="L59" s="42" t="s">
        <v>721</v>
      </c>
      <c r="M59" s="42">
        <v>15</v>
      </c>
      <c r="N59" s="42" t="s">
        <v>2409</v>
      </c>
      <c r="O59" s="42" t="s">
        <v>800</v>
      </c>
      <c r="P59" s="42">
        <v>3750</v>
      </c>
      <c r="Q59" s="42">
        <v>15</v>
      </c>
      <c r="R59" s="42">
        <v>250</v>
      </c>
      <c r="S59" s="42" t="s">
        <v>957</v>
      </c>
      <c r="T59" s="42"/>
      <c r="U59" s="41"/>
    </row>
    <row r="60" spans="1:21" s="40" customFormat="1" ht="24.95" customHeight="1" x14ac:dyDescent="0.3">
      <c r="A60" s="42">
        <v>2020.03</v>
      </c>
      <c r="B60" s="42" t="s">
        <v>734</v>
      </c>
      <c r="C60" s="42" t="s">
        <v>156</v>
      </c>
      <c r="D60" s="42" t="s">
        <v>758</v>
      </c>
      <c r="E60" s="42" t="s">
        <v>2377</v>
      </c>
      <c r="F60" s="42" t="s">
        <v>2408</v>
      </c>
      <c r="G60" s="42" t="s">
        <v>2407</v>
      </c>
      <c r="H60" s="42" t="s">
        <v>2406</v>
      </c>
      <c r="I60" s="42" t="s">
        <v>2405</v>
      </c>
      <c r="J60" s="42" t="s">
        <v>737</v>
      </c>
      <c r="K60" s="42"/>
      <c r="L60" s="42" t="s">
        <v>721</v>
      </c>
      <c r="M60" s="42">
        <v>80</v>
      </c>
      <c r="N60" s="42" t="s">
        <v>721</v>
      </c>
      <c r="O60" s="42" t="s">
        <v>2404</v>
      </c>
      <c r="P60" s="42">
        <v>57745.95</v>
      </c>
      <c r="Q60" s="42">
        <v>80</v>
      </c>
      <c r="R60" s="42">
        <v>721.82</v>
      </c>
      <c r="S60" s="42" t="s">
        <v>1227</v>
      </c>
      <c r="T60" s="42"/>
      <c r="U60" s="41"/>
    </row>
    <row r="61" spans="1:21" s="76" customFormat="1" ht="24.95" customHeight="1" x14ac:dyDescent="0.3">
      <c r="A61" s="52">
        <v>2020.05</v>
      </c>
      <c r="B61" s="49" t="s">
        <v>734</v>
      </c>
      <c r="C61" s="49" t="s">
        <v>225</v>
      </c>
      <c r="D61" s="49" t="s">
        <v>2403</v>
      </c>
      <c r="E61" s="49"/>
      <c r="F61" s="49" t="s">
        <v>2402</v>
      </c>
      <c r="G61" s="49" t="s">
        <v>2401</v>
      </c>
      <c r="H61" s="49" t="s">
        <v>2400</v>
      </c>
      <c r="I61" s="49" t="s">
        <v>2399</v>
      </c>
      <c r="J61" s="49" t="s">
        <v>737</v>
      </c>
      <c r="K61" s="49" t="s">
        <v>753</v>
      </c>
      <c r="L61" s="49" t="s">
        <v>721</v>
      </c>
      <c r="M61" s="49" t="s">
        <v>721</v>
      </c>
      <c r="N61" s="49">
        <v>4320</v>
      </c>
      <c r="O61" s="49" t="s">
        <v>2398</v>
      </c>
      <c r="P61" s="49"/>
      <c r="Q61" s="49"/>
      <c r="R61" s="49"/>
      <c r="S61" s="49" t="s">
        <v>2397</v>
      </c>
      <c r="T61" s="49"/>
      <c r="U61" s="48"/>
    </row>
    <row r="62" spans="1:21" s="40" customFormat="1" ht="24.95" customHeight="1" x14ac:dyDescent="0.3">
      <c r="A62" s="182">
        <v>2020.05</v>
      </c>
      <c r="B62" s="182" t="s">
        <v>789</v>
      </c>
      <c r="C62" s="182" t="s">
        <v>576</v>
      </c>
      <c r="D62" s="182" t="s">
        <v>885</v>
      </c>
      <c r="E62" s="182"/>
      <c r="F62" s="182" t="s">
        <v>2326</v>
      </c>
      <c r="G62" s="182" t="s">
        <v>2396</v>
      </c>
      <c r="H62" s="182" t="s">
        <v>2395</v>
      </c>
      <c r="I62" s="182" t="s">
        <v>2323</v>
      </c>
      <c r="J62" s="86" t="s">
        <v>1055</v>
      </c>
      <c r="K62" s="86"/>
      <c r="L62" s="86">
        <v>10</v>
      </c>
      <c r="M62" s="86">
        <v>4</v>
      </c>
      <c r="N62" s="86">
        <v>952</v>
      </c>
      <c r="O62" s="86" t="s">
        <v>1459</v>
      </c>
      <c r="P62" s="86">
        <v>948</v>
      </c>
      <c r="Q62" s="86">
        <v>4</v>
      </c>
      <c r="R62" s="86">
        <v>237</v>
      </c>
      <c r="S62" s="86" t="s">
        <v>879</v>
      </c>
      <c r="T62" s="86"/>
      <c r="U62" s="85"/>
    </row>
    <row r="63" spans="1:21" s="40" customFormat="1" ht="24.95" customHeight="1" x14ac:dyDescent="0.3">
      <c r="A63" s="183"/>
      <c r="B63" s="183"/>
      <c r="C63" s="183"/>
      <c r="D63" s="183"/>
      <c r="E63" s="183"/>
      <c r="F63" s="183"/>
      <c r="G63" s="183"/>
      <c r="H63" s="183"/>
      <c r="I63" s="183"/>
      <c r="J63" s="86" t="s">
        <v>1055</v>
      </c>
      <c r="K63" s="86"/>
      <c r="L63" s="86">
        <v>10</v>
      </c>
      <c r="M63" s="86">
        <v>4</v>
      </c>
      <c r="N63" s="86">
        <v>952</v>
      </c>
      <c r="O63" s="86" t="s">
        <v>2394</v>
      </c>
      <c r="P63" s="86">
        <v>948</v>
      </c>
      <c r="Q63" s="86">
        <v>4</v>
      </c>
      <c r="R63" s="86">
        <v>237</v>
      </c>
      <c r="S63" s="86" t="s">
        <v>879</v>
      </c>
      <c r="T63" s="86"/>
      <c r="U63" s="85"/>
    </row>
    <row r="64" spans="1:21" s="40" customFormat="1" ht="24.95" customHeight="1" x14ac:dyDescent="0.3">
      <c r="A64" s="57">
        <v>2020.06</v>
      </c>
      <c r="B64" s="57" t="s">
        <v>877</v>
      </c>
      <c r="C64" s="57" t="s">
        <v>214</v>
      </c>
      <c r="D64" s="57" t="s">
        <v>2393</v>
      </c>
      <c r="E64" s="57"/>
      <c r="F64" s="57" t="s">
        <v>2392</v>
      </c>
      <c r="G64" s="57" t="s">
        <v>2391</v>
      </c>
      <c r="H64" s="57" t="s">
        <v>2390</v>
      </c>
      <c r="I64" s="57" t="s">
        <v>2389</v>
      </c>
      <c r="J64" s="57"/>
      <c r="K64" s="57"/>
      <c r="L64" s="57" t="s">
        <v>721</v>
      </c>
      <c r="M64" s="57">
        <v>10</v>
      </c>
      <c r="N64" s="57"/>
      <c r="O64" s="57"/>
      <c r="P64" s="57"/>
      <c r="Q64" s="57"/>
      <c r="R64" s="57"/>
      <c r="S64" s="57"/>
      <c r="T64" s="57"/>
      <c r="U64" s="60"/>
    </row>
    <row r="65" spans="1:21" s="76" customFormat="1" ht="24.95" customHeight="1" x14ac:dyDescent="0.3">
      <c r="A65" s="52">
        <v>2020.06</v>
      </c>
      <c r="B65" s="49" t="s">
        <v>734</v>
      </c>
      <c r="C65" s="49" t="s">
        <v>214</v>
      </c>
      <c r="D65" s="49" t="s">
        <v>2393</v>
      </c>
      <c r="E65" s="49"/>
      <c r="F65" s="49" t="s">
        <v>2392</v>
      </c>
      <c r="G65" s="49" t="s">
        <v>2391</v>
      </c>
      <c r="H65" s="49" t="s">
        <v>2390</v>
      </c>
      <c r="I65" s="49" t="s">
        <v>2389</v>
      </c>
      <c r="J65" s="49" t="s">
        <v>722</v>
      </c>
      <c r="K65" s="49" t="s">
        <v>753</v>
      </c>
      <c r="L65" s="49" t="s">
        <v>721</v>
      </c>
      <c r="M65" s="49">
        <v>10</v>
      </c>
      <c r="N65" s="49" t="s">
        <v>721</v>
      </c>
      <c r="O65" s="49" t="s">
        <v>2285</v>
      </c>
      <c r="P65" s="49"/>
      <c r="Q65" s="49">
        <v>10</v>
      </c>
      <c r="R65" s="49"/>
      <c r="S65" s="49" t="s">
        <v>957</v>
      </c>
      <c r="T65" s="49">
        <v>90</v>
      </c>
      <c r="U65" s="48"/>
    </row>
    <row r="66" spans="1:21" s="40" customFormat="1" ht="24.95" customHeight="1" x14ac:dyDescent="0.3">
      <c r="A66" s="86">
        <v>2020.06</v>
      </c>
      <c r="B66" s="86" t="s">
        <v>789</v>
      </c>
      <c r="C66" s="86" t="s">
        <v>122</v>
      </c>
      <c r="D66" s="86" t="s">
        <v>533</v>
      </c>
      <c r="E66" s="86"/>
      <c r="F66" s="86" t="s">
        <v>2340</v>
      </c>
      <c r="G66" s="86" t="s">
        <v>517</v>
      </c>
      <c r="H66" s="86" t="s">
        <v>833</v>
      </c>
      <c r="I66" s="86" t="s">
        <v>833</v>
      </c>
      <c r="J66" s="86" t="s">
        <v>1055</v>
      </c>
      <c r="K66" s="86"/>
      <c r="L66" s="86">
        <v>10</v>
      </c>
      <c r="M66" s="86">
        <v>20</v>
      </c>
      <c r="N66" s="86">
        <v>4960</v>
      </c>
      <c r="O66" s="86" t="s">
        <v>2194</v>
      </c>
      <c r="P66" s="86">
        <v>4960</v>
      </c>
      <c r="Q66" s="86">
        <v>20</v>
      </c>
      <c r="R66" s="86">
        <v>248</v>
      </c>
      <c r="S66" s="86"/>
      <c r="T66" s="86">
        <v>60</v>
      </c>
      <c r="U66" s="85"/>
    </row>
    <row r="67" spans="1:21" s="40" customFormat="1" ht="24.95" customHeight="1" x14ac:dyDescent="0.3">
      <c r="A67" s="42">
        <v>2020.06</v>
      </c>
      <c r="B67" s="42" t="s">
        <v>734</v>
      </c>
      <c r="C67" s="42" t="s">
        <v>25</v>
      </c>
      <c r="D67" s="42" t="s">
        <v>26</v>
      </c>
      <c r="E67" s="42"/>
      <c r="F67" s="42" t="s">
        <v>2333</v>
      </c>
      <c r="G67" s="42" t="s">
        <v>2388</v>
      </c>
      <c r="H67" s="42" t="s">
        <v>2387</v>
      </c>
      <c r="I67" s="42" t="s">
        <v>2386</v>
      </c>
      <c r="J67" s="42" t="s">
        <v>728</v>
      </c>
      <c r="K67" s="42"/>
      <c r="L67" s="42" t="s">
        <v>2385</v>
      </c>
      <c r="M67" s="42">
        <v>60</v>
      </c>
      <c r="N67" s="42" t="s">
        <v>721</v>
      </c>
      <c r="O67" s="42" t="s">
        <v>794</v>
      </c>
      <c r="P67" s="42">
        <v>16980</v>
      </c>
      <c r="Q67" s="42">
        <v>60</v>
      </c>
      <c r="R67" s="42">
        <v>283</v>
      </c>
      <c r="S67" s="42" t="s">
        <v>1178</v>
      </c>
      <c r="T67" s="42"/>
      <c r="U67" s="41"/>
    </row>
    <row r="68" spans="1:21" s="40" customFormat="1" ht="24.95" customHeight="1" x14ac:dyDescent="0.3">
      <c r="A68" s="86">
        <v>2020.07</v>
      </c>
      <c r="B68" s="86" t="s">
        <v>789</v>
      </c>
      <c r="C68" s="86" t="s">
        <v>191</v>
      </c>
      <c r="D68" s="86" t="s">
        <v>1825</v>
      </c>
      <c r="E68" s="86"/>
      <c r="F68" s="86" t="s">
        <v>2036</v>
      </c>
      <c r="G68" s="86" t="s">
        <v>2384</v>
      </c>
      <c r="H68" s="86" t="s">
        <v>2383</v>
      </c>
      <c r="I68" s="86" t="s">
        <v>729</v>
      </c>
      <c r="J68" s="86" t="s">
        <v>1055</v>
      </c>
      <c r="K68" s="86"/>
      <c r="L68" s="86">
        <v>10.5</v>
      </c>
      <c r="M68" s="86" t="s">
        <v>721</v>
      </c>
      <c r="N68" s="86" t="s">
        <v>721</v>
      </c>
      <c r="O68" s="86" t="s">
        <v>2382</v>
      </c>
      <c r="P68" s="86">
        <v>25900</v>
      </c>
      <c r="Q68" s="86">
        <v>100</v>
      </c>
      <c r="R68" s="86">
        <v>259</v>
      </c>
      <c r="S68" s="86" t="s">
        <v>1178</v>
      </c>
      <c r="T68" s="86">
        <v>60</v>
      </c>
      <c r="U68" s="85" t="s">
        <v>2381</v>
      </c>
    </row>
    <row r="69" spans="1:21" s="40" customFormat="1" ht="24.95" customHeight="1" x14ac:dyDescent="0.3">
      <c r="A69" s="86">
        <v>2020.07</v>
      </c>
      <c r="B69" s="86" t="s">
        <v>789</v>
      </c>
      <c r="C69" s="86" t="s">
        <v>191</v>
      </c>
      <c r="D69" s="86" t="s">
        <v>327</v>
      </c>
      <c r="E69" s="86"/>
      <c r="F69" s="86" t="s">
        <v>2344</v>
      </c>
      <c r="G69" s="86" t="s">
        <v>2380</v>
      </c>
      <c r="H69" s="86" t="s">
        <v>2379</v>
      </c>
      <c r="I69" s="86" t="s">
        <v>2379</v>
      </c>
      <c r="J69" s="86" t="s">
        <v>768</v>
      </c>
      <c r="K69" s="86"/>
      <c r="L69" s="86" t="s">
        <v>721</v>
      </c>
      <c r="M69" s="86">
        <v>20</v>
      </c>
      <c r="N69" s="86">
        <v>1920</v>
      </c>
      <c r="O69" s="86" t="s">
        <v>2378</v>
      </c>
      <c r="P69" s="86">
        <v>1910</v>
      </c>
      <c r="Q69" s="86">
        <v>20</v>
      </c>
      <c r="R69" s="86">
        <v>95.5</v>
      </c>
      <c r="S69" s="86" t="s">
        <v>1781</v>
      </c>
      <c r="T69" s="86"/>
      <c r="U69" s="85"/>
    </row>
    <row r="70" spans="1:21" s="40" customFormat="1" ht="24.95" customHeight="1" x14ac:dyDescent="0.3">
      <c r="A70" s="127">
        <v>2020.08</v>
      </c>
      <c r="B70" s="127" t="s">
        <v>734</v>
      </c>
      <c r="C70" s="127" t="s">
        <v>156</v>
      </c>
      <c r="D70" s="127" t="s">
        <v>758</v>
      </c>
      <c r="E70" s="127" t="s">
        <v>2377</v>
      </c>
      <c r="F70" s="127" t="s">
        <v>2376</v>
      </c>
      <c r="G70" s="127" t="s">
        <v>2375</v>
      </c>
      <c r="H70" s="127" t="s">
        <v>2374</v>
      </c>
      <c r="I70" s="127" t="s">
        <v>833</v>
      </c>
      <c r="J70" s="42" t="s">
        <v>728</v>
      </c>
      <c r="K70" s="42"/>
      <c r="L70" s="42" t="s">
        <v>2370</v>
      </c>
      <c r="M70" s="42">
        <v>50</v>
      </c>
      <c r="N70" s="42">
        <v>9762.5</v>
      </c>
      <c r="O70" s="127" t="s">
        <v>1074</v>
      </c>
      <c r="P70" s="42">
        <v>9761.5</v>
      </c>
      <c r="Q70" s="42">
        <v>50</v>
      </c>
      <c r="R70" s="42">
        <v>195.23</v>
      </c>
      <c r="S70" s="127" t="s">
        <v>2373</v>
      </c>
      <c r="T70" s="42"/>
      <c r="U70" s="41"/>
    </row>
    <row r="71" spans="1:21" s="40" customFormat="1" ht="24.95" customHeight="1" x14ac:dyDescent="0.3">
      <c r="A71" s="148"/>
      <c r="B71" s="148"/>
      <c r="C71" s="148"/>
      <c r="D71" s="148"/>
      <c r="E71" s="148"/>
      <c r="F71" s="148"/>
      <c r="G71" s="148"/>
      <c r="H71" s="128"/>
      <c r="I71" s="148"/>
      <c r="J71" s="42" t="s">
        <v>1055</v>
      </c>
      <c r="K71" s="42"/>
      <c r="L71" s="42" t="s">
        <v>2372</v>
      </c>
      <c r="M71" s="42">
        <v>10</v>
      </c>
      <c r="N71" s="42">
        <v>2150.8000000000002</v>
      </c>
      <c r="O71" s="128"/>
      <c r="P71" s="42">
        <v>2150.3000000000002</v>
      </c>
      <c r="Q71" s="42">
        <v>10</v>
      </c>
      <c r="R71" s="42">
        <v>215.03</v>
      </c>
      <c r="S71" s="148"/>
      <c r="T71" s="42"/>
      <c r="U71" s="41"/>
    </row>
    <row r="72" spans="1:21" s="40" customFormat="1" ht="24.95" customHeight="1" x14ac:dyDescent="0.3">
      <c r="A72" s="148"/>
      <c r="B72" s="148"/>
      <c r="C72" s="148"/>
      <c r="D72" s="148"/>
      <c r="E72" s="148"/>
      <c r="F72" s="148"/>
      <c r="G72" s="148"/>
      <c r="H72" s="42" t="s">
        <v>2371</v>
      </c>
      <c r="I72" s="148"/>
      <c r="J72" s="42" t="s">
        <v>728</v>
      </c>
      <c r="K72" s="42"/>
      <c r="L72" s="42" t="s">
        <v>2370</v>
      </c>
      <c r="M72" s="42">
        <v>20</v>
      </c>
      <c r="N72" s="42">
        <v>3905</v>
      </c>
      <c r="O72" s="42" t="s">
        <v>1505</v>
      </c>
      <c r="P72" s="42">
        <v>3900</v>
      </c>
      <c r="Q72" s="42">
        <v>20</v>
      </c>
      <c r="R72" s="42">
        <v>195</v>
      </c>
      <c r="S72" s="148"/>
      <c r="T72" s="42"/>
      <c r="U72" s="41"/>
    </row>
    <row r="73" spans="1:21" s="76" customFormat="1" ht="24.95" customHeight="1" x14ac:dyDescent="0.3">
      <c r="A73" s="52">
        <v>2020.08</v>
      </c>
      <c r="B73" s="49" t="s">
        <v>789</v>
      </c>
      <c r="C73" s="49" t="s">
        <v>191</v>
      </c>
      <c r="D73" s="49" t="s">
        <v>1725</v>
      </c>
      <c r="E73" s="49"/>
      <c r="F73" s="49" t="s">
        <v>1835</v>
      </c>
      <c r="G73" s="49" t="s">
        <v>2369</v>
      </c>
      <c r="H73" s="49" t="s">
        <v>2368</v>
      </c>
      <c r="I73" s="49" t="s">
        <v>833</v>
      </c>
      <c r="J73" s="49" t="s">
        <v>1829</v>
      </c>
      <c r="K73" s="49" t="s">
        <v>753</v>
      </c>
      <c r="L73" s="49" t="s">
        <v>721</v>
      </c>
      <c r="M73" s="49">
        <v>20</v>
      </c>
      <c r="N73" s="49" t="s">
        <v>2367</v>
      </c>
      <c r="O73" s="49" t="s">
        <v>2366</v>
      </c>
      <c r="P73" s="49" t="s">
        <v>2365</v>
      </c>
      <c r="Q73" s="49">
        <v>20</v>
      </c>
      <c r="R73" s="49"/>
      <c r="S73" s="49" t="s">
        <v>1242</v>
      </c>
      <c r="T73" s="49"/>
      <c r="U73" s="48"/>
    </row>
    <row r="74" spans="1:21" s="40" customFormat="1" ht="24.95" customHeight="1" x14ac:dyDescent="0.3">
      <c r="A74" s="86">
        <v>2020.08</v>
      </c>
      <c r="B74" s="86" t="s">
        <v>789</v>
      </c>
      <c r="C74" s="86" t="s">
        <v>122</v>
      </c>
      <c r="D74" s="86" t="s">
        <v>2032</v>
      </c>
      <c r="E74" s="86"/>
      <c r="F74" s="86" t="s">
        <v>2364</v>
      </c>
      <c r="G74" s="86" t="s">
        <v>517</v>
      </c>
      <c r="H74" s="86" t="s">
        <v>729</v>
      </c>
      <c r="I74" s="86" t="s">
        <v>729</v>
      </c>
      <c r="J74" s="86" t="s">
        <v>728</v>
      </c>
      <c r="K74" s="86"/>
      <c r="L74" s="86">
        <v>8.5</v>
      </c>
      <c r="M74" s="86">
        <v>30</v>
      </c>
      <c r="N74" s="86">
        <v>5970</v>
      </c>
      <c r="O74" s="86" t="s">
        <v>1897</v>
      </c>
      <c r="P74" s="86">
        <v>5970</v>
      </c>
      <c r="Q74" s="86">
        <v>30</v>
      </c>
      <c r="R74" s="86">
        <v>199</v>
      </c>
      <c r="S74" s="86" t="s">
        <v>1012</v>
      </c>
      <c r="T74" s="86">
        <v>50</v>
      </c>
      <c r="U74" s="85"/>
    </row>
    <row r="75" spans="1:21" s="40" customFormat="1" ht="24.95" customHeight="1" x14ac:dyDescent="0.3">
      <c r="A75" s="127">
        <v>2020.08</v>
      </c>
      <c r="B75" s="127" t="s">
        <v>734</v>
      </c>
      <c r="C75" s="127" t="s">
        <v>351</v>
      </c>
      <c r="D75" s="127" t="s">
        <v>1706</v>
      </c>
      <c r="E75" s="127"/>
      <c r="F75" s="127" t="s">
        <v>1866</v>
      </c>
      <c r="G75" s="127" t="s">
        <v>2363</v>
      </c>
      <c r="H75" s="127" t="s">
        <v>2362</v>
      </c>
      <c r="I75" s="49" t="s">
        <v>2361</v>
      </c>
      <c r="J75" s="49" t="s">
        <v>1055</v>
      </c>
      <c r="K75" s="49" t="s">
        <v>753</v>
      </c>
      <c r="L75" s="49">
        <v>10.5</v>
      </c>
      <c r="M75" s="49">
        <v>16</v>
      </c>
      <c r="N75" s="49">
        <v>4800</v>
      </c>
      <c r="O75" s="49" t="s">
        <v>1838</v>
      </c>
      <c r="P75" s="49"/>
      <c r="Q75" s="49">
        <v>16</v>
      </c>
      <c r="R75" s="49"/>
      <c r="S75" s="49" t="s">
        <v>1220</v>
      </c>
      <c r="T75" s="42"/>
      <c r="U75" s="41"/>
    </row>
    <row r="76" spans="1:21" s="40" customFormat="1" ht="24.95" customHeight="1" x14ac:dyDescent="0.3">
      <c r="A76" s="128"/>
      <c r="B76" s="128"/>
      <c r="C76" s="128"/>
      <c r="D76" s="128"/>
      <c r="E76" s="128"/>
      <c r="F76" s="128"/>
      <c r="G76" s="128"/>
      <c r="H76" s="128"/>
      <c r="I76" s="42" t="s">
        <v>2361</v>
      </c>
      <c r="J76" s="42" t="s">
        <v>728</v>
      </c>
      <c r="K76" s="42"/>
      <c r="L76" s="42">
        <v>7</v>
      </c>
      <c r="M76" s="42">
        <v>4</v>
      </c>
      <c r="N76" s="42" t="s">
        <v>721</v>
      </c>
      <c r="O76" s="42" t="s">
        <v>1838</v>
      </c>
      <c r="P76" s="42">
        <v>910</v>
      </c>
      <c r="Q76" s="42">
        <v>4</v>
      </c>
      <c r="R76" s="42">
        <v>227.5</v>
      </c>
      <c r="S76" s="42" t="s">
        <v>1066</v>
      </c>
      <c r="T76" s="42"/>
      <c r="U76" s="41"/>
    </row>
    <row r="77" spans="1:21" s="40" customFormat="1" ht="24.95" customHeight="1" x14ac:dyDescent="0.3">
      <c r="A77" s="57">
        <v>2020.09</v>
      </c>
      <c r="B77" s="57" t="s">
        <v>877</v>
      </c>
      <c r="C77" s="57" t="s">
        <v>233</v>
      </c>
      <c r="D77" s="57" t="s">
        <v>2106</v>
      </c>
      <c r="E77" s="57" t="s">
        <v>2105</v>
      </c>
      <c r="F77" s="57" t="s">
        <v>2314</v>
      </c>
      <c r="G77" s="57"/>
      <c r="H77" s="57" t="s">
        <v>2360</v>
      </c>
      <c r="I77" s="57" t="s">
        <v>802</v>
      </c>
      <c r="J77" s="57"/>
      <c r="K77" s="57"/>
      <c r="L77" s="57">
        <v>8.5</v>
      </c>
      <c r="M77" s="57">
        <v>2</v>
      </c>
      <c r="N77" s="57">
        <v>420</v>
      </c>
      <c r="O77" s="57"/>
      <c r="P77" s="57"/>
      <c r="Q77" s="57"/>
      <c r="R77" s="57"/>
      <c r="S77" s="57"/>
      <c r="T77" s="57"/>
      <c r="U77" s="60"/>
    </row>
    <row r="78" spans="1:21" s="40" customFormat="1" ht="24.95" customHeight="1" x14ac:dyDescent="0.3">
      <c r="A78" s="42">
        <v>2020.09</v>
      </c>
      <c r="B78" s="42" t="s">
        <v>734</v>
      </c>
      <c r="C78" s="42" t="s">
        <v>191</v>
      </c>
      <c r="D78" s="42" t="s">
        <v>563</v>
      </c>
      <c r="E78" s="42"/>
      <c r="F78" s="42" t="s">
        <v>1507</v>
      </c>
      <c r="G78" s="42" t="s">
        <v>2359</v>
      </c>
      <c r="H78" s="42" t="s">
        <v>2358</v>
      </c>
      <c r="I78" s="42" t="s">
        <v>2357</v>
      </c>
      <c r="J78" s="42" t="s">
        <v>1055</v>
      </c>
      <c r="K78" s="42"/>
      <c r="L78" s="42">
        <v>12</v>
      </c>
      <c r="M78" s="42" t="s">
        <v>721</v>
      </c>
      <c r="N78" s="42" t="s">
        <v>721</v>
      </c>
      <c r="O78" s="42" t="s">
        <v>1505</v>
      </c>
      <c r="P78" s="42">
        <v>2580</v>
      </c>
      <c r="Q78" s="42">
        <v>10</v>
      </c>
      <c r="R78" s="42">
        <v>258</v>
      </c>
      <c r="S78" s="42" t="s">
        <v>1242</v>
      </c>
      <c r="T78" s="42"/>
      <c r="U78" s="41"/>
    </row>
    <row r="79" spans="1:21" s="40" customFormat="1" ht="24.95" customHeight="1" x14ac:dyDescent="0.3">
      <c r="A79" s="42">
        <v>2020.09</v>
      </c>
      <c r="B79" s="42" t="s">
        <v>734</v>
      </c>
      <c r="C79" s="42" t="s">
        <v>233</v>
      </c>
      <c r="D79" s="42" t="s">
        <v>2106</v>
      </c>
      <c r="E79" s="42" t="s">
        <v>2105</v>
      </c>
      <c r="F79" s="42" t="s">
        <v>2314</v>
      </c>
      <c r="G79" s="42" t="s">
        <v>517</v>
      </c>
      <c r="H79" s="42" t="s">
        <v>2356</v>
      </c>
      <c r="I79" s="42" t="s">
        <v>802</v>
      </c>
      <c r="J79" s="42" t="s">
        <v>728</v>
      </c>
      <c r="K79" s="42"/>
      <c r="L79" s="42">
        <v>8.5</v>
      </c>
      <c r="M79" s="42">
        <v>2</v>
      </c>
      <c r="N79" s="42">
        <v>420</v>
      </c>
      <c r="O79" s="42" t="s">
        <v>1838</v>
      </c>
      <c r="P79" s="42">
        <v>420</v>
      </c>
      <c r="Q79" s="42">
        <v>2</v>
      </c>
      <c r="R79" s="42">
        <v>210</v>
      </c>
      <c r="S79" s="42" t="s">
        <v>2355</v>
      </c>
      <c r="T79" s="42"/>
      <c r="U79" s="41"/>
    </row>
    <row r="80" spans="1:21" s="40" customFormat="1" ht="24.95" customHeight="1" x14ac:dyDescent="0.3">
      <c r="A80" s="42">
        <v>2020.09</v>
      </c>
      <c r="B80" s="42" t="s">
        <v>734</v>
      </c>
      <c r="C80" s="42" t="s">
        <v>351</v>
      </c>
      <c r="D80" s="42" t="s">
        <v>2354</v>
      </c>
      <c r="E80" s="42" t="s">
        <v>2353</v>
      </c>
      <c r="F80" s="42" t="s">
        <v>2352</v>
      </c>
      <c r="G80" s="42" t="s">
        <v>517</v>
      </c>
      <c r="H80" s="42" t="s">
        <v>2351</v>
      </c>
      <c r="I80" s="42" t="s">
        <v>2350</v>
      </c>
      <c r="J80" s="42" t="s">
        <v>1055</v>
      </c>
      <c r="K80" s="42"/>
      <c r="L80" s="95" t="s">
        <v>2349</v>
      </c>
      <c r="M80" s="42">
        <v>5</v>
      </c>
      <c r="N80" s="42">
        <v>1400</v>
      </c>
      <c r="O80" s="42" t="s">
        <v>1505</v>
      </c>
      <c r="P80" s="42">
        <v>1370</v>
      </c>
      <c r="Q80" s="42">
        <v>5</v>
      </c>
      <c r="R80" s="42">
        <v>274</v>
      </c>
      <c r="S80" s="42" t="s">
        <v>1242</v>
      </c>
      <c r="T80" s="42"/>
      <c r="U80" s="41" t="s">
        <v>2348</v>
      </c>
    </row>
    <row r="81" spans="1:21" s="40" customFormat="1" ht="24.95" customHeight="1" x14ac:dyDescent="0.3">
      <c r="A81" s="61">
        <v>2020.1</v>
      </c>
      <c r="B81" s="57" t="s">
        <v>877</v>
      </c>
      <c r="C81" s="57" t="s">
        <v>233</v>
      </c>
      <c r="D81" s="57" t="s">
        <v>903</v>
      </c>
      <c r="E81" s="57" t="s">
        <v>2189</v>
      </c>
      <c r="F81" s="57" t="s">
        <v>2188</v>
      </c>
      <c r="G81" s="57" t="s">
        <v>2320</v>
      </c>
      <c r="H81" s="57" t="s">
        <v>2347</v>
      </c>
      <c r="I81" s="57" t="s">
        <v>2318</v>
      </c>
      <c r="J81" s="57"/>
      <c r="K81" s="57"/>
      <c r="L81" s="57" t="s">
        <v>721</v>
      </c>
      <c r="M81" s="57">
        <v>10</v>
      </c>
      <c r="N81" s="57">
        <v>1800</v>
      </c>
      <c r="O81" s="57"/>
      <c r="P81" s="57"/>
      <c r="Q81" s="57"/>
      <c r="R81" s="57"/>
      <c r="S81" s="57"/>
      <c r="T81" s="57"/>
      <c r="U81" s="60"/>
    </row>
    <row r="82" spans="1:21" s="40" customFormat="1" ht="24.95" customHeight="1" x14ac:dyDescent="0.3">
      <c r="A82" s="61">
        <v>2020.1</v>
      </c>
      <c r="B82" s="57" t="s">
        <v>877</v>
      </c>
      <c r="C82" s="57" t="s">
        <v>156</v>
      </c>
      <c r="D82" s="57" t="s">
        <v>172</v>
      </c>
      <c r="E82" s="57" t="s">
        <v>773</v>
      </c>
      <c r="F82" s="57" t="s">
        <v>1992</v>
      </c>
      <c r="G82" s="57" t="s">
        <v>2346</v>
      </c>
      <c r="H82" s="57" t="s">
        <v>2213</v>
      </c>
      <c r="I82" s="57" t="s">
        <v>2345</v>
      </c>
      <c r="J82" s="57"/>
      <c r="K82" s="57"/>
      <c r="L82" s="57" t="s">
        <v>721</v>
      </c>
      <c r="M82" s="57">
        <v>2</v>
      </c>
      <c r="N82" s="57">
        <v>448</v>
      </c>
      <c r="O82" s="57"/>
      <c r="P82" s="57"/>
      <c r="Q82" s="57"/>
      <c r="R82" s="57"/>
      <c r="S82" s="57"/>
      <c r="T82" s="57"/>
      <c r="U82" s="60"/>
    </row>
    <row r="83" spans="1:21" s="40" customFormat="1" ht="24.95" customHeight="1" x14ac:dyDescent="0.3">
      <c r="A83" s="87">
        <v>2020.1</v>
      </c>
      <c r="B83" s="86" t="s">
        <v>789</v>
      </c>
      <c r="C83" s="86" t="s">
        <v>191</v>
      </c>
      <c r="D83" s="86" t="s">
        <v>327</v>
      </c>
      <c r="E83" s="86"/>
      <c r="F83" s="86" t="s">
        <v>2344</v>
      </c>
      <c r="G83" s="86" t="s">
        <v>517</v>
      </c>
      <c r="H83" s="86" t="s">
        <v>2336</v>
      </c>
      <c r="I83" s="86" t="s">
        <v>2336</v>
      </c>
      <c r="J83" s="86" t="s">
        <v>759</v>
      </c>
      <c r="K83" s="86"/>
      <c r="L83" s="86" t="s">
        <v>721</v>
      </c>
      <c r="M83" s="86">
        <v>200</v>
      </c>
      <c r="N83" s="86">
        <v>33400</v>
      </c>
      <c r="O83" s="86" t="s">
        <v>2343</v>
      </c>
      <c r="P83" s="86">
        <v>33396</v>
      </c>
      <c r="Q83" s="86">
        <v>200</v>
      </c>
      <c r="R83" s="86">
        <v>166.98</v>
      </c>
      <c r="S83" s="86" t="s">
        <v>2342</v>
      </c>
      <c r="T83" s="86"/>
      <c r="U83" s="85" t="s">
        <v>2341</v>
      </c>
    </row>
    <row r="84" spans="1:21" s="40" customFormat="1" ht="24.95" customHeight="1" x14ac:dyDescent="0.3">
      <c r="A84" s="87">
        <v>2020.1</v>
      </c>
      <c r="B84" s="86" t="s">
        <v>789</v>
      </c>
      <c r="C84" s="86" t="s">
        <v>122</v>
      </c>
      <c r="D84" s="86" t="s">
        <v>533</v>
      </c>
      <c r="E84" s="86"/>
      <c r="F84" s="86" t="s">
        <v>2340</v>
      </c>
      <c r="G84" s="86" t="s">
        <v>517</v>
      </c>
      <c r="H84" s="86" t="s">
        <v>833</v>
      </c>
      <c r="I84" s="86" t="s">
        <v>2339</v>
      </c>
      <c r="J84" s="86" t="s">
        <v>1055</v>
      </c>
      <c r="K84" s="86"/>
      <c r="L84" s="86">
        <v>10</v>
      </c>
      <c r="M84" s="86">
        <v>10</v>
      </c>
      <c r="N84" s="86">
        <v>2280</v>
      </c>
      <c r="O84" s="86" t="s">
        <v>2194</v>
      </c>
      <c r="P84" s="86">
        <v>2270</v>
      </c>
      <c r="Q84" s="86">
        <v>10</v>
      </c>
      <c r="R84" s="86">
        <v>227</v>
      </c>
      <c r="S84" s="86" t="s">
        <v>1066</v>
      </c>
      <c r="T84" s="86">
        <v>56</v>
      </c>
      <c r="U84" s="85"/>
    </row>
    <row r="85" spans="1:21" s="40" customFormat="1" ht="24.95" customHeight="1" x14ac:dyDescent="0.3">
      <c r="A85" s="43">
        <v>2020.1</v>
      </c>
      <c r="B85" s="42" t="s">
        <v>734</v>
      </c>
      <c r="C85" s="42" t="s">
        <v>35</v>
      </c>
      <c r="D85" s="42" t="s">
        <v>102</v>
      </c>
      <c r="E85" s="42"/>
      <c r="F85" s="42" t="s">
        <v>2338</v>
      </c>
      <c r="G85" s="42" t="s">
        <v>2337</v>
      </c>
      <c r="H85" s="42" t="s">
        <v>2336</v>
      </c>
      <c r="I85" s="42" t="s">
        <v>2336</v>
      </c>
      <c r="J85" s="42" t="s">
        <v>768</v>
      </c>
      <c r="K85" s="42"/>
      <c r="L85" s="42" t="s">
        <v>721</v>
      </c>
      <c r="M85" s="42">
        <v>10</v>
      </c>
      <c r="N85" s="42">
        <v>1750</v>
      </c>
      <c r="O85" s="42" t="s">
        <v>1013</v>
      </c>
      <c r="P85" s="42">
        <v>1749.95</v>
      </c>
      <c r="Q85" s="42">
        <v>10</v>
      </c>
      <c r="R85" s="42">
        <v>174.995</v>
      </c>
      <c r="S85" s="42" t="s">
        <v>2335</v>
      </c>
      <c r="T85" s="42"/>
      <c r="U85" s="41"/>
    </row>
    <row r="86" spans="1:21" s="40" customFormat="1" ht="24.95" customHeight="1" x14ac:dyDescent="0.3">
      <c r="A86" s="57">
        <v>2020.11</v>
      </c>
      <c r="B86" s="57" t="s">
        <v>877</v>
      </c>
      <c r="C86" s="57" t="s">
        <v>233</v>
      </c>
      <c r="D86" s="57" t="s">
        <v>903</v>
      </c>
      <c r="E86" s="57" t="s">
        <v>2189</v>
      </c>
      <c r="F86" s="57" t="s">
        <v>2188</v>
      </c>
      <c r="G86" s="57" t="s">
        <v>2320</v>
      </c>
      <c r="H86" s="57" t="s">
        <v>2334</v>
      </c>
      <c r="I86" s="57" t="s">
        <v>2318</v>
      </c>
      <c r="J86" s="57"/>
      <c r="K86" s="57"/>
      <c r="L86" s="57" t="s">
        <v>721</v>
      </c>
      <c r="M86" s="57">
        <v>10</v>
      </c>
      <c r="N86" s="57">
        <v>1800</v>
      </c>
      <c r="O86" s="57"/>
      <c r="P86" s="57"/>
      <c r="Q86" s="57"/>
      <c r="R86" s="57"/>
      <c r="S86" s="57"/>
      <c r="T86" s="57"/>
      <c r="U86" s="60"/>
    </row>
    <row r="87" spans="1:21" s="40" customFormat="1" ht="24.95" customHeight="1" x14ac:dyDescent="0.3">
      <c r="A87" s="127">
        <v>2020.11</v>
      </c>
      <c r="B87" s="127" t="s">
        <v>734</v>
      </c>
      <c r="C87" s="127" t="s">
        <v>25</v>
      </c>
      <c r="D87" s="127" t="s">
        <v>26</v>
      </c>
      <c r="E87" s="127"/>
      <c r="F87" s="127" t="s">
        <v>2333</v>
      </c>
      <c r="G87" s="127" t="s">
        <v>517</v>
      </c>
      <c r="H87" s="127" t="s">
        <v>2332</v>
      </c>
      <c r="I87" s="42" t="s">
        <v>2331</v>
      </c>
      <c r="J87" s="42" t="s">
        <v>1055</v>
      </c>
      <c r="K87" s="42"/>
      <c r="L87" s="42" t="s">
        <v>2327</v>
      </c>
      <c r="M87" s="42">
        <v>30</v>
      </c>
      <c r="N87" s="42" t="s">
        <v>721</v>
      </c>
      <c r="O87" s="42" t="s">
        <v>1145</v>
      </c>
      <c r="P87" s="42">
        <v>8847</v>
      </c>
      <c r="Q87" s="42">
        <v>30</v>
      </c>
      <c r="R87" s="42">
        <v>294.89999999999998</v>
      </c>
      <c r="S87" s="42" t="s">
        <v>1178</v>
      </c>
      <c r="T87" s="42"/>
      <c r="U87" s="41"/>
    </row>
    <row r="88" spans="1:21" s="40" customFormat="1" ht="24.95" customHeight="1" x14ac:dyDescent="0.3">
      <c r="A88" s="148"/>
      <c r="B88" s="148"/>
      <c r="C88" s="148"/>
      <c r="D88" s="148"/>
      <c r="E88" s="148"/>
      <c r="F88" s="148"/>
      <c r="G88" s="148"/>
      <c r="H88" s="148"/>
      <c r="I88" s="42" t="s">
        <v>2330</v>
      </c>
      <c r="J88" s="42" t="s">
        <v>1055</v>
      </c>
      <c r="K88" s="42"/>
      <c r="L88" s="42" t="s">
        <v>2327</v>
      </c>
      <c r="M88" s="42">
        <v>40</v>
      </c>
      <c r="N88" s="42" t="s">
        <v>721</v>
      </c>
      <c r="O88" s="42" t="s">
        <v>1505</v>
      </c>
      <c r="P88" s="42">
        <v>11788</v>
      </c>
      <c r="Q88" s="42">
        <v>40</v>
      </c>
      <c r="R88" s="42">
        <v>294.7</v>
      </c>
      <c r="S88" s="42" t="s">
        <v>1178</v>
      </c>
      <c r="T88" s="42"/>
      <c r="U88" s="41"/>
    </row>
    <row r="89" spans="1:21" s="40" customFormat="1" ht="24.95" customHeight="1" x14ac:dyDescent="0.3">
      <c r="A89" s="148"/>
      <c r="B89" s="148"/>
      <c r="C89" s="148"/>
      <c r="D89" s="148"/>
      <c r="E89" s="148"/>
      <c r="F89" s="148"/>
      <c r="G89" s="148"/>
      <c r="H89" s="148"/>
      <c r="I89" s="42" t="s">
        <v>2329</v>
      </c>
      <c r="J89" s="42" t="s">
        <v>1055</v>
      </c>
      <c r="K89" s="42"/>
      <c r="L89" s="42" t="s">
        <v>2327</v>
      </c>
      <c r="M89" s="42">
        <v>30</v>
      </c>
      <c r="N89" s="42" t="s">
        <v>721</v>
      </c>
      <c r="O89" s="42" t="s">
        <v>2158</v>
      </c>
      <c r="P89" s="42">
        <v>8844</v>
      </c>
      <c r="Q89" s="42">
        <v>30</v>
      </c>
      <c r="R89" s="42">
        <v>294.8</v>
      </c>
      <c r="S89" s="42" t="s">
        <v>1178</v>
      </c>
      <c r="T89" s="42"/>
      <c r="U89" s="41"/>
    </row>
    <row r="90" spans="1:21" s="40" customFormat="1" ht="24.95" customHeight="1" x14ac:dyDescent="0.3">
      <c r="A90" s="128"/>
      <c r="B90" s="128"/>
      <c r="C90" s="128"/>
      <c r="D90" s="128"/>
      <c r="E90" s="128"/>
      <c r="F90" s="128"/>
      <c r="G90" s="128"/>
      <c r="H90" s="128"/>
      <c r="I90" s="42" t="s">
        <v>2328</v>
      </c>
      <c r="J90" s="42" t="s">
        <v>1055</v>
      </c>
      <c r="K90" s="42"/>
      <c r="L90" s="42" t="s">
        <v>2327</v>
      </c>
      <c r="M90" s="42">
        <v>40</v>
      </c>
      <c r="N90" s="42" t="s">
        <v>721</v>
      </c>
      <c r="O90" s="42" t="s">
        <v>794</v>
      </c>
      <c r="P90" s="42">
        <v>11799.2</v>
      </c>
      <c r="Q90" s="42">
        <v>40</v>
      </c>
      <c r="R90" s="42">
        <v>294.98</v>
      </c>
      <c r="S90" s="42" t="s">
        <v>1178</v>
      </c>
      <c r="T90" s="42"/>
      <c r="U90" s="41"/>
    </row>
    <row r="91" spans="1:21" s="40" customFormat="1" ht="24.95" customHeight="1" x14ac:dyDescent="0.3">
      <c r="A91" s="44">
        <v>2020.11</v>
      </c>
      <c r="B91" s="44" t="s">
        <v>734</v>
      </c>
      <c r="C91" s="44" t="s">
        <v>576</v>
      </c>
      <c r="D91" s="44" t="s">
        <v>885</v>
      </c>
      <c r="E91" s="44"/>
      <c r="F91" s="44" t="s">
        <v>2326</v>
      </c>
      <c r="G91" s="44" t="s">
        <v>2325</v>
      </c>
      <c r="H91" s="44" t="s">
        <v>2324</v>
      </c>
      <c r="I91" s="42" t="s">
        <v>2323</v>
      </c>
      <c r="J91" s="42" t="s">
        <v>1055</v>
      </c>
      <c r="K91" s="42"/>
      <c r="L91" s="42">
        <v>10</v>
      </c>
      <c r="M91" s="42">
        <v>8</v>
      </c>
      <c r="N91" s="42">
        <v>1896</v>
      </c>
      <c r="O91" s="42" t="s">
        <v>1459</v>
      </c>
      <c r="P91" s="42">
        <v>1896</v>
      </c>
      <c r="Q91" s="42">
        <v>8</v>
      </c>
      <c r="R91" s="42">
        <v>237</v>
      </c>
      <c r="S91" s="42" t="s">
        <v>879</v>
      </c>
      <c r="T91" s="42"/>
      <c r="U91" s="41"/>
    </row>
    <row r="92" spans="1:21" s="76" customFormat="1" ht="24.95" customHeight="1" x14ac:dyDescent="0.3">
      <c r="A92" s="52">
        <v>2020.12</v>
      </c>
      <c r="B92" s="49" t="s">
        <v>789</v>
      </c>
      <c r="C92" s="49" t="s">
        <v>576</v>
      </c>
      <c r="D92" s="49" t="s">
        <v>1536</v>
      </c>
      <c r="E92" s="49"/>
      <c r="F92" s="49" t="s">
        <v>1535</v>
      </c>
      <c r="G92" s="49" t="s">
        <v>517</v>
      </c>
      <c r="H92" s="49" t="s">
        <v>729</v>
      </c>
      <c r="I92" s="49" t="s">
        <v>2322</v>
      </c>
      <c r="J92" s="49" t="s">
        <v>1055</v>
      </c>
      <c r="K92" s="49" t="s">
        <v>753</v>
      </c>
      <c r="L92" s="49">
        <v>12</v>
      </c>
      <c r="M92" s="49">
        <v>15</v>
      </c>
      <c r="N92" s="49">
        <v>3170</v>
      </c>
      <c r="O92" s="49" t="s">
        <v>1531</v>
      </c>
      <c r="P92" s="49"/>
      <c r="Q92" s="49"/>
      <c r="R92" s="49"/>
      <c r="S92" s="49" t="s">
        <v>1929</v>
      </c>
      <c r="T92" s="49">
        <v>55</v>
      </c>
      <c r="U92" s="48" t="s">
        <v>2321</v>
      </c>
    </row>
    <row r="93" spans="1:21" s="40" customFormat="1" ht="24.95" customHeight="1" x14ac:dyDescent="0.3">
      <c r="A93" s="42">
        <v>2020.12</v>
      </c>
      <c r="B93" s="42" t="s">
        <v>734</v>
      </c>
      <c r="C93" s="42" t="s">
        <v>233</v>
      </c>
      <c r="D93" s="42" t="s">
        <v>903</v>
      </c>
      <c r="E93" s="42" t="s">
        <v>2189</v>
      </c>
      <c r="F93" s="42" t="s">
        <v>2188</v>
      </c>
      <c r="G93" s="42" t="s">
        <v>2320</v>
      </c>
      <c r="H93" s="42" t="s">
        <v>2319</v>
      </c>
      <c r="I93" s="42" t="s">
        <v>2318</v>
      </c>
      <c r="J93" s="42" t="s">
        <v>737</v>
      </c>
      <c r="K93" s="42"/>
      <c r="L93" s="42" t="s">
        <v>721</v>
      </c>
      <c r="M93" s="42">
        <v>10</v>
      </c>
      <c r="N93" s="42">
        <v>1800</v>
      </c>
      <c r="O93" s="42" t="s">
        <v>1505</v>
      </c>
      <c r="P93" s="42">
        <v>1779.857</v>
      </c>
      <c r="Q93" s="42">
        <v>10</v>
      </c>
      <c r="R93" s="42">
        <v>177.98570000000001</v>
      </c>
      <c r="S93" s="42" t="s">
        <v>2185</v>
      </c>
      <c r="T93" s="42"/>
      <c r="U93" s="41"/>
    </row>
    <row r="94" spans="1:21" s="40" customFormat="1" ht="24.95" customHeight="1" x14ac:dyDescent="0.3">
      <c r="A94" s="86">
        <v>2020.12</v>
      </c>
      <c r="B94" s="86" t="s">
        <v>789</v>
      </c>
      <c r="C94" s="86" t="s">
        <v>576</v>
      </c>
      <c r="D94" s="86" t="s">
        <v>2317</v>
      </c>
      <c r="E94" s="86"/>
      <c r="F94" s="86" t="s">
        <v>2316</v>
      </c>
      <c r="G94" s="86" t="s">
        <v>517</v>
      </c>
      <c r="H94" s="86" t="s">
        <v>729</v>
      </c>
      <c r="I94" s="86" t="s">
        <v>729</v>
      </c>
      <c r="J94" s="86" t="s">
        <v>1055</v>
      </c>
      <c r="K94" s="86"/>
      <c r="L94" s="86" t="s">
        <v>721</v>
      </c>
      <c r="M94" s="86">
        <v>14</v>
      </c>
      <c r="N94" s="86">
        <v>3570</v>
      </c>
      <c r="O94" s="86" t="s">
        <v>2158</v>
      </c>
      <c r="P94" s="86">
        <v>3511.2</v>
      </c>
      <c r="Q94" s="86">
        <v>14</v>
      </c>
      <c r="R94" s="86">
        <v>250.8</v>
      </c>
      <c r="S94" s="86" t="s">
        <v>1178</v>
      </c>
      <c r="T94" s="86"/>
      <c r="U94" s="85" t="s">
        <v>2315</v>
      </c>
    </row>
    <row r="95" spans="1:21" s="40" customFormat="1" ht="24.95" customHeight="1" x14ac:dyDescent="0.3">
      <c r="A95" s="42">
        <v>2020.12</v>
      </c>
      <c r="B95" s="42" t="s">
        <v>734</v>
      </c>
      <c r="C95" s="42" t="s">
        <v>233</v>
      </c>
      <c r="D95" s="42" t="s">
        <v>2106</v>
      </c>
      <c r="E95" s="42" t="s">
        <v>2105</v>
      </c>
      <c r="F95" s="42" t="s">
        <v>2314</v>
      </c>
      <c r="G95" s="42" t="s">
        <v>2313</v>
      </c>
      <c r="H95" s="42" t="s">
        <v>801</v>
      </c>
      <c r="I95" s="42" t="s">
        <v>802</v>
      </c>
      <c r="J95" s="42" t="s">
        <v>728</v>
      </c>
      <c r="K95" s="42"/>
      <c r="L95" s="42">
        <v>8.5</v>
      </c>
      <c r="M95" s="42">
        <v>2</v>
      </c>
      <c r="N95" s="42" t="s">
        <v>721</v>
      </c>
      <c r="O95" s="42" t="s">
        <v>2312</v>
      </c>
      <c r="P95" s="42">
        <v>34.4</v>
      </c>
      <c r="Q95" s="42">
        <v>2</v>
      </c>
      <c r="R95" s="42">
        <v>17.2</v>
      </c>
      <c r="S95" s="42" t="s">
        <v>2311</v>
      </c>
      <c r="T95" s="42">
        <v>51</v>
      </c>
      <c r="U95" s="41"/>
    </row>
    <row r="96" spans="1:21" s="40" customFormat="1" ht="24.95" customHeight="1" x14ac:dyDescent="0.3">
      <c r="A96" s="57">
        <v>2020.12</v>
      </c>
      <c r="B96" s="57" t="s">
        <v>877</v>
      </c>
      <c r="C96" s="57" t="s">
        <v>191</v>
      </c>
      <c r="D96" s="57" t="s">
        <v>327</v>
      </c>
      <c r="E96" s="57"/>
      <c r="F96" s="57" t="s">
        <v>2296</v>
      </c>
      <c r="G96" s="57" t="s">
        <v>2310</v>
      </c>
      <c r="H96" s="57" t="s">
        <v>852</v>
      </c>
      <c r="I96" s="57" t="s">
        <v>2295</v>
      </c>
      <c r="J96" s="57"/>
      <c r="K96" s="57"/>
      <c r="L96" s="57" t="s">
        <v>721</v>
      </c>
      <c r="M96" s="57">
        <v>80</v>
      </c>
      <c r="N96" s="57">
        <v>11200</v>
      </c>
      <c r="O96" s="57"/>
      <c r="P96" s="57"/>
      <c r="Q96" s="57"/>
      <c r="R96" s="57"/>
      <c r="S96" s="57"/>
      <c r="T96" s="57"/>
      <c r="U96" s="60"/>
    </row>
    <row r="97" spans="1:21" s="40" customFormat="1" ht="24.95" customHeight="1" x14ac:dyDescent="0.3">
      <c r="A97" s="57">
        <v>2021.01</v>
      </c>
      <c r="B97" s="57" t="s">
        <v>877</v>
      </c>
      <c r="C97" s="57" t="s">
        <v>576</v>
      </c>
      <c r="D97" s="57" t="s">
        <v>2309</v>
      </c>
      <c r="E97" s="57" t="s">
        <v>2308</v>
      </c>
      <c r="F97" s="57" t="s">
        <v>2307</v>
      </c>
      <c r="G97" s="57" t="s">
        <v>2306</v>
      </c>
      <c r="H97" s="57" t="s">
        <v>2305</v>
      </c>
      <c r="I97" s="57" t="s">
        <v>2305</v>
      </c>
      <c r="J97" s="57"/>
      <c r="K97" s="57"/>
      <c r="L97" s="57" t="s">
        <v>721</v>
      </c>
      <c r="M97" s="57" t="s">
        <v>721</v>
      </c>
      <c r="N97" s="57">
        <v>4000</v>
      </c>
      <c r="O97" s="57"/>
      <c r="P97" s="57"/>
      <c r="Q97" s="57"/>
      <c r="R97" s="57"/>
      <c r="S97" s="57"/>
      <c r="T97" s="57"/>
      <c r="U97" s="60" t="s">
        <v>1662</v>
      </c>
    </row>
    <row r="98" spans="1:21" s="40" customFormat="1" ht="24.95" customHeight="1" x14ac:dyDescent="0.3">
      <c r="A98" s="57">
        <v>2021.01</v>
      </c>
      <c r="B98" s="57" t="s">
        <v>877</v>
      </c>
      <c r="C98" s="57" t="s">
        <v>156</v>
      </c>
      <c r="D98" s="57" t="s">
        <v>172</v>
      </c>
      <c r="E98" s="57" t="s">
        <v>773</v>
      </c>
      <c r="F98" s="57" t="s">
        <v>2257</v>
      </c>
      <c r="G98" s="57" t="s">
        <v>2256</v>
      </c>
      <c r="H98" s="57" t="s">
        <v>2304</v>
      </c>
      <c r="I98" s="57" t="s">
        <v>1783</v>
      </c>
      <c r="J98" s="57"/>
      <c r="K98" s="57"/>
      <c r="L98" s="57" t="s">
        <v>721</v>
      </c>
      <c r="M98" s="57" t="s">
        <v>2276</v>
      </c>
      <c r="N98" s="57" t="s">
        <v>2303</v>
      </c>
      <c r="O98" s="57"/>
      <c r="P98" s="57"/>
      <c r="Q98" s="57"/>
      <c r="R98" s="57"/>
      <c r="S98" s="57"/>
      <c r="T98" s="57"/>
      <c r="U98" s="60" t="s">
        <v>922</v>
      </c>
    </row>
    <row r="99" spans="1:21" s="40" customFormat="1" ht="24.95" customHeight="1" x14ac:dyDescent="0.3">
      <c r="A99" s="57">
        <v>2021.01</v>
      </c>
      <c r="B99" s="57" t="s">
        <v>877</v>
      </c>
      <c r="C99" s="57" t="s">
        <v>2248</v>
      </c>
      <c r="D99" s="57" t="s">
        <v>2247</v>
      </c>
      <c r="E99" s="57"/>
      <c r="F99" s="57" t="s">
        <v>2302</v>
      </c>
      <c r="G99" s="57" t="s">
        <v>2301</v>
      </c>
      <c r="H99" s="57" t="s">
        <v>1460</v>
      </c>
      <c r="I99" s="57" t="s">
        <v>1460</v>
      </c>
      <c r="J99" s="57"/>
      <c r="K99" s="57"/>
      <c r="L99" s="57" t="s">
        <v>721</v>
      </c>
      <c r="M99" s="57" t="s">
        <v>721</v>
      </c>
      <c r="N99" s="57" t="s">
        <v>721</v>
      </c>
      <c r="O99" s="57"/>
      <c r="P99" s="57"/>
      <c r="Q99" s="57"/>
      <c r="R99" s="57"/>
      <c r="S99" s="57"/>
      <c r="T99" s="57"/>
      <c r="U99" s="60"/>
    </row>
    <row r="100" spans="1:21" s="40" customFormat="1" ht="24.95" customHeight="1" x14ac:dyDescent="0.3">
      <c r="A100" s="42">
        <v>2021.01</v>
      </c>
      <c r="B100" s="42" t="s">
        <v>734</v>
      </c>
      <c r="C100" s="42" t="s">
        <v>873</v>
      </c>
      <c r="D100" s="42"/>
      <c r="E100" s="42"/>
      <c r="F100" s="42" t="s">
        <v>1341</v>
      </c>
      <c r="G100" s="42" t="s">
        <v>2300</v>
      </c>
      <c r="H100" s="42" t="s">
        <v>2299</v>
      </c>
      <c r="I100" s="42" t="s">
        <v>899</v>
      </c>
      <c r="J100" s="42" t="s">
        <v>743</v>
      </c>
      <c r="K100" s="42"/>
      <c r="L100" s="42" t="s">
        <v>721</v>
      </c>
      <c r="M100" s="42">
        <v>100</v>
      </c>
      <c r="N100" s="42" t="s">
        <v>721</v>
      </c>
      <c r="O100" s="42" t="s">
        <v>2298</v>
      </c>
      <c r="P100" s="42">
        <v>3670</v>
      </c>
      <c r="Q100" s="42">
        <v>100</v>
      </c>
      <c r="R100" s="42">
        <v>36.700000000000003</v>
      </c>
      <c r="S100" s="42" t="s">
        <v>987</v>
      </c>
      <c r="T100" s="42">
        <v>36</v>
      </c>
      <c r="U100" s="41" t="s">
        <v>2297</v>
      </c>
    </row>
    <row r="101" spans="1:21" s="40" customFormat="1" ht="24.95" customHeight="1" x14ac:dyDescent="0.3">
      <c r="A101" s="86">
        <v>2021.02</v>
      </c>
      <c r="B101" s="86" t="s">
        <v>789</v>
      </c>
      <c r="C101" s="86" t="s">
        <v>191</v>
      </c>
      <c r="D101" s="86" t="s">
        <v>327</v>
      </c>
      <c r="E101" s="86"/>
      <c r="F101" s="86" t="s">
        <v>2296</v>
      </c>
      <c r="G101" s="86" t="s">
        <v>517</v>
      </c>
      <c r="H101" s="86" t="s">
        <v>852</v>
      </c>
      <c r="I101" s="86" t="s">
        <v>2295</v>
      </c>
      <c r="J101" s="86" t="s">
        <v>759</v>
      </c>
      <c r="K101" s="86"/>
      <c r="L101" s="86" t="s">
        <v>721</v>
      </c>
      <c r="M101" s="86">
        <v>80</v>
      </c>
      <c r="N101" s="86">
        <v>11200</v>
      </c>
      <c r="O101" s="86" t="s">
        <v>2294</v>
      </c>
      <c r="P101" s="86">
        <v>11008</v>
      </c>
      <c r="Q101" s="86">
        <v>80</v>
      </c>
      <c r="R101" s="86">
        <v>137.6</v>
      </c>
      <c r="S101" s="86" t="s">
        <v>2293</v>
      </c>
      <c r="T101" s="86">
        <v>90</v>
      </c>
      <c r="U101" s="85" t="s">
        <v>2292</v>
      </c>
    </row>
    <row r="102" spans="1:21" s="40" customFormat="1" ht="24.95" customHeight="1" x14ac:dyDescent="0.3">
      <c r="A102" s="57">
        <v>2021.02</v>
      </c>
      <c r="B102" s="57" t="s">
        <v>877</v>
      </c>
      <c r="C102" s="57" t="s">
        <v>191</v>
      </c>
      <c r="D102" s="57" t="s">
        <v>563</v>
      </c>
      <c r="E102" s="57" t="s">
        <v>2291</v>
      </c>
      <c r="F102" s="57" t="s">
        <v>2290</v>
      </c>
      <c r="G102" s="57" t="s">
        <v>2289</v>
      </c>
      <c r="H102" s="57" t="s">
        <v>833</v>
      </c>
      <c r="I102" s="57" t="s">
        <v>833</v>
      </c>
      <c r="J102" s="57"/>
      <c r="K102" s="57"/>
      <c r="L102" s="57" t="s">
        <v>2288</v>
      </c>
      <c r="M102" s="57">
        <v>10</v>
      </c>
      <c r="N102" s="57">
        <v>2600</v>
      </c>
      <c r="O102" s="57"/>
      <c r="P102" s="57"/>
      <c r="Q102" s="57"/>
      <c r="R102" s="57"/>
      <c r="S102" s="57"/>
      <c r="T102" s="57"/>
      <c r="U102" s="60"/>
    </row>
    <row r="103" spans="1:21" s="40" customFormat="1" ht="24.95" customHeight="1" x14ac:dyDescent="0.3">
      <c r="A103" s="42">
        <v>2021.02</v>
      </c>
      <c r="B103" s="42" t="s">
        <v>734</v>
      </c>
      <c r="C103" s="42" t="s">
        <v>25</v>
      </c>
      <c r="D103" s="42" t="s">
        <v>90</v>
      </c>
      <c r="E103" s="42"/>
      <c r="F103" s="42" t="s">
        <v>2281</v>
      </c>
      <c r="G103" s="42" t="s">
        <v>2287</v>
      </c>
      <c r="H103" s="42" t="s">
        <v>2286</v>
      </c>
      <c r="I103" s="42" t="s">
        <v>2143</v>
      </c>
      <c r="J103" s="42" t="s">
        <v>768</v>
      </c>
      <c r="K103" s="42"/>
      <c r="L103" s="42" t="s">
        <v>721</v>
      </c>
      <c r="M103" s="42">
        <v>60</v>
      </c>
      <c r="N103" s="42" t="s">
        <v>721</v>
      </c>
      <c r="O103" s="42" t="s">
        <v>2285</v>
      </c>
      <c r="P103" s="42">
        <v>9576</v>
      </c>
      <c r="Q103" s="42">
        <v>60</v>
      </c>
      <c r="R103" s="42">
        <v>159.6</v>
      </c>
      <c r="S103" s="42" t="s">
        <v>1333</v>
      </c>
      <c r="T103" s="42"/>
      <c r="U103" s="41"/>
    </row>
    <row r="104" spans="1:21" s="40" customFormat="1" ht="24.95" customHeight="1" x14ac:dyDescent="0.3">
      <c r="A104" s="42">
        <v>2021.02</v>
      </c>
      <c r="B104" s="42" t="s">
        <v>734</v>
      </c>
      <c r="C104" s="42" t="s">
        <v>25</v>
      </c>
      <c r="D104" s="42" t="s">
        <v>90</v>
      </c>
      <c r="E104" s="42"/>
      <c r="F104" s="42" t="s">
        <v>2281</v>
      </c>
      <c r="G104" s="42" t="s">
        <v>2284</v>
      </c>
      <c r="H104" s="42" t="s">
        <v>2283</v>
      </c>
      <c r="I104" s="42" t="s">
        <v>2143</v>
      </c>
      <c r="J104" s="42" t="s">
        <v>768</v>
      </c>
      <c r="K104" s="42"/>
      <c r="L104" s="42" t="s">
        <v>721</v>
      </c>
      <c r="M104" s="42">
        <v>20</v>
      </c>
      <c r="N104" s="42" t="s">
        <v>721</v>
      </c>
      <c r="O104" s="42" t="s">
        <v>2282</v>
      </c>
      <c r="P104" s="42">
        <v>3192</v>
      </c>
      <c r="Q104" s="42">
        <v>20</v>
      </c>
      <c r="R104" s="42">
        <v>159.6</v>
      </c>
      <c r="S104" s="42" t="s">
        <v>1333</v>
      </c>
      <c r="T104" s="42"/>
      <c r="U104" s="41"/>
    </row>
    <row r="105" spans="1:21" s="40" customFormat="1" ht="24.95" customHeight="1" x14ac:dyDescent="0.3">
      <c r="A105" s="42">
        <v>2021.02</v>
      </c>
      <c r="B105" s="42" t="s">
        <v>734</v>
      </c>
      <c r="C105" s="42" t="s">
        <v>25</v>
      </c>
      <c r="D105" s="42" t="s">
        <v>90</v>
      </c>
      <c r="E105" s="42"/>
      <c r="F105" s="42" t="s">
        <v>2281</v>
      </c>
      <c r="G105" s="42" t="s">
        <v>2280</v>
      </c>
      <c r="H105" s="42" t="s">
        <v>2279</v>
      </c>
      <c r="I105" s="42" t="s">
        <v>2143</v>
      </c>
      <c r="J105" s="42" t="s">
        <v>768</v>
      </c>
      <c r="K105" s="42"/>
      <c r="L105" s="42" t="s">
        <v>721</v>
      </c>
      <c r="M105" s="42">
        <v>20</v>
      </c>
      <c r="N105" s="42" t="s">
        <v>721</v>
      </c>
      <c r="O105" s="42" t="s">
        <v>2278</v>
      </c>
      <c r="P105" s="42">
        <v>3192</v>
      </c>
      <c r="Q105" s="42">
        <v>20</v>
      </c>
      <c r="R105" s="42">
        <v>159.6</v>
      </c>
      <c r="S105" s="42" t="s">
        <v>1333</v>
      </c>
      <c r="T105" s="42"/>
      <c r="U105" s="41"/>
    </row>
    <row r="106" spans="1:21" s="40" customFormat="1" ht="24.95" customHeight="1" x14ac:dyDescent="0.3">
      <c r="A106" s="57">
        <v>2021.02</v>
      </c>
      <c r="B106" s="57" t="s">
        <v>877</v>
      </c>
      <c r="C106" s="57" t="s">
        <v>156</v>
      </c>
      <c r="D106" s="57" t="s">
        <v>172</v>
      </c>
      <c r="E106" s="57" t="s">
        <v>773</v>
      </c>
      <c r="F106" s="57" t="s">
        <v>2257</v>
      </c>
      <c r="G106" s="57" t="s">
        <v>2256</v>
      </c>
      <c r="H106" s="57" t="s">
        <v>2277</v>
      </c>
      <c r="I106" s="57" t="s">
        <v>1783</v>
      </c>
      <c r="J106" s="57"/>
      <c r="K106" s="57"/>
      <c r="L106" s="57" t="s">
        <v>721</v>
      </c>
      <c r="M106" s="57" t="s">
        <v>2276</v>
      </c>
      <c r="N106" s="57" t="s">
        <v>2254</v>
      </c>
      <c r="O106" s="57"/>
      <c r="P106" s="57"/>
      <c r="Q106" s="57"/>
      <c r="R106" s="57"/>
      <c r="S106" s="57"/>
      <c r="T106" s="57"/>
      <c r="U106" s="60" t="s">
        <v>922</v>
      </c>
    </row>
    <row r="107" spans="1:21" s="40" customFormat="1" ht="24.95" customHeight="1" x14ac:dyDescent="0.3">
      <c r="A107" s="57">
        <v>2021.03</v>
      </c>
      <c r="B107" s="57" t="s">
        <v>877</v>
      </c>
      <c r="C107" s="57" t="s">
        <v>13</v>
      </c>
      <c r="D107" s="57" t="s">
        <v>1272</v>
      </c>
      <c r="E107" s="57"/>
      <c r="F107" s="57" t="s">
        <v>2264</v>
      </c>
      <c r="G107" s="57" t="s">
        <v>2275</v>
      </c>
      <c r="H107" s="57" t="s">
        <v>2262</v>
      </c>
      <c r="I107" s="57" t="s">
        <v>2261</v>
      </c>
      <c r="J107" s="57"/>
      <c r="K107" s="57"/>
      <c r="L107" s="57" t="s">
        <v>721</v>
      </c>
      <c r="M107" s="57">
        <v>5</v>
      </c>
      <c r="N107" s="57">
        <v>690</v>
      </c>
      <c r="O107" s="57"/>
      <c r="P107" s="57"/>
      <c r="Q107" s="57"/>
      <c r="R107" s="57"/>
      <c r="S107" s="57"/>
      <c r="T107" s="57"/>
      <c r="U107" s="60" t="s">
        <v>922</v>
      </c>
    </row>
    <row r="108" spans="1:21" s="40" customFormat="1" ht="24.95" customHeight="1" x14ac:dyDescent="0.3">
      <c r="A108" s="57">
        <v>2021.03</v>
      </c>
      <c r="B108" s="57" t="s">
        <v>877</v>
      </c>
      <c r="C108" s="57" t="s">
        <v>156</v>
      </c>
      <c r="D108" s="57" t="s">
        <v>172</v>
      </c>
      <c r="E108" s="57" t="s">
        <v>773</v>
      </c>
      <c r="F108" s="57" t="s">
        <v>2216</v>
      </c>
      <c r="G108" s="57" t="s">
        <v>2215</v>
      </c>
      <c r="H108" s="57" t="s">
        <v>2274</v>
      </c>
      <c r="I108" s="57" t="s">
        <v>2213</v>
      </c>
      <c r="J108" s="57"/>
      <c r="K108" s="57"/>
      <c r="L108" s="57" t="s">
        <v>721</v>
      </c>
      <c r="M108" s="57">
        <v>2</v>
      </c>
      <c r="N108" s="57">
        <v>448</v>
      </c>
      <c r="O108" s="57"/>
      <c r="P108" s="57"/>
      <c r="Q108" s="57"/>
      <c r="R108" s="57"/>
      <c r="S108" s="57"/>
      <c r="T108" s="57"/>
      <c r="U108" s="60"/>
    </row>
    <row r="109" spans="1:21" s="40" customFormat="1" ht="24.95" customHeight="1" x14ac:dyDescent="0.3">
      <c r="A109" s="152">
        <v>2021.04</v>
      </c>
      <c r="B109" s="152" t="s">
        <v>734</v>
      </c>
      <c r="C109" s="152" t="s">
        <v>576</v>
      </c>
      <c r="D109" s="152" t="s">
        <v>2273</v>
      </c>
      <c r="E109" s="152"/>
      <c r="F109" s="152" t="s">
        <v>2272</v>
      </c>
      <c r="G109" s="152" t="s">
        <v>2271</v>
      </c>
      <c r="H109" s="152" t="s">
        <v>2270</v>
      </c>
      <c r="I109" s="49" t="s">
        <v>2269</v>
      </c>
      <c r="J109" s="49" t="s">
        <v>517</v>
      </c>
      <c r="K109" s="152" t="s">
        <v>753</v>
      </c>
      <c r="L109" s="49" t="s">
        <v>721</v>
      </c>
      <c r="M109" s="49">
        <v>2</v>
      </c>
      <c r="N109" s="152" t="s">
        <v>721</v>
      </c>
      <c r="O109" s="152" t="s">
        <v>2268</v>
      </c>
      <c r="P109" s="152">
        <v>120.4</v>
      </c>
      <c r="Q109" s="49">
        <v>2</v>
      </c>
      <c r="R109" s="49"/>
      <c r="S109" s="152" t="s">
        <v>2267</v>
      </c>
      <c r="T109" s="49"/>
      <c r="U109" s="48"/>
    </row>
    <row r="110" spans="1:21" s="40" customFormat="1" ht="24.95" customHeight="1" x14ac:dyDescent="0.3">
      <c r="A110" s="154"/>
      <c r="B110" s="154"/>
      <c r="C110" s="154"/>
      <c r="D110" s="154"/>
      <c r="E110" s="154"/>
      <c r="F110" s="154"/>
      <c r="G110" s="154"/>
      <c r="H110" s="154"/>
      <c r="I110" s="49" t="s">
        <v>2266</v>
      </c>
      <c r="J110" s="49" t="s">
        <v>768</v>
      </c>
      <c r="K110" s="154"/>
      <c r="L110" s="49" t="s">
        <v>721</v>
      </c>
      <c r="M110" s="49">
        <v>1</v>
      </c>
      <c r="N110" s="154"/>
      <c r="O110" s="154"/>
      <c r="P110" s="154"/>
      <c r="Q110" s="49">
        <v>1</v>
      </c>
      <c r="R110" s="49"/>
      <c r="S110" s="154"/>
      <c r="T110" s="49"/>
      <c r="U110" s="48"/>
    </row>
    <row r="111" spans="1:21" s="40" customFormat="1" ht="24.95" customHeight="1" x14ac:dyDescent="0.3">
      <c r="A111" s="153"/>
      <c r="B111" s="153"/>
      <c r="C111" s="153"/>
      <c r="D111" s="153"/>
      <c r="E111" s="153"/>
      <c r="F111" s="153"/>
      <c r="G111" s="153"/>
      <c r="H111" s="153"/>
      <c r="I111" s="49" t="s">
        <v>2265</v>
      </c>
      <c r="J111" s="49" t="s">
        <v>517</v>
      </c>
      <c r="K111" s="153"/>
      <c r="L111" s="49" t="s">
        <v>721</v>
      </c>
      <c r="M111" s="49">
        <v>1</v>
      </c>
      <c r="N111" s="153"/>
      <c r="O111" s="153"/>
      <c r="P111" s="153"/>
      <c r="Q111" s="49">
        <v>1</v>
      </c>
      <c r="R111" s="49"/>
      <c r="S111" s="153"/>
      <c r="T111" s="49"/>
      <c r="U111" s="48"/>
    </row>
    <row r="112" spans="1:21" s="40" customFormat="1" ht="24.95" customHeight="1" x14ac:dyDescent="0.3">
      <c r="A112" s="86">
        <v>2021.04</v>
      </c>
      <c r="B112" s="86" t="s">
        <v>789</v>
      </c>
      <c r="C112" s="86" t="s">
        <v>13</v>
      </c>
      <c r="D112" s="86" t="s">
        <v>1272</v>
      </c>
      <c r="E112" s="86"/>
      <c r="F112" s="86" t="s">
        <v>2264</v>
      </c>
      <c r="G112" s="86" t="s">
        <v>2263</v>
      </c>
      <c r="H112" s="86" t="s">
        <v>2262</v>
      </c>
      <c r="I112" s="86" t="s">
        <v>2261</v>
      </c>
      <c r="J112" s="86" t="s">
        <v>759</v>
      </c>
      <c r="K112" s="86"/>
      <c r="L112" s="86" t="s">
        <v>721</v>
      </c>
      <c r="M112" s="86">
        <v>5</v>
      </c>
      <c r="N112" s="86">
        <v>690</v>
      </c>
      <c r="O112" s="86" t="s">
        <v>2260</v>
      </c>
      <c r="P112" s="86">
        <v>688.6</v>
      </c>
      <c r="Q112" s="86">
        <v>5</v>
      </c>
      <c r="R112" s="86">
        <v>137.72</v>
      </c>
      <c r="S112" s="86" t="s">
        <v>2259</v>
      </c>
      <c r="T112" s="86">
        <v>90</v>
      </c>
      <c r="U112" s="85" t="s">
        <v>2258</v>
      </c>
    </row>
    <row r="113" spans="1:21" s="40" customFormat="1" ht="24.95" customHeight="1" x14ac:dyDescent="0.3">
      <c r="A113" s="49">
        <v>2021.04</v>
      </c>
      <c r="B113" s="49" t="s">
        <v>734</v>
      </c>
      <c r="C113" s="49" t="s">
        <v>156</v>
      </c>
      <c r="D113" s="49" t="s">
        <v>172</v>
      </c>
      <c r="E113" s="49" t="s">
        <v>773</v>
      </c>
      <c r="F113" s="49" t="s">
        <v>2257</v>
      </c>
      <c r="G113" s="49" t="s">
        <v>2256</v>
      </c>
      <c r="H113" s="49" t="s">
        <v>2255</v>
      </c>
      <c r="I113" s="49" t="s">
        <v>1783</v>
      </c>
      <c r="J113" s="49" t="s">
        <v>722</v>
      </c>
      <c r="K113" s="49" t="s">
        <v>753</v>
      </c>
      <c r="L113" s="49" t="s">
        <v>721</v>
      </c>
      <c r="M113" s="49">
        <v>200</v>
      </c>
      <c r="N113" s="49" t="s">
        <v>2254</v>
      </c>
      <c r="O113" s="49" t="s">
        <v>2253</v>
      </c>
      <c r="P113" s="49" t="s">
        <v>2252</v>
      </c>
      <c r="Q113" s="49"/>
      <c r="R113" s="49"/>
      <c r="S113" s="49" t="s">
        <v>1781</v>
      </c>
      <c r="T113" s="49"/>
      <c r="U113" s="48" t="s">
        <v>2251</v>
      </c>
    </row>
    <row r="114" spans="1:21" s="40" customFormat="1" ht="24.95" customHeight="1" x14ac:dyDescent="0.3">
      <c r="A114" s="49">
        <v>2021.05</v>
      </c>
      <c r="B114" s="49" t="s">
        <v>789</v>
      </c>
      <c r="C114" s="49" t="s">
        <v>44</v>
      </c>
      <c r="D114" s="49" t="s">
        <v>541</v>
      </c>
      <c r="E114" s="49"/>
      <c r="F114" s="49" t="s">
        <v>2250</v>
      </c>
      <c r="G114" s="49" t="s">
        <v>517</v>
      </c>
      <c r="H114" s="49" t="s">
        <v>2249</v>
      </c>
      <c r="I114" s="49" t="s">
        <v>833</v>
      </c>
      <c r="J114" s="49" t="s">
        <v>1055</v>
      </c>
      <c r="K114" s="49" t="s">
        <v>753</v>
      </c>
      <c r="L114" s="49">
        <v>10.5</v>
      </c>
      <c r="M114" s="49" t="s">
        <v>721</v>
      </c>
      <c r="N114" s="49">
        <v>198.8</v>
      </c>
      <c r="O114" s="49" t="s">
        <v>1778</v>
      </c>
      <c r="P114" s="49"/>
      <c r="Q114" s="49"/>
      <c r="R114" s="49"/>
      <c r="S114" s="49" t="s">
        <v>1052</v>
      </c>
      <c r="T114" s="49">
        <v>68.5</v>
      </c>
      <c r="U114" s="48"/>
    </row>
    <row r="115" spans="1:21" s="40" customFormat="1" ht="24.95" customHeight="1" x14ac:dyDescent="0.3">
      <c r="A115" s="42">
        <v>2021.05</v>
      </c>
      <c r="B115" s="42" t="s">
        <v>734</v>
      </c>
      <c r="C115" s="42" t="s">
        <v>2248</v>
      </c>
      <c r="D115" s="42" t="s">
        <v>2247</v>
      </c>
      <c r="E115" s="42" t="s">
        <v>2246</v>
      </c>
      <c r="F115" s="42" t="s">
        <v>2245</v>
      </c>
      <c r="G115" s="42" t="s">
        <v>2244</v>
      </c>
      <c r="H115" s="42" t="s">
        <v>1986</v>
      </c>
      <c r="I115" s="42" t="s">
        <v>729</v>
      </c>
      <c r="J115" s="42" t="s">
        <v>737</v>
      </c>
      <c r="K115" s="42"/>
      <c r="L115" s="42">
        <v>10</v>
      </c>
      <c r="M115" s="42">
        <v>10</v>
      </c>
      <c r="N115" s="42">
        <v>2363.3000000000002</v>
      </c>
      <c r="O115" s="42" t="s">
        <v>1356</v>
      </c>
      <c r="P115" s="42">
        <v>2360</v>
      </c>
      <c r="Q115" s="42">
        <v>10</v>
      </c>
      <c r="R115" s="42">
        <v>236</v>
      </c>
      <c r="S115" s="42" t="s">
        <v>879</v>
      </c>
      <c r="T115" s="42">
        <v>55</v>
      </c>
      <c r="U115" s="41"/>
    </row>
    <row r="116" spans="1:21" s="40" customFormat="1" ht="24.95" customHeight="1" x14ac:dyDescent="0.3">
      <c r="A116" s="57">
        <v>2021.05</v>
      </c>
      <c r="B116" s="57" t="s">
        <v>877</v>
      </c>
      <c r="C116" s="57" t="s">
        <v>233</v>
      </c>
      <c r="D116" s="57" t="s">
        <v>1311</v>
      </c>
      <c r="E116" s="57" t="s">
        <v>1901</v>
      </c>
      <c r="F116" s="57" t="s">
        <v>1900</v>
      </c>
      <c r="G116" s="57" t="s">
        <v>2233</v>
      </c>
      <c r="H116" s="57" t="s">
        <v>2232</v>
      </c>
      <c r="I116" s="57" t="s">
        <v>738</v>
      </c>
      <c r="J116" s="57"/>
      <c r="K116" s="57"/>
      <c r="L116" s="57">
        <v>8.5</v>
      </c>
      <c r="M116" s="57">
        <v>16</v>
      </c>
      <c r="N116" s="57">
        <v>2880</v>
      </c>
      <c r="O116" s="57"/>
      <c r="P116" s="57"/>
      <c r="Q116" s="57"/>
      <c r="R116" s="57"/>
      <c r="S116" s="57"/>
      <c r="T116" s="57"/>
      <c r="U116" s="60" t="s">
        <v>922</v>
      </c>
    </row>
    <row r="117" spans="1:21" s="40" customFormat="1" ht="24.95" customHeight="1" x14ac:dyDescent="0.3">
      <c r="A117" s="152">
        <v>2021.06</v>
      </c>
      <c r="B117" s="152" t="s">
        <v>789</v>
      </c>
      <c r="C117" s="152" t="s">
        <v>122</v>
      </c>
      <c r="D117" s="152" t="s">
        <v>2243</v>
      </c>
      <c r="E117" s="152"/>
      <c r="F117" s="152" t="s">
        <v>2242</v>
      </c>
      <c r="G117" s="152" t="s">
        <v>2241</v>
      </c>
      <c r="H117" s="152" t="s">
        <v>2240</v>
      </c>
      <c r="I117" s="49" t="s">
        <v>2239</v>
      </c>
      <c r="J117" s="49" t="s">
        <v>768</v>
      </c>
      <c r="K117" s="152" t="s">
        <v>753</v>
      </c>
      <c r="L117" s="49" t="s">
        <v>721</v>
      </c>
      <c r="M117" s="49">
        <v>15</v>
      </c>
      <c r="N117" s="152">
        <v>2925</v>
      </c>
      <c r="O117" s="152" t="s">
        <v>2238</v>
      </c>
      <c r="P117" s="49"/>
      <c r="Q117" s="49">
        <v>15</v>
      </c>
      <c r="R117" s="49"/>
      <c r="S117" s="49" t="s">
        <v>2235</v>
      </c>
      <c r="T117" s="49">
        <v>50</v>
      </c>
      <c r="U117" s="160"/>
    </row>
    <row r="118" spans="1:21" s="40" customFormat="1" ht="24.95" customHeight="1" x14ac:dyDescent="0.3">
      <c r="A118" s="154"/>
      <c r="B118" s="154"/>
      <c r="C118" s="154"/>
      <c r="D118" s="154"/>
      <c r="E118" s="154"/>
      <c r="F118" s="154"/>
      <c r="G118" s="154"/>
      <c r="H118" s="154"/>
      <c r="I118" s="49" t="s">
        <v>852</v>
      </c>
      <c r="J118" s="49" t="s">
        <v>768</v>
      </c>
      <c r="K118" s="154"/>
      <c r="L118" s="49" t="s">
        <v>721</v>
      </c>
      <c r="M118" s="49">
        <v>15</v>
      </c>
      <c r="N118" s="153"/>
      <c r="O118" s="153"/>
      <c r="P118" s="49"/>
      <c r="Q118" s="49">
        <v>15</v>
      </c>
      <c r="R118" s="49"/>
      <c r="S118" s="49" t="s">
        <v>2235</v>
      </c>
      <c r="T118" s="49">
        <v>50</v>
      </c>
      <c r="U118" s="161"/>
    </row>
    <row r="119" spans="1:21" s="40" customFormat="1" ht="24.95" customHeight="1" x14ac:dyDescent="0.3">
      <c r="A119" s="153"/>
      <c r="B119" s="153"/>
      <c r="C119" s="153"/>
      <c r="D119" s="153"/>
      <c r="E119" s="153"/>
      <c r="F119" s="153"/>
      <c r="G119" s="153"/>
      <c r="H119" s="153"/>
      <c r="I119" s="49" t="s">
        <v>2237</v>
      </c>
      <c r="J119" s="49" t="s">
        <v>1055</v>
      </c>
      <c r="K119" s="153"/>
      <c r="L119" s="49" t="s">
        <v>2236</v>
      </c>
      <c r="M119" s="49">
        <v>10</v>
      </c>
      <c r="N119" s="49">
        <v>1700</v>
      </c>
      <c r="O119" s="49" t="s">
        <v>2194</v>
      </c>
      <c r="P119" s="49"/>
      <c r="Q119" s="49">
        <v>10</v>
      </c>
      <c r="R119" s="49"/>
      <c r="S119" s="49" t="s">
        <v>2235</v>
      </c>
      <c r="T119" s="49">
        <v>50</v>
      </c>
      <c r="U119" s="162"/>
    </row>
    <row r="120" spans="1:21" s="40" customFormat="1" ht="24.95" customHeight="1" x14ac:dyDescent="0.3">
      <c r="A120" s="146">
        <v>2021.06</v>
      </c>
      <c r="B120" s="146" t="s">
        <v>877</v>
      </c>
      <c r="C120" s="146" t="s">
        <v>403</v>
      </c>
      <c r="D120" s="146" t="s">
        <v>2228</v>
      </c>
      <c r="E120" s="146"/>
      <c r="F120" s="146" t="s">
        <v>2227</v>
      </c>
      <c r="G120" s="146" t="s">
        <v>2226</v>
      </c>
      <c r="H120" s="146" t="s">
        <v>2225</v>
      </c>
      <c r="I120" s="57" t="s">
        <v>2224</v>
      </c>
      <c r="J120" s="57"/>
      <c r="K120" s="57"/>
      <c r="L120" s="57" t="s">
        <v>2221</v>
      </c>
      <c r="M120" s="57">
        <v>10</v>
      </c>
      <c r="N120" s="146">
        <v>1200</v>
      </c>
      <c r="O120" s="57"/>
      <c r="P120" s="57"/>
      <c r="Q120" s="57"/>
      <c r="R120" s="57"/>
      <c r="S120" s="57"/>
      <c r="T120" s="57"/>
      <c r="U120" s="60"/>
    </row>
    <row r="121" spans="1:21" s="40" customFormat="1" ht="24.95" customHeight="1" x14ac:dyDescent="0.3">
      <c r="A121" s="147"/>
      <c r="B121" s="147"/>
      <c r="C121" s="147"/>
      <c r="D121" s="147"/>
      <c r="E121" s="147"/>
      <c r="F121" s="147"/>
      <c r="G121" s="147"/>
      <c r="H121" s="147"/>
      <c r="I121" s="57" t="s">
        <v>2222</v>
      </c>
      <c r="J121" s="57"/>
      <c r="K121" s="57"/>
      <c r="L121" s="57" t="s">
        <v>2221</v>
      </c>
      <c r="M121" s="57">
        <v>10</v>
      </c>
      <c r="N121" s="147"/>
      <c r="O121" s="57"/>
      <c r="P121" s="57"/>
      <c r="Q121" s="57"/>
      <c r="R121" s="57"/>
      <c r="S121" s="57"/>
      <c r="T121" s="57"/>
      <c r="U121" s="60"/>
    </row>
    <row r="122" spans="1:21" s="40" customFormat="1" ht="24.95" customHeight="1" x14ac:dyDescent="0.3">
      <c r="A122" s="42">
        <v>2021.06</v>
      </c>
      <c r="B122" s="42" t="s">
        <v>734</v>
      </c>
      <c r="C122" s="42" t="s">
        <v>233</v>
      </c>
      <c r="D122" s="42" t="s">
        <v>1311</v>
      </c>
      <c r="E122" s="42" t="s">
        <v>1901</v>
      </c>
      <c r="F122" s="42" t="s">
        <v>2234</v>
      </c>
      <c r="G122" s="42" t="s">
        <v>2233</v>
      </c>
      <c r="H122" s="42" t="s">
        <v>2232</v>
      </c>
      <c r="I122" s="42" t="s">
        <v>738</v>
      </c>
      <c r="J122" s="42" t="s">
        <v>728</v>
      </c>
      <c r="K122" s="42"/>
      <c r="L122" s="42">
        <v>8.5</v>
      </c>
      <c r="M122" s="42">
        <v>16</v>
      </c>
      <c r="N122" s="42">
        <v>2880</v>
      </c>
      <c r="O122" s="42" t="s">
        <v>2158</v>
      </c>
      <c r="P122" s="42">
        <v>2878.4</v>
      </c>
      <c r="Q122" s="42">
        <v>16</v>
      </c>
      <c r="R122" s="42">
        <v>179.9</v>
      </c>
      <c r="S122" s="90"/>
      <c r="T122" s="42"/>
      <c r="U122" s="41"/>
    </row>
    <row r="123" spans="1:21" s="40" customFormat="1" ht="24.95" customHeight="1" x14ac:dyDescent="0.3">
      <c r="A123" s="42">
        <v>2021.06</v>
      </c>
      <c r="B123" s="42" t="s">
        <v>734</v>
      </c>
      <c r="C123" s="42" t="s">
        <v>156</v>
      </c>
      <c r="D123" s="42" t="s">
        <v>172</v>
      </c>
      <c r="E123" s="42" t="s">
        <v>773</v>
      </c>
      <c r="F123" s="42" t="s">
        <v>772</v>
      </c>
      <c r="G123" s="42" t="s">
        <v>2231</v>
      </c>
      <c r="H123" s="42" t="s">
        <v>2230</v>
      </c>
      <c r="I123" s="42" t="s">
        <v>2213</v>
      </c>
      <c r="J123" s="42" t="s">
        <v>759</v>
      </c>
      <c r="K123" s="42"/>
      <c r="L123" s="42" t="s">
        <v>721</v>
      </c>
      <c r="M123" s="42">
        <v>13</v>
      </c>
      <c r="N123" s="42">
        <v>2340</v>
      </c>
      <c r="O123" s="42" t="s">
        <v>761</v>
      </c>
      <c r="P123" s="42">
        <v>1703</v>
      </c>
      <c r="Q123" s="42">
        <v>13</v>
      </c>
      <c r="R123" s="42">
        <v>131</v>
      </c>
      <c r="S123" s="42" t="s">
        <v>987</v>
      </c>
      <c r="T123" s="42"/>
      <c r="U123" s="41" t="s">
        <v>2229</v>
      </c>
    </row>
    <row r="124" spans="1:21" s="40" customFormat="1" ht="24.95" customHeight="1" x14ac:dyDescent="0.3">
      <c r="A124" s="127">
        <v>2021.06</v>
      </c>
      <c r="B124" s="127" t="s">
        <v>734</v>
      </c>
      <c r="C124" s="127" t="s">
        <v>403</v>
      </c>
      <c r="D124" s="127" t="s">
        <v>2228</v>
      </c>
      <c r="E124" s="180"/>
      <c r="F124" s="127" t="s">
        <v>2227</v>
      </c>
      <c r="G124" s="127" t="s">
        <v>2226</v>
      </c>
      <c r="H124" s="127" t="s">
        <v>2225</v>
      </c>
      <c r="I124" s="42" t="s">
        <v>2224</v>
      </c>
      <c r="J124" s="42" t="s">
        <v>1055</v>
      </c>
      <c r="K124" s="42"/>
      <c r="L124" s="42" t="s">
        <v>2221</v>
      </c>
      <c r="M124" s="42">
        <v>10</v>
      </c>
      <c r="N124" s="127">
        <v>1200</v>
      </c>
      <c r="O124" s="42" t="s">
        <v>2223</v>
      </c>
      <c r="P124" s="42">
        <v>599.9</v>
      </c>
      <c r="Q124" s="42">
        <v>10</v>
      </c>
      <c r="R124" s="42">
        <v>59.99</v>
      </c>
      <c r="S124" s="42" t="s">
        <v>1227</v>
      </c>
      <c r="T124" s="42"/>
      <c r="U124" s="41"/>
    </row>
    <row r="125" spans="1:21" s="40" customFormat="1" ht="24.95" customHeight="1" x14ac:dyDescent="0.3">
      <c r="A125" s="128"/>
      <c r="B125" s="128"/>
      <c r="C125" s="128"/>
      <c r="D125" s="128"/>
      <c r="E125" s="181"/>
      <c r="F125" s="128"/>
      <c r="G125" s="128"/>
      <c r="H125" s="128"/>
      <c r="I125" s="42" t="s">
        <v>2222</v>
      </c>
      <c r="J125" s="42" t="s">
        <v>1055</v>
      </c>
      <c r="K125" s="42"/>
      <c r="L125" s="42" t="s">
        <v>2221</v>
      </c>
      <c r="M125" s="42">
        <v>10</v>
      </c>
      <c r="N125" s="128"/>
      <c r="O125" s="42" t="s">
        <v>2220</v>
      </c>
      <c r="P125" s="42">
        <v>599.79999999999995</v>
      </c>
      <c r="Q125" s="42">
        <v>10</v>
      </c>
      <c r="R125" s="42">
        <v>59.99</v>
      </c>
      <c r="S125" s="42" t="s">
        <v>879</v>
      </c>
      <c r="T125" s="42"/>
      <c r="U125" s="41"/>
    </row>
    <row r="126" spans="1:21" s="40" customFormat="1" ht="24.95" customHeight="1" x14ac:dyDescent="0.3">
      <c r="A126" s="57">
        <v>2021.07</v>
      </c>
      <c r="B126" s="57" t="s">
        <v>877</v>
      </c>
      <c r="C126" s="57" t="s">
        <v>488</v>
      </c>
      <c r="D126" s="57" t="s">
        <v>1873</v>
      </c>
      <c r="E126" s="57" t="s">
        <v>1872</v>
      </c>
      <c r="F126" s="57" t="s">
        <v>2181</v>
      </c>
      <c r="G126" s="57" t="s">
        <v>517</v>
      </c>
      <c r="H126" s="57" t="s">
        <v>2219</v>
      </c>
      <c r="I126" s="57" t="s">
        <v>2218</v>
      </c>
      <c r="J126" s="57"/>
      <c r="K126" s="57"/>
      <c r="L126" s="57">
        <v>10.5</v>
      </c>
      <c r="M126" s="57">
        <v>6</v>
      </c>
      <c r="N126" s="57">
        <v>1920</v>
      </c>
      <c r="O126" s="57"/>
      <c r="P126" s="57"/>
      <c r="Q126" s="57"/>
      <c r="R126" s="57"/>
      <c r="S126" s="57"/>
      <c r="T126" s="57"/>
      <c r="U126" s="60"/>
    </row>
    <row r="127" spans="1:21" s="40" customFormat="1" ht="24.95" customHeight="1" x14ac:dyDescent="0.3">
      <c r="A127" s="57">
        <v>2021.07</v>
      </c>
      <c r="B127" s="57" t="s">
        <v>877</v>
      </c>
      <c r="C127" s="57" t="s">
        <v>233</v>
      </c>
      <c r="D127" s="57" t="s">
        <v>903</v>
      </c>
      <c r="E127" s="57" t="s">
        <v>2189</v>
      </c>
      <c r="F127" s="57" t="s">
        <v>2188</v>
      </c>
      <c r="G127" s="57" t="s">
        <v>2187</v>
      </c>
      <c r="H127" s="57" t="s">
        <v>833</v>
      </c>
      <c r="I127" s="57" t="s">
        <v>833</v>
      </c>
      <c r="J127" s="57"/>
      <c r="K127" s="57"/>
      <c r="L127" s="57" t="s">
        <v>721</v>
      </c>
      <c r="M127" s="57">
        <v>10</v>
      </c>
      <c r="N127" s="57">
        <v>1800</v>
      </c>
      <c r="O127" s="57"/>
      <c r="P127" s="57"/>
      <c r="Q127" s="57"/>
      <c r="R127" s="57"/>
      <c r="S127" s="57"/>
      <c r="T127" s="57"/>
      <c r="U127" s="60"/>
    </row>
    <row r="128" spans="1:21" s="40" customFormat="1" ht="24.95" customHeight="1" x14ac:dyDescent="0.3">
      <c r="A128" s="42">
        <v>2021.07</v>
      </c>
      <c r="B128" s="42" t="s">
        <v>734</v>
      </c>
      <c r="C128" s="42" t="s">
        <v>233</v>
      </c>
      <c r="D128" s="42" t="s">
        <v>1311</v>
      </c>
      <c r="E128" s="42" t="s">
        <v>1412</v>
      </c>
      <c r="F128" s="42" t="s">
        <v>1411</v>
      </c>
      <c r="G128" s="42" t="s">
        <v>517</v>
      </c>
      <c r="H128" s="42" t="s">
        <v>2217</v>
      </c>
      <c r="I128" s="42" t="s">
        <v>1257</v>
      </c>
      <c r="J128" s="42" t="s">
        <v>737</v>
      </c>
      <c r="K128" s="42"/>
      <c r="L128" s="42" t="s">
        <v>721</v>
      </c>
      <c r="M128" s="42">
        <v>4</v>
      </c>
      <c r="N128" s="42">
        <v>720</v>
      </c>
      <c r="O128" s="42" t="s">
        <v>1874</v>
      </c>
      <c r="P128" s="42">
        <v>718</v>
      </c>
      <c r="Q128" s="42">
        <v>4</v>
      </c>
      <c r="R128" s="42">
        <v>179.5</v>
      </c>
      <c r="S128" s="42" t="s">
        <v>1227</v>
      </c>
      <c r="T128" s="42"/>
      <c r="U128" s="41"/>
    </row>
    <row r="129" spans="1:21" s="40" customFormat="1" ht="24.95" customHeight="1" x14ac:dyDescent="0.3">
      <c r="A129" s="42">
        <v>2021.07</v>
      </c>
      <c r="B129" s="42" t="s">
        <v>734</v>
      </c>
      <c r="C129" s="42" t="s">
        <v>156</v>
      </c>
      <c r="D129" s="42" t="s">
        <v>172</v>
      </c>
      <c r="E129" s="42" t="s">
        <v>773</v>
      </c>
      <c r="F129" s="42" t="s">
        <v>2216</v>
      </c>
      <c r="G129" s="42" t="s">
        <v>2215</v>
      </c>
      <c r="H129" s="42" t="s">
        <v>2214</v>
      </c>
      <c r="I129" s="42" t="s">
        <v>2213</v>
      </c>
      <c r="J129" s="42" t="s">
        <v>759</v>
      </c>
      <c r="K129" s="42"/>
      <c r="L129" s="42" t="s">
        <v>721</v>
      </c>
      <c r="M129" s="42">
        <v>2</v>
      </c>
      <c r="N129" s="42">
        <v>448</v>
      </c>
      <c r="O129" s="42" t="s">
        <v>2212</v>
      </c>
      <c r="P129" s="42">
        <v>340</v>
      </c>
      <c r="Q129" s="42">
        <v>2</v>
      </c>
      <c r="R129" s="42">
        <v>170</v>
      </c>
      <c r="S129" s="42" t="s">
        <v>2211</v>
      </c>
      <c r="T129" s="42"/>
      <c r="U129" s="41" t="s">
        <v>2210</v>
      </c>
    </row>
    <row r="130" spans="1:21" s="40" customFormat="1" ht="24.95" customHeight="1" x14ac:dyDescent="0.3">
      <c r="A130" s="49">
        <v>2021.07</v>
      </c>
      <c r="B130" s="49" t="s">
        <v>734</v>
      </c>
      <c r="C130" s="49" t="s">
        <v>35</v>
      </c>
      <c r="D130" s="49" t="s">
        <v>36</v>
      </c>
      <c r="E130" s="49"/>
      <c r="F130" s="49" t="s">
        <v>2209</v>
      </c>
      <c r="G130" s="49" t="s">
        <v>517</v>
      </c>
      <c r="H130" s="49" t="s">
        <v>2208</v>
      </c>
      <c r="I130" s="49" t="s">
        <v>833</v>
      </c>
      <c r="J130" s="49" t="s">
        <v>737</v>
      </c>
      <c r="K130" s="49" t="s">
        <v>753</v>
      </c>
      <c r="L130" s="49" t="s">
        <v>721</v>
      </c>
      <c r="M130" s="49">
        <v>2</v>
      </c>
      <c r="N130" s="49" t="s">
        <v>721</v>
      </c>
      <c r="O130" s="49"/>
      <c r="P130" s="49">
        <v>2</v>
      </c>
      <c r="Q130" s="49"/>
      <c r="R130" s="49"/>
      <c r="S130" s="49" t="s">
        <v>1052</v>
      </c>
      <c r="T130" s="49"/>
      <c r="U130" s="48"/>
    </row>
    <row r="131" spans="1:21" s="40" customFormat="1" ht="24.95" customHeight="1" x14ac:dyDescent="0.3">
      <c r="A131" s="42">
        <v>2021.08</v>
      </c>
      <c r="B131" s="42" t="s">
        <v>734</v>
      </c>
      <c r="C131" s="42" t="s">
        <v>488</v>
      </c>
      <c r="D131" s="42" t="s">
        <v>1261</v>
      </c>
      <c r="E131" s="42"/>
      <c r="F131" s="42" t="s">
        <v>1260</v>
      </c>
      <c r="G131" s="42" t="s">
        <v>2207</v>
      </c>
      <c r="H131" s="42" t="s">
        <v>1223</v>
      </c>
      <c r="I131" s="42" t="s">
        <v>1222</v>
      </c>
      <c r="J131" s="42" t="s">
        <v>1055</v>
      </c>
      <c r="K131" s="42"/>
      <c r="L131" s="42">
        <v>10</v>
      </c>
      <c r="M131" s="42">
        <v>5</v>
      </c>
      <c r="N131" s="42">
        <v>1475</v>
      </c>
      <c r="O131" s="42" t="s">
        <v>1221</v>
      </c>
      <c r="P131" s="42">
        <v>1474</v>
      </c>
      <c r="Q131" s="42">
        <v>5</v>
      </c>
      <c r="R131" s="42">
        <v>294.8</v>
      </c>
      <c r="S131" s="42" t="s">
        <v>1220</v>
      </c>
      <c r="T131" s="42">
        <v>92</v>
      </c>
      <c r="U131" s="41"/>
    </row>
    <row r="132" spans="1:21" s="40" customFormat="1" ht="24.95" customHeight="1" x14ac:dyDescent="0.3">
      <c r="A132" s="42">
        <v>2021.08</v>
      </c>
      <c r="B132" s="42" t="s">
        <v>734</v>
      </c>
      <c r="C132" s="42" t="s">
        <v>488</v>
      </c>
      <c r="D132" s="42" t="s">
        <v>1226</v>
      </c>
      <c r="E132" s="42"/>
      <c r="F132" s="42" t="s">
        <v>1225</v>
      </c>
      <c r="G132" s="42" t="s">
        <v>2206</v>
      </c>
      <c r="H132" s="42" t="s">
        <v>1223</v>
      </c>
      <c r="I132" s="42" t="s">
        <v>1222</v>
      </c>
      <c r="J132" s="42" t="s">
        <v>1055</v>
      </c>
      <c r="K132" s="42"/>
      <c r="L132" s="42">
        <v>10</v>
      </c>
      <c r="M132" s="42">
        <v>5</v>
      </c>
      <c r="N132" s="42">
        <v>1475</v>
      </c>
      <c r="O132" s="42" t="s">
        <v>1221</v>
      </c>
      <c r="P132" s="42">
        <v>1474</v>
      </c>
      <c r="Q132" s="42">
        <v>5</v>
      </c>
      <c r="R132" s="42">
        <v>294.8</v>
      </c>
      <c r="S132" s="42" t="s">
        <v>1220</v>
      </c>
      <c r="T132" s="42"/>
      <c r="U132" s="41"/>
    </row>
    <row r="133" spans="1:21" s="40" customFormat="1" ht="24.95" customHeight="1" x14ac:dyDescent="0.3">
      <c r="A133" s="42">
        <v>2021.08</v>
      </c>
      <c r="B133" s="42" t="s">
        <v>734</v>
      </c>
      <c r="C133" s="42" t="s">
        <v>488</v>
      </c>
      <c r="D133" s="42" t="s">
        <v>1639</v>
      </c>
      <c r="E133" s="42"/>
      <c r="F133" s="42" t="s">
        <v>1638</v>
      </c>
      <c r="G133" s="42" t="s">
        <v>2205</v>
      </c>
      <c r="H133" s="42" t="s">
        <v>2044</v>
      </c>
      <c r="I133" s="42" t="s">
        <v>738</v>
      </c>
      <c r="J133" s="42" t="s">
        <v>1055</v>
      </c>
      <c r="K133" s="42"/>
      <c r="L133" s="42">
        <v>10.5</v>
      </c>
      <c r="M133" s="42">
        <v>5</v>
      </c>
      <c r="N133" s="42">
        <v>1475</v>
      </c>
      <c r="O133" s="42" t="s">
        <v>1221</v>
      </c>
      <c r="P133" s="42">
        <v>1474.5</v>
      </c>
      <c r="Q133" s="42">
        <v>5</v>
      </c>
      <c r="R133" s="42">
        <v>294.89999999999998</v>
      </c>
      <c r="S133" s="42" t="s">
        <v>1220</v>
      </c>
      <c r="T133" s="42"/>
      <c r="U133" s="41" t="s">
        <v>2204</v>
      </c>
    </row>
    <row r="134" spans="1:21" s="40" customFormat="1" ht="24.95" customHeight="1" x14ac:dyDescent="0.3">
      <c r="A134" s="49">
        <v>2021.09</v>
      </c>
      <c r="B134" s="49" t="s">
        <v>734</v>
      </c>
      <c r="C134" s="49" t="s">
        <v>13</v>
      </c>
      <c r="D134" s="49" t="s">
        <v>1103</v>
      </c>
      <c r="E134" s="49"/>
      <c r="F134" s="49" t="s">
        <v>1102</v>
      </c>
      <c r="G134" s="49" t="s">
        <v>2203</v>
      </c>
      <c r="H134" s="49" t="s">
        <v>1343</v>
      </c>
      <c r="I134" s="49" t="s">
        <v>1099</v>
      </c>
      <c r="J134" s="49" t="s">
        <v>737</v>
      </c>
      <c r="K134" s="49" t="s">
        <v>753</v>
      </c>
      <c r="L134" s="49" t="s">
        <v>721</v>
      </c>
      <c r="M134" s="49">
        <v>200</v>
      </c>
      <c r="N134" s="49">
        <v>0</v>
      </c>
      <c r="O134" s="49" t="s">
        <v>1098</v>
      </c>
      <c r="P134" s="49">
        <v>200</v>
      </c>
      <c r="Q134" s="49">
        <v>0</v>
      </c>
      <c r="R134" s="49">
        <v>0</v>
      </c>
      <c r="S134" s="49" t="s">
        <v>2202</v>
      </c>
      <c r="T134" s="49"/>
      <c r="U134" s="48"/>
    </row>
    <row r="135" spans="1:21" s="40" customFormat="1" ht="24.95" customHeight="1" x14ac:dyDescent="0.3">
      <c r="A135" s="49">
        <v>2021.09</v>
      </c>
      <c r="B135" s="49" t="s">
        <v>789</v>
      </c>
      <c r="C135" s="49" t="s">
        <v>156</v>
      </c>
      <c r="D135" s="49" t="s">
        <v>172</v>
      </c>
      <c r="E135" s="49" t="s">
        <v>1045</v>
      </c>
      <c r="F135" s="49" t="s">
        <v>1044</v>
      </c>
      <c r="G135" s="49"/>
      <c r="H135" s="49" t="s">
        <v>2201</v>
      </c>
      <c r="I135" s="49" t="s">
        <v>2201</v>
      </c>
      <c r="J135" s="49" t="s">
        <v>743</v>
      </c>
      <c r="K135" s="49" t="s">
        <v>753</v>
      </c>
      <c r="L135" s="49" t="s">
        <v>721</v>
      </c>
      <c r="M135" s="49">
        <v>4</v>
      </c>
      <c r="N135" s="49">
        <v>192</v>
      </c>
      <c r="O135" s="49" t="s">
        <v>838</v>
      </c>
      <c r="P135" s="49"/>
      <c r="Q135" s="49"/>
      <c r="R135" s="49"/>
      <c r="S135" s="49" t="s">
        <v>2200</v>
      </c>
      <c r="T135" s="49"/>
      <c r="U135" s="48" t="s">
        <v>2199</v>
      </c>
    </row>
    <row r="136" spans="1:21" s="40" customFormat="1" ht="24.95" customHeight="1" x14ac:dyDescent="0.3">
      <c r="A136" s="127">
        <v>2021.09</v>
      </c>
      <c r="B136" s="127" t="s">
        <v>734</v>
      </c>
      <c r="C136" s="127" t="s">
        <v>122</v>
      </c>
      <c r="D136" s="127" t="s">
        <v>123</v>
      </c>
      <c r="E136" s="127"/>
      <c r="F136" s="127" t="s">
        <v>2198</v>
      </c>
      <c r="G136" s="127" t="s">
        <v>2197</v>
      </c>
      <c r="H136" s="42" t="s">
        <v>2196</v>
      </c>
      <c r="I136" s="42" t="s">
        <v>738</v>
      </c>
      <c r="J136" s="42" t="s">
        <v>1055</v>
      </c>
      <c r="K136" s="42"/>
      <c r="L136" s="42" t="s">
        <v>721</v>
      </c>
      <c r="M136" s="42">
        <v>7</v>
      </c>
      <c r="N136" s="42">
        <v>1456</v>
      </c>
      <c r="O136" s="42" t="s">
        <v>1013</v>
      </c>
      <c r="P136" s="42">
        <v>1453.76</v>
      </c>
      <c r="Q136" s="42">
        <v>7</v>
      </c>
      <c r="R136" s="42">
        <v>207.68</v>
      </c>
      <c r="S136" s="42" t="s">
        <v>1368</v>
      </c>
      <c r="T136" s="42"/>
      <c r="U136" s="41" t="s">
        <v>1367</v>
      </c>
    </row>
    <row r="137" spans="1:21" s="40" customFormat="1" ht="24.95" customHeight="1" x14ac:dyDescent="0.3">
      <c r="A137" s="148"/>
      <c r="B137" s="148"/>
      <c r="C137" s="148"/>
      <c r="D137" s="148"/>
      <c r="E137" s="148"/>
      <c r="F137" s="148"/>
      <c r="G137" s="148"/>
      <c r="H137" s="42" t="s">
        <v>2195</v>
      </c>
      <c r="I137" s="42" t="s">
        <v>738</v>
      </c>
      <c r="J137" s="42" t="s">
        <v>1055</v>
      </c>
      <c r="K137" s="42"/>
      <c r="L137" s="42" t="s">
        <v>721</v>
      </c>
      <c r="M137" s="42">
        <v>7</v>
      </c>
      <c r="N137" s="42">
        <v>1456</v>
      </c>
      <c r="O137" s="42" t="s">
        <v>2194</v>
      </c>
      <c r="P137" s="42">
        <v>1442</v>
      </c>
      <c r="Q137" s="42">
        <v>7</v>
      </c>
      <c r="R137" s="42">
        <v>206</v>
      </c>
      <c r="S137" s="42" t="s">
        <v>1368</v>
      </c>
      <c r="T137" s="42"/>
      <c r="U137" s="41" t="s">
        <v>2193</v>
      </c>
    </row>
    <row r="138" spans="1:21" s="40" customFormat="1" ht="24.95" customHeight="1" x14ac:dyDescent="0.3">
      <c r="A138" s="148"/>
      <c r="B138" s="148"/>
      <c r="C138" s="148"/>
      <c r="D138" s="128"/>
      <c r="E138" s="148"/>
      <c r="F138" s="148"/>
      <c r="G138" s="148"/>
      <c r="H138" s="42" t="s">
        <v>2192</v>
      </c>
      <c r="I138" s="42" t="s">
        <v>738</v>
      </c>
      <c r="J138" s="42" t="s">
        <v>1055</v>
      </c>
      <c r="K138" s="42"/>
      <c r="L138" s="42" t="s">
        <v>721</v>
      </c>
      <c r="M138" s="42">
        <v>6</v>
      </c>
      <c r="N138" s="42">
        <v>1248</v>
      </c>
      <c r="O138" s="42" t="s">
        <v>2158</v>
      </c>
      <c r="P138" s="42">
        <v>1245.5999999999999</v>
      </c>
      <c r="Q138" s="42">
        <v>6</v>
      </c>
      <c r="R138" s="42">
        <v>207.6</v>
      </c>
      <c r="S138" s="42" t="s">
        <v>957</v>
      </c>
      <c r="T138" s="42"/>
      <c r="U138" s="41" t="s">
        <v>2191</v>
      </c>
    </row>
    <row r="139" spans="1:21" s="40" customFormat="1" ht="24.95" customHeight="1" x14ac:dyDescent="0.3">
      <c r="A139" s="43">
        <v>2021.1</v>
      </c>
      <c r="B139" s="42" t="s">
        <v>734</v>
      </c>
      <c r="C139" s="42" t="s">
        <v>233</v>
      </c>
      <c r="D139" s="42" t="s">
        <v>1311</v>
      </c>
      <c r="E139" s="42" t="s">
        <v>1412</v>
      </c>
      <c r="F139" s="42" t="s">
        <v>1411</v>
      </c>
      <c r="G139" s="42" t="s">
        <v>517</v>
      </c>
      <c r="H139" s="42" t="s">
        <v>2190</v>
      </c>
      <c r="I139" s="42" t="s">
        <v>1902</v>
      </c>
      <c r="J139" s="42" t="s">
        <v>1055</v>
      </c>
      <c r="K139" s="42"/>
      <c r="L139" s="42">
        <v>10.5</v>
      </c>
      <c r="M139" s="42">
        <v>15</v>
      </c>
      <c r="N139" s="42">
        <v>3750</v>
      </c>
      <c r="O139" s="42" t="s">
        <v>1838</v>
      </c>
      <c r="P139" s="42">
        <v>3450</v>
      </c>
      <c r="Q139" s="42">
        <v>15</v>
      </c>
      <c r="R139" s="42">
        <v>230</v>
      </c>
      <c r="S139" s="42" t="s">
        <v>1066</v>
      </c>
      <c r="T139" s="42"/>
      <c r="U139" s="41"/>
    </row>
    <row r="140" spans="1:21" s="40" customFormat="1" ht="24.95" customHeight="1" x14ac:dyDescent="0.3">
      <c r="A140" s="43">
        <v>2021.1</v>
      </c>
      <c r="B140" s="42" t="s">
        <v>734</v>
      </c>
      <c r="C140" s="42" t="s">
        <v>233</v>
      </c>
      <c r="D140" s="42" t="s">
        <v>903</v>
      </c>
      <c r="E140" s="42" t="s">
        <v>2189</v>
      </c>
      <c r="F140" s="42" t="s">
        <v>2188</v>
      </c>
      <c r="G140" s="42" t="s">
        <v>2187</v>
      </c>
      <c r="H140" s="42" t="s">
        <v>2186</v>
      </c>
      <c r="I140" s="42" t="s">
        <v>833</v>
      </c>
      <c r="J140" s="42" t="s">
        <v>737</v>
      </c>
      <c r="K140" s="42"/>
      <c r="L140" s="42" t="s">
        <v>721</v>
      </c>
      <c r="M140" s="42">
        <v>10</v>
      </c>
      <c r="N140" s="42">
        <v>1800</v>
      </c>
      <c r="O140" s="42" t="s">
        <v>1897</v>
      </c>
      <c r="P140" s="42">
        <v>1745</v>
      </c>
      <c r="Q140" s="42">
        <v>10</v>
      </c>
      <c r="R140" s="42">
        <v>174.5</v>
      </c>
      <c r="S140" s="42" t="s">
        <v>2185</v>
      </c>
      <c r="T140" s="42"/>
      <c r="U140" s="41"/>
    </row>
    <row r="141" spans="1:21" s="40" customFormat="1" ht="24.95" customHeight="1" x14ac:dyDescent="0.3">
      <c r="A141" s="144">
        <v>2021.1</v>
      </c>
      <c r="B141" s="146" t="s">
        <v>877</v>
      </c>
      <c r="C141" s="146" t="s">
        <v>122</v>
      </c>
      <c r="D141" s="146" t="s">
        <v>123</v>
      </c>
      <c r="E141" s="146" t="s">
        <v>2094</v>
      </c>
      <c r="F141" s="146" t="s">
        <v>2098</v>
      </c>
      <c r="G141" s="146" t="s">
        <v>2184</v>
      </c>
      <c r="H141" s="146" t="s">
        <v>1140</v>
      </c>
      <c r="I141" s="57" t="s">
        <v>2183</v>
      </c>
      <c r="J141" s="57"/>
      <c r="K141" s="57"/>
      <c r="L141" s="57" t="s">
        <v>721</v>
      </c>
      <c r="M141" s="57">
        <v>5</v>
      </c>
      <c r="N141" s="57">
        <v>1075</v>
      </c>
      <c r="O141" s="57"/>
      <c r="P141" s="57"/>
      <c r="Q141" s="57"/>
      <c r="R141" s="57"/>
      <c r="S141" s="57"/>
      <c r="T141" s="57"/>
      <c r="U141" s="140" t="s">
        <v>941</v>
      </c>
    </row>
    <row r="142" spans="1:21" s="40" customFormat="1" ht="24.95" customHeight="1" x14ac:dyDescent="0.3">
      <c r="A142" s="145"/>
      <c r="B142" s="147"/>
      <c r="C142" s="147"/>
      <c r="D142" s="147"/>
      <c r="E142" s="147"/>
      <c r="F142" s="147"/>
      <c r="G142" s="147"/>
      <c r="H142" s="147"/>
      <c r="I142" s="57" t="s">
        <v>2182</v>
      </c>
      <c r="J142" s="57"/>
      <c r="K142" s="57"/>
      <c r="L142" s="57" t="s">
        <v>721</v>
      </c>
      <c r="M142" s="57">
        <v>5</v>
      </c>
      <c r="N142" s="57">
        <v>1075</v>
      </c>
      <c r="O142" s="57"/>
      <c r="P142" s="57"/>
      <c r="Q142" s="57"/>
      <c r="R142" s="57"/>
      <c r="S142" s="57"/>
      <c r="T142" s="57"/>
      <c r="U142" s="141"/>
    </row>
    <row r="143" spans="1:21" s="40" customFormat="1" ht="24.95" customHeight="1" x14ac:dyDescent="0.3">
      <c r="A143" s="43">
        <v>2021.1</v>
      </c>
      <c r="B143" s="42" t="s">
        <v>734</v>
      </c>
      <c r="C143" s="42" t="s">
        <v>488</v>
      </c>
      <c r="D143" s="42" t="s">
        <v>1873</v>
      </c>
      <c r="E143" s="42" t="s">
        <v>1872</v>
      </c>
      <c r="F143" s="42" t="s">
        <v>2181</v>
      </c>
      <c r="G143" s="42" t="s">
        <v>2180</v>
      </c>
      <c r="H143" s="42" t="s">
        <v>2179</v>
      </c>
      <c r="I143" s="42" t="s">
        <v>1887</v>
      </c>
      <c r="J143" s="42" t="s">
        <v>1055</v>
      </c>
      <c r="K143" s="42"/>
      <c r="L143" s="42">
        <v>10.5</v>
      </c>
      <c r="M143" s="42">
        <v>10</v>
      </c>
      <c r="N143" s="42">
        <v>2950</v>
      </c>
      <c r="O143" s="42" t="s">
        <v>1886</v>
      </c>
      <c r="P143" s="42">
        <v>2949.6</v>
      </c>
      <c r="Q143" s="42">
        <v>10</v>
      </c>
      <c r="R143" s="42">
        <v>294.60000000000002</v>
      </c>
      <c r="S143" s="42" t="s">
        <v>2178</v>
      </c>
      <c r="T143" s="42"/>
      <c r="U143" s="41"/>
    </row>
    <row r="144" spans="1:21" s="40" customFormat="1" ht="24.95" customHeight="1" x14ac:dyDescent="0.3">
      <c r="A144" s="123">
        <v>2021.1</v>
      </c>
      <c r="B144" s="127" t="s">
        <v>734</v>
      </c>
      <c r="C144" s="127" t="s">
        <v>35</v>
      </c>
      <c r="D144" s="127" t="s">
        <v>102</v>
      </c>
      <c r="E144" s="127"/>
      <c r="F144" s="127" t="s">
        <v>2177</v>
      </c>
      <c r="G144" s="127" t="s">
        <v>2176</v>
      </c>
      <c r="H144" s="127" t="s">
        <v>2175</v>
      </c>
      <c r="I144" s="42" t="s">
        <v>2174</v>
      </c>
      <c r="J144" s="42" t="s">
        <v>737</v>
      </c>
      <c r="K144" s="42"/>
      <c r="L144" s="42" t="s">
        <v>721</v>
      </c>
      <c r="M144" s="127">
        <v>7</v>
      </c>
      <c r="N144" s="127">
        <v>610</v>
      </c>
      <c r="O144" s="127" t="s">
        <v>1577</v>
      </c>
      <c r="P144" s="42">
        <v>154.964</v>
      </c>
      <c r="Q144" s="42">
        <v>2</v>
      </c>
      <c r="R144" s="42">
        <v>77.481999999999999</v>
      </c>
      <c r="S144" s="42" t="s">
        <v>1220</v>
      </c>
      <c r="T144" s="42"/>
      <c r="U144" s="41"/>
    </row>
    <row r="145" spans="1:21" s="40" customFormat="1" ht="24.95" customHeight="1" x14ac:dyDescent="0.3">
      <c r="A145" s="139"/>
      <c r="B145" s="148"/>
      <c r="C145" s="148"/>
      <c r="D145" s="148"/>
      <c r="E145" s="148"/>
      <c r="F145" s="148"/>
      <c r="G145" s="148"/>
      <c r="H145" s="128"/>
      <c r="I145" s="42" t="s">
        <v>2173</v>
      </c>
      <c r="J145" s="42" t="s">
        <v>737</v>
      </c>
      <c r="K145" s="42"/>
      <c r="L145" s="42" t="s">
        <v>721</v>
      </c>
      <c r="M145" s="128"/>
      <c r="N145" s="128"/>
      <c r="O145" s="128"/>
      <c r="P145" s="42">
        <v>432.41</v>
      </c>
      <c r="Q145" s="42">
        <v>5</v>
      </c>
      <c r="R145" s="42">
        <v>86.481999999999999</v>
      </c>
      <c r="S145" s="42" t="s">
        <v>1220</v>
      </c>
      <c r="T145" s="42"/>
      <c r="U145" s="41"/>
    </row>
    <row r="146" spans="1:21" s="40" customFormat="1" ht="24.95" customHeight="1" x14ac:dyDescent="0.3">
      <c r="A146" s="139"/>
      <c r="B146" s="148"/>
      <c r="C146" s="148"/>
      <c r="D146" s="148"/>
      <c r="E146" s="148"/>
      <c r="F146" s="148"/>
      <c r="G146" s="148"/>
      <c r="H146" s="127" t="s">
        <v>1741</v>
      </c>
      <c r="I146" s="42" t="s">
        <v>2172</v>
      </c>
      <c r="J146" s="42" t="s">
        <v>737</v>
      </c>
      <c r="K146" s="42"/>
      <c r="L146" s="42" t="s">
        <v>721</v>
      </c>
      <c r="M146" s="127">
        <v>2</v>
      </c>
      <c r="N146" s="127">
        <v>300</v>
      </c>
      <c r="O146" s="127" t="s">
        <v>1074</v>
      </c>
      <c r="P146" s="42">
        <v>120</v>
      </c>
      <c r="Q146" s="42">
        <v>1</v>
      </c>
      <c r="R146" s="42">
        <v>120</v>
      </c>
      <c r="S146" s="42" t="s">
        <v>1227</v>
      </c>
      <c r="T146" s="42"/>
      <c r="U146" s="41"/>
    </row>
    <row r="147" spans="1:21" s="40" customFormat="1" ht="24.95" customHeight="1" x14ac:dyDescent="0.3">
      <c r="A147" s="124"/>
      <c r="B147" s="128"/>
      <c r="C147" s="128"/>
      <c r="D147" s="128"/>
      <c r="E147" s="128"/>
      <c r="F147" s="128"/>
      <c r="G147" s="128"/>
      <c r="H147" s="128"/>
      <c r="I147" s="42" t="s">
        <v>2171</v>
      </c>
      <c r="J147" s="42" t="s">
        <v>737</v>
      </c>
      <c r="K147" s="42"/>
      <c r="L147" s="42" t="s">
        <v>721</v>
      </c>
      <c r="M147" s="128"/>
      <c r="N147" s="128"/>
      <c r="O147" s="128"/>
      <c r="P147" s="42">
        <v>180</v>
      </c>
      <c r="Q147" s="42">
        <v>1</v>
      </c>
      <c r="R147" s="42">
        <v>180</v>
      </c>
      <c r="S147" s="42" t="s">
        <v>1227</v>
      </c>
      <c r="T147" s="42"/>
      <c r="U147" s="41"/>
    </row>
    <row r="148" spans="1:21" s="40" customFormat="1" ht="24.95" customHeight="1" x14ac:dyDescent="0.3">
      <c r="A148" s="43">
        <v>2021.1</v>
      </c>
      <c r="B148" s="42" t="s">
        <v>734</v>
      </c>
      <c r="C148" s="42" t="s">
        <v>351</v>
      </c>
      <c r="D148" s="42" t="s">
        <v>1661</v>
      </c>
      <c r="E148" s="42"/>
      <c r="F148" s="42" t="s">
        <v>2170</v>
      </c>
      <c r="G148" s="42" t="s">
        <v>2169</v>
      </c>
      <c r="H148" s="42" t="s">
        <v>2168</v>
      </c>
      <c r="I148" s="42" t="s">
        <v>2167</v>
      </c>
      <c r="J148" s="42" t="s">
        <v>1055</v>
      </c>
      <c r="K148" s="42"/>
      <c r="L148" s="42">
        <v>10</v>
      </c>
      <c r="M148" s="42">
        <v>30</v>
      </c>
      <c r="N148" s="42">
        <v>8550</v>
      </c>
      <c r="O148" s="42" t="s">
        <v>1838</v>
      </c>
      <c r="P148" s="42">
        <v>8364</v>
      </c>
      <c r="Q148" s="42">
        <v>30</v>
      </c>
      <c r="R148" s="42">
        <v>278.8</v>
      </c>
      <c r="S148" s="42" t="s">
        <v>1052</v>
      </c>
      <c r="T148" s="42"/>
      <c r="U148" s="41"/>
    </row>
    <row r="149" spans="1:21" s="40" customFormat="1" ht="24.95" customHeight="1" x14ac:dyDescent="0.3">
      <c r="A149" s="57">
        <v>2021.11</v>
      </c>
      <c r="B149" s="57" t="s">
        <v>877</v>
      </c>
      <c r="C149" s="57" t="s">
        <v>191</v>
      </c>
      <c r="D149" s="57" t="s">
        <v>1825</v>
      </c>
      <c r="E149" s="57"/>
      <c r="F149" s="57" t="s">
        <v>2036</v>
      </c>
      <c r="G149" s="57" t="s">
        <v>2136</v>
      </c>
      <c r="H149" s="57" t="s">
        <v>1832</v>
      </c>
      <c r="I149" s="57" t="s">
        <v>833</v>
      </c>
      <c r="J149" s="57"/>
      <c r="K149" s="57"/>
      <c r="L149" s="57">
        <v>10.5</v>
      </c>
      <c r="M149" s="57">
        <v>100</v>
      </c>
      <c r="N149" s="57">
        <v>13000</v>
      </c>
      <c r="O149" s="57"/>
      <c r="P149" s="57"/>
      <c r="Q149" s="57"/>
      <c r="R149" s="57"/>
      <c r="S149" s="57"/>
      <c r="T149" s="57"/>
      <c r="U149" s="60" t="s">
        <v>922</v>
      </c>
    </row>
    <row r="150" spans="1:21" s="40" customFormat="1" ht="24.95" customHeight="1" x14ac:dyDescent="0.3">
      <c r="A150" s="57">
        <v>2021.11</v>
      </c>
      <c r="B150" s="57" t="s">
        <v>877</v>
      </c>
      <c r="C150" s="57" t="s">
        <v>122</v>
      </c>
      <c r="D150" s="57" t="s">
        <v>123</v>
      </c>
      <c r="E150" s="57" t="s">
        <v>2094</v>
      </c>
      <c r="F150" s="57" t="s">
        <v>2093</v>
      </c>
      <c r="G150" s="57" t="s">
        <v>2092</v>
      </c>
      <c r="H150" s="57" t="s">
        <v>2166</v>
      </c>
      <c r="I150" s="57" t="s">
        <v>1034</v>
      </c>
      <c r="J150" s="57"/>
      <c r="K150" s="57"/>
      <c r="L150" s="57" t="s">
        <v>721</v>
      </c>
      <c r="M150" s="57">
        <v>5</v>
      </c>
      <c r="N150" s="57">
        <v>1065</v>
      </c>
      <c r="O150" s="57"/>
      <c r="P150" s="57"/>
      <c r="Q150" s="57"/>
      <c r="R150" s="57"/>
      <c r="S150" s="57"/>
      <c r="T150" s="57"/>
      <c r="U150" s="60" t="s">
        <v>2165</v>
      </c>
    </row>
    <row r="151" spans="1:21" s="40" customFormat="1" ht="24.95" customHeight="1" x14ac:dyDescent="0.3">
      <c r="A151" s="149">
        <v>2021.11</v>
      </c>
      <c r="B151" s="49" t="s">
        <v>734</v>
      </c>
      <c r="C151" s="152" t="s">
        <v>25</v>
      </c>
      <c r="D151" s="152" t="s">
        <v>26</v>
      </c>
      <c r="E151" s="152"/>
      <c r="F151" s="152" t="s">
        <v>2164</v>
      </c>
      <c r="G151" s="152" t="s">
        <v>517</v>
      </c>
      <c r="H151" s="152" t="s">
        <v>729</v>
      </c>
      <c r="I151" s="152" t="s">
        <v>729</v>
      </c>
      <c r="J151" s="49" t="s">
        <v>1055</v>
      </c>
      <c r="K151" s="152" t="s">
        <v>753</v>
      </c>
      <c r="L151" s="49">
        <v>10.5</v>
      </c>
      <c r="M151" s="49">
        <v>72</v>
      </c>
      <c r="N151" s="49" t="s">
        <v>721</v>
      </c>
      <c r="O151" s="152" t="s">
        <v>2163</v>
      </c>
      <c r="P151" s="152">
        <v>25408</v>
      </c>
      <c r="Q151" s="49">
        <v>72</v>
      </c>
      <c r="R151" s="49"/>
      <c r="S151" s="49" t="s">
        <v>1178</v>
      </c>
      <c r="T151" s="49"/>
      <c r="U151" s="48"/>
    </row>
    <row r="152" spans="1:21" s="40" customFormat="1" ht="24.95" customHeight="1" x14ac:dyDescent="0.3">
      <c r="A152" s="150"/>
      <c r="B152" s="49" t="s">
        <v>734</v>
      </c>
      <c r="C152" s="153"/>
      <c r="D152" s="153"/>
      <c r="E152" s="153"/>
      <c r="F152" s="153"/>
      <c r="G152" s="153"/>
      <c r="H152" s="153"/>
      <c r="I152" s="153"/>
      <c r="J152" s="49" t="s">
        <v>728</v>
      </c>
      <c r="K152" s="153"/>
      <c r="L152" s="49">
        <v>8.5</v>
      </c>
      <c r="M152" s="49">
        <v>40</v>
      </c>
      <c r="N152" s="49" t="s">
        <v>721</v>
      </c>
      <c r="O152" s="153"/>
      <c r="P152" s="153"/>
      <c r="Q152" s="49">
        <v>40</v>
      </c>
      <c r="R152" s="49"/>
      <c r="S152" s="49" t="s">
        <v>1178</v>
      </c>
      <c r="T152" s="49"/>
      <c r="U152" s="48"/>
    </row>
    <row r="153" spans="1:21" s="40" customFormat="1" ht="24.95" customHeight="1" x14ac:dyDescent="0.3">
      <c r="A153" s="43">
        <v>2021.11</v>
      </c>
      <c r="B153" s="42" t="s">
        <v>734</v>
      </c>
      <c r="C153" s="42" t="s">
        <v>233</v>
      </c>
      <c r="D153" s="42" t="s">
        <v>2162</v>
      </c>
      <c r="E153" s="42"/>
      <c r="F153" s="42" t="s">
        <v>2161</v>
      </c>
      <c r="G153" s="42" t="s">
        <v>2160</v>
      </c>
      <c r="H153" s="42" t="s">
        <v>2159</v>
      </c>
      <c r="I153" s="42" t="s">
        <v>833</v>
      </c>
      <c r="J153" s="42" t="s">
        <v>728</v>
      </c>
      <c r="K153" s="42"/>
      <c r="L153" s="42">
        <v>8.5</v>
      </c>
      <c r="M153" s="42">
        <v>4</v>
      </c>
      <c r="N153" s="42">
        <v>748</v>
      </c>
      <c r="O153" s="42" t="s">
        <v>2158</v>
      </c>
      <c r="P153" s="42">
        <v>747.6</v>
      </c>
      <c r="Q153" s="42">
        <v>4</v>
      </c>
      <c r="R153" s="42">
        <v>186.9</v>
      </c>
      <c r="S153" s="42" t="s">
        <v>2157</v>
      </c>
      <c r="T153" s="42">
        <v>55</v>
      </c>
      <c r="U153" s="41" t="s">
        <v>2156</v>
      </c>
    </row>
    <row r="154" spans="1:21" s="40" customFormat="1" ht="24.95" customHeight="1" x14ac:dyDescent="0.3">
      <c r="A154" s="43">
        <v>2021.11</v>
      </c>
      <c r="B154" s="42" t="s">
        <v>734</v>
      </c>
      <c r="C154" s="42" t="s">
        <v>156</v>
      </c>
      <c r="D154" s="42" t="s">
        <v>172</v>
      </c>
      <c r="E154" s="42" t="s">
        <v>773</v>
      </c>
      <c r="F154" s="42" t="s">
        <v>1992</v>
      </c>
      <c r="G154" s="42" t="s">
        <v>2155</v>
      </c>
      <c r="H154" s="42" t="s">
        <v>2154</v>
      </c>
      <c r="I154" s="42" t="s">
        <v>2153</v>
      </c>
      <c r="J154" s="42" t="s">
        <v>743</v>
      </c>
      <c r="K154" s="42"/>
      <c r="L154" s="42" t="s">
        <v>721</v>
      </c>
      <c r="M154" s="42">
        <v>7</v>
      </c>
      <c r="N154" s="42">
        <v>945</v>
      </c>
      <c r="O154" s="42" t="s">
        <v>1989</v>
      </c>
      <c r="P154" s="42">
        <v>800.1</v>
      </c>
      <c r="Q154" s="42">
        <v>7</v>
      </c>
      <c r="R154" s="42">
        <v>114.3</v>
      </c>
      <c r="S154" s="42" t="s">
        <v>2152</v>
      </c>
      <c r="T154" s="42">
        <v>52</v>
      </c>
      <c r="U154" s="41" t="s">
        <v>2151</v>
      </c>
    </row>
    <row r="155" spans="1:21" s="40" customFormat="1" ht="24.95" customHeight="1" x14ac:dyDescent="0.3">
      <c r="A155" s="43">
        <v>2021.11</v>
      </c>
      <c r="B155" s="42" t="s">
        <v>734</v>
      </c>
      <c r="C155" s="42" t="s">
        <v>233</v>
      </c>
      <c r="D155" s="42" t="s">
        <v>1311</v>
      </c>
      <c r="E155" s="42" t="s">
        <v>1412</v>
      </c>
      <c r="F155" s="42" t="s">
        <v>1411</v>
      </c>
      <c r="G155" s="42" t="s">
        <v>517</v>
      </c>
      <c r="H155" s="42" t="s">
        <v>2150</v>
      </c>
      <c r="I155" s="42" t="s">
        <v>2150</v>
      </c>
      <c r="J155" s="42" t="s">
        <v>737</v>
      </c>
      <c r="K155" s="42"/>
      <c r="L155" s="42" t="s">
        <v>721</v>
      </c>
      <c r="M155" s="42">
        <v>6</v>
      </c>
      <c r="N155" s="42">
        <v>1050</v>
      </c>
      <c r="O155" s="42" t="s">
        <v>1874</v>
      </c>
      <c r="P155" s="42">
        <v>1050</v>
      </c>
      <c r="Q155" s="42">
        <v>6</v>
      </c>
      <c r="R155" s="42">
        <v>175</v>
      </c>
      <c r="S155" s="42" t="s">
        <v>1227</v>
      </c>
      <c r="T155" s="42"/>
      <c r="U155" s="41"/>
    </row>
    <row r="156" spans="1:21" s="40" customFormat="1" ht="24.95" customHeight="1" x14ac:dyDescent="0.3">
      <c r="A156" s="86">
        <v>2021.11</v>
      </c>
      <c r="B156" s="86" t="s">
        <v>789</v>
      </c>
      <c r="C156" s="86" t="s">
        <v>191</v>
      </c>
      <c r="D156" s="86" t="s">
        <v>327</v>
      </c>
      <c r="E156" s="86" t="s">
        <v>976</v>
      </c>
      <c r="F156" s="86" t="s">
        <v>2149</v>
      </c>
      <c r="G156" s="86" t="s">
        <v>517</v>
      </c>
      <c r="H156" s="86" t="s">
        <v>2148</v>
      </c>
      <c r="I156" s="86" t="s">
        <v>738</v>
      </c>
      <c r="J156" s="86" t="s">
        <v>1055</v>
      </c>
      <c r="K156" s="86"/>
      <c r="L156" s="86">
        <v>12</v>
      </c>
      <c r="M156" s="86">
        <v>40</v>
      </c>
      <c r="N156" s="86">
        <v>8800</v>
      </c>
      <c r="O156" s="86" t="s">
        <v>1942</v>
      </c>
      <c r="P156" s="86">
        <v>8796.7999999999993</v>
      </c>
      <c r="Q156" s="86">
        <v>40</v>
      </c>
      <c r="R156" s="86">
        <v>219.92</v>
      </c>
      <c r="S156" s="86" t="s">
        <v>1227</v>
      </c>
      <c r="T156" s="86"/>
      <c r="U156" s="85"/>
    </row>
    <row r="157" spans="1:21" s="40" customFormat="1" ht="24.95" customHeight="1" x14ac:dyDescent="0.3">
      <c r="A157" s="49">
        <v>2021.12</v>
      </c>
      <c r="B157" s="49" t="s">
        <v>789</v>
      </c>
      <c r="C157" s="49" t="s">
        <v>156</v>
      </c>
      <c r="D157" s="49" t="s">
        <v>2147</v>
      </c>
      <c r="E157" s="49"/>
      <c r="F157" s="49" t="s">
        <v>2146</v>
      </c>
      <c r="G157" s="49" t="s">
        <v>2145</v>
      </c>
      <c r="H157" s="49" t="s">
        <v>2144</v>
      </c>
      <c r="I157" s="49" t="s">
        <v>2143</v>
      </c>
      <c r="J157" s="49" t="s">
        <v>768</v>
      </c>
      <c r="K157" s="49" t="s">
        <v>753</v>
      </c>
      <c r="L157" s="49" t="s">
        <v>721</v>
      </c>
      <c r="M157" s="49" t="s">
        <v>721</v>
      </c>
      <c r="N157" s="49" t="s">
        <v>721</v>
      </c>
      <c r="O157" s="49" t="s">
        <v>1074</v>
      </c>
      <c r="P157" s="49">
        <v>540</v>
      </c>
      <c r="Q157" s="49"/>
      <c r="R157" s="49"/>
      <c r="S157" s="49" t="s">
        <v>1227</v>
      </c>
      <c r="T157" s="49"/>
      <c r="U157" s="48"/>
    </row>
    <row r="158" spans="1:21" s="40" customFormat="1" ht="24.95" customHeight="1" x14ac:dyDescent="0.3">
      <c r="A158" s="43">
        <v>2021.12</v>
      </c>
      <c r="B158" s="42" t="s">
        <v>734</v>
      </c>
      <c r="C158" s="42" t="s">
        <v>133</v>
      </c>
      <c r="D158" s="42" t="s">
        <v>2142</v>
      </c>
      <c r="E158" s="42" t="s">
        <v>2141</v>
      </c>
      <c r="F158" s="42" t="s">
        <v>2140</v>
      </c>
      <c r="G158" s="42" t="s">
        <v>2139</v>
      </c>
      <c r="H158" s="42" t="s">
        <v>1056</v>
      </c>
      <c r="I158" s="42" t="s">
        <v>1056</v>
      </c>
      <c r="J158" s="42" t="s">
        <v>1055</v>
      </c>
      <c r="K158" s="42"/>
      <c r="L158" s="42" t="s">
        <v>721</v>
      </c>
      <c r="M158" s="42">
        <v>2</v>
      </c>
      <c r="N158" s="42">
        <v>345</v>
      </c>
      <c r="O158" s="42" t="s">
        <v>1074</v>
      </c>
      <c r="P158" s="42">
        <v>335</v>
      </c>
      <c r="Q158" s="42">
        <v>2</v>
      </c>
      <c r="R158" s="42">
        <v>167.5</v>
      </c>
      <c r="S158" s="42" t="s">
        <v>2138</v>
      </c>
      <c r="T158" s="42">
        <v>110</v>
      </c>
      <c r="U158" s="41" t="s">
        <v>2137</v>
      </c>
    </row>
    <row r="159" spans="1:21" s="40" customFormat="1" ht="24.95" customHeight="1" x14ac:dyDescent="0.3">
      <c r="A159" s="57">
        <v>2021.12</v>
      </c>
      <c r="B159" s="57" t="s">
        <v>877</v>
      </c>
      <c r="C159" s="57" t="s">
        <v>191</v>
      </c>
      <c r="D159" s="57" t="s">
        <v>1825</v>
      </c>
      <c r="E159" s="57"/>
      <c r="F159" s="57" t="s">
        <v>2036</v>
      </c>
      <c r="G159" s="57" t="s">
        <v>2136</v>
      </c>
      <c r="H159" s="57" t="s">
        <v>2135</v>
      </c>
      <c r="I159" s="57" t="s">
        <v>833</v>
      </c>
      <c r="J159" s="57"/>
      <c r="K159" s="57"/>
      <c r="L159" s="57">
        <v>10.5</v>
      </c>
      <c r="M159" s="57">
        <v>100</v>
      </c>
      <c r="N159" s="57">
        <v>13000</v>
      </c>
      <c r="O159" s="57"/>
      <c r="P159" s="57"/>
      <c r="Q159" s="57"/>
      <c r="R159" s="57"/>
      <c r="S159" s="57"/>
      <c r="T159" s="57"/>
      <c r="U159" s="60" t="s">
        <v>922</v>
      </c>
    </row>
    <row r="160" spans="1:21" s="40" customFormat="1" ht="24.95" customHeight="1" x14ac:dyDescent="0.3">
      <c r="A160" s="49">
        <v>2021.12</v>
      </c>
      <c r="B160" s="49" t="s">
        <v>734</v>
      </c>
      <c r="C160" s="49" t="s">
        <v>156</v>
      </c>
      <c r="D160" s="49" t="s">
        <v>157</v>
      </c>
      <c r="E160" s="49"/>
      <c r="F160" s="49" t="s">
        <v>2134</v>
      </c>
      <c r="G160" s="49" t="s">
        <v>2133</v>
      </c>
      <c r="H160" s="49" t="s">
        <v>887</v>
      </c>
      <c r="I160" s="49" t="s">
        <v>887</v>
      </c>
      <c r="J160" s="49" t="s">
        <v>768</v>
      </c>
      <c r="K160" s="49" t="s">
        <v>753</v>
      </c>
      <c r="L160" s="49" t="s">
        <v>721</v>
      </c>
      <c r="M160" s="49">
        <v>3</v>
      </c>
      <c r="N160" s="49" t="s">
        <v>721</v>
      </c>
      <c r="O160" s="49" t="s">
        <v>2132</v>
      </c>
      <c r="P160" s="49">
        <v>150</v>
      </c>
      <c r="Q160" s="49"/>
      <c r="R160" s="49"/>
      <c r="S160" s="49" t="s">
        <v>2131</v>
      </c>
      <c r="T160" s="49"/>
      <c r="U160" s="48"/>
    </row>
    <row r="161" spans="1:21" s="40" customFormat="1" ht="24.95" customHeight="1" x14ac:dyDescent="0.3">
      <c r="A161" s="49">
        <v>2021.12</v>
      </c>
      <c r="B161" s="49" t="s">
        <v>734</v>
      </c>
      <c r="C161" s="49" t="s">
        <v>13</v>
      </c>
      <c r="D161" s="49" t="s">
        <v>1386</v>
      </c>
      <c r="E161" s="49"/>
      <c r="F161" s="49" t="s">
        <v>2130</v>
      </c>
      <c r="G161" s="49" t="s">
        <v>2129</v>
      </c>
      <c r="H161" s="49" t="s">
        <v>1807</v>
      </c>
      <c r="I161" s="49" t="s">
        <v>1492</v>
      </c>
      <c r="J161" s="49" t="s">
        <v>1055</v>
      </c>
      <c r="K161" s="49" t="s">
        <v>753</v>
      </c>
      <c r="L161" s="49" t="s">
        <v>721</v>
      </c>
      <c r="M161" s="49">
        <v>10</v>
      </c>
      <c r="N161" s="49">
        <v>0</v>
      </c>
      <c r="O161" s="49"/>
      <c r="P161" s="49"/>
      <c r="Q161" s="49">
        <v>10</v>
      </c>
      <c r="R161" s="49"/>
      <c r="S161" s="49" t="s">
        <v>1097</v>
      </c>
      <c r="T161" s="49"/>
      <c r="U161" s="48"/>
    </row>
    <row r="162" spans="1:21" s="40" customFormat="1" ht="24.95" customHeight="1" x14ac:dyDescent="0.3">
      <c r="A162" s="123">
        <v>2021.12</v>
      </c>
      <c r="B162" s="127" t="s">
        <v>734</v>
      </c>
      <c r="C162" s="127" t="s">
        <v>122</v>
      </c>
      <c r="D162" s="127" t="s">
        <v>123</v>
      </c>
      <c r="E162" s="127" t="s">
        <v>2094</v>
      </c>
      <c r="F162" s="127" t="s">
        <v>2098</v>
      </c>
      <c r="G162" s="127" t="s">
        <v>2097</v>
      </c>
      <c r="H162" s="127" t="s">
        <v>1922</v>
      </c>
      <c r="I162" s="57" t="s">
        <v>1137</v>
      </c>
      <c r="J162" s="57"/>
      <c r="K162" s="57"/>
      <c r="L162" s="57" t="s">
        <v>721</v>
      </c>
      <c r="M162" s="57">
        <v>5</v>
      </c>
      <c r="N162" s="57">
        <v>1075</v>
      </c>
      <c r="O162" s="57"/>
      <c r="P162" s="57"/>
      <c r="Q162" s="57"/>
      <c r="R162" s="57"/>
      <c r="S162" s="57"/>
      <c r="T162" s="57"/>
      <c r="U162" s="60" t="s">
        <v>922</v>
      </c>
    </row>
    <row r="163" spans="1:21" s="40" customFormat="1" ht="24.95" customHeight="1" x14ac:dyDescent="0.3">
      <c r="A163" s="139"/>
      <c r="B163" s="148"/>
      <c r="C163" s="148"/>
      <c r="D163" s="148"/>
      <c r="E163" s="148"/>
      <c r="F163" s="148"/>
      <c r="G163" s="148"/>
      <c r="H163" s="148"/>
      <c r="I163" s="42" t="s">
        <v>2128</v>
      </c>
      <c r="J163" s="42" t="s">
        <v>759</v>
      </c>
      <c r="K163" s="42"/>
      <c r="L163" s="42" t="s">
        <v>721</v>
      </c>
      <c r="M163" s="42">
        <v>3</v>
      </c>
      <c r="N163" s="42">
        <v>645</v>
      </c>
      <c r="O163" s="42" t="s">
        <v>1251</v>
      </c>
      <c r="P163" s="42">
        <v>624</v>
      </c>
      <c r="Q163" s="42">
        <v>3</v>
      </c>
      <c r="R163" s="42">
        <v>208</v>
      </c>
      <c r="S163" s="42" t="s">
        <v>957</v>
      </c>
      <c r="T163" s="42">
        <v>60.5</v>
      </c>
      <c r="U163" s="41" t="s">
        <v>2127</v>
      </c>
    </row>
    <row r="164" spans="1:21" s="40" customFormat="1" ht="24.95" customHeight="1" x14ac:dyDescent="0.3">
      <c r="A164" s="124"/>
      <c r="B164" s="128"/>
      <c r="C164" s="128"/>
      <c r="D164" s="128"/>
      <c r="E164" s="128"/>
      <c r="F164" s="128"/>
      <c r="G164" s="128"/>
      <c r="H164" s="128"/>
      <c r="I164" s="57" t="s">
        <v>2126</v>
      </c>
      <c r="J164" s="57"/>
      <c r="K164" s="57"/>
      <c r="L164" s="57" t="s">
        <v>721</v>
      </c>
      <c r="M164" s="57">
        <v>2</v>
      </c>
      <c r="N164" s="57">
        <v>410</v>
      </c>
      <c r="O164" s="57"/>
      <c r="P164" s="57"/>
      <c r="Q164" s="57"/>
      <c r="R164" s="57"/>
      <c r="S164" s="57"/>
      <c r="T164" s="57"/>
      <c r="U164" s="60" t="s">
        <v>922</v>
      </c>
    </row>
    <row r="165" spans="1:21" s="40" customFormat="1" ht="24.95" customHeight="1" x14ac:dyDescent="0.3">
      <c r="A165" s="86">
        <v>2021.12</v>
      </c>
      <c r="B165" s="86" t="s">
        <v>789</v>
      </c>
      <c r="C165" s="86" t="s">
        <v>122</v>
      </c>
      <c r="D165" s="86" t="s">
        <v>123</v>
      </c>
      <c r="E165" s="86" t="s">
        <v>2094</v>
      </c>
      <c r="F165" s="86" t="s">
        <v>2098</v>
      </c>
      <c r="G165" s="86" t="s">
        <v>2097</v>
      </c>
      <c r="H165" s="86" t="s">
        <v>1922</v>
      </c>
      <c r="I165" s="86" t="s">
        <v>2125</v>
      </c>
      <c r="J165" s="86" t="s">
        <v>759</v>
      </c>
      <c r="K165" s="86"/>
      <c r="L165" s="86" t="s">
        <v>721</v>
      </c>
      <c r="M165" s="86">
        <v>2</v>
      </c>
      <c r="N165" s="86">
        <v>410</v>
      </c>
      <c r="O165" s="86" t="s">
        <v>2124</v>
      </c>
      <c r="P165" s="86">
        <v>404</v>
      </c>
      <c r="Q165" s="86">
        <v>2</v>
      </c>
      <c r="R165" s="86">
        <v>202</v>
      </c>
      <c r="S165" s="86" t="s">
        <v>850</v>
      </c>
      <c r="T165" s="86">
        <v>80</v>
      </c>
      <c r="U165" s="85" t="s">
        <v>2123</v>
      </c>
    </row>
    <row r="166" spans="1:21" s="40" customFormat="1" ht="24.95" customHeight="1" x14ac:dyDescent="0.3">
      <c r="A166" s="86">
        <v>2021.12</v>
      </c>
      <c r="B166" s="86" t="s">
        <v>789</v>
      </c>
      <c r="C166" s="86" t="s">
        <v>576</v>
      </c>
      <c r="D166" s="86" t="s">
        <v>885</v>
      </c>
      <c r="E166" s="86"/>
      <c r="F166" s="86" t="s">
        <v>2122</v>
      </c>
      <c r="G166" s="86" t="s">
        <v>2121</v>
      </c>
      <c r="H166" s="86" t="s">
        <v>833</v>
      </c>
      <c r="I166" s="86" t="s">
        <v>833</v>
      </c>
      <c r="J166" s="86" t="s">
        <v>737</v>
      </c>
      <c r="K166" s="86"/>
      <c r="L166" s="86" t="s">
        <v>721</v>
      </c>
      <c r="M166" s="86" t="s">
        <v>721</v>
      </c>
      <c r="N166" s="86">
        <v>3525</v>
      </c>
      <c r="O166" s="86" t="s">
        <v>1459</v>
      </c>
      <c r="P166" s="86">
        <v>3510</v>
      </c>
      <c r="Q166" s="86">
        <v>15</v>
      </c>
      <c r="R166" s="86">
        <v>234</v>
      </c>
      <c r="S166" s="86" t="s">
        <v>879</v>
      </c>
      <c r="T166" s="86"/>
      <c r="U166" s="85"/>
    </row>
    <row r="167" spans="1:21" s="40" customFormat="1" ht="24.95" customHeight="1" x14ac:dyDescent="0.3">
      <c r="A167" s="43">
        <v>2021.12</v>
      </c>
      <c r="B167" s="42" t="s">
        <v>734</v>
      </c>
      <c r="C167" s="42" t="s">
        <v>225</v>
      </c>
      <c r="D167" s="42" t="s">
        <v>1437</v>
      </c>
      <c r="E167" s="42" t="s">
        <v>1924</v>
      </c>
      <c r="F167" s="42" t="s">
        <v>1433</v>
      </c>
      <c r="G167" s="42" t="s">
        <v>2120</v>
      </c>
      <c r="H167" s="42" t="s">
        <v>2119</v>
      </c>
      <c r="I167" s="42" t="s">
        <v>2118</v>
      </c>
      <c r="J167" s="42" t="s">
        <v>759</v>
      </c>
      <c r="K167" s="42"/>
      <c r="L167" s="42" t="s">
        <v>721</v>
      </c>
      <c r="M167" s="42">
        <v>25</v>
      </c>
      <c r="N167" s="42">
        <v>5000</v>
      </c>
      <c r="O167" s="42" t="s">
        <v>1920</v>
      </c>
      <c r="P167" s="42">
        <v>4950</v>
      </c>
      <c r="Q167" s="42">
        <v>25</v>
      </c>
      <c r="R167" s="42">
        <v>198</v>
      </c>
      <c r="S167" s="90"/>
      <c r="T167" s="42"/>
      <c r="U167" s="41"/>
    </row>
    <row r="168" spans="1:21" s="40" customFormat="1" ht="24.95" customHeight="1" x14ac:dyDescent="0.3">
      <c r="A168" s="49">
        <v>2021.12</v>
      </c>
      <c r="B168" s="49" t="s">
        <v>734</v>
      </c>
      <c r="C168" s="49" t="s">
        <v>13</v>
      </c>
      <c r="D168" s="49"/>
      <c r="E168" s="49"/>
      <c r="F168" s="49" t="s">
        <v>2117</v>
      </c>
      <c r="G168" s="49" t="s">
        <v>2116</v>
      </c>
      <c r="H168" s="49" t="s">
        <v>2115</v>
      </c>
      <c r="I168" s="49" t="s">
        <v>2114</v>
      </c>
      <c r="J168" s="49" t="s">
        <v>1175</v>
      </c>
      <c r="K168" s="49" t="s">
        <v>753</v>
      </c>
      <c r="L168" s="49" t="s">
        <v>721</v>
      </c>
      <c r="M168" s="49">
        <v>1</v>
      </c>
      <c r="N168" s="49">
        <v>204</v>
      </c>
      <c r="O168" s="49" t="s">
        <v>1098</v>
      </c>
      <c r="P168" s="49">
        <v>204</v>
      </c>
      <c r="Q168" s="49">
        <v>1</v>
      </c>
      <c r="R168" s="49">
        <v>204</v>
      </c>
      <c r="S168" s="49" t="s">
        <v>1097</v>
      </c>
      <c r="T168" s="49"/>
      <c r="U168" s="48" t="s">
        <v>1161</v>
      </c>
    </row>
    <row r="169" spans="1:21" s="40" customFormat="1" ht="24.95" customHeight="1" x14ac:dyDescent="0.3">
      <c r="A169" s="149">
        <v>2022.01</v>
      </c>
      <c r="B169" s="152" t="s">
        <v>734</v>
      </c>
      <c r="C169" s="152" t="s">
        <v>122</v>
      </c>
      <c r="D169" s="152" t="s">
        <v>2032</v>
      </c>
      <c r="E169" s="152"/>
      <c r="F169" s="152" t="s">
        <v>2113</v>
      </c>
      <c r="G169" s="152" t="s">
        <v>2112</v>
      </c>
      <c r="H169" s="152" t="s">
        <v>2111</v>
      </c>
      <c r="I169" s="49" t="s">
        <v>2110</v>
      </c>
      <c r="J169" s="49" t="s">
        <v>728</v>
      </c>
      <c r="K169" s="152" t="s">
        <v>753</v>
      </c>
      <c r="L169" s="49">
        <v>8.5</v>
      </c>
      <c r="M169" s="49">
        <v>17</v>
      </c>
      <c r="N169" s="152">
        <v>4750</v>
      </c>
      <c r="O169" s="152" t="s">
        <v>1251</v>
      </c>
      <c r="P169" s="152">
        <v>4748.8</v>
      </c>
      <c r="Q169" s="49">
        <v>17</v>
      </c>
      <c r="R169" s="49"/>
      <c r="S169" s="152" t="s">
        <v>957</v>
      </c>
      <c r="T169" s="49"/>
      <c r="U169" s="48"/>
    </row>
    <row r="170" spans="1:21" s="40" customFormat="1" ht="24.95" customHeight="1" x14ac:dyDescent="0.3">
      <c r="A170" s="150"/>
      <c r="B170" s="153"/>
      <c r="C170" s="153"/>
      <c r="D170" s="153"/>
      <c r="E170" s="153"/>
      <c r="F170" s="153"/>
      <c r="G170" s="153"/>
      <c r="H170" s="153"/>
      <c r="I170" s="49" t="s">
        <v>2109</v>
      </c>
      <c r="J170" s="49" t="s">
        <v>728</v>
      </c>
      <c r="K170" s="153"/>
      <c r="L170" s="49">
        <v>8.1999999999999993</v>
      </c>
      <c r="M170" s="49">
        <v>13</v>
      </c>
      <c r="N170" s="153"/>
      <c r="O170" s="153"/>
      <c r="P170" s="153"/>
      <c r="Q170" s="49">
        <v>13</v>
      </c>
      <c r="R170" s="49"/>
      <c r="S170" s="153"/>
      <c r="T170" s="49"/>
      <c r="U170" s="48"/>
    </row>
    <row r="171" spans="1:21" s="40" customFormat="1" ht="24.95" customHeight="1" x14ac:dyDescent="0.3">
      <c r="A171" s="86">
        <v>2022.01</v>
      </c>
      <c r="B171" s="86" t="s">
        <v>789</v>
      </c>
      <c r="C171" s="86" t="s">
        <v>403</v>
      </c>
      <c r="D171" s="86"/>
      <c r="E171" s="86"/>
      <c r="F171" s="86" t="s">
        <v>2108</v>
      </c>
      <c r="G171" s="86" t="s">
        <v>517</v>
      </c>
      <c r="H171" s="86" t="s">
        <v>2107</v>
      </c>
      <c r="I171" s="86" t="s">
        <v>2107</v>
      </c>
      <c r="J171" s="86" t="s">
        <v>768</v>
      </c>
      <c r="K171" s="86"/>
      <c r="L171" s="86" t="s">
        <v>721</v>
      </c>
      <c r="M171" s="86">
        <v>20</v>
      </c>
      <c r="N171" s="86">
        <v>3220</v>
      </c>
      <c r="O171" s="86" t="s">
        <v>1752</v>
      </c>
      <c r="P171" s="86">
        <v>3120</v>
      </c>
      <c r="Q171" s="86">
        <v>20</v>
      </c>
      <c r="R171" s="86">
        <v>156</v>
      </c>
      <c r="S171" s="86" t="s">
        <v>1227</v>
      </c>
      <c r="T171" s="86"/>
      <c r="U171" s="85"/>
    </row>
    <row r="172" spans="1:21" s="40" customFormat="1" ht="24.95" customHeight="1" x14ac:dyDescent="0.3">
      <c r="A172" s="149">
        <v>2022.01</v>
      </c>
      <c r="B172" s="152" t="s">
        <v>734</v>
      </c>
      <c r="C172" s="152" t="s">
        <v>233</v>
      </c>
      <c r="D172" s="152" t="s">
        <v>2106</v>
      </c>
      <c r="E172" s="152" t="s">
        <v>2105</v>
      </c>
      <c r="F172" s="152" t="s">
        <v>2104</v>
      </c>
      <c r="G172" s="152" t="s">
        <v>2103</v>
      </c>
      <c r="H172" s="152" t="s">
        <v>2102</v>
      </c>
      <c r="I172" s="49" t="s">
        <v>2101</v>
      </c>
      <c r="J172" s="49" t="s">
        <v>768</v>
      </c>
      <c r="K172" s="152" t="s">
        <v>753</v>
      </c>
      <c r="L172" s="49" t="s">
        <v>721</v>
      </c>
      <c r="M172" s="49">
        <v>1</v>
      </c>
      <c r="N172" s="152">
        <v>600</v>
      </c>
      <c r="O172" s="152" t="s">
        <v>2100</v>
      </c>
      <c r="P172" s="152">
        <v>594</v>
      </c>
      <c r="Q172" s="49">
        <v>1</v>
      </c>
      <c r="R172" s="49"/>
      <c r="S172" s="152" t="s">
        <v>1097</v>
      </c>
      <c r="T172" s="49"/>
      <c r="U172" s="48"/>
    </row>
    <row r="173" spans="1:21" s="40" customFormat="1" ht="24.95" customHeight="1" x14ac:dyDescent="0.3">
      <c r="A173" s="150"/>
      <c r="B173" s="153"/>
      <c r="C173" s="153"/>
      <c r="D173" s="153"/>
      <c r="E173" s="153"/>
      <c r="F173" s="153"/>
      <c r="G173" s="153"/>
      <c r="H173" s="153"/>
      <c r="I173" s="49" t="s">
        <v>2099</v>
      </c>
      <c r="J173" s="49" t="s">
        <v>768</v>
      </c>
      <c r="K173" s="153"/>
      <c r="L173" s="49" t="s">
        <v>721</v>
      </c>
      <c r="M173" s="49">
        <v>2</v>
      </c>
      <c r="N173" s="153"/>
      <c r="O173" s="153"/>
      <c r="P173" s="153"/>
      <c r="Q173" s="49">
        <v>2</v>
      </c>
      <c r="R173" s="49"/>
      <c r="S173" s="153"/>
      <c r="T173" s="49"/>
      <c r="U173" s="48"/>
    </row>
    <row r="174" spans="1:21" s="40" customFormat="1" ht="24.95" customHeight="1" x14ac:dyDescent="0.3">
      <c r="A174" s="42">
        <v>2022.01</v>
      </c>
      <c r="B174" s="42" t="s">
        <v>734</v>
      </c>
      <c r="C174" s="42" t="s">
        <v>122</v>
      </c>
      <c r="D174" s="42" t="s">
        <v>123</v>
      </c>
      <c r="E174" s="42" t="s">
        <v>2094</v>
      </c>
      <c r="F174" s="42" t="s">
        <v>2098</v>
      </c>
      <c r="G174" s="42" t="s">
        <v>2097</v>
      </c>
      <c r="H174" s="42" t="s">
        <v>2096</v>
      </c>
      <c r="I174" s="42" t="s">
        <v>1137</v>
      </c>
      <c r="J174" s="42" t="s">
        <v>768</v>
      </c>
      <c r="K174" s="42"/>
      <c r="L174" s="42" t="s">
        <v>721</v>
      </c>
      <c r="M174" s="42">
        <v>5</v>
      </c>
      <c r="N174" s="42">
        <v>1075</v>
      </c>
      <c r="O174" s="42" t="s">
        <v>2095</v>
      </c>
      <c r="P174" s="42">
        <v>1040</v>
      </c>
      <c r="Q174" s="42">
        <v>5</v>
      </c>
      <c r="R174" s="42">
        <v>208</v>
      </c>
      <c r="S174" s="42"/>
      <c r="T174" s="42"/>
      <c r="U174" s="41"/>
    </row>
    <row r="175" spans="1:21" s="40" customFormat="1" ht="24.95" customHeight="1" x14ac:dyDescent="0.3">
      <c r="A175" s="42">
        <v>2022.01</v>
      </c>
      <c r="B175" s="42" t="s">
        <v>734</v>
      </c>
      <c r="C175" s="42" t="s">
        <v>122</v>
      </c>
      <c r="D175" s="42" t="s">
        <v>123</v>
      </c>
      <c r="E175" s="42" t="s">
        <v>2094</v>
      </c>
      <c r="F175" s="42" t="s">
        <v>2093</v>
      </c>
      <c r="G175" s="42" t="s">
        <v>2092</v>
      </c>
      <c r="H175" s="42" t="s">
        <v>2091</v>
      </c>
      <c r="I175" s="42" t="s">
        <v>1034</v>
      </c>
      <c r="J175" s="42" t="s">
        <v>759</v>
      </c>
      <c r="K175" s="42"/>
      <c r="L175" s="42" t="s">
        <v>721</v>
      </c>
      <c r="M175" s="42">
        <v>5</v>
      </c>
      <c r="N175" s="42">
        <v>1065</v>
      </c>
      <c r="O175" s="42" t="s">
        <v>2090</v>
      </c>
      <c r="P175" s="42">
        <v>1040</v>
      </c>
      <c r="Q175" s="42">
        <v>5</v>
      </c>
      <c r="R175" s="42">
        <v>208</v>
      </c>
      <c r="S175" s="42" t="s">
        <v>2089</v>
      </c>
      <c r="T175" s="42" t="s">
        <v>2088</v>
      </c>
      <c r="U175" s="41" t="s">
        <v>2087</v>
      </c>
    </row>
    <row r="176" spans="1:21" s="40" customFormat="1" ht="24.95" customHeight="1" x14ac:dyDescent="0.3">
      <c r="A176" s="152">
        <v>2022.01</v>
      </c>
      <c r="B176" s="152" t="s">
        <v>734</v>
      </c>
      <c r="C176" s="152" t="s">
        <v>156</v>
      </c>
      <c r="D176" s="152" t="s">
        <v>758</v>
      </c>
      <c r="E176" s="152" t="s">
        <v>1938</v>
      </c>
      <c r="F176" s="152" t="s">
        <v>2086</v>
      </c>
      <c r="G176" s="152" t="s">
        <v>2085</v>
      </c>
      <c r="H176" s="152" t="s">
        <v>2084</v>
      </c>
      <c r="I176" s="49" t="s">
        <v>2083</v>
      </c>
      <c r="J176" s="49" t="s">
        <v>517</v>
      </c>
      <c r="K176" s="152" t="s">
        <v>753</v>
      </c>
      <c r="L176" s="49" t="s">
        <v>721</v>
      </c>
      <c r="M176" s="49" t="s">
        <v>2082</v>
      </c>
      <c r="N176" s="152">
        <v>603.79999999999995</v>
      </c>
      <c r="O176" s="152" t="s">
        <v>2081</v>
      </c>
      <c r="P176" s="152">
        <v>603.51</v>
      </c>
      <c r="Q176" s="49"/>
      <c r="R176" s="49"/>
      <c r="S176" s="49" t="s">
        <v>2071</v>
      </c>
      <c r="T176" s="49"/>
      <c r="U176" s="78" t="s">
        <v>2080</v>
      </c>
    </row>
    <row r="177" spans="1:21" s="40" customFormat="1" ht="24.95" customHeight="1" x14ac:dyDescent="0.3">
      <c r="A177" s="154"/>
      <c r="B177" s="154"/>
      <c r="C177" s="154"/>
      <c r="D177" s="154"/>
      <c r="E177" s="154"/>
      <c r="F177" s="154"/>
      <c r="G177" s="154"/>
      <c r="H177" s="154"/>
      <c r="I177" s="49" t="s">
        <v>2079</v>
      </c>
      <c r="J177" s="49" t="s">
        <v>517</v>
      </c>
      <c r="K177" s="154"/>
      <c r="L177" s="49" t="s">
        <v>721</v>
      </c>
      <c r="M177" s="49" t="s">
        <v>2078</v>
      </c>
      <c r="N177" s="154"/>
      <c r="O177" s="154"/>
      <c r="P177" s="154"/>
      <c r="Q177" s="49"/>
      <c r="R177" s="49"/>
      <c r="S177" s="49" t="s">
        <v>2071</v>
      </c>
      <c r="T177" s="49"/>
      <c r="U177" s="78" t="s">
        <v>2077</v>
      </c>
    </row>
    <row r="178" spans="1:21" s="40" customFormat="1" ht="24.95" customHeight="1" x14ac:dyDescent="0.3">
      <c r="A178" s="154"/>
      <c r="B178" s="154"/>
      <c r="C178" s="154"/>
      <c r="D178" s="154"/>
      <c r="E178" s="154"/>
      <c r="F178" s="154"/>
      <c r="G178" s="154"/>
      <c r="H178" s="154"/>
      <c r="I178" s="49" t="s">
        <v>2076</v>
      </c>
      <c r="J178" s="49" t="s">
        <v>743</v>
      </c>
      <c r="K178" s="154"/>
      <c r="L178" s="49" t="s">
        <v>2073</v>
      </c>
      <c r="M178" s="49" t="s">
        <v>2072</v>
      </c>
      <c r="N178" s="154"/>
      <c r="O178" s="154"/>
      <c r="P178" s="154"/>
      <c r="Q178" s="49"/>
      <c r="R178" s="49"/>
      <c r="S178" s="49" t="s">
        <v>2071</v>
      </c>
      <c r="T178" s="49"/>
      <c r="U178" s="78" t="s">
        <v>2075</v>
      </c>
    </row>
    <row r="179" spans="1:21" s="40" customFormat="1" ht="24.95" customHeight="1" x14ac:dyDescent="0.3">
      <c r="A179" s="153"/>
      <c r="B179" s="153"/>
      <c r="C179" s="153"/>
      <c r="D179" s="153"/>
      <c r="E179" s="153"/>
      <c r="F179" s="153"/>
      <c r="G179" s="153"/>
      <c r="H179" s="153"/>
      <c r="I179" s="49" t="s">
        <v>2074</v>
      </c>
      <c r="J179" s="49" t="s">
        <v>517</v>
      </c>
      <c r="K179" s="153"/>
      <c r="L179" s="49" t="s">
        <v>2073</v>
      </c>
      <c r="M179" s="49" t="s">
        <v>2072</v>
      </c>
      <c r="N179" s="153"/>
      <c r="O179" s="153"/>
      <c r="P179" s="153"/>
      <c r="Q179" s="49"/>
      <c r="R179" s="49"/>
      <c r="S179" s="49" t="s">
        <v>2071</v>
      </c>
      <c r="T179" s="49"/>
      <c r="U179" s="78" t="s">
        <v>2070</v>
      </c>
    </row>
    <row r="180" spans="1:21" s="40" customFormat="1" ht="24.95" customHeight="1" x14ac:dyDescent="0.3">
      <c r="A180" s="152">
        <v>2022.02</v>
      </c>
      <c r="B180" s="152" t="s">
        <v>734</v>
      </c>
      <c r="C180" s="152" t="s">
        <v>156</v>
      </c>
      <c r="D180" s="152" t="s">
        <v>758</v>
      </c>
      <c r="E180" s="152" t="s">
        <v>1938</v>
      </c>
      <c r="F180" s="152" t="s">
        <v>2069</v>
      </c>
      <c r="G180" s="152" t="s">
        <v>2068</v>
      </c>
      <c r="H180" s="152" t="s">
        <v>2067</v>
      </c>
      <c r="I180" s="49" t="s">
        <v>2066</v>
      </c>
      <c r="J180" s="49" t="s">
        <v>2060</v>
      </c>
      <c r="K180" s="152" t="s">
        <v>753</v>
      </c>
      <c r="L180" s="49" t="s">
        <v>721</v>
      </c>
      <c r="M180" s="49">
        <v>7</v>
      </c>
      <c r="N180" s="152">
        <v>6556.6080000000002</v>
      </c>
      <c r="O180" s="152" t="s">
        <v>2065</v>
      </c>
      <c r="P180" s="152">
        <v>5341.02</v>
      </c>
      <c r="Q180" s="49">
        <v>7</v>
      </c>
      <c r="R180" s="49"/>
      <c r="S180" s="49"/>
      <c r="T180" s="49"/>
      <c r="U180" s="160"/>
    </row>
    <row r="181" spans="1:21" s="40" customFormat="1" ht="24.95" customHeight="1" x14ac:dyDescent="0.3">
      <c r="A181" s="154"/>
      <c r="B181" s="154"/>
      <c r="C181" s="154"/>
      <c r="D181" s="154"/>
      <c r="E181" s="154"/>
      <c r="F181" s="154"/>
      <c r="G181" s="154"/>
      <c r="H181" s="154"/>
      <c r="I181" s="49" t="s">
        <v>2064</v>
      </c>
      <c r="J181" s="49" t="s">
        <v>2060</v>
      </c>
      <c r="K181" s="154"/>
      <c r="L181" s="49" t="s">
        <v>721</v>
      </c>
      <c r="M181" s="49">
        <v>7</v>
      </c>
      <c r="N181" s="154"/>
      <c r="O181" s="154"/>
      <c r="P181" s="154"/>
      <c r="Q181" s="49">
        <v>7</v>
      </c>
      <c r="R181" s="49"/>
      <c r="S181" s="49"/>
      <c r="T181" s="49"/>
      <c r="U181" s="161"/>
    </row>
    <row r="182" spans="1:21" s="40" customFormat="1" ht="24.95" customHeight="1" x14ac:dyDescent="0.3">
      <c r="A182" s="154"/>
      <c r="B182" s="154"/>
      <c r="C182" s="154"/>
      <c r="D182" s="154"/>
      <c r="E182" s="154"/>
      <c r="F182" s="154"/>
      <c r="G182" s="154"/>
      <c r="H182" s="154"/>
      <c r="I182" s="49" t="s">
        <v>2063</v>
      </c>
      <c r="J182" s="49" t="s">
        <v>2060</v>
      </c>
      <c r="K182" s="154"/>
      <c r="L182" s="49" t="s">
        <v>721</v>
      </c>
      <c r="M182" s="49">
        <v>4</v>
      </c>
      <c r="N182" s="154"/>
      <c r="O182" s="154"/>
      <c r="P182" s="154"/>
      <c r="Q182" s="49">
        <v>4</v>
      </c>
      <c r="R182" s="49"/>
      <c r="S182" s="49"/>
      <c r="T182" s="49"/>
      <c r="U182" s="161"/>
    </row>
    <row r="183" spans="1:21" s="40" customFormat="1" ht="24.95" customHeight="1" x14ac:dyDescent="0.3">
      <c r="A183" s="154"/>
      <c r="B183" s="154"/>
      <c r="C183" s="154"/>
      <c r="D183" s="154"/>
      <c r="E183" s="154"/>
      <c r="F183" s="154"/>
      <c r="G183" s="154"/>
      <c r="H183" s="154"/>
      <c r="I183" s="49" t="s">
        <v>2062</v>
      </c>
      <c r="J183" s="49" t="s">
        <v>2060</v>
      </c>
      <c r="K183" s="154"/>
      <c r="L183" s="49" t="s">
        <v>721</v>
      </c>
      <c r="M183" s="49">
        <v>3</v>
      </c>
      <c r="N183" s="154"/>
      <c r="O183" s="154"/>
      <c r="P183" s="154"/>
      <c r="Q183" s="49">
        <v>3</v>
      </c>
      <c r="R183" s="49"/>
      <c r="S183" s="49"/>
      <c r="T183" s="49"/>
      <c r="U183" s="161"/>
    </row>
    <row r="184" spans="1:21" s="40" customFormat="1" ht="24.95" customHeight="1" x14ac:dyDescent="0.3">
      <c r="A184" s="154"/>
      <c r="B184" s="154"/>
      <c r="C184" s="154"/>
      <c r="D184" s="154"/>
      <c r="E184" s="154"/>
      <c r="F184" s="154"/>
      <c r="G184" s="154"/>
      <c r="H184" s="154"/>
      <c r="I184" s="49" t="s">
        <v>2061</v>
      </c>
      <c r="J184" s="49" t="s">
        <v>2060</v>
      </c>
      <c r="K184" s="154"/>
      <c r="L184" s="49" t="s">
        <v>721</v>
      </c>
      <c r="M184" s="49">
        <v>16</v>
      </c>
      <c r="N184" s="154"/>
      <c r="O184" s="154"/>
      <c r="P184" s="154"/>
      <c r="Q184" s="49">
        <v>16</v>
      </c>
      <c r="R184" s="49"/>
      <c r="S184" s="49"/>
      <c r="T184" s="49"/>
      <c r="U184" s="161"/>
    </row>
    <row r="185" spans="1:21" s="40" customFormat="1" ht="24.95" customHeight="1" x14ac:dyDescent="0.3">
      <c r="A185" s="154"/>
      <c r="B185" s="154"/>
      <c r="C185" s="154"/>
      <c r="D185" s="154"/>
      <c r="E185" s="154"/>
      <c r="F185" s="154"/>
      <c r="G185" s="154"/>
      <c r="H185" s="154"/>
      <c r="I185" s="49" t="s">
        <v>2059</v>
      </c>
      <c r="J185" s="49" t="s">
        <v>2052</v>
      </c>
      <c r="K185" s="154"/>
      <c r="L185" s="49" t="s">
        <v>721</v>
      </c>
      <c r="M185" s="49">
        <v>16</v>
      </c>
      <c r="N185" s="154"/>
      <c r="O185" s="154"/>
      <c r="P185" s="154"/>
      <c r="Q185" s="49">
        <v>16</v>
      </c>
      <c r="R185" s="49"/>
      <c r="S185" s="49"/>
      <c r="T185" s="49"/>
      <c r="U185" s="161"/>
    </row>
    <row r="186" spans="1:21" s="40" customFormat="1" ht="24.95" customHeight="1" x14ac:dyDescent="0.3">
      <c r="A186" s="154"/>
      <c r="B186" s="154"/>
      <c r="C186" s="154"/>
      <c r="D186" s="154"/>
      <c r="E186" s="154"/>
      <c r="F186" s="154"/>
      <c r="G186" s="154"/>
      <c r="H186" s="154"/>
      <c r="I186" s="49" t="s">
        <v>2058</v>
      </c>
      <c r="J186" s="49" t="s">
        <v>2052</v>
      </c>
      <c r="K186" s="154"/>
      <c r="L186" s="49" t="s">
        <v>721</v>
      </c>
      <c r="M186" s="49">
        <v>10</v>
      </c>
      <c r="N186" s="154"/>
      <c r="O186" s="154"/>
      <c r="P186" s="154"/>
      <c r="Q186" s="49">
        <v>10</v>
      </c>
      <c r="R186" s="49"/>
      <c r="S186" s="49"/>
      <c r="T186" s="49"/>
      <c r="U186" s="161"/>
    </row>
    <row r="187" spans="1:21" s="40" customFormat="1" ht="24.95" customHeight="1" x14ac:dyDescent="0.3">
      <c r="A187" s="154"/>
      <c r="B187" s="154"/>
      <c r="C187" s="154"/>
      <c r="D187" s="154"/>
      <c r="E187" s="154"/>
      <c r="F187" s="154"/>
      <c r="G187" s="154"/>
      <c r="H187" s="154"/>
      <c r="I187" s="49" t="s">
        <v>2057</v>
      </c>
      <c r="J187" s="49" t="s">
        <v>2052</v>
      </c>
      <c r="K187" s="154"/>
      <c r="L187" s="49" t="s">
        <v>721</v>
      </c>
      <c r="M187" s="49">
        <v>26</v>
      </c>
      <c r="N187" s="154"/>
      <c r="O187" s="154"/>
      <c r="P187" s="154"/>
      <c r="Q187" s="49">
        <v>26</v>
      </c>
      <c r="R187" s="49"/>
      <c r="S187" s="49"/>
      <c r="T187" s="49"/>
      <c r="U187" s="161"/>
    </row>
    <row r="188" spans="1:21" s="40" customFormat="1" ht="24.95" customHeight="1" x14ac:dyDescent="0.3">
      <c r="A188" s="154"/>
      <c r="B188" s="154"/>
      <c r="C188" s="154"/>
      <c r="D188" s="154"/>
      <c r="E188" s="154"/>
      <c r="F188" s="154"/>
      <c r="G188" s="154"/>
      <c r="H188" s="154"/>
      <c r="I188" s="49" t="s">
        <v>2056</v>
      </c>
      <c r="J188" s="49" t="s">
        <v>2052</v>
      </c>
      <c r="K188" s="154"/>
      <c r="L188" s="49" t="s">
        <v>721</v>
      </c>
      <c r="M188" s="49">
        <v>14</v>
      </c>
      <c r="N188" s="154"/>
      <c r="O188" s="154"/>
      <c r="P188" s="154"/>
      <c r="Q188" s="49">
        <v>14</v>
      </c>
      <c r="R188" s="49"/>
      <c r="S188" s="49"/>
      <c r="T188" s="49"/>
      <c r="U188" s="161"/>
    </row>
    <row r="189" spans="1:21" s="40" customFormat="1" ht="24.95" customHeight="1" x14ac:dyDescent="0.3">
      <c r="A189" s="154"/>
      <c r="B189" s="154"/>
      <c r="C189" s="154"/>
      <c r="D189" s="154"/>
      <c r="E189" s="154"/>
      <c r="F189" s="154"/>
      <c r="G189" s="154"/>
      <c r="H189" s="154"/>
      <c r="I189" s="49" t="s">
        <v>2055</v>
      </c>
      <c r="J189" s="49" t="s">
        <v>2052</v>
      </c>
      <c r="K189" s="154"/>
      <c r="L189" s="49" t="s">
        <v>721</v>
      </c>
      <c r="M189" s="49">
        <v>4</v>
      </c>
      <c r="N189" s="154"/>
      <c r="O189" s="154"/>
      <c r="P189" s="154"/>
      <c r="Q189" s="49">
        <v>4</v>
      </c>
      <c r="R189" s="49"/>
      <c r="S189" s="49"/>
      <c r="T189" s="49"/>
      <c r="U189" s="161"/>
    </row>
    <row r="190" spans="1:21" s="40" customFormat="1" ht="24.95" customHeight="1" x14ac:dyDescent="0.3">
      <c r="A190" s="154"/>
      <c r="B190" s="154"/>
      <c r="C190" s="154"/>
      <c r="D190" s="154"/>
      <c r="E190" s="154"/>
      <c r="F190" s="154"/>
      <c r="G190" s="154"/>
      <c r="H190" s="154"/>
      <c r="I190" s="49" t="s">
        <v>2054</v>
      </c>
      <c r="J190" s="49" t="s">
        <v>2052</v>
      </c>
      <c r="K190" s="154"/>
      <c r="L190" s="49" t="s">
        <v>721</v>
      </c>
      <c r="M190" s="49">
        <v>31</v>
      </c>
      <c r="N190" s="154"/>
      <c r="O190" s="154"/>
      <c r="P190" s="154"/>
      <c r="Q190" s="49">
        <v>31</v>
      </c>
      <c r="R190" s="49"/>
      <c r="S190" s="49"/>
      <c r="T190" s="49"/>
      <c r="U190" s="161"/>
    </row>
    <row r="191" spans="1:21" s="40" customFormat="1" ht="24.95" customHeight="1" x14ac:dyDescent="0.3">
      <c r="A191" s="153"/>
      <c r="B191" s="153"/>
      <c r="C191" s="153"/>
      <c r="D191" s="153"/>
      <c r="E191" s="153"/>
      <c r="F191" s="153"/>
      <c r="G191" s="153"/>
      <c r="H191" s="153"/>
      <c r="I191" s="49" t="s">
        <v>2053</v>
      </c>
      <c r="J191" s="49" t="s">
        <v>2052</v>
      </c>
      <c r="K191" s="153"/>
      <c r="L191" s="49" t="s">
        <v>721</v>
      </c>
      <c r="M191" s="49">
        <v>3</v>
      </c>
      <c r="N191" s="153"/>
      <c r="O191" s="153"/>
      <c r="P191" s="153"/>
      <c r="Q191" s="49">
        <v>3</v>
      </c>
      <c r="R191" s="49"/>
      <c r="S191" s="49"/>
      <c r="T191" s="49"/>
      <c r="U191" s="162"/>
    </row>
    <row r="192" spans="1:21" s="40" customFormat="1" ht="24.95" customHeight="1" x14ac:dyDescent="0.3">
      <c r="A192" s="146">
        <v>2022.02</v>
      </c>
      <c r="B192" s="146" t="s">
        <v>877</v>
      </c>
      <c r="C192" s="146" t="s">
        <v>122</v>
      </c>
      <c r="D192" s="146" t="s">
        <v>2032</v>
      </c>
      <c r="E192" s="146"/>
      <c r="F192" s="146" t="s">
        <v>2051</v>
      </c>
      <c r="G192" s="146" t="s">
        <v>2050</v>
      </c>
      <c r="H192" s="57" t="s">
        <v>1140</v>
      </c>
      <c r="I192" s="57" t="s">
        <v>2028</v>
      </c>
      <c r="J192" s="57"/>
      <c r="K192" s="57"/>
      <c r="L192" s="57" t="s">
        <v>721</v>
      </c>
      <c r="M192" s="57">
        <v>11</v>
      </c>
      <c r="N192" s="57">
        <v>2810</v>
      </c>
      <c r="O192" s="57"/>
      <c r="P192" s="57"/>
      <c r="Q192" s="57"/>
      <c r="R192" s="57"/>
      <c r="S192" s="57"/>
      <c r="T192" s="57"/>
      <c r="U192" s="140"/>
    </row>
    <row r="193" spans="1:21" s="40" customFormat="1" ht="24.95" customHeight="1" x14ac:dyDescent="0.3">
      <c r="A193" s="147"/>
      <c r="B193" s="147"/>
      <c r="C193" s="147"/>
      <c r="D193" s="147"/>
      <c r="E193" s="147"/>
      <c r="F193" s="147"/>
      <c r="G193" s="147"/>
      <c r="H193" s="57" t="s">
        <v>1140</v>
      </c>
      <c r="I193" s="57" t="s">
        <v>2049</v>
      </c>
      <c r="J193" s="57"/>
      <c r="K193" s="57"/>
      <c r="L193" s="57" t="s">
        <v>721</v>
      </c>
      <c r="M193" s="57">
        <v>5</v>
      </c>
      <c r="N193" s="57">
        <v>2810</v>
      </c>
      <c r="O193" s="57"/>
      <c r="P193" s="57"/>
      <c r="Q193" s="57"/>
      <c r="R193" s="57"/>
      <c r="S193" s="57"/>
      <c r="T193" s="57"/>
      <c r="U193" s="141"/>
    </row>
    <row r="194" spans="1:21" s="40" customFormat="1" ht="24.95" customHeight="1" x14ac:dyDescent="0.3">
      <c r="A194" s="42">
        <v>2022.03</v>
      </c>
      <c r="B194" s="42" t="s">
        <v>734</v>
      </c>
      <c r="C194" s="42" t="s">
        <v>191</v>
      </c>
      <c r="D194" s="42" t="s">
        <v>1825</v>
      </c>
      <c r="E194" s="42"/>
      <c r="F194" s="42" t="s">
        <v>1824</v>
      </c>
      <c r="G194" s="42" t="s">
        <v>2048</v>
      </c>
      <c r="H194" s="42" t="s">
        <v>2047</v>
      </c>
      <c r="I194" s="42" t="s">
        <v>2046</v>
      </c>
      <c r="J194" s="42" t="s">
        <v>743</v>
      </c>
      <c r="K194" s="42"/>
      <c r="L194" s="42" t="s">
        <v>721</v>
      </c>
      <c r="M194" s="42">
        <v>50</v>
      </c>
      <c r="N194" s="42">
        <v>3900</v>
      </c>
      <c r="O194" s="42" t="s">
        <v>2045</v>
      </c>
      <c r="P194" s="42">
        <v>3895</v>
      </c>
      <c r="Q194" s="42">
        <v>50</v>
      </c>
      <c r="R194" s="42">
        <v>77.900000000000006</v>
      </c>
      <c r="S194" s="42" t="s">
        <v>1178</v>
      </c>
      <c r="T194" s="42"/>
      <c r="U194" s="41"/>
    </row>
    <row r="195" spans="1:21" s="40" customFormat="1" ht="24.95" customHeight="1" x14ac:dyDescent="0.3">
      <c r="A195" s="65">
        <v>2022.03</v>
      </c>
      <c r="B195" s="65" t="s">
        <v>877</v>
      </c>
      <c r="C195" s="65" t="s">
        <v>488</v>
      </c>
      <c r="D195" s="65" t="s">
        <v>1639</v>
      </c>
      <c r="E195" s="65"/>
      <c r="F195" s="65" t="s">
        <v>1638</v>
      </c>
      <c r="G195" s="65" t="s">
        <v>2012</v>
      </c>
      <c r="H195" s="65" t="s">
        <v>2044</v>
      </c>
      <c r="I195" s="65" t="s">
        <v>738</v>
      </c>
      <c r="J195" s="57"/>
      <c r="K195" s="65"/>
      <c r="L195" s="65">
        <v>10.5</v>
      </c>
      <c r="M195" s="65"/>
      <c r="N195" s="57"/>
      <c r="O195" s="65"/>
      <c r="P195" s="57"/>
      <c r="Q195" s="65"/>
      <c r="R195" s="65"/>
      <c r="S195" s="65"/>
      <c r="T195" s="65"/>
      <c r="U195" s="60"/>
    </row>
    <row r="196" spans="1:21" s="40" customFormat="1" ht="24.95" customHeight="1" x14ac:dyDescent="0.3">
      <c r="A196" s="127">
        <v>2022.03</v>
      </c>
      <c r="B196" s="127" t="s">
        <v>734</v>
      </c>
      <c r="C196" s="127" t="s">
        <v>233</v>
      </c>
      <c r="D196" s="127" t="s">
        <v>1311</v>
      </c>
      <c r="E196" s="127"/>
      <c r="F196" s="127" t="s">
        <v>2043</v>
      </c>
      <c r="G196" s="127" t="s">
        <v>517</v>
      </c>
      <c r="H196" s="127" t="s">
        <v>2042</v>
      </c>
      <c r="I196" s="127" t="s">
        <v>2041</v>
      </c>
      <c r="J196" s="42" t="s">
        <v>722</v>
      </c>
      <c r="K196" s="127"/>
      <c r="L196" s="127" t="s">
        <v>721</v>
      </c>
      <c r="M196" s="127">
        <v>50</v>
      </c>
      <c r="N196" s="42" t="s">
        <v>2040</v>
      </c>
      <c r="O196" s="127" t="s">
        <v>2039</v>
      </c>
      <c r="P196" s="42">
        <v>7488.5</v>
      </c>
      <c r="Q196" s="127">
        <v>50</v>
      </c>
      <c r="R196" s="127">
        <v>200.17</v>
      </c>
      <c r="S196" s="42" t="s">
        <v>1227</v>
      </c>
      <c r="T196" s="127">
        <v>110</v>
      </c>
      <c r="U196" s="41"/>
    </row>
    <row r="197" spans="1:21" s="40" customFormat="1" ht="24.95" customHeight="1" x14ac:dyDescent="0.3">
      <c r="A197" s="128"/>
      <c r="B197" s="128"/>
      <c r="C197" s="128"/>
      <c r="D197" s="128"/>
      <c r="E197" s="128"/>
      <c r="F197" s="128"/>
      <c r="G197" s="128"/>
      <c r="H197" s="128"/>
      <c r="I197" s="128"/>
      <c r="J197" s="42" t="s">
        <v>722</v>
      </c>
      <c r="K197" s="128"/>
      <c r="L197" s="128"/>
      <c r="M197" s="128"/>
      <c r="N197" s="42" t="s">
        <v>2038</v>
      </c>
      <c r="O197" s="128"/>
      <c r="P197" s="42">
        <v>2520</v>
      </c>
      <c r="Q197" s="128"/>
      <c r="R197" s="128"/>
      <c r="S197" s="42" t="s">
        <v>1227</v>
      </c>
      <c r="T197" s="128"/>
      <c r="U197" s="41"/>
    </row>
    <row r="198" spans="1:21" s="40" customFormat="1" ht="24.95" customHeight="1" x14ac:dyDescent="0.3">
      <c r="A198" s="42">
        <v>2022.04</v>
      </c>
      <c r="B198" s="42" t="s">
        <v>734</v>
      </c>
      <c r="C198" s="42" t="s">
        <v>233</v>
      </c>
      <c r="D198" s="42" t="s">
        <v>1311</v>
      </c>
      <c r="E198" s="42"/>
      <c r="F198" s="42" t="s">
        <v>1411</v>
      </c>
      <c r="G198" s="42" t="s">
        <v>517</v>
      </c>
      <c r="H198" s="42" t="s">
        <v>2037</v>
      </c>
      <c r="I198" s="42" t="s">
        <v>1677</v>
      </c>
      <c r="J198" s="42" t="s">
        <v>1055</v>
      </c>
      <c r="K198" s="42"/>
      <c r="L198" s="42">
        <v>12</v>
      </c>
      <c r="M198" s="42">
        <v>5</v>
      </c>
      <c r="N198" s="42">
        <v>900</v>
      </c>
      <c r="O198" s="42" t="s">
        <v>1874</v>
      </c>
      <c r="P198" s="42">
        <v>899.85</v>
      </c>
      <c r="Q198" s="42">
        <v>5</v>
      </c>
      <c r="R198" s="42">
        <v>171.17</v>
      </c>
      <c r="S198" s="42" t="s">
        <v>1227</v>
      </c>
      <c r="T198" s="42"/>
      <c r="U198" s="41"/>
    </row>
    <row r="199" spans="1:21" s="40" customFormat="1" ht="24.95" customHeight="1" x14ac:dyDescent="0.3">
      <c r="A199" s="42">
        <v>2022.04</v>
      </c>
      <c r="B199" s="42" t="s">
        <v>734</v>
      </c>
      <c r="C199" s="42" t="s">
        <v>191</v>
      </c>
      <c r="D199" s="42" t="s">
        <v>1825</v>
      </c>
      <c r="E199" s="42"/>
      <c r="F199" s="42" t="s">
        <v>2036</v>
      </c>
      <c r="G199" s="42" t="s">
        <v>2035</v>
      </c>
      <c r="H199" s="42" t="s">
        <v>1832</v>
      </c>
      <c r="I199" s="42" t="s">
        <v>833</v>
      </c>
      <c r="J199" s="42" t="s">
        <v>1055</v>
      </c>
      <c r="K199" s="42"/>
      <c r="L199" s="42">
        <v>10.5</v>
      </c>
      <c r="M199" s="42">
        <v>100</v>
      </c>
      <c r="N199" s="42">
        <v>13000</v>
      </c>
      <c r="O199" s="42" t="s">
        <v>2034</v>
      </c>
      <c r="P199" s="42">
        <v>12999.5</v>
      </c>
      <c r="Q199" s="42">
        <v>100</v>
      </c>
      <c r="R199" s="42">
        <v>129.995</v>
      </c>
      <c r="S199" s="42" t="s">
        <v>2033</v>
      </c>
      <c r="T199" s="42"/>
      <c r="U199" s="41"/>
    </row>
    <row r="200" spans="1:21" s="40" customFormat="1" ht="24.95" customHeight="1" x14ac:dyDescent="0.3">
      <c r="A200" s="57">
        <v>2022.04</v>
      </c>
      <c r="B200" s="65" t="s">
        <v>877</v>
      </c>
      <c r="C200" s="57" t="s">
        <v>233</v>
      </c>
      <c r="D200" s="57" t="s">
        <v>1933</v>
      </c>
      <c r="E200" s="57"/>
      <c r="F200" s="57" t="s">
        <v>1932</v>
      </c>
      <c r="G200" s="57" t="s">
        <v>1931</v>
      </c>
      <c r="H200" s="57" t="s">
        <v>1930</v>
      </c>
      <c r="I200" s="57" t="s">
        <v>833</v>
      </c>
      <c r="J200" s="57"/>
      <c r="K200" s="57"/>
      <c r="L200" s="57">
        <v>10.5</v>
      </c>
      <c r="M200" s="57">
        <v>10</v>
      </c>
      <c r="N200" s="57">
        <v>2600</v>
      </c>
      <c r="O200" s="57"/>
      <c r="P200" s="57"/>
      <c r="Q200" s="57"/>
      <c r="R200" s="57"/>
      <c r="S200" s="57"/>
      <c r="T200" s="57"/>
      <c r="U200" s="60" t="s">
        <v>1662</v>
      </c>
    </row>
    <row r="201" spans="1:21" s="40" customFormat="1" ht="24.95" customHeight="1" x14ac:dyDescent="0.3">
      <c r="A201" s="127">
        <v>2022.05</v>
      </c>
      <c r="B201" s="127" t="s">
        <v>734</v>
      </c>
      <c r="C201" s="127" t="s">
        <v>122</v>
      </c>
      <c r="D201" s="127" t="s">
        <v>2032</v>
      </c>
      <c r="E201" s="127"/>
      <c r="F201" s="127" t="s">
        <v>2031</v>
      </c>
      <c r="G201" s="127" t="s">
        <v>2030</v>
      </c>
      <c r="H201" s="127" t="s">
        <v>2029</v>
      </c>
      <c r="I201" s="42" t="s">
        <v>2028</v>
      </c>
      <c r="J201" s="42" t="s">
        <v>759</v>
      </c>
      <c r="K201" s="42"/>
      <c r="L201" s="42" t="s">
        <v>721</v>
      </c>
      <c r="M201" s="42">
        <v>11</v>
      </c>
      <c r="N201" s="127">
        <v>2810</v>
      </c>
      <c r="O201" s="127" t="s">
        <v>2027</v>
      </c>
      <c r="P201" s="127">
        <v>2786</v>
      </c>
      <c r="Q201" s="42">
        <v>11</v>
      </c>
      <c r="R201" s="127">
        <v>174.13</v>
      </c>
      <c r="S201" s="42" t="s">
        <v>957</v>
      </c>
      <c r="T201" s="42"/>
      <c r="U201" s="41"/>
    </row>
    <row r="202" spans="1:21" s="40" customFormat="1" ht="24.95" customHeight="1" x14ac:dyDescent="0.3">
      <c r="A202" s="128"/>
      <c r="B202" s="128"/>
      <c r="C202" s="128"/>
      <c r="D202" s="128"/>
      <c r="E202" s="128"/>
      <c r="F202" s="128"/>
      <c r="G202" s="128"/>
      <c r="H202" s="128"/>
      <c r="I202" s="42" t="s">
        <v>2026</v>
      </c>
      <c r="J202" s="42" t="s">
        <v>759</v>
      </c>
      <c r="K202" s="42"/>
      <c r="L202" s="42" t="s">
        <v>721</v>
      </c>
      <c r="M202" s="42">
        <v>5</v>
      </c>
      <c r="N202" s="128"/>
      <c r="O202" s="128"/>
      <c r="P202" s="128"/>
      <c r="Q202" s="42">
        <v>5</v>
      </c>
      <c r="R202" s="128"/>
      <c r="S202" s="42" t="s">
        <v>957</v>
      </c>
      <c r="T202" s="42"/>
      <c r="U202" s="41"/>
    </row>
    <row r="203" spans="1:21" s="40" customFormat="1" ht="24.95" customHeight="1" x14ac:dyDescent="0.3">
      <c r="A203" s="86">
        <v>2022.06</v>
      </c>
      <c r="B203" s="86" t="s">
        <v>789</v>
      </c>
      <c r="C203" s="86" t="s">
        <v>403</v>
      </c>
      <c r="D203" s="86" t="s">
        <v>1393</v>
      </c>
      <c r="E203" s="86"/>
      <c r="F203" s="86" t="s">
        <v>1392</v>
      </c>
      <c r="G203" s="86" t="s">
        <v>2025</v>
      </c>
      <c r="H203" s="86" t="s">
        <v>2024</v>
      </c>
      <c r="I203" s="86" t="s">
        <v>2024</v>
      </c>
      <c r="J203" s="86" t="s">
        <v>743</v>
      </c>
      <c r="K203" s="86"/>
      <c r="L203" s="86" t="s">
        <v>721</v>
      </c>
      <c r="M203" s="86">
        <v>1</v>
      </c>
      <c r="N203" s="86">
        <v>80</v>
      </c>
      <c r="O203" s="86" t="s">
        <v>925</v>
      </c>
      <c r="P203" s="86">
        <v>78</v>
      </c>
      <c r="Q203" s="86">
        <v>1</v>
      </c>
      <c r="R203" s="86">
        <v>78</v>
      </c>
      <c r="S203" s="86" t="s">
        <v>1387</v>
      </c>
      <c r="T203" s="86">
        <v>70</v>
      </c>
      <c r="U203" s="85" t="s">
        <v>2023</v>
      </c>
    </row>
    <row r="204" spans="1:21" s="40" customFormat="1" ht="24.95" customHeight="1" x14ac:dyDescent="0.3">
      <c r="A204" s="86">
        <v>2022.06</v>
      </c>
      <c r="B204" s="86" t="s">
        <v>789</v>
      </c>
      <c r="C204" s="86" t="s">
        <v>576</v>
      </c>
      <c r="D204" s="86" t="s">
        <v>885</v>
      </c>
      <c r="E204" s="86" t="s">
        <v>2022</v>
      </c>
      <c r="F204" s="86" t="s">
        <v>2021</v>
      </c>
      <c r="G204" s="86" t="s">
        <v>2020</v>
      </c>
      <c r="H204" s="86" t="s">
        <v>1551</v>
      </c>
      <c r="I204" s="86" t="s">
        <v>833</v>
      </c>
      <c r="J204" s="86" t="s">
        <v>1055</v>
      </c>
      <c r="K204" s="86"/>
      <c r="L204" s="86" t="s">
        <v>721</v>
      </c>
      <c r="M204" s="86">
        <v>20</v>
      </c>
      <c r="N204" s="86">
        <v>2600</v>
      </c>
      <c r="O204" s="86" t="s">
        <v>2019</v>
      </c>
      <c r="P204" s="86">
        <v>2592</v>
      </c>
      <c r="Q204" s="86">
        <v>20</v>
      </c>
      <c r="R204" s="86">
        <v>129.6</v>
      </c>
      <c r="S204" s="86" t="s">
        <v>735</v>
      </c>
      <c r="T204" s="86">
        <v>79</v>
      </c>
      <c r="U204" s="85" t="s">
        <v>2018</v>
      </c>
    </row>
    <row r="205" spans="1:21" s="40" customFormat="1" ht="24.95" customHeight="1" x14ac:dyDescent="0.3">
      <c r="A205" s="146">
        <v>2022.06</v>
      </c>
      <c r="B205" s="146" t="s">
        <v>877</v>
      </c>
      <c r="C205" s="146" t="s">
        <v>225</v>
      </c>
      <c r="D205" s="146" t="s">
        <v>1437</v>
      </c>
      <c r="E205" s="146"/>
      <c r="F205" s="146" t="s">
        <v>2017</v>
      </c>
      <c r="G205" s="146" t="s">
        <v>2016</v>
      </c>
      <c r="H205" s="146" t="s">
        <v>2015</v>
      </c>
      <c r="I205" s="57" t="s">
        <v>2014</v>
      </c>
      <c r="J205" s="57"/>
      <c r="K205" s="57"/>
      <c r="L205" s="57" t="s">
        <v>721</v>
      </c>
      <c r="M205" s="57">
        <v>1</v>
      </c>
      <c r="N205" s="146">
        <v>1000</v>
      </c>
      <c r="O205" s="57"/>
      <c r="P205" s="57"/>
      <c r="Q205" s="57"/>
      <c r="R205" s="57"/>
      <c r="S205" s="57"/>
      <c r="T205" s="57"/>
      <c r="U205" s="60"/>
    </row>
    <row r="206" spans="1:21" s="40" customFormat="1" ht="24.95" customHeight="1" x14ac:dyDescent="0.3">
      <c r="A206" s="147"/>
      <c r="B206" s="147"/>
      <c r="C206" s="147"/>
      <c r="D206" s="147"/>
      <c r="E206" s="147"/>
      <c r="F206" s="147"/>
      <c r="G206" s="147"/>
      <c r="H206" s="147"/>
      <c r="I206" s="57" t="s">
        <v>2013</v>
      </c>
      <c r="J206" s="57"/>
      <c r="K206" s="57"/>
      <c r="L206" s="57" t="s">
        <v>721</v>
      </c>
      <c r="M206" s="57">
        <v>5</v>
      </c>
      <c r="N206" s="147"/>
      <c r="O206" s="57"/>
      <c r="P206" s="57"/>
      <c r="Q206" s="57"/>
      <c r="R206" s="57"/>
      <c r="S206" s="57"/>
      <c r="T206" s="57"/>
      <c r="U206" s="60"/>
    </row>
    <row r="207" spans="1:21" s="40" customFormat="1" ht="24.95" customHeight="1" x14ac:dyDescent="0.3">
      <c r="A207" s="65">
        <v>2022.06</v>
      </c>
      <c r="B207" s="65" t="s">
        <v>877</v>
      </c>
      <c r="C207" s="65" t="s">
        <v>488</v>
      </c>
      <c r="D207" s="65" t="s">
        <v>1639</v>
      </c>
      <c r="E207" s="65"/>
      <c r="F207" s="65" t="s">
        <v>1638</v>
      </c>
      <c r="G207" s="65" t="s">
        <v>2012</v>
      </c>
      <c r="H207" s="65" t="s">
        <v>2011</v>
      </c>
      <c r="I207" s="65" t="s">
        <v>738</v>
      </c>
      <c r="J207" s="57"/>
      <c r="K207" s="65"/>
      <c r="L207" s="65">
        <v>10.5</v>
      </c>
      <c r="M207" s="65"/>
      <c r="N207" s="57"/>
      <c r="O207" s="65"/>
      <c r="P207" s="57"/>
      <c r="Q207" s="65"/>
      <c r="R207" s="65"/>
      <c r="S207" s="65"/>
      <c r="T207" s="65"/>
      <c r="U207" s="60"/>
    </row>
    <row r="208" spans="1:21" s="40" customFormat="1" ht="24.95" customHeight="1" x14ac:dyDescent="0.3">
      <c r="A208" s="42">
        <v>2022.06</v>
      </c>
      <c r="B208" s="42" t="s">
        <v>734</v>
      </c>
      <c r="C208" s="42" t="s">
        <v>191</v>
      </c>
      <c r="D208" s="42" t="s">
        <v>192</v>
      </c>
      <c r="E208" s="42"/>
      <c r="F208" s="42" t="s">
        <v>1985</v>
      </c>
      <c r="G208" s="42" t="s">
        <v>2010</v>
      </c>
      <c r="H208" s="42" t="s">
        <v>1983</v>
      </c>
      <c r="I208" s="42" t="s">
        <v>738</v>
      </c>
      <c r="J208" s="42" t="s">
        <v>1055</v>
      </c>
      <c r="K208" s="42"/>
      <c r="L208" s="42">
        <v>10.5</v>
      </c>
      <c r="M208" s="42">
        <v>55</v>
      </c>
      <c r="N208" s="42">
        <v>9663.5</v>
      </c>
      <c r="O208" s="42" t="s">
        <v>1505</v>
      </c>
      <c r="P208" s="42">
        <v>9662.9500000000007</v>
      </c>
      <c r="Q208" s="42">
        <v>55</v>
      </c>
      <c r="R208" s="42">
        <v>175.69</v>
      </c>
      <c r="S208" s="42" t="s">
        <v>1606</v>
      </c>
      <c r="T208" s="42">
        <v>50</v>
      </c>
      <c r="U208" s="41" t="s">
        <v>2009</v>
      </c>
    </row>
    <row r="209" spans="1:21" s="40" customFormat="1" ht="24.95" customHeight="1" x14ac:dyDescent="0.3">
      <c r="A209" s="49">
        <v>2022.06</v>
      </c>
      <c r="B209" s="49" t="s">
        <v>734</v>
      </c>
      <c r="C209" s="49" t="s">
        <v>488</v>
      </c>
      <c r="D209" s="49" t="s">
        <v>1873</v>
      </c>
      <c r="E209" s="49" t="s">
        <v>1872</v>
      </c>
      <c r="F209" s="49" t="s">
        <v>1871</v>
      </c>
      <c r="G209" s="49" t="s">
        <v>2008</v>
      </c>
      <c r="H209" s="49" t="s">
        <v>2007</v>
      </c>
      <c r="I209" s="49" t="s">
        <v>1868</v>
      </c>
      <c r="J209" s="49" t="s">
        <v>517</v>
      </c>
      <c r="K209" s="49" t="s">
        <v>753</v>
      </c>
      <c r="L209" s="49" t="s">
        <v>721</v>
      </c>
      <c r="M209" s="49">
        <v>5</v>
      </c>
      <c r="N209" s="49" t="s">
        <v>721</v>
      </c>
      <c r="O209" s="49" t="s">
        <v>2006</v>
      </c>
      <c r="P209" s="49">
        <v>11315</v>
      </c>
      <c r="Q209" s="49">
        <v>5</v>
      </c>
      <c r="R209" s="49">
        <v>2263</v>
      </c>
      <c r="S209" s="49" t="s">
        <v>1227</v>
      </c>
      <c r="T209" s="49"/>
      <c r="U209" s="48" t="s">
        <v>2005</v>
      </c>
    </row>
    <row r="210" spans="1:21" s="40" customFormat="1" ht="24.95" customHeight="1" x14ac:dyDescent="0.3">
      <c r="A210" s="86">
        <v>2022.06</v>
      </c>
      <c r="B210" s="86" t="s">
        <v>789</v>
      </c>
      <c r="C210" s="86" t="s">
        <v>576</v>
      </c>
      <c r="D210" s="86" t="s">
        <v>1536</v>
      </c>
      <c r="E210" s="86"/>
      <c r="F210" s="86" t="s">
        <v>1535</v>
      </c>
      <c r="G210" s="86" t="s">
        <v>2004</v>
      </c>
      <c r="H210" s="86" t="s">
        <v>2003</v>
      </c>
      <c r="I210" s="86" t="s">
        <v>2002</v>
      </c>
      <c r="J210" s="86" t="s">
        <v>1055</v>
      </c>
      <c r="K210" s="86"/>
      <c r="L210" s="86">
        <v>10.5</v>
      </c>
      <c r="M210" s="86">
        <v>15</v>
      </c>
      <c r="N210" s="86">
        <v>3150</v>
      </c>
      <c r="O210" s="86" t="s">
        <v>1531</v>
      </c>
      <c r="P210" s="86">
        <v>3147</v>
      </c>
      <c r="Q210" s="86">
        <v>15</v>
      </c>
      <c r="R210" s="86">
        <v>209.8</v>
      </c>
      <c r="S210" s="86" t="s">
        <v>879</v>
      </c>
      <c r="T210" s="86">
        <v>60.5</v>
      </c>
      <c r="U210" s="85" t="s">
        <v>2001</v>
      </c>
    </row>
    <row r="211" spans="1:21" s="40" customFormat="1" ht="24.95" customHeight="1" x14ac:dyDescent="0.3">
      <c r="A211" s="127">
        <v>2022.06</v>
      </c>
      <c r="B211" s="127" t="s">
        <v>734</v>
      </c>
      <c r="C211" s="127" t="s">
        <v>133</v>
      </c>
      <c r="D211" s="127" t="s">
        <v>134</v>
      </c>
      <c r="E211" s="127"/>
      <c r="F211" s="127" t="s">
        <v>2000</v>
      </c>
      <c r="G211" s="127" t="s">
        <v>1999</v>
      </c>
      <c r="H211" s="127" t="s">
        <v>1998</v>
      </c>
      <c r="I211" s="42" t="s">
        <v>1997</v>
      </c>
      <c r="J211" s="42" t="s">
        <v>759</v>
      </c>
      <c r="K211" s="42"/>
      <c r="L211" s="127" t="s">
        <v>721</v>
      </c>
      <c r="M211" s="42">
        <v>2</v>
      </c>
      <c r="N211" s="127">
        <v>600</v>
      </c>
      <c r="O211" s="42" t="s">
        <v>1526</v>
      </c>
      <c r="P211" s="127">
        <v>498</v>
      </c>
      <c r="Q211" s="42">
        <v>2</v>
      </c>
      <c r="R211" s="127">
        <v>124.5</v>
      </c>
      <c r="S211" s="42" t="s">
        <v>1994</v>
      </c>
      <c r="T211" s="42">
        <v>110</v>
      </c>
      <c r="U211" s="41" t="s">
        <v>1996</v>
      </c>
    </row>
    <row r="212" spans="1:21" s="40" customFormat="1" ht="24.95" customHeight="1" x14ac:dyDescent="0.3">
      <c r="A212" s="128"/>
      <c r="B212" s="128"/>
      <c r="C212" s="128"/>
      <c r="D212" s="128"/>
      <c r="E212" s="128"/>
      <c r="F212" s="128"/>
      <c r="G212" s="128"/>
      <c r="H212" s="128"/>
      <c r="I212" s="42" t="s">
        <v>1995</v>
      </c>
      <c r="J212" s="42" t="s">
        <v>759</v>
      </c>
      <c r="K212" s="42"/>
      <c r="L212" s="128"/>
      <c r="M212" s="42">
        <v>2</v>
      </c>
      <c r="N212" s="128"/>
      <c r="O212" s="42" t="s">
        <v>1526</v>
      </c>
      <c r="P212" s="128"/>
      <c r="Q212" s="42">
        <v>2</v>
      </c>
      <c r="R212" s="128"/>
      <c r="S212" s="42" t="s">
        <v>1994</v>
      </c>
      <c r="T212" s="42">
        <v>110</v>
      </c>
      <c r="U212" s="41" t="s">
        <v>1993</v>
      </c>
    </row>
    <row r="213" spans="1:21" s="40" customFormat="1" ht="24.95" customHeight="1" x14ac:dyDescent="0.3">
      <c r="A213" s="42">
        <v>2022.07</v>
      </c>
      <c r="B213" s="42" t="s">
        <v>734</v>
      </c>
      <c r="C213" s="42" t="s">
        <v>156</v>
      </c>
      <c r="D213" s="42" t="s">
        <v>172</v>
      </c>
      <c r="E213" s="42" t="s">
        <v>773</v>
      </c>
      <c r="F213" s="42" t="s">
        <v>1992</v>
      </c>
      <c r="G213" s="42" t="s">
        <v>1991</v>
      </c>
      <c r="H213" s="42" t="s">
        <v>1990</v>
      </c>
      <c r="I213" s="42" t="s">
        <v>1914</v>
      </c>
      <c r="J213" s="42" t="s">
        <v>768</v>
      </c>
      <c r="K213" s="42"/>
      <c r="L213" s="42" t="s">
        <v>721</v>
      </c>
      <c r="M213" s="42">
        <v>7</v>
      </c>
      <c r="N213" s="42">
        <v>945</v>
      </c>
      <c r="O213" s="42" t="s">
        <v>1989</v>
      </c>
      <c r="P213" s="42">
        <v>935</v>
      </c>
      <c r="Q213" s="42">
        <v>7</v>
      </c>
      <c r="R213" s="42">
        <v>133.57</v>
      </c>
      <c r="S213" s="90"/>
      <c r="T213" s="42"/>
      <c r="U213" s="41"/>
    </row>
    <row r="214" spans="1:21" s="40" customFormat="1" ht="24.95" customHeight="1" x14ac:dyDescent="0.3">
      <c r="A214" s="42">
        <v>2022.07</v>
      </c>
      <c r="B214" s="42" t="s">
        <v>734</v>
      </c>
      <c r="C214" s="42" t="s">
        <v>225</v>
      </c>
      <c r="D214" s="42" t="s">
        <v>1437</v>
      </c>
      <c r="E214" s="42"/>
      <c r="F214" s="42" t="s">
        <v>1988</v>
      </c>
      <c r="G214" s="42" t="s">
        <v>1987</v>
      </c>
      <c r="H214" s="42" t="s">
        <v>1986</v>
      </c>
      <c r="I214" s="42" t="s">
        <v>729</v>
      </c>
      <c r="J214" s="42" t="s">
        <v>1055</v>
      </c>
      <c r="K214" s="42"/>
      <c r="L214" s="42">
        <v>10.5</v>
      </c>
      <c r="M214" s="42">
        <v>20</v>
      </c>
      <c r="N214" s="42">
        <v>4500</v>
      </c>
      <c r="O214" s="42" t="s">
        <v>1145</v>
      </c>
      <c r="P214" s="42">
        <v>3660</v>
      </c>
      <c r="Q214" s="42">
        <v>20</v>
      </c>
      <c r="R214" s="42">
        <v>183</v>
      </c>
      <c r="S214" s="42" t="s">
        <v>1916</v>
      </c>
      <c r="T214" s="42"/>
      <c r="U214" s="41"/>
    </row>
    <row r="215" spans="1:21" s="40" customFormat="1" ht="24.95" customHeight="1" x14ac:dyDescent="0.3">
      <c r="A215" s="127">
        <v>2022.07</v>
      </c>
      <c r="B215" s="127" t="s">
        <v>734</v>
      </c>
      <c r="C215" s="127" t="s">
        <v>191</v>
      </c>
      <c r="D215" s="127" t="s">
        <v>192</v>
      </c>
      <c r="E215" s="127"/>
      <c r="F215" s="127" t="s">
        <v>1985</v>
      </c>
      <c r="G215" s="127" t="s">
        <v>1984</v>
      </c>
      <c r="H215" s="127" t="s">
        <v>1983</v>
      </c>
      <c r="I215" s="127" t="s">
        <v>738</v>
      </c>
      <c r="J215" s="42" t="s">
        <v>1055</v>
      </c>
      <c r="K215" s="42"/>
      <c r="L215" s="42">
        <v>10.5</v>
      </c>
      <c r="M215" s="42">
        <v>25</v>
      </c>
      <c r="N215" s="42">
        <v>4392.5</v>
      </c>
      <c r="O215" s="42" t="s">
        <v>1505</v>
      </c>
      <c r="P215" s="42">
        <v>4392.25</v>
      </c>
      <c r="Q215" s="42">
        <v>25</v>
      </c>
      <c r="R215" s="42">
        <v>175.69</v>
      </c>
      <c r="S215" s="42" t="s">
        <v>1242</v>
      </c>
      <c r="T215" s="42">
        <v>50</v>
      </c>
      <c r="U215" s="41" t="s">
        <v>1982</v>
      </c>
    </row>
    <row r="216" spans="1:21" s="40" customFormat="1" ht="24.95" customHeight="1" x14ac:dyDescent="0.3">
      <c r="A216" s="128"/>
      <c r="B216" s="128"/>
      <c r="C216" s="128"/>
      <c r="D216" s="128"/>
      <c r="E216" s="128"/>
      <c r="F216" s="128"/>
      <c r="G216" s="128"/>
      <c r="H216" s="128"/>
      <c r="I216" s="128"/>
      <c r="J216" s="42" t="s">
        <v>1055</v>
      </c>
      <c r="K216" s="42"/>
      <c r="L216" s="42">
        <v>10.5</v>
      </c>
      <c r="M216" s="42">
        <v>20</v>
      </c>
      <c r="N216" s="42">
        <v>3514</v>
      </c>
      <c r="O216" s="42" t="s">
        <v>1243</v>
      </c>
      <c r="P216" s="42">
        <v>3513.8</v>
      </c>
      <c r="Q216" s="42">
        <v>20</v>
      </c>
      <c r="R216" s="42">
        <v>175.69</v>
      </c>
      <c r="S216" s="42" t="s">
        <v>1242</v>
      </c>
      <c r="T216" s="42">
        <v>50</v>
      </c>
      <c r="U216" s="41" t="s">
        <v>1981</v>
      </c>
    </row>
    <row r="217" spans="1:21" s="40" customFormat="1" ht="24.95" customHeight="1" x14ac:dyDescent="0.3">
      <c r="A217" s="42">
        <v>2022.07</v>
      </c>
      <c r="B217" s="42" t="s">
        <v>734</v>
      </c>
      <c r="C217" s="42" t="s">
        <v>233</v>
      </c>
      <c r="D217" s="42" t="s">
        <v>1311</v>
      </c>
      <c r="E217" s="42" t="s">
        <v>1854</v>
      </c>
      <c r="F217" s="42" t="s">
        <v>1980</v>
      </c>
      <c r="G217" s="42" t="s">
        <v>517</v>
      </c>
      <c r="H217" s="42" t="s">
        <v>1979</v>
      </c>
      <c r="I217" s="42" t="s">
        <v>1851</v>
      </c>
      <c r="J217" s="42" t="s">
        <v>728</v>
      </c>
      <c r="K217" s="42"/>
      <c r="L217" s="42">
        <v>8.5</v>
      </c>
      <c r="M217" s="42">
        <v>17</v>
      </c>
      <c r="N217" s="42">
        <v>3500</v>
      </c>
      <c r="O217" s="42" t="s">
        <v>1897</v>
      </c>
      <c r="P217" s="42">
        <v>3383</v>
      </c>
      <c r="Q217" s="42">
        <v>17</v>
      </c>
      <c r="R217" s="42">
        <v>199</v>
      </c>
      <c r="S217" s="42" t="s">
        <v>1978</v>
      </c>
      <c r="T217" s="42"/>
      <c r="U217" s="41"/>
    </row>
    <row r="218" spans="1:21" s="40" customFormat="1" ht="24.95" customHeight="1" x14ac:dyDescent="0.3">
      <c r="A218" s="152">
        <v>2022.07</v>
      </c>
      <c r="B218" s="152" t="s">
        <v>734</v>
      </c>
      <c r="C218" s="152" t="s">
        <v>156</v>
      </c>
      <c r="D218" s="152" t="s">
        <v>758</v>
      </c>
      <c r="E218" s="152" t="s">
        <v>1938</v>
      </c>
      <c r="F218" s="152" t="s">
        <v>1977</v>
      </c>
      <c r="G218" s="152" t="s">
        <v>1976</v>
      </c>
      <c r="H218" s="152" t="s">
        <v>1975</v>
      </c>
      <c r="I218" s="152" t="s">
        <v>1974</v>
      </c>
      <c r="J218" s="49" t="s">
        <v>517</v>
      </c>
      <c r="K218" s="152" t="s">
        <v>753</v>
      </c>
      <c r="L218" s="152" t="s">
        <v>721</v>
      </c>
      <c r="M218" s="152">
        <v>12</v>
      </c>
      <c r="N218" s="49">
        <v>36741.947500000002</v>
      </c>
      <c r="O218" s="152" t="s">
        <v>1973</v>
      </c>
      <c r="P218" s="49">
        <v>36740.311500000003</v>
      </c>
      <c r="Q218" s="152">
        <v>12</v>
      </c>
      <c r="R218" s="49">
        <v>3061.69</v>
      </c>
      <c r="S218" s="49" t="s">
        <v>1227</v>
      </c>
      <c r="T218" s="49"/>
      <c r="U218" s="48" t="s">
        <v>1972</v>
      </c>
    </row>
    <row r="219" spans="1:21" s="40" customFormat="1" ht="24.95" customHeight="1" x14ac:dyDescent="0.3">
      <c r="A219" s="153"/>
      <c r="B219" s="153"/>
      <c r="C219" s="153"/>
      <c r="D219" s="153"/>
      <c r="E219" s="153"/>
      <c r="F219" s="153"/>
      <c r="G219" s="153"/>
      <c r="H219" s="153"/>
      <c r="I219" s="153"/>
      <c r="J219" s="49" t="s">
        <v>517</v>
      </c>
      <c r="K219" s="153"/>
      <c r="L219" s="153"/>
      <c r="M219" s="153"/>
      <c r="N219" s="49">
        <v>31456.2</v>
      </c>
      <c r="O219" s="153"/>
      <c r="P219" s="49">
        <v>31455</v>
      </c>
      <c r="Q219" s="153"/>
      <c r="R219" s="49">
        <v>2621.25</v>
      </c>
      <c r="S219" s="49" t="s">
        <v>1227</v>
      </c>
      <c r="T219" s="49"/>
      <c r="U219" s="48" t="s">
        <v>1971</v>
      </c>
    </row>
    <row r="220" spans="1:21" s="40" customFormat="1" ht="24.95" customHeight="1" x14ac:dyDescent="0.3">
      <c r="A220" s="127">
        <v>2022.07</v>
      </c>
      <c r="B220" s="127" t="s">
        <v>734</v>
      </c>
      <c r="C220" s="127" t="s">
        <v>191</v>
      </c>
      <c r="D220" s="127" t="s">
        <v>327</v>
      </c>
      <c r="E220" s="127" t="s">
        <v>976</v>
      </c>
      <c r="F220" s="127" t="s">
        <v>1946</v>
      </c>
      <c r="G220" s="127" t="s">
        <v>1970</v>
      </c>
      <c r="H220" s="42" t="s">
        <v>1945</v>
      </c>
      <c r="I220" s="42" t="s">
        <v>833</v>
      </c>
      <c r="J220" s="42" t="s">
        <v>728</v>
      </c>
      <c r="K220" s="42"/>
      <c r="L220" s="42">
        <v>8.5</v>
      </c>
      <c r="M220" s="42">
        <v>10</v>
      </c>
      <c r="N220" s="42">
        <v>1700</v>
      </c>
      <c r="O220" s="42" t="s">
        <v>1505</v>
      </c>
      <c r="P220" s="42">
        <v>1699.7</v>
      </c>
      <c r="Q220" s="42">
        <v>10</v>
      </c>
      <c r="R220" s="42">
        <v>169.97</v>
      </c>
      <c r="S220" s="42" t="s">
        <v>1242</v>
      </c>
      <c r="T220" s="42"/>
      <c r="U220" s="41" t="s">
        <v>1944</v>
      </c>
    </row>
    <row r="221" spans="1:21" s="40" customFormat="1" ht="24.95" customHeight="1" x14ac:dyDescent="0.3">
      <c r="A221" s="128"/>
      <c r="B221" s="128"/>
      <c r="C221" s="128"/>
      <c r="D221" s="128"/>
      <c r="E221" s="128"/>
      <c r="F221" s="128"/>
      <c r="G221" s="128"/>
      <c r="H221" s="42" t="s">
        <v>1943</v>
      </c>
      <c r="I221" s="42" t="s">
        <v>833</v>
      </c>
      <c r="J221" s="42" t="s">
        <v>728</v>
      </c>
      <c r="K221" s="42"/>
      <c r="L221" s="42">
        <v>8.5</v>
      </c>
      <c r="M221" s="42">
        <v>30</v>
      </c>
      <c r="N221" s="42">
        <v>5100</v>
      </c>
      <c r="O221" s="42" t="s">
        <v>1942</v>
      </c>
      <c r="P221" s="42">
        <v>5098.5</v>
      </c>
      <c r="Q221" s="42">
        <v>30</v>
      </c>
      <c r="R221" s="42">
        <v>169.95</v>
      </c>
      <c r="S221" s="42" t="s">
        <v>1227</v>
      </c>
      <c r="T221" s="42"/>
      <c r="U221" s="41" t="s">
        <v>1941</v>
      </c>
    </row>
    <row r="222" spans="1:21" s="40" customFormat="1" ht="24.95" customHeight="1" x14ac:dyDescent="0.3">
      <c r="A222" s="42">
        <v>2022.07</v>
      </c>
      <c r="B222" s="42" t="s">
        <v>734</v>
      </c>
      <c r="C222" s="42" t="s">
        <v>44</v>
      </c>
      <c r="D222" s="42" t="s">
        <v>1024</v>
      </c>
      <c r="E222" s="42"/>
      <c r="F222" s="42" t="s">
        <v>1023</v>
      </c>
      <c r="G222" s="42" t="s">
        <v>1969</v>
      </c>
      <c r="H222" s="42" t="s">
        <v>1948</v>
      </c>
      <c r="I222" s="42" t="s">
        <v>833</v>
      </c>
      <c r="J222" s="42" t="s">
        <v>1055</v>
      </c>
      <c r="K222" s="42"/>
      <c r="L222" s="42">
        <v>10</v>
      </c>
      <c r="M222" s="42">
        <v>5</v>
      </c>
      <c r="N222" s="42">
        <v>980</v>
      </c>
      <c r="O222" s="42" t="s">
        <v>1778</v>
      </c>
      <c r="P222" s="42">
        <v>975</v>
      </c>
      <c r="Q222" s="42">
        <v>5</v>
      </c>
      <c r="R222" s="42">
        <v>195</v>
      </c>
      <c r="S222" s="42" t="s">
        <v>1052</v>
      </c>
      <c r="T222" s="42"/>
      <c r="U222" s="41"/>
    </row>
    <row r="223" spans="1:21" s="40" customFormat="1" ht="24.95" customHeight="1" x14ac:dyDescent="0.3">
      <c r="A223" s="42">
        <v>2022.07</v>
      </c>
      <c r="B223" s="42" t="s">
        <v>734</v>
      </c>
      <c r="C223" s="42" t="s">
        <v>488</v>
      </c>
      <c r="D223" s="42" t="s">
        <v>1226</v>
      </c>
      <c r="E223" s="42"/>
      <c r="F223" s="42" t="s">
        <v>1225</v>
      </c>
      <c r="G223" s="42" t="s">
        <v>1968</v>
      </c>
      <c r="H223" s="42" t="s">
        <v>1223</v>
      </c>
      <c r="I223" s="42" t="s">
        <v>1222</v>
      </c>
      <c r="J223" s="42" t="s">
        <v>1055</v>
      </c>
      <c r="K223" s="42"/>
      <c r="L223" s="42">
        <v>10</v>
      </c>
      <c r="M223" s="42">
        <v>4</v>
      </c>
      <c r="N223" s="42">
        <v>1180</v>
      </c>
      <c r="O223" s="42" t="s">
        <v>1221</v>
      </c>
      <c r="P223" s="42">
        <v>1179.92</v>
      </c>
      <c r="Q223" s="42">
        <v>4</v>
      </c>
      <c r="R223" s="42">
        <v>294.98</v>
      </c>
      <c r="S223" s="42" t="s">
        <v>1220</v>
      </c>
      <c r="T223" s="42">
        <v>83.5</v>
      </c>
      <c r="U223" s="41" t="s">
        <v>1654</v>
      </c>
    </row>
    <row r="224" spans="1:21" s="40" customFormat="1" ht="24.95" customHeight="1" x14ac:dyDescent="0.3">
      <c r="A224" s="42">
        <v>2022.08</v>
      </c>
      <c r="B224" s="42" t="s">
        <v>734</v>
      </c>
      <c r="C224" s="42" t="s">
        <v>488</v>
      </c>
      <c r="D224" s="42" t="s">
        <v>1639</v>
      </c>
      <c r="E224" s="42"/>
      <c r="F224" s="42" t="s">
        <v>1638</v>
      </c>
      <c r="G224" s="42" t="s">
        <v>1967</v>
      </c>
      <c r="H224" s="42" t="s">
        <v>1966</v>
      </c>
      <c r="I224" s="42" t="s">
        <v>833</v>
      </c>
      <c r="J224" s="42" t="s">
        <v>1055</v>
      </c>
      <c r="K224" s="42"/>
      <c r="L224" s="42">
        <v>10.5</v>
      </c>
      <c r="M224" s="42">
        <v>5</v>
      </c>
      <c r="N224" s="42">
        <v>1475</v>
      </c>
      <c r="O224" s="42" t="s">
        <v>1221</v>
      </c>
      <c r="P224" s="42">
        <v>1474.9</v>
      </c>
      <c r="Q224" s="42">
        <v>5</v>
      </c>
      <c r="R224" s="42">
        <v>294.98</v>
      </c>
      <c r="S224" s="42" t="s">
        <v>1220</v>
      </c>
      <c r="T224" s="42">
        <v>83.5</v>
      </c>
      <c r="U224" s="41" t="s">
        <v>1654</v>
      </c>
    </row>
    <row r="225" spans="1:21" s="40" customFormat="1" ht="24.95" customHeight="1" x14ac:dyDescent="0.3">
      <c r="A225" s="42">
        <v>2022.08</v>
      </c>
      <c r="B225" s="42" t="s">
        <v>734</v>
      </c>
      <c r="C225" s="42" t="s">
        <v>488</v>
      </c>
      <c r="D225" s="42" t="s">
        <v>1965</v>
      </c>
      <c r="E225" s="42"/>
      <c r="F225" s="42" t="s">
        <v>1964</v>
      </c>
      <c r="G225" s="42" t="s">
        <v>1963</v>
      </c>
      <c r="H225" s="42" t="s">
        <v>1223</v>
      </c>
      <c r="I225" s="42" t="s">
        <v>1222</v>
      </c>
      <c r="J225" s="42" t="s">
        <v>1055</v>
      </c>
      <c r="K225" s="42"/>
      <c r="L225" s="42">
        <v>10</v>
      </c>
      <c r="M225" s="42">
        <v>6</v>
      </c>
      <c r="N225" s="42">
        <v>1770</v>
      </c>
      <c r="O225" s="42" t="s">
        <v>1221</v>
      </c>
      <c r="P225" s="42">
        <v>1769.88</v>
      </c>
      <c r="Q225" s="42">
        <v>6</v>
      </c>
      <c r="R225" s="42">
        <v>294.98</v>
      </c>
      <c r="S225" s="42" t="s">
        <v>1220</v>
      </c>
      <c r="T225" s="42">
        <v>83.5</v>
      </c>
      <c r="U225" s="41" t="s">
        <v>1654</v>
      </c>
    </row>
    <row r="226" spans="1:21" s="40" customFormat="1" ht="24.95" customHeight="1" x14ac:dyDescent="0.3">
      <c r="A226" s="42">
        <v>2022.08</v>
      </c>
      <c r="B226" s="42" t="s">
        <v>734</v>
      </c>
      <c r="C226" s="42" t="s">
        <v>488</v>
      </c>
      <c r="D226" s="42" t="s">
        <v>1962</v>
      </c>
      <c r="E226" s="42"/>
      <c r="F226" s="42" t="s">
        <v>1961</v>
      </c>
      <c r="G226" s="42" t="s">
        <v>1960</v>
      </c>
      <c r="H226" s="42" t="s">
        <v>1959</v>
      </c>
      <c r="I226" s="42" t="s">
        <v>1370</v>
      </c>
      <c r="J226" s="42" t="s">
        <v>1055</v>
      </c>
      <c r="K226" s="42"/>
      <c r="L226" s="42">
        <v>10</v>
      </c>
      <c r="M226" s="42">
        <v>4</v>
      </c>
      <c r="N226" s="42">
        <v>1180</v>
      </c>
      <c r="O226" s="42" t="s">
        <v>1221</v>
      </c>
      <c r="P226" s="42">
        <v>1179.92</v>
      </c>
      <c r="Q226" s="42">
        <v>4</v>
      </c>
      <c r="R226" s="42">
        <v>294.98</v>
      </c>
      <c r="S226" s="42" t="s">
        <v>1220</v>
      </c>
      <c r="T226" s="42">
        <v>83.5</v>
      </c>
      <c r="U226" s="41" t="s">
        <v>1654</v>
      </c>
    </row>
    <row r="227" spans="1:21" s="40" customFormat="1" ht="24.95" customHeight="1" x14ac:dyDescent="0.3">
      <c r="A227" s="42">
        <v>2022.08</v>
      </c>
      <c r="B227" s="42" t="s">
        <v>734</v>
      </c>
      <c r="C227" s="42" t="s">
        <v>351</v>
      </c>
      <c r="D227" s="42" t="s">
        <v>1958</v>
      </c>
      <c r="E227" s="42" t="s">
        <v>1957</v>
      </c>
      <c r="F227" s="42" t="s">
        <v>1956</v>
      </c>
      <c r="G227" s="42" t="s">
        <v>517</v>
      </c>
      <c r="H227" s="42" t="s">
        <v>1726</v>
      </c>
      <c r="I227" s="42" t="s">
        <v>833</v>
      </c>
      <c r="J227" s="42" t="s">
        <v>1055</v>
      </c>
      <c r="K227" s="42"/>
      <c r="L227" s="42">
        <v>10.5</v>
      </c>
      <c r="M227" s="42">
        <v>40</v>
      </c>
      <c r="N227" s="42">
        <v>10447.84</v>
      </c>
      <c r="O227" s="42" t="s">
        <v>1897</v>
      </c>
      <c r="P227" s="42">
        <v>10398</v>
      </c>
      <c r="Q227" s="42">
        <v>40</v>
      </c>
      <c r="R227" s="42">
        <v>259.95</v>
      </c>
      <c r="S227" s="42" t="s">
        <v>1354</v>
      </c>
      <c r="T227" s="42"/>
      <c r="U227" s="41"/>
    </row>
    <row r="228" spans="1:21" s="40" customFormat="1" ht="24.95" customHeight="1" x14ac:dyDescent="0.3">
      <c r="A228" s="42">
        <v>2022.08</v>
      </c>
      <c r="B228" s="42" t="s">
        <v>734</v>
      </c>
      <c r="C228" s="42" t="s">
        <v>488</v>
      </c>
      <c r="D228" s="42" t="s">
        <v>1873</v>
      </c>
      <c r="E228" s="42" t="s">
        <v>1872</v>
      </c>
      <c r="F228" s="42" t="s">
        <v>1871</v>
      </c>
      <c r="G228" s="42" t="s">
        <v>1955</v>
      </c>
      <c r="H228" s="42" t="s">
        <v>1954</v>
      </c>
      <c r="I228" s="42" t="s">
        <v>1953</v>
      </c>
      <c r="J228" s="42" t="s">
        <v>1055</v>
      </c>
      <c r="K228" s="42"/>
      <c r="L228" s="42" t="s">
        <v>721</v>
      </c>
      <c r="M228" s="42">
        <v>52</v>
      </c>
      <c r="N228" s="42">
        <v>14040</v>
      </c>
      <c r="O228" s="42" t="s">
        <v>1886</v>
      </c>
      <c r="P228" s="42">
        <v>14038.44</v>
      </c>
      <c r="Q228" s="42">
        <v>52</v>
      </c>
      <c r="R228" s="42">
        <v>269.97000000000003</v>
      </c>
      <c r="S228" s="42" t="s">
        <v>1952</v>
      </c>
      <c r="T228" s="42">
        <v>125</v>
      </c>
      <c r="U228" s="41" t="s">
        <v>1951</v>
      </c>
    </row>
    <row r="229" spans="1:21" s="40" customFormat="1" ht="24.95" customHeight="1" x14ac:dyDescent="0.3">
      <c r="A229" s="146">
        <v>2022.08</v>
      </c>
      <c r="B229" s="146" t="s">
        <v>877</v>
      </c>
      <c r="C229" s="146" t="s">
        <v>873</v>
      </c>
      <c r="D229" s="146"/>
      <c r="E229" s="146"/>
      <c r="F229" s="146" t="s">
        <v>1341</v>
      </c>
      <c r="G229" s="146" t="s">
        <v>1950</v>
      </c>
      <c r="H229" s="146" t="s">
        <v>769</v>
      </c>
      <c r="I229" s="57" t="s">
        <v>1238</v>
      </c>
      <c r="J229" s="57"/>
      <c r="K229" s="57"/>
      <c r="L229" s="57" t="s">
        <v>721</v>
      </c>
      <c r="M229" s="57">
        <v>2</v>
      </c>
      <c r="N229" s="146">
        <v>670</v>
      </c>
      <c r="O229" s="146"/>
      <c r="P229" s="146"/>
      <c r="Q229" s="146"/>
      <c r="R229" s="146"/>
      <c r="S229" s="57"/>
      <c r="T229" s="146"/>
      <c r="U229" s="140"/>
    </row>
    <row r="230" spans="1:21" s="40" customFormat="1" ht="24.95" customHeight="1" x14ac:dyDescent="0.3">
      <c r="A230" s="147"/>
      <c r="B230" s="147"/>
      <c r="C230" s="147"/>
      <c r="D230" s="147"/>
      <c r="E230" s="147"/>
      <c r="F230" s="147"/>
      <c r="G230" s="147"/>
      <c r="H230" s="147"/>
      <c r="I230" s="57" t="s">
        <v>1914</v>
      </c>
      <c r="J230" s="57"/>
      <c r="K230" s="57"/>
      <c r="L230" s="57" t="s">
        <v>721</v>
      </c>
      <c r="M230" s="57">
        <v>2</v>
      </c>
      <c r="N230" s="147"/>
      <c r="O230" s="147"/>
      <c r="P230" s="147"/>
      <c r="Q230" s="147"/>
      <c r="R230" s="147"/>
      <c r="S230" s="57"/>
      <c r="T230" s="147"/>
      <c r="U230" s="141"/>
    </row>
    <row r="231" spans="1:21" s="40" customFormat="1" ht="24.95" customHeight="1" x14ac:dyDescent="0.3">
      <c r="A231" s="49">
        <v>2022.08</v>
      </c>
      <c r="B231" s="49" t="s">
        <v>734</v>
      </c>
      <c r="C231" s="49" t="s">
        <v>44</v>
      </c>
      <c r="D231" s="49" t="s">
        <v>45</v>
      </c>
      <c r="E231" s="49"/>
      <c r="F231" s="49" t="s">
        <v>1949</v>
      </c>
      <c r="G231" s="49" t="s">
        <v>517</v>
      </c>
      <c r="H231" s="49" t="s">
        <v>1948</v>
      </c>
      <c r="I231" s="49" t="s">
        <v>833</v>
      </c>
      <c r="J231" s="49" t="s">
        <v>1055</v>
      </c>
      <c r="K231" s="49" t="s">
        <v>753</v>
      </c>
      <c r="L231" s="49">
        <v>10</v>
      </c>
      <c r="M231" s="49">
        <v>5</v>
      </c>
      <c r="N231" s="49" t="s">
        <v>721</v>
      </c>
      <c r="O231" s="49" t="s">
        <v>1947</v>
      </c>
      <c r="P231" s="49"/>
      <c r="Q231" s="49">
        <v>5</v>
      </c>
      <c r="R231" s="49"/>
      <c r="S231" s="49" t="s">
        <v>1052</v>
      </c>
      <c r="T231" s="49"/>
      <c r="U231" s="48"/>
    </row>
    <row r="232" spans="1:21" s="40" customFormat="1" ht="24.95" customHeight="1" x14ac:dyDescent="0.3">
      <c r="A232" s="127">
        <v>2022.08</v>
      </c>
      <c r="B232" s="127" t="s">
        <v>734</v>
      </c>
      <c r="C232" s="127" t="s">
        <v>191</v>
      </c>
      <c r="D232" s="127" t="s">
        <v>327</v>
      </c>
      <c r="E232" s="127" t="s">
        <v>976</v>
      </c>
      <c r="F232" s="127" t="s">
        <v>1946</v>
      </c>
      <c r="G232" s="127" t="s">
        <v>517</v>
      </c>
      <c r="H232" s="44" t="s">
        <v>1945</v>
      </c>
      <c r="I232" s="42" t="s">
        <v>833</v>
      </c>
      <c r="J232" s="42" t="s">
        <v>728</v>
      </c>
      <c r="K232" s="42"/>
      <c r="L232" s="42">
        <v>8.5</v>
      </c>
      <c r="M232" s="42">
        <v>10</v>
      </c>
      <c r="N232" s="44">
        <v>1700</v>
      </c>
      <c r="O232" s="44" t="s">
        <v>1505</v>
      </c>
      <c r="P232" s="44">
        <v>1699.7</v>
      </c>
      <c r="Q232" s="44">
        <v>10</v>
      </c>
      <c r="R232" s="44">
        <v>169.97</v>
      </c>
      <c r="S232" s="44" t="s">
        <v>1242</v>
      </c>
      <c r="T232" s="44">
        <v>50</v>
      </c>
      <c r="U232" s="94" t="s">
        <v>1944</v>
      </c>
    </row>
    <row r="233" spans="1:21" s="40" customFormat="1" ht="24.95" customHeight="1" x14ac:dyDescent="0.3">
      <c r="A233" s="128"/>
      <c r="B233" s="128"/>
      <c r="C233" s="128"/>
      <c r="D233" s="128"/>
      <c r="E233" s="128"/>
      <c r="F233" s="128"/>
      <c r="G233" s="128"/>
      <c r="H233" s="44" t="s">
        <v>1943</v>
      </c>
      <c r="I233" s="42" t="s">
        <v>833</v>
      </c>
      <c r="J233" s="42" t="s">
        <v>728</v>
      </c>
      <c r="K233" s="42"/>
      <c r="L233" s="42">
        <v>8.5</v>
      </c>
      <c r="M233" s="42">
        <v>30</v>
      </c>
      <c r="N233" s="44">
        <v>5100</v>
      </c>
      <c r="O233" s="44" t="s">
        <v>1942</v>
      </c>
      <c r="P233" s="44">
        <v>5098.5</v>
      </c>
      <c r="Q233" s="44">
        <v>30</v>
      </c>
      <c r="R233" s="44">
        <v>169.95</v>
      </c>
      <c r="S233" s="44" t="s">
        <v>1227</v>
      </c>
      <c r="T233" s="44">
        <v>70</v>
      </c>
      <c r="U233" s="94" t="s">
        <v>1941</v>
      </c>
    </row>
    <row r="234" spans="1:21" s="40" customFormat="1" ht="24.95" customHeight="1" x14ac:dyDescent="0.3">
      <c r="A234" s="44">
        <v>2022.09</v>
      </c>
      <c r="B234" s="44" t="s">
        <v>734</v>
      </c>
      <c r="C234" s="44" t="s">
        <v>233</v>
      </c>
      <c r="D234" s="44" t="s">
        <v>1571</v>
      </c>
      <c r="E234" s="44"/>
      <c r="F234" s="44" t="s">
        <v>1570</v>
      </c>
      <c r="G234" s="42" t="s">
        <v>1940</v>
      </c>
      <c r="H234" s="44" t="s">
        <v>1939</v>
      </c>
      <c r="I234" s="42" t="s">
        <v>1568</v>
      </c>
      <c r="J234" s="42" t="s">
        <v>1055</v>
      </c>
      <c r="K234" s="42"/>
      <c r="L234" s="42">
        <v>10.5</v>
      </c>
      <c r="M234" s="42">
        <v>20</v>
      </c>
      <c r="N234" s="44">
        <v>3600</v>
      </c>
      <c r="O234" s="44" t="s">
        <v>1196</v>
      </c>
      <c r="P234" s="44">
        <v>3599.2</v>
      </c>
      <c r="Q234" s="44">
        <v>20</v>
      </c>
      <c r="R234" s="44">
        <v>179.96</v>
      </c>
      <c r="S234" s="44" t="s">
        <v>1097</v>
      </c>
      <c r="T234" s="44"/>
      <c r="U234" s="94"/>
    </row>
    <row r="235" spans="1:21" s="40" customFormat="1" ht="24.95" customHeight="1" x14ac:dyDescent="0.3">
      <c r="A235" s="86">
        <v>2022.09</v>
      </c>
      <c r="B235" s="86" t="s">
        <v>789</v>
      </c>
      <c r="C235" s="86" t="s">
        <v>156</v>
      </c>
      <c r="D235" s="86" t="s">
        <v>758</v>
      </c>
      <c r="E235" s="86" t="s">
        <v>1938</v>
      </c>
      <c r="F235" s="86" t="s">
        <v>1937</v>
      </c>
      <c r="G235" s="86" t="s">
        <v>517</v>
      </c>
      <c r="H235" s="86" t="s">
        <v>1936</v>
      </c>
      <c r="I235" s="86" t="s">
        <v>1936</v>
      </c>
      <c r="J235" s="86" t="s">
        <v>1263</v>
      </c>
      <c r="K235" s="86"/>
      <c r="L235" s="86" t="s">
        <v>721</v>
      </c>
      <c r="M235" s="86">
        <v>5</v>
      </c>
      <c r="N235" s="86">
        <v>550</v>
      </c>
      <c r="O235" s="86" t="s">
        <v>1935</v>
      </c>
      <c r="P235" s="86">
        <v>550</v>
      </c>
      <c r="Q235" s="86">
        <v>5</v>
      </c>
      <c r="R235" s="86">
        <v>110</v>
      </c>
      <c r="S235" s="86" t="s">
        <v>850</v>
      </c>
      <c r="T235" s="86"/>
      <c r="U235" s="85" t="s">
        <v>1934</v>
      </c>
    </row>
    <row r="236" spans="1:21" s="40" customFormat="1" ht="24.95" customHeight="1" x14ac:dyDescent="0.3">
      <c r="A236" s="44">
        <v>2022.09</v>
      </c>
      <c r="B236" s="44" t="s">
        <v>734</v>
      </c>
      <c r="C236" s="44" t="s">
        <v>233</v>
      </c>
      <c r="D236" s="44" t="s">
        <v>1933</v>
      </c>
      <c r="E236" s="44"/>
      <c r="F236" s="44" t="s">
        <v>1932</v>
      </c>
      <c r="G236" s="42" t="s">
        <v>1931</v>
      </c>
      <c r="H236" s="44" t="s">
        <v>1930</v>
      </c>
      <c r="I236" s="42" t="s">
        <v>833</v>
      </c>
      <c r="J236" s="42" t="s">
        <v>1055</v>
      </c>
      <c r="K236" s="42"/>
      <c r="L236" s="42">
        <v>10.5</v>
      </c>
      <c r="M236" s="42">
        <v>10</v>
      </c>
      <c r="N236" s="44">
        <v>2600</v>
      </c>
      <c r="O236" s="44" t="s">
        <v>1196</v>
      </c>
      <c r="P236" s="44">
        <v>2498</v>
      </c>
      <c r="Q236" s="44">
        <v>10</v>
      </c>
      <c r="R236" s="44">
        <v>249.8</v>
      </c>
      <c r="S236" s="44" t="s">
        <v>1929</v>
      </c>
      <c r="T236" s="44"/>
      <c r="U236" s="94" t="s">
        <v>1928</v>
      </c>
    </row>
    <row r="237" spans="1:21" s="40" customFormat="1" ht="24.95" customHeight="1" x14ac:dyDescent="0.3">
      <c r="A237" s="49">
        <v>2022.09</v>
      </c>
      <c r="B237" s="49" t="s">
        <v>734</v>
      </c>
      <c r="C237" s="49" t="s">
        <v>233</v>
      </c>
      <c r="D237" s="49" t="s">
        <v>1311</v>
      </c>
      <c r="E237" s="49"/>
      <c r="F237" s="49" t="s">
        <v>1353</v>
      </c>
      <c r="G237" s="49" t="s">
        <v>1927</v>
      </c>
      <c r="H237" s="49" t="s">
        <v>1926</v>
      </c>
      <c r="I237" s="49" t="s">
        <v>887</v>
      </c>
      <c r="J237" s="49" t="s">
        <v>754</v>
      </c>
      <c r="K237" s="49" t="s">
        <v>753</v>
      </c>
      <c r="L237" s="49" t="s">
        <v>721</v>
      </c>
      <c r="M237" s="49">
        <v>20</v>
      </c>
      <c r="N237" s="49">
        <v>1404</v>
      </c>
      <c r="O237" s="49" t="s">
        <v>1349</v>
      </c>
      <c r="P237" s="49">
        <v>1389.6</v>
      </c>
      <c r="Q237" s="49">
        <v>20</v>
      </c>
      <c r="R237" s="49">
        <v>69.48</v>
      </c>
      <c r="S237" s="49" t="s">
        <v>1227</v>
      </c>
      <c r="T237" s="49"/>
      <c r="U237" s="48" t="s">
        <v>1925</v>
      </c>
    </row>
    <row r="238" spans="1:21" s="40" customFormat="1" ht="24.95" customHeight="1" x14ac:dyDescent="0.3">
      <c r="A238" s="152">
        <v>2022.09</v>
      </c>
      <c r="B238" s="152" t="s">
        <v>734</v>
      </c>
      <c r="C238" s="152" t="s">
        <v>225</v>
      </c>
      <c r="D238" s="152" t="s">
        <v>1437</v>
      </c>
      <c r="E238" s="152" t="s">
        <v>1924</v>
      </c>
      <c r="F238" s="152" t="s">
        <v>1433</v>
      </c>
      <c r="G238" s="152" t="s">
        <v>1923</v>
      </c>
      <c r="H238" s="152" t="s">
        <v>1922</v>
      </c>
      <c r="I238" s="49" t="s">
        <v>1921</v>
      </c>
      <c r="J238" s="49" t="s">
        <v>759</v>
      </c>
      <c r="K238" s="152" t="s">
        <v>753</v>
      </c>
      <c r="L238" s="49" t="s">
        <v>721</v>
      </c>
      <c r="M238" s="49">
        <v>30</v>
      </c>
      <c r="N238" s="152">
        <v>15000</v>
      </c>
      <c r="O238" s="152" t="s">
        <v>1920</v>
      </c>
      <c r="P238" s="152">
        <v>14760</v>
      </c>
      <c r="Q238" s="67">
        <v>30</v>
      </c>
      <c r="R238" s="49"/>
      <c r="S238" s="49" t="s">
        <v>1916</v>
      </c>
      <c r="T238" s="49"/>
      <c r="U238" s="160"/>
    </row>
    <row r="239" spans="1:21" s="40" customFormat="1" ht="24.95" customHeight="1" x14ac:dyDescent="0.3">
      <c r="A239" s="154"/>
      <c r="B239" s="154"/>
      <c r="C239" s="154"/>
      <c r="D239" s="154"/>
      <c r="E239" s="154"/>
      <c r="F239" s="154"/>
      <c r="G239" s="154"/>
      <c r="H239" s="154"/>
      <c r="I239" s="49" t="s">
        <v>1919</v>
      </c>
      <c r="J239" s="49" t="s">
        <v>759</v>
      </c>
      <c r="K239" s="154"/>
      <c r="L239" s="49" t="s">
        <v>721</v>
      </c>
      <c r="M239" s="49">
        <v>15</v>
      </c>
      <c r="N239" s="154"/>
      <c r="O239" s="154"/>
      <c r="P239" s="154"/>
      <c r="Q239" s="67">
        <v>15</v>
      </c>
      <c r="R239" s="49"/>
      <c r="S239" s="49" t="s">
        <v>1916</v>
      </c>
      <c r="T239" s="49"/>
      <c r="U239" s="161"/>
    </row>
    <row r="240" spans="1:21" s="40" customFormat="1" ht="24.95" customHeight="1" x14ac:dyDescent="0.3">
      <c r="A240" s="154"/>
      <c r="B240" s="154"/>
      <c r="C240" s="154"/>
      <c r="D240" s="154"/>
      <c r="E240" s="154"/>
      <c r="F240" s="154"/>
      <c r="G240" s="154"/>
      <c r="H240" s="154"/>
      <c r="I240" s="49" t="s">
        <v>1918</v>
      </c>
      <c r="J240" s="49" t="s">
        <v>759</v>
      </c>
      <c r="K240" s="154"/>
      <c r="L240" s="49" t="s">
        <v>721</v>
      </c>
      <c r="M240" s="49">
        <v>15</v>
      </c>
      <c r="N240" s="154"/>
      <c r="O240" s="154"/>
      <c r="P240" s="154"/>
      <c r="Q240" s="67">
        <v>15</v>
      </c>
      <c r="R240" s="49"/>
      <c r="S240" s="49" t="s">
        <v>1916</v>
      </c>
      <c r="T240" s="49"/>
      <c r="U240" s="161"/>
    </row>
    <row r="241" spans="1:21" s="40" customFormat="1" ht="24.95" customHeight="1" x14ac:dyDescent="0.3">
      <c r="A241" s="153"/>
      <c r="B241" s="153"/>
      <c r="C241" s="153"/>
      <c r="D241" s="153"/>
      <c r="E241" s="153"/>
      <c r="F241" s="153"/>
      <c r="G241" s="153"/>
      <c r="H241" s="153"/>
      <c r="I241" s="49" t="s">
        <v>1917</v>
      </c>
      <c r="J241" s="49" t="s">
        <v>759</v>
      </c>
      <c r="K241" s="153"/>
      <c r="L241" s="49" t="s">
        <v>721</v>
      </c>
      <c r="M241" s="49">
        <v>15</v>
      </c>
      <c r="N241" s="153"/>
      <c r="O241" s="153"/>
      <c r="P241" s="153"/>
      <c r="Q241" s="67">
        <v>15</v>
      </c>
      <c r="R241" s="49"/>
      <c r="S241" s="49" t="s">
        <v>1916</v>
      </c>
      <c r="T241" s="49"/>
      <c r="U241" s="162"/>
    </row>
    <row r="242" spans="1:21" s="40" customFormat="1" ht="24.95" customHeight="1" x14ac:dyDescent="0.3">
      <c r="A242" s="146">
        <v>2022.09</v>
      </c>
      <c r="B242" s="146" t="s">
        <v>877</v>
      </c>
      <c r="C242" s="146" t="s">
        <v>873</v>
      </c>
      <c r="D242" s="146"/>
      <c r="E242" s="146"/>
      <c r="F242" s="146" t="s">
        <v>1341</v>
      </c>
      <c r="G242" s="146" t="s">
        <v>1915</v>
      </c>
      <c r="H242" s="146" t="s">
        <v>769</v>
      </c>
      <c r="I242" s="57" t="s">
        <v>1238</v>
      </c>
      <c r="J242" s="57"/>
      <c r="K242" s="57"/>
      <c r="L242" s="57" t="s">
        <v>721</v>
      </c>
      <c r="M242" s="57">
        <v>2</v>
      </c>
      <c r="N242" s="146">
        <v>670</v>
      </c>
      <c r="O242" s="146"/>
      <c r="P242" s="146"/>
      <c r="Q242" s="146"/>
      <c r="R242" s="146"/>
      <c r="S242" s="146"/>
      <c r="T242" s="146"/>
      <c r="U242" s="140"/>
    </row>
    <row r="243" spans="1:21" s="40" customFormat="1" ht="24.95" customHeight="1" x14ac:dyDescent="0.3">
      <c r="A243" s="147"/>
      <c r="B243" s="147"/>
      <c r="C243" s="147"/>
      <c r="D243" s="147"/>
      <c r="E243" s="147"/>
      <c r="F243" s="147"/>
      <c r="G243" s="147"/>
      <c r="H243" s="147"/>
      <c r="I243" s="57" t="s">
        <v>1914</v>
      </c>
      <c r="J243" s="57"/>
      <c r="K243" s="57"/>
      <c r="L243" s="57" t="s">
        <v>721</v>
      </c>
      <c r="M243" s="57">
        <v>2</v>
      </c>
      <c r="N243" s="147"/>
      <c r="O243" s="147"/>
      <c r="P243" s="147"/>
      <c r="Q243" s="147"/>
      <c r="R243" s="147"/>
      <c r="S243" s="147"/>
      <c r="T243" s="147"/>
      <c r="U243" s="141"/>
    </row>
    <row r="244" spans="1:21" s="40" customFormat="1" ht="24.95" customHeight="1" x14ac:dyDescent="0.3">
      <c r="A244" s="57">
        <v>2022.09</v>
      </c>
      <c r="B244" s="57" t="s">
        <v>877</v>
      </c>
      <c r="C244" s="57" t="s">
        <v>35</v>
      </c>
      <c r="D244" s="57" t="s">
        <v>102</v>
      </c>
      <c r="E244" s="57" t="s">
        <v>1892</v>
      </c>
      <c r="F244" s="57" t="s">
        <v>1891</v>
      </c>
      <c r="G244" s="57" t="s">
        <v>1890</v>
      </c>
      <c r="H244" s="57" t="s">
        <v>887</v>
      </c>
      <c r="I244" s="57" t="s">
        <v>887</v>
      </c>
      <c r="J244" s="57"/>
      <c r="K244" s="57"/>
      <c r="L244" s="57" t="s">
        <v>721</v>
      </c>
      <c r="M244" s="57">
        <v>30</v>
      </c>
      <c r="N244" s="57">
        <v>4800</v>
      </c>
      <c r="O244" s="57"/>
      <c r="P244" s="57"/>
      <c r="Q244" s="57"/>
      <c r="R244" s="57"/>
      <c r="S244" s="57"/>
      <c r="T244" s="57"/>
      <c r="U244" s="60"/>
    </row>
    <row r="245" spans="1:21" s="40" customFormat="1" ht="24.95" customHeight="1" x14ac:dyDescent="0.3">
      <c r="A245" s="42">
        <v>2022.09</v>
      </c>
      <c r="B245" s="42" t="s">
        <v>734</v>
      </c>
      <c r="C245" s="42" t="s">
        <v>351</v>
      </c>
      <c r="D245" s="42" t="s">
        <v>1913</v>
      </c>
      <c r="E245" s="42" t="s">
        <v>1912</v>
      </c>
      <c r="F245" s="42" t="s">
        <v>1911</v>
      </c>
      <c r="G245" s="42" t="s">
        <v>1910</v>
      </c>
      <c r="H245" s="42" t="s">
        <v>1909</v>
      </c>
      <c r="I245" s="42" t="s">
        <v>1908</v>
      </c>
      <c r="J245" s="42" t="s">
        <v>1055</v>
      </c>
      <c r="K245" s="42"/>
      <c r="L245" s="42" t="s">
        <v>1907</v>
      </c>
      <c r="M245" s="42">
        <v>5</v>
      </c>
      <c r="N245" s="42">
        <v>1465</v>
      </c>
      <c r="O245" s="42" t="s">
        <v>1145</v>
      </c>
      <c r="P245" s="42">
        <v>1418</v>
      </c>
      <c r="Q245" s="42">
        <v>5</v>
      </c>
      <c r="R245" s="42">
        <v>283.60000000000002</v>
      </c>
      <c r="S245" s="42" t="s">
        <v>1906</v>
      </c>
      <c r="T245" s="42"/>
      <c r="U245" s="41"/>
    </row>
    <row r="246" spans="1:21" s="40" customFormat="1" ht="24.95" customHeight="1" x14ac:dyDescent="0.3">
      <c r="A246" s="42">
        <v>2022.09</v>
      </c>
      <c r="B246" s="42" t="s">
        <v>734</v>
      </c>
      <c r="C246" s="42" t="s">
        <v>403</v>
      </c>
      <c r="D246" s="42"/>
      <c r="E246" s="42"/>
      <c r="F246" s="42" t="s">
        <v>1190</v>
      </c>
      <c r="G246" s="42" t="s">
        <v>517</v>
      </c>
      <c r="H246" s="42" t="s">
        <v>1313</v>
      </c>
      <c r="I246" s="42" t="s">
        <v>1047</v>
      </c>
      <c r="J246" s="42" t="s">
        <v>722</v>
      </c>
      <c r="K246" s="42"/>
      <c r="L246" s="42" t="s">
        <v>721</v>
      </c>
      <c r="M246" s="42">
        <v>20</v>
      </c>
      <c r="N246" s="42">
        <v>2960</v>
      </c>
      <c r="O246" s="42" t="s">
        <v>1448</v>
      </c>
      <c r="P246" s="42">
        <v>2840</v>
      </c>
      <c r="Q246" s="42">
        <v>20</v>
      </c>
      <c r="R246" s="42">
        <v>142</v>
      </c>
      <c r="S246" s="42" t="s">
        <v>1227</v>
      </c>
      <c r="T246" s="42"/>
      <c r="U246" s="41"/>
    </row>
    <row r="247" spans="1:21" s="40" customFormat="1" ht="24.95" customHeight="1" x14ac:dyDescent="0.3">
      <c r="A247" s="42">
        <v>2022.09</v>
      </c>
      <c r="B247" s="42" t="s">
        <v>734</v>
      </c>
      <c r="C247" s="42" t="s">
        <v>84</v>
      </c>
      <c r="D247" s="42" t="s">
        <v>1174</v>
      </c>
      <c r="E247" s="42" t="s">
        <v>1905</v>
      </c>
      <c r="F247" s="42" t="s">
        <v>1173</v>
      </c>
      <c r="G247" s="42" t="s">
        <v>1904</v>
      </c>
      <c r="H247" s="42" t="s">
        <v>1903</v>
      </c>
      <c r="I247" s="42" t="s">
        <v>1902</v>
      </c>
      <c r="J247" s="42" t="s">
        <v>737</v>
      </c>
      <c r="K247" s="42"/>
      <c r="L247" s="42" t="s">
        <v>721</v>
      </c>
      <c r="M247" s="42">
        <v>50</v>
      </c>
      <c r="N247" s="42">
        <v>10000</v>
      </c>
      <c r="O247" s="42" t="s">
        <v>1202</v>
      </c>
      <c r="P247" s="42">
        <v>9440</v>
      </c>
      <c r="Q247" s="42">
        <v>50</v>
      </c>
      <c r="R247" s="42">
        <v>188.8</v>
      </c>
      <c r="S247" s="42" t="s">
        <v>1052</v>
      </c>
      <c r="T247" s="42"/>
      <c r="U247" s="41"/>
    </row>
    <row r="248" spans="1:21" s="40" customFormat="1" ht="24.95" customHeight="1" x14ac:dyDescent="0.3">
      <c r="A248" s="42">
        <v>2022.09</v>
      </c>
      <c r="B248" s="42" t="s">
        <v>734</v>
      </c>
      <c r="C248" s="42" t="s">
        <v>233</v>
      </c>
      <c r="D248" s="42" t="s">
        <v>1311</v>
      </c>
      <c r="E248" s="42" t="s">
        <v>1901</v>
      </c>
      <c r="F248" s="42" t="s">
        <v>1900</v>
      </c>
      <c r="G248" s="42" t="s">
        <v>1899</v>
      </c>
      <c r="H248" s="42" t="s">
        <v>1898</v>
      </c>
      <c r="I248" s="42" t="s">
        <v>738</v>
      </c>
      <c r="J248" s="42" t="s">
        <v>728</v>
      </c>
      <c r="K248" s="42"/>
      <c r="L248" s="42">
        <v>8.5</v>
      </c>
      <c r="M248" s="42">
        <v>9</v>
      </c>
      <c r="N248" s="42">
        <v>1620</v>
      </c>
      <c r="O248" s="42" t="s">
        <v>1897</v>
      </c>
      <c r="P248" s="42">
        <v>1619.1</v>
      </c>
      <c r="Q248" s="42">
        <v>9</v>
      </c>
      <c r="R248" s="42">
        <v>179.9</v>
      </c>
      <c r="S248" s="42" t="s">
        <v>1896</v>
      </c>
      <c r="T248" s="42"/>
      <c r="U248" s="41"/>
    </row>
    <row r="249" spans="1:21" s="40" customFormat="1" ht="24.95" customHeight="1" x14ac:dyDescent="0.3">
      <c r="A249" s="43">
        <v>2022.1</v>
      </c>
      <c r="B249" s="42" t="s">
        <v>734</v>
      </c>
      <c r="C249" s="42" t="s">
        <v>225</v>
      </c>
      <c r="D249" s="42" t="s">
        <v>1144</v>
      </c>
      <c r="E249" s="42"/>
      <c r="F249" s="42" t="s">
        <v>1511</v>
      </c>
      <c r="G249" s="42" t="s">
        <v>1895</v>
      </c>
      <c r="H249" s="42" t="s">
        <v>1894</v>
      </c>
      <c r="I249" s="42" t="s">
        <v>1893</v>
      </c>
      <c r="J249" s="42" t="s">
        <v>1055</v>
      </c>
      <c r="K249" s="42"/>
      <c r="L249" s="42">
        <v>10.5</v>
      </c>
      <c r="M249" s="42">
        <v>100</v>
      </c>
      <c r="N249" s="42">
        <v>30000</v>
      </c>
      <c r="O249" s="42" t="s">
        <v>1145</v>
      </c>
      <c r="P249" s="42">
        <v>28470</v>
      </c>
      <c r="Q249" s="42">
        <v>100</v>
      </c>
      <c r="R249" s="42">
        <v>284.7</v>
      </c>
      <c r="S249" s="42" t="s">
        <v>1178</v>
      </c>
      <c r="T249" s="42"/>
      <c r="U249" s="41"/>
    </row>
    <row r="250" spans="1:21" s="40" customFormat="1" ht="24.95" customHeight="1" x14ac:dyDescent="0.3">
      <c r="A250" s="43">
        <v>2022.1</v>
      </c>
      <c r="B250" s="42" t="s">
        <v>734</v>
      </c>
      <c r="C250" s="42" t="s">
        <v>35</v>
      </c>
      <c r="D250" s="42" t="s">
        <v>102</v>
      </c>
      <c r="E250" s="42" t="s">
        <v>1892</v>
      </c>
      <c r="F250" s="42" t="s">
        <v>1891</v>
      </c>
      <c r="G250" s="42" t="s">
        <v>1890</v>
      </c>
      <c r="H250" s="42" t="s">
        <v>887</v>
      </c>
      <c r="I250" s="42" t="s">
        <v>887</v>
      </c>
      <c r="J250" s="42" t="s">
        <v>759</v>
      </c>
      <c r="K250" s="42"/>
      <c r="L250" s="42" t="s">
        <v>721</v>
      </c>
      <c r="M250" s="42">
        <v>30</v>
      </c>
      <c r="N250" s="42">
        <v>4800</v>
      </c>
      <c r="O250" s="42" t="s">
        <v>1236</v>
      </c>
      <c r="P250" s="42">
        <v>4749</v>
      </c>
      <c r="Q250" s="42">
        <v>30</v>
      </c>
      <c r="R250" s="42">
        <v>158</v>
      </c>
      <c r="S250" s="42" t="s">
        <v>1227</v>
      </c>
      <c r="T250" s="42"/>
      <c r="U250" s="41" t="s">
        <v>1889</v>
      </c>
    </row>
    <row r="251" spans="1:21" s="40" customFormat="1" ht="24.95" customHeight="1" x14ac:dyDescent="0.3">
      <c r="A251" s="43">
        <v>2022.1</v>
      </c>
      <c r="B251" s="42" t="s">
        <v>734</v>
      </c>
      <c r="C251" s="42" t="s">
        <v>488</v>
      </c>
      <c r="D251" s="42" t="s">
        <v>1873</v>
      </c>
      <c r="E251" s="42" t="s">
        <v>1872</v>
      </c>
      <c r="F251" s="42" t="s">
        <v>1871</v>
      </c>
      <c r="G251" s="42" t="s">
        <v>517</v>
      </c>
      <c r="H251" s="42" t="s">
        <v>1888</v>
      </c>
      <c r="I251" s="42" t="s">
        <v>1887</v>
      </c>
      <c r="J251" s="42" t="s">
        <v>737</v>
      </c>
      <c r="K251" s="42"/>
      <c r="L251" s="42" t="s">
        <v>721</v>
      </c>
      <c r="M251" s="42">
        <v>50</v>
      </c>
      <c r="N251" s="42">
        <v>13500</v>
      </c>
      <c r="O251" s="42" t="s">
        <v>1886</v>
      </c>
      <c r="P251" s="42">
        <v>13498.5</v>
      </c>
      <c r="Q251" s="42">
        <v>50</v>
      </c>
      <c r="R251" s="42">
        <v>269.97000000000003</v>
      </c>
      <c r="S251" s="42" t="s">
        <v>1885</v>
      </c>
      <c r="T251" s="42"/>
      <c r="U251" s="41"/>
    </row>
    <row r="252" spans="1:21" s="40" customFormat="1" ht="24.95" customHeight="1" x14ac:dyDescent="0.3">
      <c r="A252" s="149">
        <v>2022.1</v>
      </c>
      <c r="B252" s="149" t="s">
        <v>734</v>
      </c>
      <c r="C252" s="149" t="s">
        <v>225</v>
      </c>
      <c r="D252" s="149" t="s">
        <v>1144</v>
      </c>
      <c r="E252" s="149"/>
      <c r="F252" s="149" t="s">
        <v>1816</v>
      </c>
      <c r="G252" s="149" t="s">
        <v>1884</v>
      </c>
      <c r="H252" s="149" t="s">
        <v>1883</v>
      </c>
      <c r="I252" s="49" t="s">
        <v>926</v>
      </c>
      <c r="J252" s="49" t="s">
        <v>759</v>
      </c>
      <c r="K252" s="152" t="s">
        <v>753</v>
      </c>
      <c r="L252" s="49" t="s">
        <v>721</v>
      </c>
      <c r="M252" s="49">
        <v>4</v>
      </c>
      <c r="N252" s="152" t="s">
        <v>721</v>
      </c>
      <c r="O252" s="152" t="s">
        <v>1882</v>
      </c>
      <c r="P252" s="152">
        <v>1008.55</v>
      </c>
      <c r="Q252" s="49">
        <v>4</v>
      </c>
      <c r="R252" s="49"/>
      <c r="S252" s="49"/>
      <c r="T252" s="49"/>
      <c r="U252" s="48"/>
    </row>
    <row r="253" spans="1:21" s="40" customFormat="1" ht="24.95" customHeight="1" x14ac:dyDescent="0.3">
      <c r="A253" s="150"/>
      <c r="B253" s="150"/>
      <c r="C253" s="150"/>
      <c r="D253" s="150"/>
      <c r="E253" s="150"/>
      <c r="F253" s="150"/>
      <c r="G253" s="150"/>
      <c r="H253" s="150"/>
      <c r="I253" s="49" t="s">
        <v>1881</v>
      </c>
      <c r="J253" s="49" t="s">
        <v>759</v>
      </c>
      <c r="K253" s="153"/>
      <c r="L253" s="49" t="s">
        <v>721</v>
      </c>
      <c r="M253" s="49">
        <v>3</v>
      </c>
      <c r="N253" s="153"/>
      <c r="O253" s="153"/>
      <c r="P253" s="153"/>
      <c r="Q253" s="49">
        <v>3</v>
      </c>
      <c r="R253" s="93"/>
      <c r="S253" s="49"/>
      <c r="T253" s="49"/>
      <c r="U253" s="48"/>
    </row>
    <row r="254" spans="1:21" s="40" customFormat="1" ht="24.95" customHeight="1" x14ac:dyDescent="0.3">
      <c r="A254" s="43">
        <v>2022.1</v>
      </c>
      <c r="B254" s="42" t="s">
        <v>734</v>
      </c>
      <c r="C254" s="42" t="s">
        <v>488</v>
      </c>
      <c r="D254" s="42" t="s">
        <v>1873</v>
      </c>
      <c r="E254" s="42"/>
      <c r="F254" s="42" t="s">
        <v>1880</v>
      </c>
      <c r="G254" s="42" t="s">
        <v>1879</v>
      </c>
      <c r="H254" s="42" t="s">
        <v>1878</v>
      </c>
      <c r="I254" s="42" t="s">
        <v>1878</v>
      </c>
      <c r="J254" s="42" t="s">
        <v>768</v>
      </c>
      <c r="K254" s="42"/>
      <c r="L254" s="42" t="s">
        <v>721</v>
      </c>
      <c r="M254" s="42">
        <v>1</v>
      </c>
      <c r="N254" s="42">
        <v>280</v>
      </c>
      <c r="O254" s="42" t="s">
        <v>1877</v>
      </c>
      <c r="P254" s="42">
        <v>243.6</v>
      </c>
      <c r="Q254" s="42">
        <v>1</v>
      </c>
      <c r="R254" s="42">
        <v>243.6</v>
      </c>
      <c r="S254" s="90" t="s">
        <v>1220</v>
      </c>
      <c r="T254" s="42"/>
      <c r="U254" s="41"/>
    </row>
    <row r="255" spans="1:21" s="40" customFormat="1" ht="24.95" customHeight="1" x14ac:dyDescent="0.3">
      <c r="A255" s="42">
        <v>2022.11</v>
      </c>
      <c r="B255" s="42" t="s">
        <v>734</v>
      </c>
      <c r="C255" s="42" t="s">
        <v>233</v>
      </c>
      <c r="D255" s="42" t="s">
        <v>1311</v>
      </c>
      <c r="E255" s="42"/>
      <c r="F255" s="42" t="s">
        <v>1876</v>
      </c>
      <c r="G255" s="42" t="s">
        <v>517</v>
      </c>
      <c r="H255" s="42" t="s">
        <v>1875</v>
      </c>
      <c r="I255" s="42" t="s">
        <v>833</v>
      </c>
      <c r="J255" s="42" t="s">
        <v>1055</v>
      </c>
      <c r="K255" s="42"/>
      <c r="L255" s="42">
        <v>10.5</v>
      </c>
      <c r="M255" s="42">
        <v>35</v>
      </c>
      <c r="N255" s="42">
        <v>7630</v>
      </c>
      <c r="O255" s="42" t="s">
        <v>1874</v>
      </c>
      <c r="P255" s="42">
        <v>7628.95</v>
      </c>
      <c r="Q255" s="42">
        <v>35</v>
      </c>
      <c r="R255" s="42">
        <v>217.97</v>
      </c>
      <c r="S255" s="42" t="s">
        <v>1227</v>
      </c>
      <c r="T255" s="42"/>
      <c r="U255" s="41"/>
    </row>
    <row r="256" spans="1:21" s="40" customFormat="1" ht="24.95" customHeight="1" x14ac:dyDescent="0.3">
      <c r="A256" s="49">
        <v>2022.11</v>
      </c>
      <c r="B256" s="49" t="s">
        <v>734</v>
      </c>
      <c r="C256" s="49" t="s">
        <v>488</v>
      </c>
      <c r="D256" s="49" t="s">
        <v>1873</v>
      </c>
      <c r="E256" s="49" t="s">
        <v>1872</v>
      </c>
      <c r="F256" s="49" t="s">
        <v>1871</v>
      </c>
      <c r="G256" s="49" t="s">
        <v>1870</v>
      </c>
      <c r="H256" s="49" t="s">
        <v>1869</v>
      </c>
      <c r="I256" s="49" t="s">
        <v>1868</v>
      </c>
      <c r="J256" s="49" t="s">
        <v>517</v>
      </c>
      <c r="K256" s="49" t="s">
        <v>753</v>
      </c>
      <c r="L256" s="49" t="s">
        <v>721</v>
      </c>
      <c r="M256" s="49">
        <v>7</v>
      </c>
      <c r="N256" s="49" t="s">
        <v>721</v>
      </c>
      <c r="O256" s="49" t="s">
        <v>1867</v>
      </c>
      <c r="P256" s="49">
        <v>15841</v>
      </c>
      <c r="Q256" s="49">
        <v>7</v>
      </c>
      <c r="R256" s="49">
        <v>2263</v>
      </c>
      <c r="S256" s="49" t="s">
        <v>1227</v>
      </c>
      <c r="T256" s="49"/>
      <c r="U256" s="48"/>
    </row>
    <row r="257" spans="1:21" s="40" customFormat="1" ht="24.95" customHeight="1" x14ac:dyDescent="0.3">
      <c r="A257" s="43">
        <v>2022.11</v>
      </c>
      <c r="B257" s="42" t="s">
        <v>734</v>
      </c>
      <c r="C257" s="42" t="s">
        <v>351</v>
      </c>
      <c r="D257" s="42" t="s">
        <v>1706</v>
      </c>
      <c r="E257" s="42"/>
      <c r="F257" s="42" t="s">
        <v>1866</v>
      </c>
      <c r="G257" s="42" t="s">
        <v>1865</v>
      </c>
      <c r="H257" s="42" t="s">
        <v>1864</v>
      </c>
      <c r="I257" s="42" t="s">
        <v>1863</v>
      </c>
      <c r="J257" s="42" t="s">
        <v>1055</v>
      </c>
      <c r="K257" s="42"/>
      <c r="L257" s="42">
        <v>10</v>
      </c>
      <c r="M257" s="42">
        <v>14</v>
      </c>
      <c r="N257" s="42">
        <v>3640</v>
      </c>
      <c r="O257" s="42" t="s">
        <v>1145</v>
      </c>
      <c r="P257" s="42">
        <v>3633</v>
      </c>
      <c r="Q257" s="42">
        <v>14</v>
      </c>
      <c r="R257" s="42">
        <v>259.5</v>
      </c>
      <c r="S257" s="42" t="s">
        <v>1333</v>
      </c>
      <c r="T257" s="42"/>
      <c r="U257" s="41"/>
    </row>
    <row r="258" spans="1:21" s="40" customFormat="1" ht="24.95" customHeight="1" x14ac:dyDescent="0.3">
      <c r="A258" s="144">
        <v>2022.11</v>
      </c>
      <c r="B258" s="144" t="s">
        <v>877</v>
      </c>
      <c r="C258" s="144" t="s">
        <v>13</v>
      </c>
      <c r="D258" s="144" t="s">
        <v>1272</v>
      </c>
      <c r="E258" s="144"/>
      <c r="F258" s="144" t="s">
        <v>1842</v>
      </c>
      <c r="G258" s="144" t="s">
        <v>1841</v>
      </c>
      <c r="H258" s="57" t="s">
        <v>1862</v>
      </c>
      <c r="I258" s="57" t="s">
        <v>801</v>
      </c>
      <c r="J258" s="57"/>
      <c r="K258" s="57"/>
      <c r="L258" s="57" t="s">
        <v>721</v>
      </c>
      <c r="M258" s="57">
        <v>5</v>
      </c>
      <c r="N258" s="57">
        <v>700</v>
      </c>
      <c r="O258" s="57"/>
      <c r="P258" s="57"/>
      <c r="Q258" s="57"/>
      <c r="R258" s="57"/>
      <c r="S258" s="57"/>
      <c r="T258" s="57"/>
      <c r="U258" s="60"/>
    </row>
    <row r="259" spans="1:21" s="40" customFormat="1" ht="24.95" customHeight="1" x14ac:dyDescent="0.3">
      <c r="A259" s="145"/>
      <c r="B259" s="145"/>
      <c r="C259" s="145"/>
      <c r="D259" s="145"/>
      <c r="E259" s="145"/>
      <c r="F259" s="145"/>
      <c r="G259" s="145"/>
      <c r="H259" s="57" t="s">
        <v>1861</v>
      </c>
      <c r="I259" s="57" t="s">
        <v>801</v>
      </c>
      <c r="J259" s="57"/>
      <c r="K259" s="57"/>
      <c r="L259" s="57" t="s">
        <v>721</v>
      </c>
      <c r="M259" s="57">
        <v>5</v>
      </c>
      <c r="N259" s="57">
        <v>700</v>
      </c>
      <c r="O259" s="57"/>
      <c r="P259" s="57"/>
      <c r="Q259" s="57"/>
      <c r="R259" s="57"/>
      <c r="S259" s="57"/>
      <c r="T259" s="57"/>
      <c r="U259" s="60"/>
    </row>
    <row r="260" spans="1:21" s="40" customFormat="1" ht="24.95" customHeight="1" x14ac:dyDescent="0.3">
      <c r="A260" s="61">
        <v>2022.11</v>
      </c>
      <c r="B260" s="57" t="s">
        <v>877</v>
      </c>
      <c r="C260" s="57" t="s">
        <v>403</v>
      </c>
      <c r="D260" s="57"/>
      <c r="E260" s="57"/>
      <c r="F260" s="57" t="s">
        <v>1190</v>
      </c>
      <c r="G260" s="57" t="s">
        <v>517</v>
      </c>
      <c r="H260" s="57" t="s">
        <v>1837</v>
      </c>
      <c r="I260" s="57" t="s">
        <v>1836</v>
      </c>
      <c r="J260" s="57"/>
      <c r="K260" s="57"/>
      <c r="L260" s="57" t="s">
        <v>721</v>
      </c>
      <c r="M260" s="57">
        <v>30</v>
      </c>
      <c r="N260" s="57">
        <v>2340</v>
      </c>
      <c r="O260" s="57"/>
      <c r="P260" s="57"/>
      <c r="Q260" s="57"/>
      <c r="R260" s="57"/>
      <c r="S260" s="57"/>
      <c r="T260" s="57"/>
      <c r="U260" s="60"/>
    </row>
    <row r="261" spans="1:21" s="40" customFormat="1" ht="24.95" customHeight="1" x14ac:dyDescent="0.3">
      <c r="A261" s="49">
        <v>2022.11</v>
      </c>
      <c r="B261" s="49" t="s">
        <v>734</v>
      </c>
      <c r="C261" s="49" t="s">
        <v>476</v>
      </c>
      <c r="D261" s="49" t="s">
        <v>477</v>
      </c>
      <c r="E261" s="49"/>
      <c r="F261" s="49" t="s">
        <v>1860</v>
      </c>
      <c r="G261" s="49" t="s">
        <v>1859</v>
      </c>
      <c r="H261" s="49" t="s">
        <v>1858</v>
      </c>
      <c r="I261" s="49" t="s">
        <v>1857</v>
      </c>
      <c r="J261" s="49" t="s">
        <v>517</v>
      </c>
      <c r="K261" s="49" t="s">
        <v>753</v>
      </c>
      <c r="L261" s="49" t="s">
        <v>721</v>
      </c>
      <c r="M261" s="49">
        <v>1</v>
      </c>
      <c r="N261" s="49">
        <v>480</v>
      </c>
      <c r="O261" s="49" t="s">
        <v>1856</v>
      </c>
      <c r="P261" s="49">
        <v>477.8</v>
      </c>
      <c r="Q261" s="49">
        <v>1</v>
      </c>
      <c r="R261" s="49">
        <v>477.8</v>
      </c>
      <c r="S261" s="49" t="s">
        <v>1097</v>
      </c>
      <c r="T261" s="49"/>
      <c r="U261" s="48" t="s">
        <v>1855</v>
      </c>
    </row>
    <row r="262" spans="1:21" s="40" customFormat="1" ht="24.95" customHeight="1" x14ac:dyDescent="0.3">
      <c r="A262" s="61">
        <v>2022.11</v>
      </c>
      <c r="B262" s="57" t="s">
        <v>877</v>
      </c>
      <c r="C262" s="57" t="s">
        <v>191</v>
      </c>
      <c r="D262" s="57" t="s">
        <v>1725</v>
      </c>
      <c r="E262" s="57"/>
      <c r="F262" s="57" t="s">
        <v>1835</v>
      </c>
      <c r="G262" s="57" t="s">
        <v>1834</v>
      </c>
      <c r="H262" s="57" t="s">
        <v>1551</v>
      </c>
      <c r="I262" s="57" t="s">
        <v>1832</v>
      </c>
      <c r="J262" s="57" t="s">
        <v>1055</v>
      </c>
      <c r="K262" s="57"/>
      <c r="L262" s="57">
        <v>10.5</v>
      </c>
      <c r="M262" s="57">
        <v>50</v>
      </c>
      <c r="N262" s="57">
        <v>4464</v>
      </c>
      <c r="O262" s="57"/>
      <c r="P262" s="57"/>
      <c r="Q262" s="57"/>
      <c r="R262" s="57"/>
      <c r="S262" s="57"/>
      <c r="T262" s="57"/>
      <c r="U262" s="60" t="s">
        <v>922</v>
      </c>
    </row>
    <row r="263" spans="1:21" s="40" customFormat="1" ht="24.95" customHeight="1" x14ac:dyDescent="0.3">
      <c r="A263" s="43">
        <v>2022.11</v>
      </c>
      <c r="B263" s="42" t="s">
        <v>734</v>
      </c>
      <c r="C263" s="42" t="s">
        <v>233</v>
      </c>
      <c r="D263" s="42" t="s">
        <v>1311</v>
      </c>
      <c r="E263" s="42" t="s">
        <v>1854</v>
      </c>
      <c r="F263" s="42" t="s">
        <v>1853</v>
      </c>
      <c r="G263" s="42"/>
      <c r="H263" s="42" t="s">
        <v>1852</v>
      </c>
      <c r="I263" s="42" t="s">
        <v>1851</v>
      </c>
      <c r="J263" s="42" t="s">
        <v>728</v>
      </c>
      <c r="K263" s="42"/>
      <c r="L263" s="42">
        <v>8.5</v>
      </c>
      <c r="M263" s="42">
        <v>18</v>
      </c>
      <c r="N263" s="42">
        <v>3700</v>
      </c>
      <c r="O263" s="42" t="s">
        <v>880</v>
      </c>
      <c r="P263" s="42">
        <v>3492</v>
      </c>
      <c r="Q263" s="42">
        <v>18</v>
      </c>
      <c r="R263" s="42">
        <v>194</v>
      </c>
      <c r="S263" s="42" t="s">
        <v>1227</v>
      </c>
      <c r="T263" s="42"/>
      <c r="U263" s="41"/>
    </row>
    <row r="264" spans="1:21" s="40" customFormat="1" ht="24.95" customHeight="1" x14ac:dyDescent="0.3">
      <c r="A264" s="43">
        <v>2022.11</v>
      </c>
      <c r="B264" s="42" t="s">
        <v>734</v>
      </c>
      <c r="C264" s="42" t="s">
        <v>403</v>
      </c>
      <c r="D264" s="42"/>
      <c r="E264" s="42"/>
      <c r="F264" s="42" t="s">
        <v>1190</v>
      </c>
      <c r="G264" s="42" t="s">
        <v>517</v>
      </c>
      <c r="H264" s="42" t="s">
        <v>1850</v>
      </c>
      <c r="I264" s="42" t="s">
        <v>1313</v>
      </c>
      <c r="J264" s="42" t="s">
        <v>722</v>
      </c>
      <c r="K264" s="42"/>
      <c r="L264" s="42" t="s">
        <v>721</v>
      </c>
      <c r="M264" s="42">
        <v>20</v>
      </c>
      <c r="N264" s="42">
        <v>2960</v>
      </c>
      <c r="O264" s="42" t="s">
        <v>1448</v>
      </c>
      <c r="P264" s="42">
        <v>2840</v>
      </c>
      <c r="Q264" s="42">
        <v>20</v>
      </c>
      <c r="R264" s="42">
        <v>142</v>
      </c>
      <c r="S264" s="42" t="s">
        <v>1227</v>
      </c>
      <c r="T264" s="42"/>
      <c r="U264" s="41"/>
    </row>
    <row r="265" spans="1:21" s="76" customFormat="1" ht="24.95" customHeight="1" x14ac:dyDescent="0.3">
      <c r="A265" s="149">
        <v>2022.11</v>
      </c>
      <c r="B265" s="149" t="s">
        <v>734</v>
      </c>
      <c r="C265" s="149" t="s">
        <v>13</v>
      </c>
      <c r="D265" s="149" t="s">
        <v>1849</v>
      </c>
      <c r="E265" s="149"/>
      <c r="F265" s="149" t="s">
        <v>1848</v>
      </c>
      <c r="G265" s="149" t="s">
        <v>1847</v>
      </c>
      <c r="H265" s="149" t="s">
        <v>1807</v>
      </c>
      <c r="I265" s="49" t="s">
        <v>1806</v>
      </c>
      <c r="J265" s="49" t="s">
        <v>737</v>
      </c>
      <c r="K265" s="152" t="s">
        <v>753</v>
      </c>
      <c r="L265" s="49" t="s">
        <v>721</v>
      </c>
      <c r="M265" s="49">
        <v>30</v>
      </c>
      <c r="N265" s="49">
        <v>0</v>
      </c>
      <c r="O265" s="49" t="s">
        <v>1843</v>
      </c>
      <c r="P265" s="49">
        <v>0</v>
      </c>
      <c r="Q265" s="49">
        <v>30</v>
      </c>
      <c r="R265" s="49">
        <v>0</v>
      </c>
      <c r="S265" s="49"/>
      <c r="T265" s="49"/>
      <c r="U265" s="48"/>
    </row>
    <row r="266" spans="1:21" s="76" customFormat="1" ht="24.95" customHeight="1" x14ac:dyDescent="0.3">
      <c r="A266" s="151"/>
      <c r="B266" s="151"/>
      <c r="C266" s="151"/>
      <c r="D266" s="151"/>
      <c r="E266" s="151"/>
      <c r="F266" s="151"/>
      <c r="G266" s="151"/>
      <c r="H266" s="151"/>
      <c r="I266" s="49" t="s">
        <v>1806</v>
      </c>
      <c r="J266" s="49" t="s">
        <v>737</v>
      </c>
      <c r="K266" s="154"/>
      <c r="L266" s="49" t="s">
        <v>721</v>
      </c>
      <c r="M266" s="49">
        <v>10</v>
      </c>
      <c r="N266" s="49">
        <v>0</v>
      </c>
      <c r="O266" s="49" t="s">
        <v>1846</v>
      </c>
      <c r="P266" s="49">
        <v>0</v>
      </c>
      <c r="Q266" s="49">
        <v>10</v>
      </c>
      <c r="R266" s="49">
        <v>0</v>
      </c>
      <c r="S266" s="49"/>
      <c r="T266" s="49"/>
      <c r="U266" s="48"/>
    </row>
    <row r="267" spans="1:21" s="76" customFormat="1" ht="24.95" customHeight="1" x14ac:dyDescent="0.3">
      <c r="A267" s="150"/>
      <c r="B267" s="150"/>
      <c r="C267" s="150"/>
      <c r="D267" s="150"/>
      <c r="E267" s="150"/>
      <c r="F267" s="150"/>
      <c r="G267" s="150"/>
      <c r="H267" s="150"/>
      <c r="I267" s="49" t="s">
        <v>1806</v>
      </c>
      <c r="J267" s="49" t="s">
        <v>737</v>
      </c>
      <c r="K267" s="153"/>
      <c r="L267" s="49" t="s">
        <v>721</v>
      </c>
      <c r="M267" s="49">
        <v>10</v>
      </c>
      <c r="N267" s="49">
        <v>0</v>
      </c>
      <c r="O267" s="49" t="s">
        <v>1845</v>
      </c>
      <c r="P267" s="49">
        <v>0</v>
      </c>
      <c r="Q267" s="49">
        <v>10</v>
      </c>
      <c r="R267" s="49">
        <v>0</v>
      </c>
      <c r="S267" s="49"/>
      <c r="T267" s="49"/>
      <c r="U267" s="48"/>
    </row>
    <row r="268" spans="1:21" s="40" customFormat="1" ht="24.95" customHeight="1" x14ac:dyDescent="0.3">
      <c r="A268" s="144">
        <v>2022.11</v>
      </c>
      <c r="B268" s="144" t="s">
        <v>877</v>
      </c>
      <c r="C268" s="144" t="s">
        <v>13</v>
      </c>
      <c r="D268" s="144" t="s">
        <v>1496</v>
      </c>
      <c r="E268" s="144"/>
      <c r="F268" s="144" t="s">
        <v>1495</v>
      </c>
      <c r="G268" s="144" t="s">
        <v>1844</v>
      </c>
      <c r="H268" s="144" t="s">
        <v>1807</v>
      </c>
      <c r="I268" s="144" t="s">
        <v>1806</v>
      </c>
      <c r="J268" s="59"/>
      <c r="K268" s="59"/>
      <c r="L268" s="57" t="s">
        <v>721</v>
      </c>
      <c r="M268" s="57">
        <v>80</v>
      </c>
      <c r="N268" s="57">
        <v>0</v>
      </c>
      <c r="O268" s="57"/>
      <c r="P268" s="57"/>
      <c r="Q268" s="57"/>
      <c r="R268" s="57"/>
      <c r="S268" s="57"/>
      <c r="T268" s="57"/>
      <c r="U268" s="140" t="s">
        <v>922</v>
      </c>
    </row>
    <row r="269" spans="1:21" s="40" customFormat="1" ht="24.95" customHeight="1" x14ac:dyDescent="0.3">
      <c r="A269" s="155"/>
      <c r="B269" s="155"/>
      <c r="C269" s="155"/>
      <c r="D269" s="155"/>
      <c r="E269" s="155"/>
      <c r="F269" s="155"/>
      <c r="G269" s="155"/>
      <c r="H269" s="155"/>
      <c r="I269" s="155"/>
      <c r="J269" s="59"/>
      <c r="K269" s="59"/>
      <c r="L269" s="57" t="s">
        <v>721</v>
      </c>
      <c r="M269" s="57">
        <v>60</v>
      </c>
      <c r="N269" s="57">
        <v>0</v>
      </c>
      <c r="O269" s="57"/>
      <c r="P269" s="57"/>
      <c r="Q269" s="57"/>
      <c r="R269" s="57"/>
      <c r="S269" s="57"/>
      <c r="T269" s="57"/>
      <c r="U269" s="157"/>
    </row>
    <row r="270" spans="1:21" s="40" customFormat="1" ht="24.95" customHeight="1" x14ac:dyDescent="0.3">
      <c r="A270" s="145"/>
      <c r="B270" s="145"/>
      <c r="C270" s="145"/>
      <c r="D270" s="145"/>
      <c r="E270" s="145"/>
      <c r="F270" s="145"/>
      <c r="G270" s="145"/>
      <c r="H270" s="145"/>
      <c r="I270" s="145"/>
      <c r="J270" s="59"/>
      <c r="K270" s="59"/>
      <c r="L270" s="57" t="s">
        <v>721</v>
      </c>
      <c r="M270" s="57">
        <v>20</v>
      </c>
      <c r="N270" s="57">
        <v>0</v>
      </c>
      <c r="O270" s="57"/>
      <c r="P270" s="57"/>
      <c r="Q270" s="57"/>
      <c r="R270" s="57"/>
      <c r="S270" s="57"/>
      <c r="T270" s="57"/>
      <c r="U270" s="141"/>
    </row>
    <row r="271" spans="1:21" s="76" customFormat="1" ht="24.95" customHeight="1" x14ac:dyDescent="0.3">
      <c r="A271" s="149">
        <v>2022.11</v>
      </c>
      <c r="B271" s="149" t="s">
        <v>734</v>
      </c>
      <c r="C271" s="149" t="s">
        <v>13</v>
      </c>
      <c r="D271" s="149" t="s">
        <v>1496</v>
      </c>
      <c r="E271" s="149"/>
      <c r="F271" s="149" t="s">
        <v>1495</v>
      </c>
      <c r="G271" s="149" t="s">
        <v>1844</v>
      </c>
      <c r="H271" s="149" t="s">
        <v>1807</v>
      </c>
      <c r="I271" s="149" t="s">
        <v>1806</v>
      </c>
      <c r="J271" s="49" t="s">
        <v>737</v>
      </c>
      <c r="K271" s="152" t="s">
        <v>753</v>
      </c>
      <c r="L271" s="49" t="s">
        <v>721</v>
      </c>
      <c r="M271" s="49">
        <v>80</v>
      </c>
      <c r="N271" s="49">
        <v>0</v>
      </c>
      <c r="O271" s="49" t="s">
        <v>1491</v>
      </c>
      <c r="P271" s="49">
        <v>0</v>
      </c>
      <c r="Q271" s="49">
        <v>80</v>
      </c>
      <c r="R271" s="49">
        <v>0</v>
      </c>
      <c r="S271" s="49" t="s">
        <v>1178</v>
      </c>
      <c r="T271" s="49"/>
      <c r="U271" s="48"/>
    </row>
    <row r="272" spans="1:21" s="76" customFormat="1" ht="24.95" customHeight="1" x14ac:dyDescent="0.3">
      <c r="A272" s="150"/>
      <c r="B272" s="150"/>
      <c r="C272" s="150"/>
      <c r="D272" s="150"/>
      <c r="E272" s="150"/>
      <c r="F272" s="150"/>
      <c r="G272" s="150"/>
      <c r="H272" s="150"/>
      <c r="I272" s="150"/>
      <c r="J272" s="49" t="s">
        <v>737</v>
      </c>
      <c r="K272" s="153"/>
      <c r="L272" s="49" t="s">
        <v>721</v>
      </c>
      <c r="M272" s="49">
        <v>60</v>
      </c>
      <c r="N272" s="49">
        <v>0</v>
      </c>
      <c r="O272" s="49" t="s">
        <v>1843</v>
      </c>
      <c r="P272" s="49">
        <v>0</v>
      </c>
      <c r="Q272" s="49">
        <v>60</v>
      </c>
      <c r="R272" s="49">
        <v>0</v>
      </c>
      <c r="S272" s="49"/>
      <c r="T272" s="49"/>
      <c r="U272" s="48"/>
    </row>
    <row r="273" spans="1:21" s="76" customFormat="1" ht="24.95" customHeight="1" x14ac:dyDescent="0.3">
      <c r="A273" s="123">
        <v>2022.12</v>
      </c>
      <c r="B273" s="123" t="s">
        <v>734</v>
      </c>
      <c r="C273" s="123" t="s">
        <v>13</v>
      </c>
      <c r="D273" s="123" t="s">
        <v>1272</v>
      </c>
      <c r="E273" s="123"/>
      <c r="F273" s="123" t="s">
        <v>1842</v>
      </c>
      <c r="G273" s="123" t="s">
        <v>1841</v>
      </c>
      <c r="H273" s="42" t="s">
        <v>1840</v>
      </c>
      <c r="I273" s="42" t="s">
        <v>801</v>
      </c>
      <c r="J273" s="42" t="s">
        <v>737</v>
      </c>
      <c r="K273" s="42"/>
      <c r="L273" s="42" t="s">
        <v>721</v>
      </c>
      <c r="M273" s="42">
        <v>5</v>
      </c>
      <c r="N273" s="42">
        <v>700</v>
      </c>
      <c r="O273" s="42" t="s">
        <v>1838</v>
      </c>
      <c r="P273" s="42">
        <v>699.5</v>
      </c>
      <c r="Q273" s="42">
        <v>5</v>
      </c>
      <c r="R273" s="42">
        <v>139.9</v>
      </c>
      <c r="S273" s="42"/>
      <c r="T273" s="42"/>
      <c r="U273" s="41"/>
    </row>
    <row r="274" spans="1:21" s="76" customFormat="1" ht="24.95" customHeight="1" x14ac:dyDescent="0.3">
      <c r="A274" s="124"/>
      <c r="B274" s="124"/>
      <c r="C274" s="124"/>
      <c r="D274" s="124"/>
      <c r="E274" s="124"/>
      <c r="F274" s="124"/>
      <c r="G274" s="124"/>
      <c r="H274" s="42" t="s">
        <v>1839</v>
      </c>
      <c r="I274" s="42" t="s">
        <v>801</v>
      </c>
      <c r="J274" s="42" t="s">
        <v>737</v>
      </c>
      <c r="K274" s="42"/>
      <c r="L274" s="42" t="s">
        <v>721</v>
      </c>
      <c r="M274" s="42">
        <v>5</v>
      </c>
      <c r="N274" s="42">
        <v>700</v>
      </c>
      <c r="O274" s="42" t="s">
        <v>1838</v>
      </c>
      <c r="P274" s="42">
        <v>699.5</v>
      </c>
      <c r="Q274" s="42">
        <v>5</v>
      </c>
      <c r="R274" s="42">
        <v>139.9</v>
      </c>
      <c r="S274" s="42"/>
      <c r="T274" s="42"/>
      <c r="U274" s="41"/>
    </row>
    <row r="275" spans="1:21" s="40" customFormat="1" ht="24.95" customHeight="1" x14ac:dyDescent="0.3">
      <c r="A275" s="43">
        <v>2022.12</v>
      </c>
      <c r="B275" s="42" t="s">
        <v>734</v>
      </c>
      <c r="C275" s="42" t="s">
        <v>403</v>
      </c>
      <c r="D275" s="42"/>
      <c r="E275" s="42"/>
      <c r="F275" s="42" t="s">
        <v>1190</v>
      </c>
      <c r="G275" s="42" t="s">
        <v>517</v>
      </c>
      <c r="H275" s="42" t="s">
        <v>1837</v>
      </c>
      <c r="I275" s="42" t="s">
        <v>1836</v>
      </c>
      <c r="J275" s="42" t="s">
        <v>743</v>
      </c>
      <c r="K275" s="42"/>
      <c r="L275" s="42" t="s">
        <v>721</v>
      </c>
      <c r="M275" s="42">
        <v>30</v>
      </c>
      <c r="N275" s="42">
        <v>2340</v>
      </c>
      <c r="O275" s="42" t="s">
        <v>1596</v>
      </c>
      <c r="P275" s="42">
        <v>2250</v>
      </c>
      <c r="Q275" s="42">
        <v>30</v>
      </c>
      <c r="R275" s="42">
        <v>75</v>
      </c>
      <c r="S275" s="42" t="s">
        <v>1089</v>
      </c>
      <c r="T275" s="42"/>
      <c r="U275" s="41"/>
    </row>
    <row r="276" spans="1:21" s="40" customFormat="1" ht="24.95" customHeight="1" x14ac:dyDescent="0.3">
      <c r="A276" s="49">
        <v>2022.12</v>
      </c>
      <c r="B276" s="49" t="s">
        <v>1123</v>
      </c>
      <c r="C276" s="49" t="s">
        <v>191</v>
      </c>
      <c r="D276" s="49" t="s">
        <v>1725</v>
      </c>
      <c r="E276" s="49"/>
      <c r="F276" s="49" t="s">
        <v>1835</v>
      </c>
      <c r="G276" s="49" t="s">
        <v>1834</v>
      </c>
      <c r="H276" s="49" t="s">
        <v>1833</v>
      </c>
      <c r="I276" s="49" t="s">
        <v>1832</v>
      </c>
      <c r="J276" s="49" t="s">
        <v>1055</v>
      </c>
      <c r="K276" s="49" t="s">
        <v>753</v>
      </c>
      <c r="L276" s="49">
        <v>10.5</v>
      </c>
      <c r="M276" s="49">
        <v>50</v>
      </c>
      <c r="N276" s="49">
        <v>4464</v>
      </c>
      <c r="O276" s="49"/>
      <c r="P276" s="49"/>
      <c r="Q276" s="49"/>
      <c r="R276" s="49"/>
      <c r="S276" s="49"/>
      <c r="T276" s="49"/>
      <c r="U276" s="48"/>
    </row>
    <row r="277" spans="1:21" s="40" customFormat="1" ht="24.95" customHeight="1" x14ac:dyDescent="0.3">
      <c r="A277" s="49">
        <v>2022.12</v>
      </c>
      <c r="B277" s="49" t="s">
        <v>1123</v>
      </c>
      <c r="C277" s="49" t="s">
        <v>44</v>
      </c>
      <c r="D277" s="49" t="s">
        <v>1024</v>
      </c>
      <c r="E277" s="49"/>
      <c r="F277" s="49" t="s">
        <v>1831</v>
      </c>
      <c r="G277" s="49" t="s">
        <v>517</v>
      </c>
      <c r="H277" s="49" t="s">
        <v>1830</v>
      </c>
      <c r="I277" s="49" t="s">
        <v>833</v>
      </c>
      <c r="J277" s="49" t="s">
        <v>1829</v>
      </c>
      <c r="K277" s="49" t="s">
        <v>753</v>
      </c>
      <c r="L277" s="49" t="s">
        <v>721</v>
      </c>
      <c r="M277" s="49">
        <v>5</v>
      </c>
      <c r="N277" s="49" t="s">
        <v>721</v>
      </c>
      <c r="O277" s="49"/>
      <c r="P277" s="49"/>
      <c r="Q277" s="49"/>
      <c r="R277" s="49"/>
      <c r="S277" s="49"/>
      <c r="T277" s="49"/>
      <c r="U277" s="48" t="s">
        <v>1828</v>
      </c>
    </row>
    <row r="278" spans="1:21" s="40" customFormat="1" ht="24.95" customHeight="1" x14ac:dyDescent="0.3">
      <c r="A278" s="49">
        <v>2022.12</v>
      </c>
      <c r="B278" s="49" t="s">
        <v>734</v>
      </c>
      <c r="C278" s="49" t="s">
        <v>191</v>
      </c>
      <c r="D278" s="49" t="s">
        <v>1825</v>
      </c>
      <c r="E278" s="49"/>
      <c r="F278" s="49" t="s">
        <v>1824</v>
      </c>
      <c r="G278" s="49" t="s">
        <v>1827</v>
      </c>
      <c r="H278" s="49" t="s">
        <v>1822</v>
      </c>
      <c r="I278" s="49" t="s">
        <v>1826</v>
      </c>
      <c r="J278" s="49" t="s">
        <v>743</v>
      </c>
      <c r="K278" s="49" t="s">
        <v>753</v>
      </c>
      <c r="L278" s="49" t="s">
        <v>721</v>
      </c>
      <c r="M278" s="49" t="s">
        <v>721</v>
      </c>
      <c r="N278" s="49">
        <v>3115</v>
      </c>
      <c r="O278" s="49" t="s">
        <v>1596</v>
      </c>
      <c r="P278" s="49">
        <v>3100</v>
      </c>
      <c r="Q278" s="49"/>
      <c r="R278" s="49"/>
      <c r="S278" s="49" t="s">
        <v>1821</v>
      </c>
      <c r="T278" s="49"/>
      <c r="U278" s="48"/>
    </row>
    <row r="279" spans="1:21" s="40" customFormat="1" ht="24.95" customHeight="1" x14ac:dyDescent="0.3">
      <c r="A279" s="43">
        <v>2022.12</v>
      </c>
      <c r="B279" s="42" t="s">
        <v>734</v>
      </c>
      <c r="C279" s="42" t="s">
        <v>191</v>
      </c>
      <c r="D279" s="42" t="s">
        <v>1825</v>
      </c>
      <c r="E279" s="42"/>
      <c r="F279" s="42" t="s">
        <v>1824</v>
      </c>
      <c r="G279" s="42" t="s">
        <v>1823</v>
      </c>
      <c r="H279" s="42" t="s">
        <v>1822</v>
      </c>
      <c r="I279" s="42" t="s">
        <v>1268</v>
      </c>
      <c r="J279" s="42" t="s">
        <v>722</v>
      </c>
      <c r="K279" s="42"/>
      <c r="L279" s="42" t="s">
        <v>721</v>
      </c>
      <c r="M279" s="42">
        <v>10</v>
      </c>
      <c r="N279" s="42">
        <v>1305</v>
      </c>
      <c r="O279" s="42" t="s">
        <v>1074</v>
      </c>
      <c r="P279" s="42">
        <v>1304.5</v>
      </c>
      <c r="Q279" s="42">
        <v>10</v>
      </c>
      <c r="R279" s="42">
        <v>130.44999999999999</v>
      </c>
      <c r="S279" s="42" t="s">
        <v>1821</v>
      </c>
      <c r="T279" s="42">
        <v>120</v>
      </c>
      <c r="U279" s="41"/>
    </row>
    <row r="280" spans="1:21" s="40" customFormat="1" ht="24.95" customHeight="1" x14ac:dyDescent="0.3">
      <c r="A280" s="61">
        <v>2022.12</v>
      </c>
      <c r="B280" s="57" t="s">
        <v>877</v>
      </c>
      <c r="C280" s="57" t="s">
        <v>208</v>
      </c>
      <c r="D280" s="57" t="s">
        <v>1195</v>
      </c>
      <c r="E280" s="57"/>
      <c r="F280" s="57" t="s">
        <v>1305</v>
      </c>
      <c r="G280" s="57" t="s">
        <v>1820</v>
      </c>
      <c r="H280" s="57" t="s">
        <v>1819</v>
      </c>
      <c r="I280" s="57" t="s">
        <v>1818</v>
      </c>
      <c r="J280" s="57"/>
      <c r="K280" s="57"/>
      <c r="L280" s="57" t="s">
        <v>721</v>
      </c>
      <c r="M280" s="57">
        <v>20</v>
      </c>
      <c r="N280" s="57">
        <v>4000</v>
      </c>
      <c r="O280" s="57"/>
      <c r="P280" s="57"/>
      <c r="Q280" s="57"/>
      <c r="R280" s="57"/>
      <c r="S280" s="57"/>
      <c r="T280" s="57"/>
      <c r="U280" s="60" t="s">
        <v>1817</v>
      </c>
    </row>
    <row r="281" spans="1:21" s="40" customFormat="1" ht="24.95" customHeight="1" x14ac:dyDescent="0.3">
      <c r="A281" s="43">
        <v>2022.12</v>
      </c>
      <c r="B281" s="42" t="s">
        <v>734</v>
      </c>
      <c r="C281" s="42" t="s">
        <v>225</v>
      </c>
      <c r="D281" s="42" t="s">
        <v>1144</v>
      </c>
      <c r="E281" s="42"/>
      <c r="F281" s="42" t="s">
        <v>1816</v>
      </c>
      <c r="G281" s="42" t="s">
        <v>1815</v>
      </c>
      <c r="H281" s="42" t="s">
        <v>1167</v>
      </c>
      <c r="I281" s="42" t="s">
        <v>1167</v>
      </c>
      <c r="J281" s="42" t="s">
        <v>759</v>
      </c>
      <c r="K281" s="42"/>
      <c r="L281" s="42" t="s">
        <v>721</v>
      </c>
      <c r="M281" s="42">
        <v>16</v>
      </c>
      <c r="N281" s="42" t="s">
        <v>721</v>
      </c>
      <c r="O281" s="42" t="s">
        <v>1298</v>
      </c>
      <c r="P281" s="42">
        <v>2784</v>
      </c>
      <c r="Q281" s="42">
        <v>16</v>
      </c>
      <c r="R281" s="42">
        <v>174</v>
      </c>
      <c r="S281" s="90"/>
      <c r="T281" s="42"/>
      <c r="U281" s="41"/>
    </row>
    <row r="282" spans="1:21" s="40" customFormat="1" ht="24.95" customHeight="1" x14ac:dyDescent="0.3">
      <c r="A282" s="49">
        <v>2022.12</v>
      </c>
      <c r="B282" s="49" t="s">
        <v>734</v>
      </c>
      <c r="C282" s="49" t="s">
        <v>25</v>
      </c>
      <c r="D282" s="49" t="s">
        <v>1010</v>
      </c>
      <c r="E282" s="49"/>
      <c r="F282" s="49" t="s">
        <v>1814</v>
      </c>
      <c r="G282" s="49" t="s">
        <v>517</v>
      </c>
      <c r="H282" s="49" t="s">
        <v>1813</v>
      </c>
      <c r="I282" s="49" t="s">
        <v>1812</v>
      </c>
      <c r="J282" s="49" t="s">
        <v>517</v>
      </c>
      <c r="K282" s="49" t="s">
        <v>753</v>
      </c>
      <c r="L282" s="49" t="s">
        <v>721</v>
      </c>
      <c r="M282" s="49">
        <v>5</v>
      </c>
      <c r="N282" s="49" t="s">
        <v>721</v>
      </c>
      <c r="O282" s="49" t="s">
        <v>1811</v>
      </c>
      <c r="P282" s="49">
        <v>39997</v>
      </c>
      <c r="Q282" s="49">
        <v>5</v>
      </c>
      <c r="R282" s="49">
        <v>7999.4</v>
      </c>
      <c r="S282" s="49"/>
      <c r="T282" s="49"/>
      <c r="U282" s="48"/>
    </row>
    <row r="283" spans="1:21" s="40" customFormat="1" ht="24.95" customHeight="1" x14ac:dyDescent="0.3">
      <c r="A283" s="43">
        <v>2023.01</v>
      </c>
      <c r="B283" s="42" t="s">
        <v>734</v>
      </c>
      <c r="C283" s="42" t="s">
        <v>25</v>
      </c>
      <c r="D283" s="42" t="s">
        <v>641</v>
      </c>
      <c r="E283" s="42"/>
      <c r="F283" s="42" t="s">
        <v>1810</v>
      </c>
      <c r="G283" s="42" t="s">
        <v>517</v>
      </c>
      <c r="H283" s="42" t="s">
        <v>1006</v>
      </c>
      <c r="I283" s="42" t="s">
        <v>1006</v>
      </c>
      <c r="J283" s="42" t="s">
        <v>768</v>
      </c>
      <c r="K283" s="42"/>
      <c r="L283" s="42" t="s">
        <v>721</v>
      </c>
      <c r="M283" s="42">
        <v>30</v>
      </c>
      <c r="N283" s="42">
        <v>4624.8</v>
      </c>
      <c r="O283" s="42" t="s">
        <v>1809</v>
      </c>
      <c r="P283" s="42">
        <v>4624.8</v>
      </c>
      <c r="Q283" s="42">
        <v>30</v>
      </c>
      <c r="R283" s="42">
        <v>154.16</v>
      </c>
      <c r="S283" s="90"/>
      <c r="T283" s="42"/>
      <c r="U283" s="41"/>
    </row>
    <row r="284" spans="1:21" s="76" customFormat="1" ht="24.95" customHeight="1" x14ac:dyDescent="0.3">
      <c r="A284" s="149">
        <v>2023.01</v>
      </c>
      <c r="B284" s="149" t="s">
        <v>734</v>
      </c>
      <c r="C284" s="149" t="s">
        <v>13</v>
      </c>
      <c r="D284" s="149" t="s">
        <v>1346</v>
      </c>
      <c r="E284" s="149"/>
      <c r="F284" s="149" t="s">
        <v>1345</v>
      </c>
      <c r="G284" s="149" t="s">
        <v>1808</v>
      </c>
      <c r="H284" s="149" t="s">
        <v>1807</v>
      </c>
      <c r="I284" s="149" t="s">
        <v>1806</v>
      </c>
      <c r="J284" s="49" t="s">
        <v>737</v>
      </c>
      <c r="K284" s="152" t="s">
        <v>753</v>
      </c>
      <c r="L284" s="49" t="s">
        <v>721</v>
      </c>
      <c r="M284" s="49">
        <v>10</v>
      </c>
      <c r="N284" s="49">
        <v>0</v>
      </c>
      <c r="O284" s="49" t="s">
        <v>1628</v>
      </c>
      <c r="P284" s="49">
        <v>0</v>
      </c>
      <c r="Q284" s="49">
        <v>10</v>
      </c>
      <c r="R284" s="49">
        <v>0</v>
      </c>
      <c r="S284" s="49"/>
      <c r="T284" s="92"/>
      <c r="U284" s="91"/>
    </row>
    <row r="285" spans="1:21" s="76" customFormat="1" ht="24.95" customHeight="1" x14ac:dyDescent="0.3">
      <c r="A285" s="151"/>
      <c r="B285" s="151"/>
      <c r="C285" s="151"/>
      <c r="D285" s="151"/>
      <c r="E285" s="151"/>
      <c r="F285" s="151"/>
      <c r="G285" s="151"/>
      <c r="H285" s="151"/>
      <c r="I285" s="151"/>
      <c r="J285" s="49" t="s">
        <v>737</v>
      </c>
      <c r="K285" s="153"/>
      <c r="L285" s="49" t="s">
        <v>721</v>
      </c>
      <c r="M285" s="49">
        <v>10</v>
      </c>
      <c r="N285" s="49">
        <v>0</v>
      </c>
      <c r="O285" s="49" t="s">
        <v>1629</v>
      </c>
      <c r="P285" s="49">
        <v>0</v>
      </c>
      <c r="Q285" s="49">
        <v>10</v>
      </c>
      <c r="R285" s="49">
        <v>0</v>
      </c>
      <c r="S285" s="49"/>
      <c r="T285" s="92"/>
      <c r="U285" s="91"/>
    </row>
    <row r="286" spans="1:21" s="40" customFormat="1" ht="24.95" customHeight="1" x14ac:dyDescent="0.3">
      <c r="A286" s="149">
        <v>2023.02</v>
      </c>
      <c r="B286" s="149" t="s">
        <v>734</v>
      </c>
      <c r="C286" s="149" t="s">
        <v>35</v>
      </c>
      <c r="D286" s="149" t="s">
        <v>102</v>
      </c>
      <c r="E286" s="152"/>
      <c r="F286" s="149" t="s">
        <v>1234</v>
      </c>
      <c r="G286" s="149" t="s">
        <v>1805</v>
      </c>
      <c r="H286" s="49" t="s">
        <v>1804</v>
      </c>
      <c r="I286" s="49" t="s">
        <v>1302</v>
      </c>
      <c r="J286" s="49" t="s">
        <v>737</v>
      </c>
      <c r="K286" s="149" t="s">
        <v>753</v>
      </c>
      <c r="L286" s="49" t="s">
        <v>721</v>
      </c>
      <c r="M286" s="49">
        <v>20</v>
      </c>
      <c r="N286" s="49" t="s">
        <v>721</v>
      </c>
      <c r="O286" s="149" t="s">
        <v>1803</v>
      </c>
      <c r="P286" s="149">
        <v>11626.9</v>
      </c>
      <c r="Q286" s="49">
        <v>20</v>
      </c>
      <c r="R286" s="152" t="s">
        <v>721</v>
      </c>
      <c r="S286" s="49" t="s">
        <v>1220</v>
      </c>
      <c r="T286" s="49"/>
      <c r="U286" s="48"/>
    </row>
    <row r="287" spans="1:21" s="40" customFormat="1" ht="24.95" customHeight="1" x14ac:dyDescent="0.3">
      <c r="A287" s="151"/>
      <c r="B287" s="151"/>
      <c r="C287" s="151"/>
      <c r="D287" s="151"/>
      <c r="E287" s="154"/>
      <c r="F287" s="151"/>
      <c r="G287" s="151"/>
      <c r="H287" s="49" t="s">
        <v>1802</v>
      </c>
      <c r="I287" s="49" t="s">
        <v>1302</v>
      </c>
      <c r="J287" s="49" t="s">
        <v>737</v>
      </c>
      <c r="K287" s="151"/>
      <c r="L287" s="49" t="s">
        <v>721</v>
      </c>
      <c r="M287" s="49">
        <v>20</v>
      </c>
      <c r="N287" s="49" t="s">
        <v>721</v>
      </c>
      <c r="O287" s="151"/>
      <c r="P287" s="151"/>
      <c r="Q287" s="49">
        <v>20</v>
      </c>
      <c r="R287" s="154"/>
      <c r="S287" s="49" t="s">
        <v>1220</v>
      </c>
      <c r="T287" s="49"/>
      <c r="U287" s="48"/>
    </row>
    <row r="288" spans="1:21" s="40" customFormat="1" ht="24.95" customHeight="1" x14ac:dyDescent="0.3">
      <c r="A288" s="151"/>
      <c r="B288" s="151"/>
      <c r="C288" s="151"/>
      <c r="D288" s="151"/>
      <c r="E288" s="154"/>
      <c r="F288" s="151"/>
      <c r="G288" s="151"/>
      <c r="H288" s="49" t="s">
        <v>1801</v>
      </c>
      <c r="I288" s="49" t="s">
        <v>1302</v>
      </c>
      <c r="J288" s="49" t="s">
        <v>737</v>
      </c>
      <c r="K288" s="151"/>
      <c r="L288" s="49" t="s">
        <v>721</v>
      </c>
      <c r="M288" s="49">
        <v>10</v>
      </c>
      <c r="N288" s="49" t="s">
        <v>721</v>
      </c>
      <c r="O288" s="151"/>
      <c r="P288" s="151"/>
      <c r="Q288" s="49">
        <v>10</v>
      </c>
      <c r="R288" s="154"/>
      <c r="S288" s="49" t="s">
        <v>1220</v>
      </c>
      <c r="T288" s="49"/>
      <c r="U288" s="48"/>
    </row>
    <row r="289" spans="1:21" s="40" customFormat="1" ht="24.95" customHeight="1" x14ac:dyDescent="0.3">
      <c r="A289" s="150"/>
      <c r="B289" s="150"/>
      <c r="C289" s="150"/>
      <c r="D289" s="150"/>
      <c r="E289" s="153"/>
      <c r="F289" s="150"/>
      <c r="G289" s="150"/>
      <c r="H289" s="49" t="s">
        <v>1800</v>
      </c>
      <c r="I289" s="49" t="s">
        <v>1702</v>
      </c>
      <c r="J289" s="49" t="s">
        <v>722</v>
      </c>
      <c r="K289" s="150"/>
      <c r="L289" s="49" t="s">
        <v>721</v>
      </c>
      <c r="M289" s="49">
        <v>17</v>
      </c>
      <c r="N289" s="49" t="s">
        <v>721</v>
      </c>
      <c r="O289" s="150"/>
      <c r="P289" s="150"/>
      <c r="Q289" s="49">
        <v>17</v>
      </c>
      <c r="R289" s="153"/>
      <c r="S289" s="49" t="s">
        <v>1220</v>
      </c>
      <c r="T289" s="49"/>
      <c r="U289" s="48"/>
    </row>
    <row r="290" spans="1:21" s="40" customFormat="1" ht="24.95" customHeight="1" x14ac:dyDescent="0.3">
      <c r="A290" s="43">
        <v>2023.03</v>
      </c>
      <c r="B290" s="42" t="s">
        <v>734</v>
      </c>
      <c r="C290" s="42" t="s">
        <v>873</v>
      </c>
      <c r="D290" s="42" t="s">
        <v>872</v>
      </c>
      <c r="E290" s="42"/>
      <c r="F290" s="42" t="s">
        <v>1799</v>
      </c>
      <c r="G290" s="42" t="s">
        <v>1798</v>
      </c>
      <c r="H290" s="42" t="s">
        <v>1797</v>
      </c>
      <c r="I290" s="42" t="s">
        <v>1797</v>
      </c>
      <c r="J290" s="42" t="s">
        <v>737</v>
      </c>
      <c r="K290" s="42"/>
      <c r="L290" s="42" t="s">
        <v>721</v>
      </c>
      <c r="M290" s="42">
        <v>2</v>
      </c>
      <c r="N290" s="42">
        <v>320</v>
      </c>
      <c r="O290" s="42" t="s">
        <v>799</v>
      </c>
      <c r="P290" s="42">
        <v>282.8</v>
      </c>
      <c r="Q290" s="42">
        <v>2</v>
      </c>
      <c r="R290" s="42">
        <v>141.4</v>
      </c>
      <c r="S290" s="42" t="s">
        <v>1227</v>
      </c>
      <c r="T290" s="42"/>
      <c r="U290" s="41"/>
    </row>
    <row r="291" spans="1:21" s="40" customFormat="1" ht="24.95" customHeight="1" x14ac:dyDescent="0.3">
      <c r="A291" s="43">
        <v>2023.03</v>
      </c>
      <c r="B291" s="42" t="s">
        <v>734</v>
      </c>
      <c r="C291" s="42" t="s">
        <v>44</v>
      </c>
      <c r="D291" s="42" t="s">
        <v>1796</v>
      </c>
      <c r="E291" s="42"/>
      <c r="F291" s="42" t="s">
        <v>1795</v>
      </c>
      <c r="G291" s="42" t="s">
        <v>1794</v>
      </c>
      <c r="H291" s="42" t="s">
        <v>1793</v>
      </c>
      <c r="I291" s="42" t="s">
        <v>729</v>
      </c>
      <c r="J291" s="42" t="s">
        <v>728</v>
      </c>
      <c r="K291" s="42"/>
      <c r="L291" s="42">
        <v>8.5</v>
      </c>
      <c r="M291" s="42">
        <v>20</v>
      </c>
      <c r="N291" s="42">
        <v>3300</v>
      </c>
      <c r="O291" s="42" t="s">
        <v>1792</v>
      </c>
      <c r="P291" s="42">
        <v>3200</v>
      </c>
      <c r="Q291" s="42">
        <v>20</v>
      </c>
      <c r="R291" s="42">
        <v>160</v>
      </c>
      <c r="S291" s="42" t="s">
        <v>735</v>
      </c>
      <c r="T291" s="42"/>
      <c r="U291" s="41"/>
    </row>
    <row r="292" spans="1:21" s="40" customFormat="1" ht="24.95" customHeight="1" x14ac:dyDescent="0.3">
      <c r="A292" s="43">
        <v>2023.03</v>
      </c>
      <c r="B292" s="42" t="s">
        <v>734</v>
      </c>
      <c r="C292" s="42" t="s">
        <v>156</v>
      </c>
      <c r="D292" s="42" t="s">
        <v>172</v>
      </c>
      <c r="E292" s="42"/>
      <c r="F292" s="42" t="s">
        <v>1791</v>
      </c>
      <c r="G292" s="42" t="s">
        <v>1790</v>
      </c>
      <c r="H292" s="42" t="s">
        <v>1789</v>
      </c>
      <c r="I292" s="42" t="s">
        <v>1788</v>
      </c>
      <c r="J292" s="42" t="s">
        <v>768</v>
      </c>
      <c r="K292" s="42"/>
      <c r="L292" s="42" t="s">
        <v>721</v>
      </c>
      <c r="M292" s="42">
        <v>30</v>
      </c>
      <c r="N292" s="42">
        <v>3480</v>
      </c>
      <c r="O292" s="42" t="s">
        <v>1787</v>
      </c>
      <c r="P292" s="42">
        <v>3479.4</v>
      </c>
      <c r="Q292" s="42">
        <v>30</v>
      </c>
      <c r="R292" s="42">
        <v>115.98</v>
      </c>
      <c r="S292" s="42" t="s">
        <v>957</v>
      </c>
      <c r="T292" s="42"/>
      <c r="U292" s="41"/>
    </row>
    <row r="293" spans="1:21" s="40" customFormat="1" ht="24.95" customHeight="1" x14ac:dyDescent="0.3">
      <c r="A293" s="43">
        <v>2023.04</v>
      </c>
      <c r="B293" s="42" t="s">
        <v>734</v>
      </c>
      <c r="C293" s="42" t="s">
        <v>44</v>
      </c>
      <c r="D293" s="42" t="s">
        <v>45</v>
      </c>
      <c r="E293" s="42" t="s">
        <v>1786</v>
      </c>
      <c r="F293" s="42" t="s">
        <v>1785</v>
      </c>
      <c r="G293" s="42" t="s">
        <v>517</v>
      </c>
      <c r="H293" s="42" t="s">
        <v>1784</v>
      </c>
      <c r="I293" s="42" t="s">
        <v>1783</v>
      </c>
      <c r="J293" s="42" t="s">
        <v>768</v>
      </c>
      <c r="K293" s="42"/>
      <c r="L293" s="42" t="s">
        <v>721</v>
      </c>
      <c r="M293" s="42" t="s">
        <v>721</v>
      </c>
      <c r="N293" s="42" t="s">
        <v>721</v>
      </c>
      <c r="O293" s="42" t="s">
        <v>1782</v>
      </c>
      <c r="P293" s="42">
        <v>6171</v>
      </c>
      <c r="Q293" s="42">
        <v>51</v>
      </c>
      <c r="R293" s="42">
        <v>121</v>
      </c>
      <c r="S293" s="42" t="s">
        <v>1781</v>
      </c>
      <c r="T293" s="42"/>
      <c r="U293" s="41"/>
    </row>
    <row r="294" spans="1:21" s="40" customFormat="1" ht="24.95" customHeight="1" x14ac:dyDescent="0.3">
      <c r="A294" s="43">
        <v>2023.04</v>
      </c>
      <c r="B294" s="42" t="s">
        <v>734</v>
      </c>
      <c r="C294" s="42" t="s">
        <v>44</v>
      </c>
      <c r="D294" s="42" t="s">
        <v>45</v>
      </c>
      <c r="E294" s="42" t="s">
        <v>836</v>
      </c>
      <c r="F294" s="42" t="s">
        <v>1780</v>
      </c>
      <c r="G294" s="42" t="s">
        <v>1779</v>
      </c>
      <c r="H294" s="42" t="s">
        <v>1551</v>
      </c>
      <c r="I294" s="42" t="s">
        <v>833</v>
      </c>
      <c r="J294" s="42" t="s">
        <v>737</v>
      </c>
      <c r="K294" s="42"/>
      <c r="L294" s="42" t="s">
        <v>721</v>
      </c>
      <c r="M294" s="42">
        <v>30</v>
      </c>
      <c r="N294" s="42">
        <v>6000</v>
      </c>
      <c r="O294" s="42" t="s">
        <v>1778</v>
      </c>
      <c r="P294" s="42">
        <v>5697</v>
      </c>
      <c r="Q294" s="42">
        <v>30</v>
      </c>
      <c r="R294" s="42">
        <v>189.9</v>
      </c>
      <c r="S294" s="42" t="s">
        <v>831</v>
      </c>
      <c r="T294" s="42"/>
      <c r="U294" s="41"/>
    </row>
    <row r="295" spans="1:21" s="40" customFormat="1" ht="24.95" customHeight="1" x14ac:dyDescent="0.3">
      <c r="A295" s="43">
        <v>2023.04</v>
      </c>
      <c r="B295" s="42" t="s">
        <v>734</v>
      </c>
      <c r="C295" s="42" t="s">
        <v>225</v>
      </c>
      <c r="D295" s="42" t="s">
        <v>1324</v>
      </c>
      <c r="E295" s="42"/>
      <c r="F295" s="42" t="s">
        <v>1777</v>
      </c>
      <c r="G295" s="42" t="s">
        <v>1776</v>
      </c>
      <c r="H295" s="42" t="s">
        <v>1775</v>
      </c>
      <c r="I295" s="42" t="s">
        <v>935</v>
      </c>
      <c r="J295" s="42" t="s">
        <v>722</v>
      </c>
      <c r="K295" s="42"/>
      <c r="L295" s="42" t="s">
        <v>721</v>
      </c>
      <c r="M295" s="42">
        <v>40</v>
      </c>
      <c r="N295" s="42">
        <v>4600</v>
      </c>
      <c r="O295" s="42" t="s">
        <v>1319</v>
      </c>
      <c r="P295" s="42">
        <v>4408.3999999999996</v>
      </c>
      <c r="Q295" s="42">
        <v>40</v>
      </c>
      <c r="R295" s="42">
        <v>110.21</v>
      </c>
      <c r="S295" s="42" t="s">
        <v>1774</v>
      </c>
      <c r="T295" s="42"/>
      <c r="U295" s="41"/>
    </row>
    <row r="296" spans="1:21" s="40" customFormat="1" ht="24.95" customHeight="1" x14ac:dyDescent="0.3">
      <c r="A296" s="49">
        <v>2023.04</v>
      </c>
      <c r="B296" s="49" t="s">
        <v>734</v>
      </c>
      <c r="C296" s="49" t="s">
        <v>233</v>
      </c>
      <c r="D296" s="49" t="s">
        <v>1311</v>
      </c>
      <c r="E296" s="49"/>
      <c r="F296" s="49" t="s">
        <v>1353</v>
      </c>
      <c r="G296" s="49" t="s">
        <v>1773</v>
      </c>
      <c r="H296" s="49" t="s">
        <v>1772</v>
      </c>
      <c r="I296" s="49" t="s">
        <v>887</v>
      </c>
      <c r="J296" s="49" t="s">
        <v>754</v>
      </c>
      <c r="K296" s="49" t="s">
        <v>753</v>
      </c>
      <c r="L296" s="49" t="s">
        <v>721</v>
      </c>
      <c r="M296" s="49">
        <v>30</v>
      </c>
      <c r="N296" s="49" t="s">
        <v>1771</v>
      </c>
      <c r="O296" s="49" t="s">
        <v>1349</v>
      </c>
      <c r="P296" s="49"/>
      <c r="Q296" s="49">
        <v>30</v>
      </c>
      <c r="R296" s="49" t="s">
        <v>1770</v>
      </c>
      <c r="S296" s="49" t="s">
        <v>1227</v>
      </c>
      <c r="T296" s="49"/>
      <c r="U296" s="48"/>
    </row>
    <row r="297" spans="1:21" s="40" customFormat="1" ht="24.95" customHeight="1" x14ac:dyDescent="0.3">
      <c r="A297" s="43">
        <v>2023.04</v>
      </c>
      <c r="B297" s="42" t="s">
        <v>734</v>
      </c>
      <c r="C297" s="42" t="s">
        <v>25</v>
      </c>
      <c r="D297" s="42" t="s">
        <v>481</v>
      </c>
      <c r="E297" s="42" t="s">
        <v>1769</v>
      </c>
      <c r="F297" s="42" t="s">
        <v>1768</v>
      </c>
      <c r="G297" s="42" t="s">
        <v>1767</v>
      </c>
      <c r="H297" s="42" t="s">
        <v>1766</v>
      </c>
      <c r="I297" s="42" t="s">
        <v>738</v>
      </c>
      <c r="J297" s="42" t="s">
        <v>737</v>
      </c>
      <c r="K297" s="42"/>
      <c r="L297" s="42" t="s">
        <v>721</v>
      </c>
      <c r="M297" s="42">
        <v>10</v>
      </c>
      <c r="N297" s="42" t="s">
        <v>721</v>
      </c>
      <c r="O297" s="42" t="s">
        <v>1505</v>
      </c>
      <c r="P297" s="42">
        <v>1826</v>
      </c>
      <c r="Q297" s="42">
        <v>10</v>
      </c>
      <c r="R297" s="42">
        <v>182.6</v>
      </c>
      <c r="S297" s="42" t="s">
        <v>1242</v>
      </c>
      <c r="T297" s="42"/>
      <c r="U297" s="41"/>
    </row>
    <row r="298" spans="1:21" s="40" customFormat="1" ht="24.95" customHeight="1" x14ac:dyDescent="0.3">
      <c r="A298" s="43">
        <v>2023.05</v>
      </c>
      <c r="B298" s="42" t="s">
        <v>734</v>
      </c>
      <c r="C298" s="42" t="s">
        <v>351</v>
      </c>
      <c r="D298" s="42" t="s">
        <v>1661</v>
      </c>
      <c r="E298" s="42"/>
      <c r="F298" s="42" t="s">
        <v>1660</v>
      </c>
      <c r="G298" s="42" t="s">
        <v>1765</v>
      </c>
      <c r="H298" s="42" t="s">
        <v>1764</v>
      </c>
      <c r="I298" s="42" t="s">
        <v>1763</v>
      </c>
      <c r="J298" s="42" t="s">
        <v>737</v>
      </c>
      <c r="K298" s="42"/>
      <c r="L298" s="42" t="s">
        <v>721</v>
      </c>
      <c r="M298" s="42">
        <v>9</v>
      </c>
      <c r="N298" s="42">
        <v>976.5</v>
      </c>
      <c r="O298" s="42" t="s">
        <v>1334</v>
      </c>
      <c r="P298" s="42">
        <v>936</v>
      </c>
      <c r="Q298" s="42">
        <v>9</v>
      </c>
      <c r="R298" s="42">
        <v>104</v>
      </c>
      <c r="S298" s="42" t="s">
        <v>1333</v>
      </c>
      <c r="T298" s="42"/>
      <c r="U298" s="41" t="s">
        <v>1762</v>
      </c>
    </row>
    <row r="299" spans="1:21" s="40" customFormat="1" ht="24.95" customHeight="1" x14ac:dyDescent="0.3">
      <c r="A299" s="61">
        <v>2023.05</v>
      </c>
      <c r="B299" s="57" t="s">
        <v>877</v>
      </c>
      <c r="C299" s="57" t="s">
        <v>351</v>
      </c>
      <c r="D299" s="57" t="s">
        <v>725</v>
      </c>
      <c r="E299" s="57"/>
      <c r="F299" s="57" t="s">
        <v>724</v>
      </c>
      <c r="G299" s="57" t="s">
        <v>1758</v>
      </c>
      <c r="H299" s="57" t="s">
        <v>1757</v>
      </c>
      <c r="I299" s="57" t="s">
        <v>1702</v>
      </c>
      <c r="J299" s="57"/>
      <c r="K299" s="57"/>
      <c r="L299" s="57" t="s">
        <v>721</v>
      </c>
      <c r="M299" s="57">
        <v>5</v>
      </c>
      <c r="N299" s="57">
        <v>400</v>
      </c>
      <c r="O299" s="57"/>
      <c r="P299" s="57"/>
      <c r="Q299" s="57"/>
      <c r="R299" s="57"/>
      <c r="S299" s="57"/>
      <c r="T299" s="57"/>
      <c r="U299" s="60"/>
    </row>
    <row r="300" spans="1:21" s="40" customFormat="1" ht="24.95" customHeight="1" x14ac:dyDescent="0.3">
      <c r="A300" s="43">
        <v>2023.05</v>
      </c>
      <c r="B300" s="42" t="s">
        <v>734</v>
      </c>
      <c r="C300" s="42" t="s">
        <v>873</v>
      </c>
      <c r="D300" s="42"/>
      <c r="E300" s="42"/>
      <c r="F300" s="42" t="s">
        <v>1341</v>
      </c>
      <c r="G300" s="42" t="s">
        <v>1761</v>
      </c>
      <c r="H300" s="42" t="s">
        <v>1760</v>
      </c>
      <c r="I300" s="42" t="s">
        <v>931</v>
      </c>
      <c r="J300" s="42" t="s">
        <v>722</v>
      </c>
      <c r="K300" s="42"/>
      <c r="L300" s="42" t="s">
        <v>721</v>
      </c>
      <c r="M300" s="42">
        <v>10</v>
      </c>
      <c r="N300" s="42">
        <v>1350</v>
      </c>
      <c r="O300" s="42" t="s">
        <v>1759</v>
      </c>
      <c r="P300" s="42">
        <v>1300</v>
      </c>
      <c r="Q300" s="42">
        <v>10</v>
      </c>
      <c r="R300" s="42">
        <v>130</v>
      </c>
      <c r="S300" s="42" t="s">
        <v>1227</v>
      </c>
      <c r="T300" s="42"/>
      <c r="U300" s="41"/>
    </row>
    <row r="301" spans="1:21" s="40" customFormat="1" ht="24.95" customHeight="1" x14ac:dyDescent="0.3">
      <c r="A301" s="43">
        <v>2023.05</v>
      </c>
      <c r="B301" s="42" t="s">
        <v>734</v>
      </c>
      <c r="C301" s="42" t="s">
        <v>351</v>
      </c>
      <c r="D301" s="42" t="s">
        <v>725</v>
      </c>
      <c r="E301" s="42"/>
      <c r="F301" s="42" t="s">
        <v>724</v>
      </c>
      <c r="G301" s="42" t="s">
        <v>1758</v>
      </c>
      <c r="H301" s="42" t="s">
        <v>1757</v>
      </c>
      <c r="I301" s="42" t="s">
        <v>1702</v>
      </c>
      <c r="J301" s="42" t="s">
        <v>722</v>
      </c>
      <c r="K301" s="42"/>
      <c r="L301" s="42" t="s">
        <v>721</v>
      </c>
      <c r="M301" s="42">
        <v>5</v>
      </c>
      <c r="N301" s="42">
        <v>400</v>
      </c>
      <c r="O301" s="42" t="s">
        <v>1756</v>
      </c>
      <c r="P301" s="42">
        <v>349</v>
      </c>
      <c r="Q301" s="42">
        <v>5</v>
      </c>
      <c r="R301" s="42">
        <v>69.8</v>
      </c>
      <c r="S301" s="42" t="s">
        <v>1537</v>
      </c>
      <c r="T301" s="42"/>
      <c r="U301" s="41"/>
    </row>
    <row r="302" spans="1:21" s="40" customFormat="1" ht="24.95" customHeight="1" x14ac:dyDescent="0.3">
      <c r="A302" s="123">
        <v>2023.06</v>
      </c>
      <c r="B302" s="127" t="s">
        <v>734</v>
      </c>
      <c r="C302" s="127" t="s">
        <v>191</v>
      </c>
      <c r="D302" s="127" t="s">
        <v>1725</v>
      </c>
      <c r="E302" s="127"/>
      <c r="F302" s="127" t="s">
        <v>1724</v>
      </c>
      <c r="G302" s="127" t="s">
        <v>1755</v>
      </c>
      <c r="H302" s="42" t="s">
        <v>1754</v>
      </c>
      <c r="I302" s="127" t="s">
        <v>1753</v>
      </c>
      <c r="J302" s="42" t="s">
        <v>722</v>
      </c>
      <c r="K302" s="42"/>
      <c r="L302" s="42" t="s">
        <v>721</v>
      </c>
      <c r="M302" s="42">
        <v>15</v>
      </c>
      <c r="N302" s="42" t="s">
        <v>721</v>
      </c>
      <c r="O302" s="42" t="s">
        <v>1752</v>
      </c>
      <c r="P302" s="42">
        <v>2284.5</v>
      </c>
      <c r="Q302" s="42">
        <v>15</v>
      </c>
      <c r="R302" s="42">
        <v>152.30000000000001</v>
      </c>
      <c r="S302" s="42" t="s">
        <v>1242</v>
      </c>
      <c r="T302" s="42"/>
      <c r="U302" s="41"/>
    </row>
    <row r="303" spans="1:21" s="40" customFormat="1" ht="24.95" customHeight="1" x14ac:dyDescent="0.3">
      <c r="A303" s="124"/>
      <c r="B303" s="128"/>
      <c r="C303" s="128"/>
      <c r="D303" s="128"/>
      <c r="E303" s="128"/>
      <c r="F303" s="128"/>
      <c r="G303" s="128"/>
      <c r="H303" s="42" t="s">
        <v>1751</v>
      </c>
      <c r="I303" s="128"/>
      <c r="J303" s="42" t="s">
        <v>722</v>
      </c>
      <c r="K303" s="42"/>
      <c r="L303" s="42" t="s">
        <v>721</v>
      </c>
      <c r="M303" s="42">
        <v>15</v>
      </c>
      <c r="N303" s="42" t="s">
        <v>721</v>
      </c>
      <c r="O303" s="42" t="s">
        <v>1750</v>
      </c>
      <c r="P303" s="42">
        <v>2064</v>
      </c>
      <c r="Q303" s="42">
        <v>15</v>
      </c>
      <c r="R303" s="42">
        <v>137.6</v>
      </c>
      <c r="S303" s="42" t="s">
        <v>1242</v>
      </c>
      <c r="T303" s="42"/>
      <c r="U303" s="41"/>
    </row>
    <row r="304" spans="1:21" s="40" customFormat="1" ht="24.95" customHeight="1" x14ac:dyDescent="0.3">
      <c r="A304" s="61">
        <v>2023.06</v>
      </c>
      <c r="B304" s="57" t="s">
        <v>877</v>
      </c>
      <c r="C304" s="57" t="s">
        <v>133</v>
      </c>
      <c r="D304" s="57" t="s">
        <v>134</v>
      </c>
      <c r="E304" s="57"/>
      <c r="F304" s="57" t="s">
        <v>1748</v>
      </c>
      <c r="G304" s="57" t="s">
        <v>1747</v>
      </c>
      <c r="H304" s="57" t="s">
        <v>1749</v>
      </c>
      <c r="I304" s="57" t="s">
        <v>1745</v>
      </c>
      <c r="J304" s="57"/>
      <c r="K304" s="57"/>
      <c r="L304" s="57" t="s">
        <v>721</v>
      </c>
      <c r="M304" s="57">
        <v>50</v>
      </c>
      <c r="N304" s="57"/>
      <c r="O304" s="57"/>
      <c r="P304" s="57"/>
      <c r="Q304" s="57"/>
      <c r="R304" s="57"/>
      <c r="S304" s="57"/>
      <c r="T304" s="57"/>
      <c r="U304" s="60"/>
    </row>
    <row r="305" spans="1:21" s="40" customFormat="1" ht="24.95" customHeight="1" x14ac:dyDescent="0.3">
      <c r="A305" s="49">
        <v>2023.06</v>
      </c>
      <c r="B305" s="49" t="s">
        <v>734</v>
      </c>
      <c r="C305" s="49" t="s">
        <v>133</v>
      </c>
      <c r="D305" s="49" t="s">
        <v>134</v>
      </c>
      <c r="E305" s="49"/>
      <c r="F305" s="49" t="s">
        <v>1748</v>
      </c>
      <c r="G305" s="49" t="s">
        <v>1747</v>
      </c>
      <c r="H305" s="49" t="s">
        <v>1746</v>
      </c>
      <c r="I305" s="49" t="s">
        <v>1745</v>
      </c>
      <c r="J305" s="49" t="s">
        <v>722</v>
      </c>
      <c r="K305" s="49" t="s">
        <v>753</v>
      </c>
      <c r="L305" s="49" t="s">
        <v>721</v>
      </c>
      <c r="M305" s="49">
        <v>50</v>
      </c>
      <c r="N305" s="49" t="s">
        <v>721</v>
      </c>
      <c r="O305" s="49" t="s">
        <v>1074</v>
      </c>
      <c r="P305" s="49"/>
      <c r="Q305" s="49">
        <v>50</v>
      </c>
      <c r="R305" s="49"/>
      <c r="S305" s="49" t="s">
        <v>1227</v>
      </c>
      <c r="T305" s="49"/>
      <c r="U305" s="48"/>
    </row>
    <row r="306" spans="1:21" s="40" customFormat="1" ht="24.95" customHeight="1" x14ac:dyDescent="0.3">
      <c r="A306" s="43">
        <v>2023.06</v>
      </c>
      <c r="B306" s="42" t="s">
        <v>734</v>
      </c>
      <c r="C306" s="42" t="s">
        <v>233</v>
      </c>
      <c r="D306" s="42" t="s">
        <v>1744</v>
      </c>
      <c r="E306" s="42"/>
      <c r="F306" s="42" t="s">
        <v>1743</v>
      </c>
      <c r="G306" s="42" t="s">
        <v>1742</v>
      </c>
      <c r="H306" s="42" t="s">
        <v>1741</v>
      </c>
      <c r="I306" s="42" t="s">
        <v>1741</v>
      </c>
      <c r="J306" s="42" t="s">
        <v>737</v>
      </c>
      <c r="K306" s="42"/>
      <c r="L306" s="42" t="s">
        <v>721</v>
      </c>
      <c r="M306" s="42">
        <v>1</v>
      </c>
      <c r="N306" s="42" t="s">
        <v>721</v>
      </c>
      <c r="O306" s="42" t="s">
        <v>799</v>
      </c>
      <c r="P306" s="42">
        <v>85</v>
      </c>
      <c r="Q306" s="42">
        <v>1</v>
      </c>
      <c r="R306" s="42">
        <v>85</v>
      </c>
      <c r="S306" s="42"/>
      <c r="T306" s="42"/>
      <c r="U306" s="41"/>
    </row>
    <row r="307" spans="1:21" s="40" customFormat="1" ht="24.95" customHeight="1" x14ac:dyDescent="0.3">
      <c r="A307" s="149">
        <v>2023.07</v>
      </c>
      <c r="B307" s="149" t="s">
        <v>734</v>
      </c>
      <c r="C307" s="149" t="s">
        <v>225</v>
      </c>
      <c r="D307" s="149" t="s">
        <v>1437</v>
      </c>
      <c r="E307" s="149"/>
      <c r="F307" s="149" t="s">
        <v>1740</v>
      </c>
      <c r="G307" s="149" t="s">
        <v>1739</v>
      </c>
      <c r="H307" s="49" t="s">
        <v>1738</v>
      </c>
      <c r="I307" s="49" t="s">
        <v>1737</v>
      </c>
      <c r="J307" s="49" t="s">
        <v>743</v>
      </c>
      <c r="K307" s="152" t="s">
        <v>753</v>
      </c>
      <c r="L307" s="49" t="s">
        <v>721</v>
      </c>
      <c r="M307" s="49">
        <v>7</v>
      </c>
      <c r="N307" s="152" t="s">
        <v>721</v>
      </c>
      <c r="O307" s="149" t="s">
        <v>1736</v>
      </c>
      <c r="P307" s="152">
        <v>30538.61</v>
      </c>
      <c r="Q307" s="49">
        <v>7</v>
      </c>
      <c r="R307" s="49"/>
      <c r="S307" s="49"/>
      <c r="T307" s="42"/>
      <c r="U307" s="177" t="s">
        <v>1735</v>
      </c>
    </row>
    <row r="308" spans="1:21" s="40" customFormat="1" ht="24.95" customHeight="1" x14ac:dyDescent="0.3">
      <c r="A308" s="151"/>
      <c r="B308" s="151"/>
      <c r="C308" s="151"/>
      <c r="D308" s="151"/>
      <c r="E308" s="151"/>
      <c r="F308" s="151"/>
      <c r="G308" s="151"/>
      <c r="H308" s="49" t="s">
        <v>1734</v>
      </c>
      <c r="I308" s="49" t="s">
        <v>1733</v>
      </c>
      <c r="J308" s="49" t="s">
        <v>743</v>
      </c>
      <c r="K308" s="154"/>
      <c r="L308" s="49" t="s">
        <v>721</v>
      </c>
      <c r="M308" s="49">
        <v>3</v>
      </c>
      <c r="N308" s="154"/>
      <c r="O308" s="151"/>
      <c r="P308" s="154"/>
      <c r="Q308" s="49">
        <v>3</v>
      </c>
      <c r="R308" s="49"/>
      <c r="S308" s="49"/>
      <c r="T308" s="42"/>
      <c r="U308" s="178"/>
    </row>
    <row r="309" spans="1:21" s="40" customFormat="1" ht="24.95" customHeight="1" x14ac:dyDescent="0.3">
      <c r="A309" s="151"/>
      <c r="B309" s="151"/>
      <c r="C309" s="151"/>
      <c r="D309" s="151"/>
      <c r="E309" s="151"/>
      <c r="F309" s="151"/>
      <c r="G309" s="151"/>
      <c r="H309" s="49" t="s">
        <v>1732</v>
      </c>
      <c r="I309" s="49" t="s">
        <v>1731</v>
      </c>
      <c r="J309" s="49" t="s">
        <v>743</v>
      </c>
      <c r="K309" s="154"/>
      <c r="L309" s="49" t="s">
        <v>721</v>
      </c>
      <c r="M309" s="49">
        <v>5</v>
      </c>
      <c r="N309" s="154"/>
      <c r="O309" s="151"/>
      <c r="P309" s="154"/>
      <c r="Q309" s="49">
        <v>5</v>
      </c>
      <c r="R309" s="49"/>
      <c r="S309" s="49"/>
      <c r="T309" s="42"/>
      <c r="U309" s="178"/>
    </row>
    <row r="310" spans="1:21" s="40" customFormat="1" ht="24.95" customHeight="1" x14ac:dyDescent="0.3">
      <c r="A310" s="150"/>
      <c r="B310" s="150"/>
      <c r="C310" s="150"/>
      <c r="D310" s="150"/>
      <c r="E310" s="150"/>
      <c r="F310" s="150"/>
      <c r="G310" s="150"/>
      <c r="H310" s="49" t="s">
        <v>1730</v>
      </c>
      <c r="I310" s="49" t="s">
        <v>1729</v>
      </c>
      <c r="J310" s="49" t="s">
        <v>759</v>
      </c>
      <c r="K310" s="153"/>
      <c r="L310" s="49" t="s">
        <v>721</v>
      </c>
      <c r="M310" s="49">
        <v>40</v>
      </c>
      <c r="N310" s="153"/>
      <c r="O310" s="150"/>
      <c r="P310" s="153"/>
      <c r="Q310" s="49">
        <v>40</v>
      </c>
      <c r="R310" s="49"/>
      <c r="S310" s="49"/>
      <c r="T310" s="42"/>
      <c r="U310" s="179"/>
    </row>
    <row r="311" spans="1:21" s="40" customFormat="1" ht="24.95" customHeight="1" x14ac:dyDescent="0.3">
      <c r="A311" s="61">
        <v>2023.07</v>
      </c>
      <c r="B311" s="57" t="s">
        <v>877</v>
      </c>
      <c r="C311" s="57" t="s">
        <v>488</v>
      </c>
      <c r="D311" s="57" t="s">
        <v>1639</v>
      </c>
      <c r="E311" s="57"/>
      <c r="F311" s="57" t="s">
        <v>1638</v>
      </c>
      <c r="G311" s="57" t="s">
        <v>1728</v>
      </c>
      <c r="H311" s="57" t="s">
        <v>1727</v>
      </c>
      <c r="I311" s="57" t="s">
        <v>1726</v>
      </c>
      <c r="J311" s="57"/>
      <c r="K311" s="57"/>
      <c r="L311" s="57">
        <v>10.5</v>
      </c>
      <c r="M311" s="57">
        <v>10</v>
      </c>
      <c r="N311" s="57">
        <v>2950</v>
      </c>
      <c r="O311" s="57"/>
      <c r="P311" s="57"/>
      <c r="Q311" s="57"/>
      <c r="R311" s="57"/>
      <c r="S311" s="57"/>
      <c r="T311" s="57"/>
      <c r="U311" s="60"/>
    </row>
    <row r="312" spans="1:21" s="40" customFormat="1" ht="24.95" customHeight="1" x14ac:dyDescent="0.3">
      <c r="A312" s="123">
        <v>2023.07</v>
      </c>
      <c r="B312" s="123" t="s">
        <v>734</v>
      </c>
      <c r="C312" s="123" t="s">
        <v>191</v>
      </c>
      <c r="D312" s="123" t="s">
        <v>1725</v>
      </c>
      <c r="E312" s="123"/>
      <c r="F312" s="123" t="s">
        <v>1724</v>
      </c>
      <c r="G312" s="123" t="s">
        <v>1723</v>
      </c>
      <c r="H312" s="123" t="s">
        <v>1722</v>
      </c>
      <c r="I312" s="42" t="s">
        <v>1721</v>
      </c>
      <c r="J312" s="42" t="s">
        <v>722</v>
      </c>
      <c r="K312" s="42"/>
      <c r="L312" s="42" t="s">
        <v>721</v>
      </c>
      <c r="M312" s="42">
        <v>10</v>
      </c>
      <c r="N312" s="123">
        <v>5309</v>
      </c>
      <c r="O312" s="42" t="s">
        <v>1720</v>
      </c>
      <c r="P312" s="42">
        <v>1376</v>
      </c>
      <c r="Q312" s="42">
        <v>10</v>
      </c>
      <c r="R312" s="42">
        <v>137.6</v>
      </c>
      <c r="S312" s="42"/>
      <c r="T312" s="42"/>
      <c r="U312" s="41"/>
    </row>
    <row r="313" spans="1:21" s="40" customFormat="1" ht="24.95" customHeight="1" x14ac:dyDescent="0.3">
      <c r="A313" s="139"/>
      <c r="B313" s="139"/>
      <c r="C313" s="139"/>
      <c r="D313" s="139"/>
      <c r="E313" s="139"/>
      <c r="F313" s="139"/>
      <c r="G313" s="139"/>
      <c r="H313" s="139"/>
      <c r="I313" s="42" t="s">
        <v>1719</v>
      </c>
      <c r="J313" s="42" t="s">
        <v>759</v>
      </c>
      <c r="K313" s="42"/>
      <c r="L313" s="42" t="s">
        <v>721</v>
      </c>
      <c r="M313" s="42">
        <v>8</v>
      </c>
      <c r="N313" s="139"/>
      <c r="O313" s="127" t="s">
        <v>1526</v>
      </c>
      <c r="P313" s="127">
        <v>2696</v>
      </c>
      <c r="Q313" s="42">
        <v>8</v>
      </c>
      <c r="R313" s="127">
        <v>168.5</v>
      </c>
      <c r="S313" s="42" t="s">
        <v>1242</v>
      </c>
      <c r="T313" s="42"/>
      <c r="U313" s="41"/>
    </row>
    <row r="314" spans="1:21" s="40" customFormat="1" ht="24.95" customHeight="1" x14ac:dyDescent="0.3">
      <c r="A314" s="139"/>
      <c r="B314" s="139"/>
      <c r="C314" s="139"/>
      <c r="D314" s="139"/>
      <c r="E314" s="139"/>
      <c r="F314" s="139"/>
      <c r="G314" s="139"/>
      <c r="H314" s="139"/>
      <c r="I314" s="42" t="s">
        <v>1718</v>
      </c>
      <c r="J314" s="42" t="s">
        <v>759</v>
      </c>
      <c r="K314" s="42"/>
      <c r="L314" s="42" t="s">
        <v>721</v>
      </c>
      <c r="M314" s="42">
        <v>8</v>
      </c>
      <c r="N314" s="139"/>
      <c r="O314" s="128"/>
      <c r="P314" s="128"/>
      <c r="Q314" s="42">
        <v>8</v>
      </c>
      <c r="R314" s="128"/>
      <c r="S314" s="42" t="s">
        <v>1242</v>
      </c>
      <c r="T314" s="42"/>
      <c r="U314" s="41"/>
    </row>
    <row r="315" spans="1:21" s="40" customFormat="1" ht="24.95" customHeight="1" x14ac:dyDescent="0.3">
      <c r="A315" s="124"/>
      <c r="B315" s="124"/>
      <c r="C315" s="124"/>
      <c r="D315" s="124"/>
      <c r="E315" s="124"/>
      <c r="F315" s="124"/>
      <c r="G315" s="124"/>
      <c r="H315" s="124"/>
      <c r="I315" s="42" t="s">
        <v>1717</v>
      </c>
      <c r="J315" s="42" t="s">
        <v>759</v>
      </c>
      <c r="K315" s="42"/>
      <c r="L315" s="42" t="s">
        <v>721</v>
      </c>
      <c r="M315" s="42">
        <v>6</v>
      </c>
      <c r="N315" s="124"/>
      <c r="O315" s="42" t="s">
        <v>1716</v>
      </c>
      <c r="P315" s="42">
        <v>996</v>
      </c>
      <c r="Q315" s="42">
        <v>6</v>
      </c>
      <c r="R315" s="42">
        <v>166</v>
      </c>
      <c r="S315" s="42" t="s">
        <v>1242</v>
      </c>
      <c r="T315" s="42"/>
      <c r="U315" s="41"/>
    </row>
    <row r="316" spans="1:21" s="40" customFormat="1" ht="24.95" customHeight="1" x14ac:dyDescent="0.3">
      <c r="A316" s="43">
        <v>2023.07</v>
      </c>
      <c r="B316" s="42" t="s">
        <v>734</v>
      </c>
      <c r="C316" s="42" t="s">
        <v>488</v>
      </c>
      <c r="D316" s="42" t="s">
        <v>1226</v>
      </c>
      <c r="E316" s="42"/>
      <c r="F316" s="42" t="s">
        <v>1225</v>
      </c>
      <c r="G316" s="42" t="s">
        <v>1715</v>
      </c>
      <c r="H316" s="42" t="s">
        <v>1223</v>
      </c>
      <c r="I316" s="42" t="s">
        <v>1222</v>
      </c>
      <c r="J316" s="42" t="s">
        <v>1055</v>
      </c>
      <c r="K316" s="42"/>
      <c r="L316" s="42">
        <v>10</v>
      </c>
      <c r="M316" s="42">
        <v>5</v>
      </c>
      <c r="N316" s="42">
        <v>1475</v>
      </c>
      <c r="O316" s="42" t="s">
        <v>1221</v>
      </c>
      <c r="P316" s="42">
        <v>1474.9</v>
      </c>
      <c r="Q316" s="42">
        <v>5</v>
      </c>
      <c r="R316" s="42">
        <v>294.98</v>
      </c>
      <c r="S316" s="42" t="s">
        <v>1220</v>
      </c>
      <c r="T316" s="42"/>
      <c r="U316" s="41" t="s">
        <v>1654</v>
      </c>
    </row>
    <row r="317" spans="1:21" s="40" customFormat="1" ht="24.95" customHeight="1" x14ac:dyDescent="0.3">
      <c r="A317" s="43">
        <v>2023.07</v>
      </c>
      <c r="B317" s="42" t="s">
        <v>734</v>
      </c>
      <c r="C317" s="42" t="s">
        <v>488</v>
      </c>
      <c r="D317" s="42" t="s">
        <v>1261</v>
      </c>
      <c r="E317" s="42"/>
      <c r="F317" s="42" t="s">
        <v>1260</v>
      </c>
      <c r="G317" s="42" t="s">
        <v>1714</v>
      </c>
      <c r="H317" s="42" t="s">
        <v>1713</v>
      </c>
      <c r="I317" s="42" t="s">
        <v>833</v>
      </c>
      <c r="J317" s="42" t="s">
        <v>1055</v>
      </c>
      <c r="K317" s="42"/>
      <c r="L317" s="42">
        <v>10</v>
      </c>
      <c r="M317" s="42">
        <v>10</v>
      </c>
      <c r="N317" s="42">
        <v>2950</v>
      </c>
      <c r="O317" s="42" t="s">
        <v>1221</v>
      </c>
      <c r="P317" s="42">
        <v>2949.8</v>
      </c>
      <c r="Q317" s="42">
        <v>10</v>
      </c>
      <c r="R317" s="42">
        <v>294.98</v>
      </c>
      <c r="S317" s="42" t="s">
        <v>1220</v>
      </c>
      <c r="T317" s="42"/>
      <c r="U317" s="41" t="s">
        <v>1654</v>
      </c>
    </row>
    <row r="318" spans="1:21" s="40" customFormat="1" ht="24.95" customHeight="1" x14ac:dyDescent="0.3">
      <c r="A318" s="49">
        <v>2023.07</v>
      </c>
      <c r="B318" s="49" t="s">
        <v>734</v>
      </c>
      <c r="C318" s="49" t="s">
        <v>44</v>
      </c>
      <c r="D318" s="49" t="s">
        <v>1712</v>
      </c>
      <c r="E318" s="49"/>
      <c r="F318" s="49" t="s">
        <v>1711</v>
      </c>
      <c r="G318" s="49" t="s">
        <v>1710</v>
      </c>
      <c r="H318" s="49" t="s">
        <v>1709</v>
      </c>
      <c r="I318" s="49" t="s">
        <v>1708</v>
      </c>
      <c r="J318" s="49" t="s">
        <v>1707</v>
      </c>
      <c r="K318" s="49" t="s">
        <v>753</v>
      </c>
      <c r="L318" s="49" t="s">
        <v>721</v>
      </c>
      <c r="M318" s="49">
        <v>10</v>
      </c>
      <c r="N318" s="49">
        <v>910</v>
      </c>
      <c r="O318" s="49" t="s">
        <v>1202</v>
      </c>
      <c r="P318" s="49">
        <v>889</v>
      </c>
      <c r="Q318" s="49">
        <v>10</v>
      </c>
      <c r="R318" s="49"/>
      <c r="S318" s="49" t="s">
        <v>1052</v>
      </c>
      <c r="T318" s="49"/>
      <c r="U318" s="48"/>
    </row>
    <row r="319" spans="1:21" s="40" customFormat="1" ht="24.95" customHeight="1" x14ac:dyDescent="0.3">
      <c r="A319" s="43">
        <v>2023.07</v>
      </c>
      <c r="B319" s="42" t="s">
        <v>734</v>
      </c>
      <c r="C319" s="42" t="s">
        <v>351</v>
      </c>
      <c r="D319" s="42" t="s">
        <v>1706</v>
      </c>
      <c r="E319" s="42"/>
      <c r="F319" s="42" t="s">
        <v>1660</v>
      </c>
      <c r="G319" s="42" t="s">
        <v>1705</v>
      </c>
      <c r="H319" s="42" t="s">
        <v>1704</v>
      </c>
      <c r="I319" s="42" t="s">
        <v>931</v>
      </c>
      <c r="J319" s="42" t="s">
        <v>759</v>
      </c>
      <c r="K319" s="42"/>
      <c r="L319" s="42" t="s">
        <v>721</v>
      </c>
      <c r="M319" s="42" t="s">
        <v>721</v>
      </c>
      <c r="N319" s="42">
        <v>7900</v>
      </c>
      <c r="O319" s="42" t="s">
        <v>1658</v>
      </c>
      <c r="P319" s="42">
        <v>7110</v>
      </c>
      <c r="Q319" s="42">
        <v>50</v>
      </c>
      <c r="R319" s="42">
        <v>142.19999999999999</v>
      </c>
      <c r="S319" s="42" t="s">
        <v>1333</v>
      </c>
      <c r="T319" s="42"/>
      <c r="U319" s="41" t="s">
        <v>1657</v>
      </c>
    </row>
    <row r="320" spans="1:21" s="40" customFormat="1" ht="24.95" customHeight="1" x14ac:dyDescent="0.3">
      <c r="A320" s="43">
        <v>2023.07</v>
      </c>
      <c r="B320" s="42" t="s">
        <v>734</v>
      </c>
      <c r="C320" s="42" t="s">
        <v>403</v>
      </c>
      <c r="D320" s="42" t="s">
        <v>1393</v>
      </c>
      <c r="E320" s="42"/>
      <c r="F320" s="42" t="s">
        <v>1190</v>
      </c>
      <c r="G320" s="42" t="s">
        <v>517</v>
      </c>
      <c r="H320" s="42" t="s">
        <v>1237</v>
      </c>
      <c r="I320" s="42" t="s">
        <v>1313</v>
      </c>
      <c r="J320" s="42" t="s">
        <v>722</v>
      </c>
      <c r="K320" s="42"/>
      <c r="L320" s="42" t="s">
        <v>721</v>
      </c>
      <c r="M320" s="42">
        <v>10</v>
      </c>
      <c r="N320" s="42">
        <v>1400</v>
      </c>
      <c r="O320" s="42" t="s">
        <v>1448</v>
      </c>
      <c r="P320" s="42">
        <v>1380</v>
      </c>
      <c r="Q320" s="42">
        <v>10</v>
      </c>
      <c r="R320" s="42">
        <v>138</v>
      </c>
      <c r="S320" s="90" t="s">
        <v>1227</v>
      </c>
      <c r="T320" s="42"/>
      <c r="U320" s="41"/>
    </row>
    <row r="321" spans="1:21" s="40" customFormat="1" ht="24.95" customHeight="1" x14ac:dyDescent="0.3">
      <c r="A321" s="49">
        <v>2023.07</v>
      </c>
      <c r="B321" s="49" t="s">
        <v>789</v>
      </c>
      <c r="C321" s="49" t="s">
        <v>44</v>
      </c>
      <c r="D321" s="49" t="s">
        <v>45</v>
      </c>
      <c r="E321" s="49"/>
      <c r="F321" s="49" t="s">
        <v>889</v>
      </c>
      <c r="G321" s="49" t="s">
        <v>517</v>
      </c>
      <c r="H321" s="49" t="s">
        <v>1703</v>
      </c>
      <c r="I321" s="49" t="s">
        <v>1702</v>
      </c>
      <c r="J321" s="49" t="s">
        <v>722</v>
      </c>
      <c r="K321" s="49" t="s">
        <v>753</v>
      </c>
      <c r="L321" s="49" t="s">
        <v>721</v>
      </c>
      <c r="M321" s="49">
        <v>3</v>
      </c>
      <c r="N321" s="49" t="s">
        <v>721</v>
      </c>
      <c r="O321" s="49"/>
      <c r="P321" s="49"/>
      <c r="Q321" s="49">
        <v>3</v>
      </c>
      <c r="R321" s="49"/>
      <c r="S321" s="49"/>
      <c r="T321" s="49"/>
      <c r="U321" s="48" t="s">
        <v>1701</v>
      </c>
    </row>
    <row r="322" spans="1:21" s="40" customFormat="1" ht="24.95" customHeight="1" x14ac:dyDescent="0.3">
      <c r="A322" s="49">
        <v>2023.07</v>
      </c>
      <c r="B322" s="49" t="s">
        <v>734</v>
      </c>
      <c r="C322" s="49" t="s">
        <v>214</v>
      </c>
      <c r="D322" s="49" t="s">
        <v>1210</v>
      </c>
      <c r="E322" s="49"/>
      <c r="F322" s="49" t="s">
        <v>1700</v>
      </c>
      <c r="G322" s="49" t="s">
        <v>1699</v>
      </c>
      <c r="H322" s="49" t="s">
        <v>1698</v>
      </c>
      <c r="I322" s="49" t="s">
        <v>1697</v>
      </c>
      <c r="J322" s="49" t="s">
        <v>768</v>
      </c>
      <c r="K322" s="49" t="s">
        <v>753</v>
      </c>
      <c r="L322" s="49" t="s">
        <v>721</v>
      </c>
      <c r="M322" s="49">
        <v>50</v>
      </c>
      <c r="N322" s="49" t="s">
        <v>721</v>
      </c>
      <c r="O322" s="49" t="s">
        <v>1696</v>
      </c>
      <c r="P322" s="49"/>
      <c r="Q322" s="49">
        <v>50</v>
      </c>
      <c r="R322" s="49"/>
      <c r="S322" s="49"/>
      <c r="T322" s="49"/>
      <c r="U322" s="48"/>
    </row>
    <row r="323" spans="1:21" s="76" customFormat="1" ht="24.95" customHeight="1" x14ac:dyDescent="0.3">
      <c r="A323" s="149">
        <v>2023.07</v>
      </c>
      <c r="B323" s="149" t="s">
        <v>734</v>
      </c>
      <c r="C323" s="149" t="s">
        <v>13</v>
      </c>
      <c r="D323" s="149" t="s">
        <v>1103</v>
      </c>
      <c r="E323" s="149"/>
      <c r="F323" s="149" t="s">
        <v>1102</v>
      </c>
      <c r="G323" s="149" t="s">
        <v>1695</v>
      </c>
      <c r="H323" s="149" t="s">
        <v>1610</v>
      </c>
      <c r="I323" s="49" t="s">
        <v>1694</v>
      </c>
      <c r="J323" s="49" t="s">
        <v>737</v>
      </c>
      <c r="K323" s="152" t="s">
        <v>753</v>
      </c>
      <c r="L323" s="49" t="s">
        <v>721</v>
      </c>
      <c r="M323" s="49">
        <v>20</v>
      </c>
      <c r="N323" s="49">
        <v>0</v>
      </c>
      <c r="O323" s="49" t="s">
        <v>1098</v>
      </c>
      <c r="P323" s="49">
        <v>0</v>
      </c>
      <c r="Q323" s="49">
        <v>20</v>
      </c>
      <c r="R323" s="49">
        <v>0</v>
      </c>
      <c r="S323" s="49" t="s">
        <v>1097</v>
      </c>
      <c r="T323" s="49"/>
      <c r="U323" s="48"/>
    </row>
    <row r="324" spans="1:21" s="76" customFormat="1" ht="24.95" customHeight="1" x14ac:dyDescent="0.3">
      <c r="A324" s="150"/>
      <c r="B324" s="150"/>
      <c r="C324" s="150"/>
      <c r="D324" s="150"/>
      <c r="E324" s="150"/>
      <c r="F324" s="150"/>
      <c r="G324" s="150"/>
      <c r="H324" s="150"/>
      <c r="I324" s="49" t="s">
        <v>1693</v>
      </c>
      <c r="J324" s="49" t="s">
        <v>737</v>
      </c>
      <c r="K324" s="153"/>
      <c r="L324" s="49" t="s">
        <v>721</v>
      </c>
      <c r="M324" s="49">
        <v>10</v>
      </c>
      <c r="N324" s="49">
        <v>0</v>
      </c>
      <c r="O324" s="49" t="s">
        <v>1692</v>
      </c>
      <c r="P324" s="49">
        <v>0</v>
      </c>
      <c r="Q324" s="49">
        <v>10</v>
      </c>
      <c r="R324" s="49">
        <v>0</v>
      </c>
      <c r="S324" s="49"/>
      <c r="T324" s="49"/>
      <c r="U324" s="48"/>
    </row>
    <row r="325" spans="1:21" s="40" customFormat="1" ht="24.95" customHeight="1" x14ac:dyDescent="0.3">
      <c r="A325" s="43">
        <v>2023.07</v>
      </c>
      <c r="B325" s="42" t="s">
        <v>734</v>
      </c>
      <c r="C325" s="42" t="s">
        <v>44</v>
      </c>
      <c r="D325" s="42" t="s">
        <v>1024</v>
      </c>
      <c r="E325" s="42"/>
      <c r="F325" s="42" t="s">
        <v>1691</v>
      </c>
      <c r="G325" s="42" t="s">
        <v>1690</v>
      </c>
      <c r="H325" s="42" t="s">
        <v>1689</v>
      </c>
      <c r="I325" s="42" t="s">
        <v>1688</v>
      </c>
      <c r="J325" s="42" t="s">
        <v>768</v>
      </c>
      <c r="K325" s="42"/>
      <c r="L325" s="42" t="s">
        <v>721</v>
      </c>
      <c r="M325" s="42">
        <v>3</v>
      </c>
      <c r="N325" s="42">
        <v>399.6</v>
      </c>
      <c r="O325" s="42" t="s">
        <v>1202</v>
      </c>
      <c r="P325" s="42">
        <v>396</v>
      </c>
      <c r="Q325" s="42">
        <v>3</v>
      </c>
      <c r="R325" s="42">
        <v>132</v>
      </c>
      <c r="S325" s="42" t="s">
        <v>1052</v>
      </c>
      <c r="T325" s="42"/>
      <c r="U325" s="41"/>
    </row>
    <row r="326" spans="1:21" s="40" customFormat="1" ht="24.95" customHeight="1" x14ac:dyDescent="0.3">
      <c r="A326" s="149">
        <v>2023.07</v>
      </c>
      <c r="B326" s="149" t="s">
        <v>734</v>
      </c>
      <c r="C326" s="149" t="s">
        <v>225</v>
      </c>
      <c r="D326" s="149" t="s">
        <v>1144</v>
      </c>
      <c r="E326" s="149"/>
      <c r="F326" s="149" t="s">
        <v>1687</v>
      </c>
      <c r="G326" s="149" t="s">
        <v>517</v>
      </c>
      <c r="H326" s="149" t="s">
        <v>1686</v>
      </c>
      <c r="I326" s="49" t="s">
        <v>1685</v>
      </c>
      <c r="J326" s="49" t="s">
        <v>768</v>
      </c>
      <c r="K326" s="152" t="s">
        <v>753</v>
      </c>
      <c r="L326" s="49" t="s">
        <v>721</v>
      </c>
      <c r="M326" s="49">
        <v>7</v>
      </c>
      <c r="N326" s="175">
        <v>907.9</v>
      </c>
      <c r="O326" s="175" t="s">
        <v>761</v>
      </c>
      <c r="P326" s="49">
        <v>7</v>
      </c>
      <c r="Q326" s="175"/>
      <c r="R326" s="175"/>
      <c r="S326" s="175"/>
      <c r="T326" s="49"/>
      <c r="U326" s="48"/>
    </row>
    <row r="327" spans="1:21" s="40" customFormat="1" ht="24.95" customHeight="1" x14ac:dyDescent="0.3">
      <c r="A327" s="150"/>
      <c r="B327" s="150"/>
      <c r="C327" s="150"/>
      <c r="D327" s="150"/>
      <c r="E327" s="150"/>
      <c r="F327" s="150"/>
      <c r="G327" s="150"/>
      <c r="H327" s="150"/>
      <c r="I327" s="49" t="s">
        <v>1684</v>
      </c>
      <c r="J327" s="49" t="s">
        <v>768</v>
      </c>
      <c r="K327" s="153"/>
      <c r="L327" s="49" t="s">
        <v>721</v>
      </c>
      <c r="M327" s="49">
        <v>2</v>
      </c>
      <c r="N327" s="176"/>
      <c r="O327" s="176"/>
      <c r="P327" s="49">
        <v>2</v>
      </c>
      <c r="Q327" s="176"/>
      <c r="R327" s="176"/>
      <c r="S327" s="176"/>
      <c r="T327" s="49"/>
      <c r="U327" s="48"/>
    </row>
    <row r="328" spans="1:21" s="40" customFormat="1" ht="24.95" customHeight="1" x14ac:dyDescent="0.3">
      <c r="A328" s="61">
        <v>2023.07</v>
      </c>
      <c r="B328" s="57" t="s">
        <v>877</v>
      </c>
      <c r="C328" s="57" t="s">
        <v>488</v>
      </c>
      <c r="D328" s="57" t="s">
        <v>1639</v>
      </c>
      <c r="E328" s="57"/>
      <c r="F328" s="57" t="s">
        <v>1638</v>
      </c>
      <c r="G328" s="57" t="s">
        <v>1683</v>
      </c>
      <c r="H328" s="57" t="s">
        <v>1682</v>
      </c>
      <c r="I328" s="57" t="s">
        <v>833</v>
      </c>
      <c r="J328" s="57"/>
      <c r="K328" s="57"/>
      <c r="L328" s="57">
        <v>10.5</v>
      </c>
      <c r="M328" s="57">
        <v>10</v>
      </c>
      <c r="N328" s="57">
        <v>2950</v>
      </c>
      <c r="O328" s="57"/>
      <c r="P328" s="57"/>
      <c r="Q328" s="57"/>
      <c r="R328" s="57"/>
      <c r="S328" s="57"/>
      <c r="T328" s="57"/>
      <c r="U328" s="60" t="s">
        <v>1662</v>
      </c>
    </row>
    <row r="329" spans="1:21" s="40" customFormat="1" ht="24.95" customHeight="1" x14ac:dyDescent="0.3">
      <c r="A329" s="61">
        <v>2023.08</v>
      </c>
      <c r="B329" s="57" t="s">
        <v>877</v>
      </c>
      <c r="C329" s="57" t="s">
        <v>576</v>
      </c>
      <c r="D329" s="57" t="s">
        <v>885</v>
      </c>
      <c r="E329" s="57"/>
      <c r="F329" s="57" t="s">
        <v>1552</v>
      </c>
      <c r="G329" s="57"/>
      <c r="H329" s="57" t="s">
        <v>1551</v>
      </c>
      <c r="I329" s="57" t="s">
        <v>1171</v>
      </c>
      <c r="J329" s="57"/>
      <c r="K329" s="57"/>
      <c r="L329" s="57">
        <v>8.5</v>
      </c>
      <c r="M329" s="57">
        <v>20</v>
      </c>
      <c r="N329" s="57">
        <v>3318</v>
      </c>
      <c r="O329" s="57" t="s">
        <v>1550</v>
      </c>
      <c r="P329" s="57"/>
      <c r="Q329" s="57"/>
      <c r="R329" s="57"/>
      <c r="S329" s="57"/>
      <c r="T329" s="57"/>
      <c r="U329" s="60" t="s">
        <v>1681</v>
      </c>
    </row>
    <row r="330" spans="1:21" s="40" customFormat="1" ht="24.95" customHeight="1" x14ac:dyDescent="0.3">
      <c r="A330" s="43">
        <v>2023.08</v>
      </c>
      <c r="B330" s="42" t="s">
        <v>734</v>
      </c>
      <c r="C330" s="42" t="s">
        <v>50</v>
      </c>
      <c r="D330" s="42" t="s">
        <v>71</v>
      </c>
      <c r="E330" s="42"/>
      <c r="F330" s="42" t="s">
        <v>1179</v>
      </c>
      <c r="G330" s="42" t="s">
        <v>1680</v>
      </c>
      <c r="H330" s="42" t="s">
        <v>887</v>
      </c>
      <c r="I330" s="42" t="s">
        <v>887</v>
      </c>
      <c r="J330" s="42" t="s">
        <v>768</v>
      </c>
      <c r="K330" s="42"/>
      <c r="L330" s="42" t="s">
        <v>721</v>
      </c>
      <c r="M330" s="42">
        <v>20</v>
      </c>
      <c r="N330" s="42">
        <v>3500</v>
      </c>
      <c r="O330" s="42" t="s">
        <v>1679</v>
      </c>
      <c r="P330" s="42">
        <v>3390</v>
      </c>
      <c r="Q330" s="42">
        <v>20</v>
      </c>
      <c r="R330" s="42">
        <v>169.5</v>
      </c>
      <c r="S330" s="42" t="s">
        <v>1178</v>
      </c>
      <c r="T330" s="42"/>
      <c r="U330" s="41"/>
    </row>
    <row r="331" spans="1:21" s="40" customFormat="1" ht="24.95" customHeight="1" x14ac:dyDescent="0.3">
      <c r="A331" s="43">
        <v>2023.08</v>
      </c>
      <c r="B331" s="42" t="s">
        <v>734</v>
      </c>
      <c r="C331" s="42" t="s">
        <v>13</v>
      </c>
      <c r="D331" s="42"/>
      <c r="E331" s="42"/>
      <c r="F331" s="42" t="s">
        <v>1297</v>
      </c>
      <c r="G331" s="42" t="s">
        <v>1678</v>
      </c>
      <c r="H331" s="42" t="s">
        <v>1677</v>
      </c>
      <c r="I331" s="42" t="s">
        <v>1677</v>
      </c>
      <c r="J331" s="42" t="s">
        <v>737</v>
      </c>
      <c r="K331" s="42"/>
      <c r="L331" s="42" t="s">
        <v>721</v>
      </c>
      <c r="M331" s="42">
        <v>1</v>
      </c>
      <c r="N331" s="42" t="s">
        <v>721</v>
      </c>
      <c r="O331" s="42" t="s">
        <v>1676</v>
      </c>
      <c r="P331" s="42">
        <v>164</v>
      </c>
      <c r="Q331" s="42">
        <v>1</v>
      </c>
      <c r="R331" s="42">
        <v>164</v>
      </c>
      <c r="S331" s="72" t="s">
        <v>1178</v>
      </c>
      <c r="T331" s="42"/>
      <c r="U331" s="41"/>
    </row>
    <row r="332" spans="1:21" s="40" customFormat="1" ht="24.95" customHeight="1" x14ac:dyDescent="0.3">
      <c r="A332" s="43">
        <v>2023.08</v>
      </c>
      <c r="B332" s="42" t="s">
        <v>734</v>
      </c>
      <c r="C332" s="42" t="s">
        <v>225</v>
      </c>
      <c r="D332" s="42" t="s">
        <v>1324</v>
      </c>
      <c r="E332" s="42"/>
      <c r="F332" s="42" t="s">
        <v>1323</v>
      </c>
      <c r="G332" s="42" t="s">
        <v>1675</v>
      </c>
      <c r="H332" s="42" t="s">
        <v>1674</v>
      </c>
      <c r="I332" s="42" t="s">
        <v>935</v>
      </c>
      <c r="J332" s="42" t="s">
        <v>722</v>
      </c>
      <c r="K332" s="42"/>
      <c r="L332" s="42" t="s">
        <v>721</v>
      </c>
      <c r="M332" s="42">
        <v>20</v>
      </c>
      <c r="N332" s="42">
        <v>1900</v>
      </c>
      <c r="O332" s="42" t="s">
        <v>1319</v>
      </c>
      <c r="P332" s="42">
        <v>1898.2</v>
      </c>
      <c r="Q332" s="42">
        <v>20</v>
      </c>
      <c r="R332" s="42">
        <v>94.91</v>
      </c>
      <c r="S332" s="42" t="s">
        <v>1673</v>
      </c>
      <c r="T332" s="42"/>
      <c r="U332" s="41"/>
    </row>
    <row r="333" spans="1:21" s="40" customFormat="1" ht="24.95" customHeight="1" x14ac:dyDescent="0.3">
      <c r="A333" s="43">
        <v>2023.08</v>
      </c>
      <c r="B333" s="42" t="s">
        <v>734</v>
      </c>
      <c r="C333" s="42" t="s">
        <v>225</v>
      </c>
      <c r="D333" s="42" t="s">
        <v>1151</v>
      </c>
      <c r="E333" s="42"/>
      <c r="F333" s="42" t="s">
        <v>1672</v>
      </c>
      <c r="G333" s="42" t="s">
        <v>1671</v>
      </c>
      <c r="H333" s="42" t="s">
        <v>1670</v>
      </c>
      <c r="I333" s="42" t="s">
        <v>1669</v>
      </c>
      <c r="J333" s="42" t="s">
        <v>759</v>
      </c>
      <c r="K333" s="42"/>
      <c r="L333" s="42" t="s">
        <v>721</v>
      </c>
      <c r="M333" s="42">
        <v>1</v>
      </c>
      <c r="N333" s="42">
        <v>120</v>
      </c>
      <c r="O333" s="42" t="s">
        <v>1166</v>
      </c>
      <c r="P333" s="42">
        <v>118</v>
      </c>
      <c r="Q333" s="42">
        <v>1</v>
      </c>
      <c r="R333" s="42">
        <v>118</v>
      </c>
      <c r="S333" s="42" t="s">
        <v>1066</v>
      </c>
      <c r="T333" s="42"/>
      <c r="U333" s="41" t="s">
        <v>1668</v>
      </c>
    </row>
    <row r="334" spans="1:21" s="40" customFormat="1" ht="24.95" customHeight="1" x14ac:dyDescent="0.3">
      <c r="A334" s="61">
        <v>2023.08</v>
      </c>
      <c r="B334" s="57" t="s">
        <v>877</v>
      </c>
      <c r="C334" s="57" t="s">
        <v>505</v>
      </c>
      <c r="D334" s="57" t="s">
        <v>1667</v>
      </c>
      <c r="E334" s="57"/>
      <c r="F334" s="57" t="s">
        <v>1666</v>
      </c>
      <c r="G334" s="57" t="s">
        <v>1665</v>
      </c>
      <c r="H334" s="57" t="s">
        <v>1664</v>
      </c>
      <c r="I334" s="57" t="s">
        <v>1663</v>
      </c>
      <c r="J334" s="57"/>
      <c r="K334" s="57"/>
      <c r="L334" s="57" t="s">
        <v>721</v>
      </c>
      <c r="M334" s="57">
        <v>1</v>
      </c>
      <c r="N334" s="57">
        <v>750</v>
      </c>
      <c r="O334" s="57"/>
      <c r="P334" s="57"/>
      <c r="Q334" s="57"/>
      <c r="R334" s="57"/>
      <c r="S334" s="57"/>
      <c r="T334" s="57"/>
      <c r="U334" s="60" t="s">
        <v>1662</v>
      </c>
    </row>
    <row r="335" spans="1:21" s="40" customFormat="1" ht="24.95" customHeight="1" x14ac:dyDescent="0.3">
      <c r="A335" s="43">
        <v>2023.08</v>
      </c>
      <c r="B335" s="42" t="s">
        <v>734</v>
      </c>
      <c r="C335" s="43" t="s">
        <v>351</v>
      </c>
      <c r="D335" s="43" t="s">
        <v>1661</v>
      </c>
      <c r="E335" s="43"/>
      <c r="F335" s="43" t="s">
        <v>1660</v>
      </c>
      <c r="G335" s="43" t="s">
        <v>1659</v>
      </c>
      <c r="H335" s="43" t="s">
        <v>1237</v>
      </c>
      <c r="I335" s="43" t="s">
        <v>1313</v>
      </c>
      <c r="J335" s="43" t="s">
        <v>722</v>
      </c>
      <c r="K335" s="43"/>
      <c r="L335" s="43" t="s">
        <v>721</v>
      </c>
      <c r="M335" s="42" t="s">
        <v>721</v>
      </c>
      <c r="N335" s="42">
        <v>17900</v>
      </c>
      <c r="O335" s="42" t="s">
        <v>1658</v>
      </c>
      <c r="P335" s="42">
        <v>16104.6</v>
      </c>
      <c r="Q335" s="42">
        <v>115</v>
      </c>
      <c r="R335" s="42">
        <v>140.04</v>
      </c>
      <c r="S335" s="42" t="s">
        <v>1333</v>
      </c>
      <c r="T335" s="42">
        <v>110</v>
      </c>
      <c r="U335" s="41" t="s">
        <v>1657</v>
      </c>
    </row>
    <row r="336" spans="1:21" s="40" customFormat="1" ht="24.95" customHeight="1" x14ac:dyDescent="0.3">
      <c r="A336" s="43">
        <v>2023.08</v>
      </c>
      <c r="B336" s="42" t="s">
        <v>734</v>
      </c>
      <c r="C336" s="42" t="s">
        <v>488</v>
      </c>
      <c r="D336" s="42" t="s">
        <v>1575</v>
      </c>
      <c r="E336" s="42"/>
      <c r="F336" s="42" t="s">
        <v>1574</v>
      </c>
      <c r="G336" s="42" t="s">
        <v>1656</v>
      </c>
      <c r="H336" s="42" t="s">
        <v>1655</v>
      </c>
      <c r="I336" s="42" t="s">
        <v>738</v>
      </c>
      <c r="J336" s="42" t="s">
        <v>737</v>
      </c>
      <c r="K336" s="42"/>
      <c r="L336" s="42" t="s">
        <v>721</v>
      </c>
      <c r="M336" s="42">
        <v>10</v>
      </c>
      <c r="N336" s="42">
        <v>2950</v>
      </c>
      <c r="O336" s="42" t="s">
        <v>1221</v>
      </c>
      <c r="P336" s="42">
        <v>2949.8</v>
      </c>
      <c r="Q336" s="42">
        <v>10</v>
      </c>
      <c r="R336" s="42">
        <v>294.98</v>
      </c>
      <c r="S336" s="42" t="s">
        <v>1220</v>
      </c>
      <c r="T336" s="42"/>
      <c r="U336" s="41" t="s">
        <v>1654</v>
      </c>
    </row>
    <row r="337" spans="1:21" s="40" customFormat="1" ht="24.95" customHeight="1" x14ac:dyDescent="0.3">
      <c r="A337" s="86">
        <v>2023.08</v>
      </c>
      <c r="B337" s="86" t="s">
        <v>789</v>
      </c>
      <c r="C337" s="86" t="s">
        <v>25</v>
      </c>
      <c r="D337" s="86" t="s">
        <v>1653</v>
      </c>
      <c r="E337" s="86"/>
      <c r="F337" s="86" t="s">
        <v>1652</v>
      </c>
      <c r="G337" s="86" t="s">
        <v>1651</v>
      </c>
      <c r="H337" s="86" t="s">
        <v>1650</v>
      </c>
      <c r="I337" s="86" t="s">
        <v>738</v>
      </c>
      <c r="J337" s="86" t="s">
        <v>737</v>
      </c>
      <c r="K337" s="86"/>
      <c r="L337" s="86" t="s">
        <v>721</v>
      </c>
      <c r="M337" s="86">
        <v>20</v>
      </c>
      <c r="N337" s="86">
        <v>3410</v>
      </c>
      <c r="O337" s="86" t="s">
        <v>1649</v>
      </c>
      <c r="P337" s="86">
        <v>3320</v>
      </c>
      <c r="Q337" s="86">
        <v>20</v>
      </c>
      <c r="R337" s="86">
        <v>166</v>
      </c>
      <c r="S337" s="86" t="s">
        <v>1227</v>
      </c>
      <c r="T337" s="86"/>
      <c r="U337" s="85" t="s">
        <v>1648</v>
      </c>
    </row>
    <row r="338" spans="1:21" s="40" customFormat="1" ht="24.95" customHeight="1" x14ac:dyDescent="0.3">
      <c r="A338" s="61">
        <v>2023.09</v>
      </c>
      <c r="B338" s="57" t="s">
        <v>877</v>
      </c>
      <c r="C338" s="57" t="s">
        <v>50</v>
      </c>
      <c r="D338" s="57" t="s">
        <v>384</v>
      </c>
      <c r="E338" s="57"/>
      <c r="F338" s="57" t="s">
        <v>1646</v>
      </c>
      <c r="G338" s="57" t="s">
        <v>1645</v>
      </c>
      <c r="H338" s="57" t="s">
        <v>1647</v>
      </c>
      <c r="I338" s="57" t="s">
        <v>1643</v>
      </c>
      <c r="J338" s="57"/>
      <c r="K338" s="57"/>
      <c r="L338" s="57" t="s">
        <v>721</v>
      </c>
      <c r="M338" s="57">
        <v>10</v>
      </c>
      <c r="N338" s="57" t="s">
        <v>721</v>
      </c>
      <c r="O338" s="57"/>
      <c r="P338" s="57"/>
      <c r="Q338" s="57"/>
      <c r="R338" s="57"/>
      <c r="S338" s="57"/>
      <c r="T338" s="57"/>
      <c r="U338" s="60"/>
    </row>
    <row r="339" spans="1:21" s="40" customFormat="1" ht="24.95" customHeight="1" x14ac:dyDescent="0.3">
      <c r="A339" s="49">
        <v>2023.09</v>
      </c>
      <c r="B339" s="49" t="s">
        <v>734</v>
      </c>
      <c r="C339" s="49" t="s">
        <v>50</v>
      </c>
      <c r="D339" s="49" t="s">
        <v>384</v>
      </c>
      <c r="E339" s="49"/>
      <c r="F339" s="49" t="s">
        <v>1646</v>
      </c>
      <c r="G339" s="49" t="s">
        <v>1645</v>
      </c>
      <c r="H339" s="49" t="s">
        <v>1644</v>
      </c>
      <c r="I339" s="49" t="s">
        <v>1643</v>
      </c>
      <c r="J339" s="49" t="s">
        <v>722</v>
      </c>
      <c r="K339" s="49" t="s">
        <v>753</v>
      </c>
      <c r="L339" s="49" t="s">
        <v>721</v>
      </c>
      <c r="M339" s="49">
        <v>10</v>
      </c>
      <c r="N339" s="49" t="s">
        <v>721</v>
      </c>
      <c r="O339" s="49" t="s">
        <v>1642</v>
      </c>
      <c r="P339" s="49"/>
      <c r="Q339" s="49">
        <v>10</v>
      </c>
      <c r="R339" s="49"/>
      <c r="S339" s="72" t="s">
        <v>1178</v>
      </c>
      <c r="T339" s="49"/>
      <c r="U339" s="48"/>
    </row>
    <row r="340" spans="1:21" s="40" customFormat="1" ht="24.95" customHeight="1" x14ac:dyDescent="0.3">
      <c r="A340" s="49">
        <v>2023.09</v>
      </c>
      <c r="B340" s="49" t="s">
        <v>734</v>
      </c>
      <c r="C340" s="49" t="s">
        <v>225</v>
      </c>
      <c r="D340" s="49" t="s">
        <v>1437</v>
      </c>
      <c r="E340" s="49"/>
      <c r="F340" s="49" t="s">
        <v>1641</v>
      </c>
      <c r="G340" s="49" t="s">
        <v>1640</v>
      </c>
      <c r="H340" s="49" t="s">
        <v>1469</v>
      </c>
      <c r="I340" s="49" t="s">
        <v>1468</v>
      </c>
      <c r="J340" s="49" t="s">
        <v>743</v>
      </c>
      <c r="K340" s="49" t="s">
        <v>753</v>
      </c>
      <c r="L340" s="49">
        <v>3</v>
      </c>
      <c r="M340" s="49">
        <v>1</v>
      </c>
      <c r="N340" s="49" t="s">
        <v>721</v>
      </c>
      <c r="O340" s="49" t="s">
        <v>982</v>
      </c>
      <c r="P340" s="49"/>
      <c r="Q340" s="49">
        <v>1</v>
      </c>
      <c r="R340" s="49"/>
      <c r="S340" s="49"/>
      <c r="T340" s="49"/>
      <c r="U340" s="48"/>
    </row>
    <row r="341" spans="1:21" s="40" customFormat="1" ht="24.95" customHeight="1" x14ac:dyDescent="0.3">
      <c r="A341" s="86">
        <v>2023.09</v>
      </c>
      <c r="B341" s="86" t="s">
        <v>789</v>
      </c>
      <c r="C341" s="86" t="s">
        <v>488</v>
      </c>
      <c r="D341" s="86" t="s">
        <v>1639</v>
      </c>
      <c r="E341" s="86"/>
      <c r="F341" s="86" t="s">
        <v>1638</v>
      </c>
      <c r="G341" s="86" t="s">
        <v>1637</v>
      </c>
      <c r="H341" s="86" t="s">
        <v>1636</v>
      </c>
      <c r="I341" s="86" t="s">
        <v>833</v>
      </c>
      <c r="J341" s="86" t="s">
        <v>1055</v>
      </c>
      <c r="K341" s="86"/>
      <c r="L341" s="86">
        <v>10.5</v>
      </c>
      <c r="M341" s="86">
        <v>10</v>
      </c>
      <c r="N341" s="86" t="s">
        <v>721</v>
      </c>
      <c r="O341" s="86" t="s">
        <v>1221</v>
      </c>
      <c r="P341" s="86">
        <v>2949.8</v>
      </c>
      <c r="Q341" s="86">
        <v>10</v>
      </c>
      <c r="R341" s="86">
        <v>294.98</v>
      </c>
      <c r="S341" s="86" t="s">
        <v>1220</v>
      </c>
      <c r="T341" s="86"/>
      <c r="U341" s="85"/>
    </row>
    <row r="342" spans="1:21" s="40" customFormat="1" ht="24.95" customHeight="1" x14ac:dyDescent="0.3">
      <c r="A342" s="149">
        <v>2023.09</v>
      </c>
      <c r="B342" s="149" t="s">
        <v>734</v>
      </c>
      <c r="C342" s="149" t="s">
        <v>13</v>
      </c>
      <c r="D342" s="149"/>
      <c r="E342" s="149"/>
      <c r="F342" s="149" t="s">
        <v>1098</v>
      </c>
      <c r="G342" s="149" t="s">
        <v>1635</v>
      </c>
      <c r="H342" s="149" t="s">
        <v>1634</v>
      </c>
      <c r="I342" s="49" t="s">
        <v>1633</v>
      </c>
      <c r="J342" s="49" t="s">
        <v>768</v>
      </c>
      <c r="K342" s="152" t="s">
        <v>753</v>
      </c>
      <c r="L342" s="49" t="s">
        <v>721</v>
      </c>
      <c r="M342" s="49">
        <v>80</v>
      </c>
      <c r="N342" s="49" t="s">
        <v>721</v>
      </c>
      <c r="O342" s="152" t="s">
        <v>794</v>
      </c>
      <c r="P342" s="152">
        <v>6271.4</v>
      </c>
      <c r="Q342" s="49">
        <v>80</v>
      </c>
      <c r="R342" s="152"/>
      <c r="S342" s="49" t="s">
        <v>1097</v>
      </c>
      <c r="T342" s="49"/>
      <c r="U342" s="48"/>
    </row>
    <row r="343" spans="1:21" s="40" customFormat="1" ht="24.95" customHeight="1" x14ac:dyDescent="0.3">
      <c r="A343" s="150"/>
      <c r="B343" s="150"/>
      <c r="C343" s="150"/>
      <c r="D343" s="150"/>
      <c r="E343" s="150"/>
      <c r="F343" s="150"/>
      <c r="G343" s="150"/>
      <c r="H343" s="150"/>
      <c r="I343" s="49" t="s">
        <v>1632</v>
      </c>
      <c r="J343" s="49" t="s">
        <v>768</v>
      </c>
      <c r="K343" s="153"/>
      <c r="L343" s="49" t="s">
        <v>721</v>
      </c>
      <c r="M343" s="49">
        <v>20</v>
      </c>
      <c r="N343" s="49" t="s">
        <v>721</v>
      </c>
      <c r="O343" s="153"/>
      <c r="P343" s="153"/>
      <c r="Q343" s="49">
        <v>20</v>
      </c>
      <c r="R343" s="153"/>
      <c r="S343" s="49" t="s">
        <v>1097</v>
      </c>
      <c r="T343" s="49"/>
      <c r="U343" s="48"/>
    </row>
    <row r="344" spans="1:21" s="40" customFormat="1" ht="24.95" customHeight="1" x14ac:dyDescent="0.3">
      <c r="A344" s="149">
        <v>2023.09</v>
      </c>
      <c r="B344" s="149" t="s">
        <v>734</v>
      </c>
      <c r="C344" s="149" t="s">
        <v>13</v>
      </c>
      <c r="D344" s="149" t="s">
        <v>1346</v>
      </c>
      <c r="E344" s="149"/>
      <c r="F344" s="149" t="s">
        <v>1345</v>
      </c>
      <c r="G344" s="149" t="s">
        <v>1631</v>
      </c>
      <c r="H344" s="149" t="s">
        <v>1610</v>
      </c>
      <c r="I344" s="49" t="s">
        <v>1625</v>
      </c>
      <c r="J344" s="49" t="s">
        <v>737</v>
      </c>
      <c r="K344" s="152" t="s">
        <v>753</v>
      </c>
      <c r="L344" s="49" t="s">
        <v>721</v>
      </c>
      <c r="M344" s="49">
        <v>80</v>
      </c>
      <c r="N344" s="49">
        <v>0</v>
      </c>
      <c r="O344" s="49" t="s">
        <v>1630</v>
      </c>
      <c r="P344" s="49">
        <v>0</v>
      </c>
      <c r="Q344" s="49">
        <v>80</v>
      </c>
      <c r="R344" s="49">
        <v>0</v>
      </c>
      <c r="S344" s="49"/>
      <c r="T344" s="49"/>
      <c r="U344" s="48"/>
    </row>
    <row r="345" spans="1:21" s="40" customFormat="1" ht="24.95" customHeight="1" x14ac:dyDescent="0.3">
      <c r="A345" s="151"/>
      <c r="B345" s="151"/>
      <c r="C345" s="151"/>
      <c r="D345" s="151"/>
      <c r="E345" s="151"/>
      <c r="F345" s="151"/>
      <c r="G345" s="151"/>
      <c r="H345" s="151"/>
      <c r="I345" s="49" t="s">
        <v>1623</v>
      </c>
      <c r="J345" s="49" t="s">
        <v>737</v>
      </c>
      <c r="K345" s="154"/>
      <c r="L345" s="49" t="s">
        <v>721</v>
      </c>
      <c r="M345" s="49">
        <v>10</v>
      </c>
      <c r="N345" s="49">
        <v>0</v>
      </c>
      <c r="O345" s="49" t="s">
        <v>1629</v>
      </c>
      <c r="P345" s="49">
        <v>0</v>
      </c>
      <c r="Q345" s="49">
        <v>10</v>
      </c>
      <c r="R345" s="49">
        <v>0</v>
      </c>
      <c r="S345" s="49"/>
      <c r="T345" s="49"/>
      <c r="U345" s="48"/>
    </row>
    <row r="346" spans="1:21" s="40" customFormat="1" ht="24.95" customHeight="1" x14ac:dyDescent="0.3">
      <c r="A346" s="150"/>
      <c r="B346" s="150"/>
      <c r="C346" s="150"/>
      <c r="D346" s="150"/>
      <c r="E346" s="150"/>
      <c r="F346" s="150"/>
      <c r="G346" s="150"/>
      <c r="H346" s="150"/>
      <c r="I346" s="49" t="s">
        <v>1621</v>
      </c>
      <c r="J346" s="49" t="s">
        <v>737</v>
      </c>
      <c r="K346" s="154"/>
      <c r="L346" s="49" t="s">
        <v>721</v>
      </c>
      <c r="M346" s="49">
        <v>10</v>
      </c>
      <c r="N346" s="49">
        <v>0</v>
      </c>
      <c r="O346" s="49" t="s">
        <v>1628</v>
      </c>
      <c r="P346" s="49">
        <v>0</v>
      </c>
      <c r="Q346" s="49">
        <v>10</v>
      </c>
      <c r="R346" s="49">
        <v>0</v>
      </c>
      <c r="S346" s="49"/>
      <c r="T346" s="49"/>
      <c r="U346" s="48"/>
    </row>
    <row r="347" spans="1:21" s="40" customFormat="1" ht="24.95" customHeight="1" x14ac:dyDescent="0.3">
      <c r="A347" s="149">
        <v>2023.09</v>
      </c>
      <c r="B347" s="149" t="s">
        <v>734</v>
      </c>
      <c r="C347" s="149" t="s">
        <v>13</v>
      </c>
      <c r="D347" s="149" t="s">
        <v>1272</v>
      </c>
      <c r="E347" s="149"/>
      <c r="F347" s="149" t="s">
        <v>1627</v>
      </c>
      <c r="G347" s="149" t="s">
        <v>1626</v>
      </c>
      <c r="H347" s="149" t="s">
        <v>1610</v>
      </c>
      <c r="I347" s="49" t="s">
        <v>1625</v>
      </c>
      <c r="J347" s="49" t="s">
        <v>737</v>
      </c>
      <c r="K347" s="154"/>
      <c r="L347" s="49" t="s">
        <v>721</v>
      </c>
      <c r="M347" s="49">
        <v>30</v>
      </c>
      <c r="N347" s="49">
        <v>0</v>
      </c>
      <c r="O347" s="49" t="s">
        <v>1624</v>
      </c>
      <c r="P347" s="49">
        <v>0</v>
      </c>
      <c r="Q347" s="49">
        <v>30</v>
      </c>
      <c r="R347" s="49">
        <v>0</v>
      </c>
      <c r="S347" s="49"/>
      <c r="T347" s="49"/>
      <c r="U347" s="48"/>
    </row>
    <row r="348" spans="1:21" s="40" customFormat="1" ht="24.95" customHeight="1" x14ac:dyDescent="0.3">
      <c r="A348" s="151"/>
      <c r="B348" s="151"/>
      <c r="C348" s="151"/>
      <c r="D348" s="151"/>
      <c r="E348" s="151"/>
      <c r="F348" s="151"/>
      <c r="G348" s="151"/>
      <c r="H348" s="151"/>
      <c r="I348" s="49" t="s">
        <v>1623</v>
      </c>
      <c r="J348" s="49" t="s">
        <v>737</v>
      </c>
      <c r="K348" s="154"/>
      <c r="L348" s="49" t="s">
        <v>721</v>
      </c>
      <c r="M348" s="49">
        <v>20</v>
      </c>
      <c r="N348" s="49">
        <v>0</v>
      </c>
      <c r="O348" s="49" t="s">
        <v>1622</v>
      </c>
      <c r="P348" s="49">
        <v>0</v>
      </c>
      <c r="Q348" s="49">
        <v>20</v>
      </c>
      <c r="R348" s="49">
        <v>0</v>
      </c>
      <c r="S348" s="49"/>
      <c r="T348" s="49"/>
      <c r="U348" s="48"/>
    </row>
    <row r="349" spans="1:21" s="40" customFormat="1" ht="24.95" customHeight="1" x14ac:dyDescent="0.3">
      <c r="A349" s="151"/>
      <c r="B349" s="151"/>
      <c r="C349" s="151"/>
      <c r="D349" s="151"/>
      <c r="E349" s="151"/>
      <c r="F349" s="151"/>
      <c r="G349" s="151"/>
      <c r="H349" s="151"/>
      <c r="I349" s="49" t="s">
        <v>1621</v>
      </c>
      <c r="J349" s="49" t="s">
        <v>737</v>
      </c>
      <c r="K349" s="154"/>
      <c r="L349" s="49" t="s">
        <v>721</v>
      </c>
      <c r="M349" s="49">
        <v>20</v>
      </c>
      <c r="N349" s="49">
        <v>0</v>
      </c>
      <c r="O349" s="49" t="s">
        <v>1620</v>
      </c>
      <c r="P349" s="49">
        <v>0</v>
      </c>
      <c r="Q349" s="49">
        <v>20</v>
      </c>
      <c r="R349" s="49">
        <v>0</v>
      </c>
      <c r="S349" s="49"/>
      <c r="T349" s="49"/>
      <c r="U349" s="48"/>
    </row>
    <row r="350" spans="1:21" s="40" customFormat="1" ht="24.95" customHeight="1" x14ac:dyDescent="0.3">
      <c r="A350" s="151"/>
      <c r="B350" s="151"/>
      <c r="C350" s="151"/>
      <c r="D350" s="151"/>
      <c r="E350" s="151"/>
      <c r="F350" s="151"/>
      <c r="G350" s="151"/>
      <c r="H350" s="151"/>
      <c r="I350" s="49" t="s">
        <v>1619</v>
      </c>
      <c r="J350" s="49" t="s">
        <v>737</v>
      </c>
      <c r="K350" s="154"/>
      <c r="L350" s="49" t="s">
        <v>721</v>
      </c>
      <c r="M350" s="49">
        <v>20</v>
      </c>
      <c r="N350" s="49">
        <v>0</v>
      </c>
      <c r="O350" s="49" t="s">
        <v>1618</v>
      </c>
      <c r="P350" s="49">
        <v>0</v>
      </c>
      <c r="Q350" s="49">
        <v>20</v>
      </c>
      <c r="R350" s="49">
        <v>0</v>
      </c>
      <c r="S350" s="49"/>
      <c r="T350" s="49"/>
      <c r="U350" s="48"/>
    </row>
    <row r="351" spans="1:21" s="40" customFormat="1" ht="24.95" customHeight="1" x14ac:dyDescent="0.3">
      <c r="A351" s="151"/>
      <c r="B351" s="151"/>
      <c r="C351" s="151"/>
      <c r="D351" s="151"/>
      <c r="E351" s="151"/>
      <c r="F351" s="151"/>
      <c r="G351" s="151"/>
      <c r="H351" s="151"/>
      <c r="I351" s="49" t="s">
        <v>1617</v>
      </c>
      <c r="J351" s="49" t="s">
        <v>737</v>
      </c>
      <c r="K351" s="154"/>
      <c r="L351" s="49" t="s">
        <v>721</v>
      </c>
      <c r="M351" s="49">
        <v>20</v>
      </c>
      <c r="N351" s="49">
        <v>0</v>
      </c>
      <c r="O351" s="49" t="s">
        <v>1616</v>
      </c>
      <c r="P351" s="49">
        <v>0</v>
      </c>
      <c r="Q351" s="49">
        <v>20</v>
      </c>
      <c r="R351" s="49">
        <v>0</v>
      </c>
      <c r="S351" s="49"/>
      <c r="T351" s="49"/>
      <c r="U351" s="48"/>
    </row>
    <row r="352" spans="1:21" s="40" customFormat="1" ht="24.95" customHeight="1" x14ac:dyDescent="0.3">
      <c r="A352" s="150"/>
      <c r="B352" s="150"/>
      <c r="C352" s="150"/>
      <c r="D352" s="150"/>
      <c r="E352" s="150"/>
      <c r="F352" s="150"/>
      <c r="G352" s="150"/>
      <c r="H352" s="150"/>
      <c r="I352" s="49" t="s">
        <v>1615</v>
      </c>
      <c r="J352" s="49" t="s">
        <v>737</v>
      </c>
      <c r="K352" s="153"/>
      <c r="L352" s="49" t="s">
        <v>721</v>
      </c>
      <c r="M352" s="49">
        <v>20</v>
      </c>
      <c r="N352" s="49">
        <v>0</v>
      </c>
      <c r="O352" s="49" t="s">
        <v>1614</v>
      </c>
      <c r="P352" s="49">
        <v>0</v>
      </c>
      <c r="Q352" s="49">
        <v>20</v>
      </c>
      <c r="R352" s="49">
        <v>0</v>
      </c>
      <c r="S352" s="49"/>
      <c r="T352" s="49"/>
      <c r="U352" s="48"/>
    </row>
    <row r="353" spans="1:21" s="40" customFormat="1" ht="24.95" customHeight="1" x14ac:dyDescent="0.3">
      <c r="A353" s="61">
        <v>2023.09</v>
      </c>
      <c r="B353" s="57" t="s">
        <v>877</v>
      </c>
      <c r="C353" s="57" t="s">
        <v>13</v>
      </c>
      <c r="D353" s="57" t="s">
        <v>1613</v>
      </c>
      <c r="E353" s="57"/>
      <c r="F353" s="57" t="s">
        <v>1612</v>
      </c>
      <c r="G353" s="57" t="s">
        <v>1611</v>
      </c>
      <c r="H353" s="57" t="s">
        <v>1610</v>
      </c>
      <c r="I353" s="57" t="s">
        <v>1609</v>
      </c>
      <c r="J353" s="57"/>
      <c r="K353" s="57"/>
      <c r="L353" s="57" t="s">
        <v>721</v>
      </c>
      <c r="M353" s="57">
        <v>5</v>
      </c>
      <c r="N353" s="57">
        <v>0</v>
      </c>
      <c r="O353" s="57"/>
      <c r="P353" s="57"/>
      <c r="Q353" s="57"/>
      <c r="R353" s="57"/>
      <c r="S353" s="57"/>
      <c r="T353" s="57"/>
      <c r="U353" s="60"/>
    </row>
    <row r="354" spans="1:21" s="40" customFormat="1" ht="24.95" customHeight="1" x14ac:dyDescent="0.3">
      <c r="A354" s="123">
        <v>2023.09</v>
      </c>
      <c r="B354" s="123" t="s">
        <v>734</v>
      </c>
      <c r="C354" s="123" t="s">
        <v>191</v>
      </c>
      <c r="D354" s="123" t="s">
        <v>1524</v>
      </c>
      <c r="E354" s="123"/>
      <c r="F354" s="123" t="s">
        <v>1608</v>
      </c>
      <c r="G354" s="123" t="s">
        <v>1607</v>
      </c>
      <c r="H354" s="123" t="s">
        <v>1021</v>
      </c>
      <c r="I354" s="123" t="s">
        <v>1021</v>
      </c>
      <c r="J354" s="42" t="s">
        <v>1055</v>
      </c>
      <c r="K354" s="42"/>
      <c r="L354" s="42">
        <v>11</v>
      </c>
      <c r="M354" s="42">
        <v>30</v>
      </c>
      <c r="N354" s="42" t="s">
        <v>721</v>
      </c>
      <c r="O354" s="42" t="s">
        <v>1243</v>
      </c>
      <c r="P354" s="42">
        <v>5334</v>
      </c>
      <c r="Q354" s="42">
        <v>30</v>
      </c>
      <c r="R354" s="42">
        <v>177.8</v>
      </c>
      <c r="S354" s="42" t="s">
        <v>1606</v>
      </c>
      <c r="T354" s="42"/>
      <c r="U354" s="41"/>
    </row>
    <row r="355" spans="1:21" s="40" customFormat="1" ht="24.95" customHeight="1" x14ac:dyDescent="0.3">
      <c r="A355" s="124"/>
      <c r="B355" s="124"/>
      <c r="C355" s="124"/>
      <c r="D355" s="124"/>
      <c r="E355" s="124"/>
      <c r="F355" s="124"/>
      <c r="G355" s="124"/>
      <c r="H355" s="124"/>
      <c r="I355" s="124"/>
      <c r="J355" s="42" t="s">
        <v>1055</v>
      </c>
      <c r="K355" s="42"/>
      <c r="L355" s="42">
        <v>11</v>
      </c>
      <c r="M355" s="42">
        <v>20</v>
      </c>
      <c r="N355" s="42" t="s">
        <v>721</v>
      </c>
      <c r="O355" s="42" t="s">
        <v>1505</v>
      </c>
      <c r="P355" s="42">
        <v>3558</v>
      </c>
      <c r="Q355" s="42">
        <v>20</v>
      </c>
      <c r="R355" s="42">
        <v>177.9</v>
      </c>
      <c r="S355" s="42" t="s">
        <v>1242</v>
      </c>
      <c r="T355" s="42"/>
      <c r="U355" s="41"/>
    </row>
    <row r="356" spans="1:21" s="40" customFormat="1" ht="24.95" customHeight="1" x14ac:dyDescent="0.3">
      <c r="A356" s="49">
        <v>2023.09</v>
      </c>
      <c r="B356" s="49" t="s">
        <v>734</v>
      </c>
      <c r="C356" s="49" t="s">
        <v>225</v>
      </c>
      <c r="D356" s="49" t="s">
        <v>1151</v>
      </c>
      <c r="E356" s="49"/>
      <c r="F356" s="49" t="s">
        <v>1605</v>
      </c>
      <c r="G356" s="49" t="s">
        <v>1604</v>
      </c>
      <c r="H356" s="49" t="s">
        <v>1603</v>
      </c>
      <c r="I356" s="49" t="s">
        <v>1056</v>
      </c>
      <c r="J356" s="49" t="s">
        <v>1055</v>
      </c>
      <c r="K356" s="49" t="s">
        <v>753</v>
      </c>
      <c r="L356" s="49">
        <v>11</v>
      </c>
      <c r="M356" s="49">
        <v>2</v>
      </c>
      <c r="N356" s="49" t="s">
        <v>721</v>
      </c>
      <c r="O356" s="49" t="s">
        <v>1602</v>
      </c>
      <c r="P356" s="49"/>
      <c r="Q356" s="49">
        <v>2</v>
      </c>
      <c r="R356" s="49"/>
      <c r="S356" s="49"/>
      <c r="T356" s="49"/>
      <c r="U356" s="48"/>
    </row>
    <row r="357" spans="1:21" s="40" customFormat="1" ht="24.95" customHeight="1" x14ac:dyDescent="0.3">
      <c r="A357" s="43">
        <v>2023.09</v>
      </c>
      <c r="B357" s="42" t="s">
        <v>734</v>
      </c>
      <c r="C357" s="42" t="s">
        <v>50</v>
      </c>
      <c r="D357" s="42" t="s">
        <v>1601</v>
      </c>
      <c r="E357" s="42" t="s">
        <v>582</v>
      </c>
      <c r="F357" s="42" t="s">
        <v>1600</v>
      </c>
      <c r="G357" s="42" t="s">
        <v>1599</v>
      </c>
      <c r="H357" s="42" t="s">
        <v>1598</v>
      </c>
      <c r="I357" s="42" t="s">
        <v>1597</v>
      </c>
      <c r="J357" s="42" t="s">
        <v>768</v>
      </c>
      <c r="K357" s="42"/>
      <c r="L357" s="42" t="s">
        <v>721</v>
      </c>
      <c r="M357" s="42">
        <v>55</v>
      </c>
      <c r="N357" s="42" t="s">
        <v>721</v>
      </c>
      <c r="O357" s="42" t="s">
        <v>1596</v>
      </c>
      <c r="P357" s="42">
        <v>7408.5</v>
      </c>
      <c r="Q357" s="42">
        <v>55</v>
      </c>
      <c r="R357" s="42">
        <v>134.69999999999999</v>
      </c>
      <c r="S357" s="42" t="s">
        <v>1178</v>
      </c>
      <c r="T357" s="42">
        <v>120</v>
      </c>
      <c r="U357" s="41"/>
    </row>
    <row r="358" spans="1:21" s="40" customFormat="1" ht="24.95" customHeight="1" x14ac:dyDescent="0.3">
      <c r="A358" s="149">
        <v>2023.09</v>
      </c>
      <c r="B358" s="149" t="s">
        <v>734</v>
      </c>
      <c r="C358" s="149" t="s">
        <v>13</v>
      </c>
      <c r="D358" s="149" t="s">
        <v>1272</v>
      </c>
      <c r="E358" s="149" t="s">
        <v>1595</v>
      </c>
      <c r="F358" s="149" t="s">
        <v>1594</v>
      </c>
      <c r="G358" s="149" t="s">
        <v>1593</v>
      </c>
      <c r="H358" s="49" t="s">
        <v>1099</v>
      </c>
      <c r="I358" s="49" t="s">
        <v>1056</v>
      </c>
      <c r="J358" s="49" t="s">
        <v>768</v>
      </c>
      <c r="K358" s="152" t="s">
        <v>753</v>
      </c>
      <c r="L358" s="49" t="s">
        <v>721</v>
      </c>
      <c r="M358" s="49">
        <v>35</v>
      </c>
      <c r="N358" s="49" t="s">
        <v>721</v>
      </c>
      <c r="O358" s="49" t="s">
        <v>1592</v>
      </c>
      <c r="P358" s="49" t="s">
        <v>721</v>
      </c>
      <c r="Q358" s="49">
        <v>35</v>
      </c>
      <c r="R358" s="49" t="s">
        <v>721</v>
      </c>
      <c r="S358" s="49" t="s">
        <v>831</v>
      </c>
      <c r="T358" s="49"/>
      <c r="U358" s="48"/>
    </row>
    <row r="359" spans="1:21" s="40" customFormat="1" ht="24.95" customHeight="1" x14ac:dyDescent="0.3">
      <c r="A359" s="150"/>
      <c r="B359" s="150"/>
      <c r="C359" s="150"/>
      <c r="D359" s="150"/>
      <c r="E359" s="150"/>
      <c r="F359" s="150"/>
      <c r="G359" s="150"/>
      <c r="H359" s="49" t="s">
        <v>1099</v>
      </c>
      <c r="I359" s="49" t="s">
        <v>1056</v>
      </c>
      <c r="J359" s="49" t="s">
        <v>768</v>
      </c>
      <c r="K359" s="153"/>
      <c r="L359" s="49" t="s">
        <v>721</v>
      </c>
      <c r="M359" s="49">
        <v>35</v>
      </c>
      <c r="N359" s="49" t="s">
        <v>721</v>
      </c>
      <c r="O359" s="49" t="s">
        <v>1591</v>
      </c>
      <c r="P359" s="49" t="s">
        <v>721</v>
      </c>
      <c r="Q359" s="49">
        <v>35</v>
      </c>
      <c r="R359" s="49" t="s">
        <v>721</v>
      </c>
      <c r="S359" s="49" t="s">
        <v>1097</v>
      </c>
      <c r="T359" s="49"/>
      <c r="U359" s="48"/>
    </row>
    <row r="360" spans="1:21" s="40" customFormat="1" ht="24.95" customHeight="1" x14ac:dyDescent="0.3">
      <c r="A360" s="149">
        <v>2023.09</v>
      </c>
      <c r="B360" s="149" t="s">
        <v>734</v>
      </c>
      <c r="C360" s="149" t="s">
        <v>225</v>
      </c>
      <c r="D360" s="149" t="s">
        <v>1144</v>
      </c>
      <c r="E360" s="149" t="s">
        <v>1590</v>
      </c>
      <c r="F360" s="149" t="s">
        <v>1589</v>
      </c>
      <c r="G360" s="149" t="s">
        <v>1588</v>
      </c>
      <c r="H360" s="149" t="s">
        <v>1587</v>
      </c>
      <c r="I360" s="49" t="s">
        <v>1030</v>
      </c>
      <c r="J360" s="49" t="s">
        <v>768</v>
      </c>
      <c r="K360" s="152" t="s">
        <v>753</v>
      </c>
      <c r="L360" s="49" t="s">
        <v>721</v>
      </c>
      <c r="M360" s="49">
        <v>3</v>
      </c>
      <c r="N360" s="49" t="s">
        <v>721</v>
      </c>
      <c r="O360" s="49" t="s">
        <v>1166</v>
      </c>
      <c r="P360" s="152">
        <v>780</v>
      </c>
      <c r="Q360" s="49">
        <v>3</v>
      </c>
      <c r="R360" s="49"/>
      <c r="S360" s="49"/>
      <c r="T360" s="49"/>
      <c r="U360" s="48"/>
    </row>
    <row r="361" spans="1:21" s="40" customFormat="1" ht="24.95" customHeight="1" x14ac:dyDescent="0.3">
      <c r="A361" s="150"/>
      <c r="B361" s="150"/>
      <c r="C361" s="150"/>
      <c r="D361" s="150"/>
      <c r="E361" s="150"/>
      <c r="F361" s="150"/>
      <c r="G361" s="150"/>
      <c r="H361" s="150"/>
      <c r="I361" s="49" t="s">
        <v>1586</v>
      </c>
      <c r="J361" s="49" t="s">
        <v>768</v>
      </c>
      <c r="K361" s="153"/>
      <c r="L361" s="49" t="s">
        <v>721</v>
      </c>
      <c r="M361" s="49">
        <v>2</v>
      </c>
      <c r="N361" s="49" t="s">
        <v>721</v>
      </c>
      <c r="O361" s="49" t="s">
        <v>1166</v>
      </c>
      <c r="P361" s="153"/>
      <c r="Q361" s="49">
        <v>2</v>
      </c>
      <c r="R361" s="49"/>
      <c r="S361" s="49"/>
      <c r="T361" s="49"/>
      <c r="U361" s="48"/>
    </row>
    <row r="362" spans="1:21" s="40" customFormat="1" ht="24.95" customHeight="1" x14ac:dyDescent="0.3">
      <c r="A362" s="43">
        <v>2023.09</v>
      </c>
      <c r="B362" s="42" t="s">
        <v>734</v>
      </c>
      <c r="C362" s="42" t="s">
        <v>225</v>
      </c>
      <c r="D362" s="42" t="s">
        <v>1151</v>
      </c>
      <c r="E362" s="42"/>
      <c r="F362" s="42" t="s">
        <v>1585</v>
      </c>
      <c r="G362" s="42" t="s">
        <v>1584</v>
      </c>
      <c r="H362" s="42" t="s">
        <v>1583</v>
      </c>
      <c r="I362" s="42" t="s">
        <v>1583</v>
      </c>
      <c r="J362" s="42" t="s">
        <v>737</v>
      </c>
      <c r="K362" s="42"/>
      <c r="L362" s="42" t="s">
        <v>721</v>
      </c>
      <c r="M362" s="42">
        <v>2</v>
      </c>
      <c r="N362" s="42">
        <v>390</v>
      </c>
      <c r="O362" s="42" t="s">
        <v>1145</v>
      </c>
      <c r="P362" s="42">
        <v>378</v>
      </c>
      <c r="Q362" s="42">
        <v>2</v>
      </c>
      <c r="R362" s="42">
        <v>189</v>
      </c>
      <c r="S362" s="72" t="s">
        <v>1066</v>
      </c>
      <c r="T362" s="42"/>
      <c r="U362" s="41"/>
    </row>
    <row r="363" spans="1:21" s="40" customFormat="1" ht="24.95" customHeight="1" x14ac:dyDescent="0.3">
      <c r="A363" s="123">
        <v>2023.09</v>
      </c>
      <c r="B363" s="123" t="s">
        <v>734</v>
      </c>
      <c r="C363" s="123" t="s">
        <v>191</v>
      </c>
      <c r="D363" s="123" t="s">
        <v>327</v>
      </c>
      <c r="E363" s="123"/>
      <c r="F363" s="123" t="s">
        <v>1582</v>
      </c>
      <c r="G363" s="123" t="s">
        <v>1581</v>
      </c>
      <c r="H363" s="123" t="s">
        <v>1580</v>
      </c>
      <c r="I363" s="123" t="s">
        <v>1579</v>
      </c>
      <c r="J363" s="43" t="s">
        <v>768</v>
      </c>
      <c r="K363" s="43"/>
      <c r="L363" s="42" t="s">
        <v>721</v>
      </c>
      <c r="M363" s="42">
        <v>10</v>
      </c>
      <c r="N363" s="42" t="s">
        <v>721</v>
      </c>
      <c r="O363" s="42" t="s">
        <v>1578</v>
      </c>
      <c r="P363" s="42">
        <v>1130</v>
      </c>
      <c r="Q363" s="42">
        <v>10</v>
      </c>
      <c r="R363" s="42">
        <v>113</v>
      </c>
      <c r="S363" s="72" t="s">
        <v>1242</v>
      </c>
      <c r="T363" s="42"/>
      <c r="U363" s="41"/>
    </row>
    <row r="364" spans="1:21" s="40" customFormat="1" ht="24.95" customHeight="1" x14ac:dyDescent="0.3">
      <c r="A364" s="124"/>
      <c r="B364" s="124"/>
      <c r="C364" s="124"/>
      <c r="D364" s="124"/>
      <c r="E364" s="124"/>
      <c r="F364" s="124"/>
      <c r="G364" s="124"/>
      <c r="H364" s="124"/>
      <c r="I364" s="124"/>
      <c r="J364" s="43" t="s">
        <v>768</v>
      </c>
      <c r="K364" s="43"/>
      <c r="L364" s="42" t="s">
        <v>721</v>
      </c>
      <c r="M364" s="42">
        <v>10</v>
      </c>
      <c r="N364" s="42" t="s">
        <v>721</v>
      </c>
      <c r="O364" s="42" t="s">
        <v>1577</v>
      </c>
      <c r="P364" s="42">
        <v>1480</v>
      </c>
      <c r="Q364" s="42">
        <v>10</v>
      </c>
      <c r="R364" s="42">
        <v>148</v>
      </c>
      <c r="S364" s="72" t="s">
        <v>1242</v>
      </c>
      <c r="T364" s="42"/>
      <c r="U364" s="41"/>
    </row>
    <row r="365" spans="1:21" s="40" customFormat="1" ht="24.95" customHeight="1" x14ac:dyDescent="0.3">
      <c r="A365" s="43">
        <v>2023.09</v>
      </c>
      <c r="B365" s="42" t="s">
        <v>734</v>
      </c>
      <c r="C365" s="42" t="s">
        <v>403</v>
      </c>
      <c r="D365" s="42"/>
      <c r="E365" s="42"/>
      <c r="F365" s="42" t="s">
        <v>1190</v>
      </c>
      <c r="G365" s="42" t="s">
        <v>517</v>
      </c>
      <c r="H365" s="42" t="s">
        <v>1576</v>
      </c>
      <c r="I365" s="42" t="s">
        <v>1313</v>
      </c>
      <c r="J365" s="42" t="s">
        <v>722</v>
      </c>
      <c r="K365" s="42"/>
      <c r="L365" s="42" t="s">
        <v>721</v>
      </c>
      <c r="M365" s="42">
        <v>15</v>
      </c>
      <c r="N365" s="42">
        <v>2100</v>
      </c>
      <c r="O365" s="42" t="s">
        <v>1448</v>
      </c>
      <c r="P365" s="42">
        <v>2070</v>
      </c>
      <c r="Q365" s="42">
        <v>15</v>
      </c>
      <c r="R365" s="42">
        <v>138</v>
      </c>
      <c r="S365" s="42" t="s">
        <v>1227</v>
      </c>
      <c r="T365" s="42"/>
      <c r="U365" s="41"/>
    </row>
    <row r="366" spans="1:21" s="40" customFormat="1" ht="24.95" customHeight="1" x14ac:dyDescent="0.3">
      <c r="A366" s="43">
        <v>2023.09</v>
      </c>
      <c r="B366" s="42" t="s">
        <v>734</v>
      </c>
      <c r="C366" s="42" t="s">
        <v>488</v>
      </c>
      <c r="D366" s="42" t="s">
        <v>1575</v>
      </c>
      <c r="E366" s="42"/>
      <c r="F366" s="42" t="s">
        <v>1574</v>
      </c>
      <c r="G366" s="42" t="s">
        <v>1573</v>
      </c>
      <c r="H366" s="42" t="s">
        <v>1572</v>
      </c>
      <c r="I366" s="42" t="s">
        <v>738</v>
      </c>
      <c r="J366" s="42" t="s">
        <v>1055</v>
      </c>
      <c r="K366" s="42"/>
      <c r="L366" s="42">
        <v>10.5</v>
      </c>
      <c r="M366" s="42">
        <v>10</v>
      </c>
      <c r="N366" s="42">
        <v>2950</v>
      </c>
      <c r="O366" s="42" t="s">
        <v>1221</v>
      </c>
      <c r="P366" s="42">
        <v>2949.8</v>
      </c>
      <c r="Q366" s="42">
        <v>10</v>
      </c>
      <c r="R366" s="42">
        <v>294.98</v>
      </c>
      <c r="S366" s="42" t="s">
        <v>1220</v>
      </c>
      <c r="T366" s="42"/>
      <c r="U366" s="41"/>
    </row>
    <row r="367" spans="1:21" s="40" customFormat="1" ht="24.95" customHeight="1" x14ac:dyDescent="0.3">
      <c r="A367" s="43">
        <v>2023.09</v>
      </c>
      <c r="B367" s="42" t="s">
        <v>734</v>
      </c>
      <c r="C367" s="42" t="s">
        <v>233</v>
      </c>
      <c r="D367" s="42" t="s">
        <v>1571</v>
      </c>
      <c r="E367" s="42"/>
      <c r="F367" s="42" t="s">
        <v>1570</v>
      </c>
      <c r="G367" s="42" t="s">
        <v>1569</v>
      </c>
      <c r="H367" s="42" t="s">
        <v>1568</v>
      </c>
      <c r="I367" s="42" t="s">
        <v>1567</v>
      </c>
      <c r="J367" s="42" t="s">
        <v>1055</v>
      </c>
      <c r="K367" s="42"/>
      <c r="L367" s="42">
        <v>10.5</v>
      </c>
      <c r="M367" s="42">
        <v>20</v>
      </c>
      <c r="N367" s="42">
        <v>3600</v>
      </c>
      <c r="O367" s="42" t="s">
        <v>1196</v>
      </c>
      <c r="P367" s="42">
        <v>3599.2</v>
      </c>
      <c r="Q367" s="42">
        <v>20</v>
      </c>
      <c r="R367" s="42">
        <v>179.96</v>
      </c>
      <c r="S367" s="42" t="s">
        <v>1097</v>
      </c>
      <c r="T367" s="42"/>
      <c r="U367" s="41"/>
    </row>
    <row r="368" spans="1:21" s="40" customFormat="1" ht="24.95" customHeight="1" x14ac:dyDescent="0.3">
      <c r="A368" s="144">
        <v>2023.09</v>
      </c>
      <c r="B368" s="144" t="s">
        <v>877</v>
      </c>
      <c r="C368" s="144" t="s">
        <v>156</v>
      </c>
      <c r="D368" s="144"/>
      <c r="E368" s="144"/>
      <c r="F368" s="144" t="s">
        <v>1566</v>
      </c>
      <c r="G368" s="144" t="s">
        <v>1565</v>
      </c>
      <c r="H368" s="57" t="s">
        <v>1564</v>
      </c>
      <c r="I368" s="57" t="s">
        <v>1563</v>
      </c>
      <c r="J368" s="57"/>
      <c r="K368" s="57"/>
      <c r="L368" s="57" t="s">
        <v>721</v>
      </c>
      <c r="M368" s="57">
        <v>1</v>
      </c>
      <c r="N368" s="144" t="s">
        <v>721</v>
      </c>
      <c r="O368" s="57"/>
      <c r="P368" s="57"/>
      <c r="Q368" s="57">
        <v>1</v>
      </c>
      <c r="R368" s="57"/>
      <c r="S368" s="57"/>
      <c r="T368" s="57"/>
      <c r="U368" s="60"/>
    </row>
    <row r="369" spans="1:21" s="40" customFormat="1" ht="24.95" customHeight="1" x14ac:dyDescent="0.3">
      <c r="A369" s="145"/>
      <c r="B369" s="145"/>
      <c r="C369" s="145"/>
      <c r="D369" s="145"/>
      <c r="E369" s="145"/>
      <c r="F369" s="145"/>
      <c r="G369" s="145"/>
      <c r="H369" s="57" t="s">
        <v>1562</v>
      </c>
      <c r="I369" s="57" t="s">
        <v>1561</v>
      </c>
      <c r="J369" s="57"/>
      <c r="K369" s="57"/>
      <c r="L369" s="57" t="s">
        <v>721</v>
      </c>
      <c r="M369" s="57">
        <v>1</v>
      </c>
      <c r="N369" s="145"/>
      <c r="O369" s="57"/>
      <c r="P369" s="57"/>
      <c r="Q369" s="57">
        <v>1</v>
      </c>
      <c r="R369" s="57"/>
      <c r="S369" s="57"/>
      <c r="T369" s="57"/>
      <c r="U369" s="60"/>
    </row>
    <row r="370" spans="1:21" s="40" customFormat="1" ht="24.95" customHeight="1" x14ac:dyDescent="0.3">
      <c r="A370" s="84">
        <v>2023.1</v>
      </c>
      <c r="B370" s="49" t="s">
        <v>734</v>
      </c>
      <c r="C370" s="49" t="s">
        <v>233</v>
      </c>
      <c r="D370" s="49" t="s">
        <v>1311</v>
      </c>
      <c r="E370" s="49"/>
      <c r="F370" s="49" t="s">
        <v>1411</v>
      </c>
      <c r="G370" s="49" t="s">
        <v>517</v>
      </c>
      <c r="H370" s="49" t="s">
        <v>1560</v>
      </c>
      <c r="I370" s="49" t="s">
        <v>1559</v>
      </c>
      <c r="J370" s="49" t="s">
        <v>886</v>
      </c>
      <c r="K370" s="49" t="s">
        <v>753</v>
      </c>
      <c r="L370" s="49" t="s">
        <v>721</v>
      </c>
      <c r="M370" s="49">
        <v>100</v>
      </c>
      <c r="N370" s="49">
        <v>12300</v>
      </c>
      <c r="O370" s="49" t="s">
        <v>1558</v>
      </c>
      <c r="P370" s="49">
        <v>12299</v>
      </c>
      <c r="Q370" s="49">
        <v>100</v>
      </c>
      <c r="R370" s="49">
        <v>122.99</v>
      </c>
      <c r="S370" s="49" t="s">
        <v>1227</v>
      </c>
      <c r="T370" s="49"/>
      <c r="U370" s="48" t="s">
        <v>1557</v>
      </c>
    </row>
    <row r="371" spans="1:21" s="40" customFormat="1" ht="24.95" customHeight="1" x14ac:dyDescent="0.3">
      <c r="A371" s="123">
        <v>2023.1</v>
      </c>
      <c r="B371" s="123" t="s">
        <v>734</v>
      </c>
      <c r="C371" s="123" t="s">
        <v>351</v>
      </c>
      <c r="D371" s="123" t="s">
        <v>1556</v>
      </c>
      <c r="E371" s="123"/>
      <c r="F371" s="123" t="s">
        <v>1555</v>
      </c>
      <c r="G371" s="123" t="s">
        <v>1554</v>
      </c>
      <c r="H371" s="123" t="s">
        <v>1553</v>
      </c>
      <c r="I371" s="123" t="s">
        <v>729</v>
      </c>
      <c r="J371" s="42" t="s">
        <v>1055</v>
      </c>
      <c r="K371" s="42"/>
      <c r="L371" s="42">
        <v>10.5</v>
      </c>
      <c r="M371" s="42">
        <v>10</v>
      </c>
      <c r="N371" s="42">
        <v>2480</v>
      </c>
      <c r="O371" s="42" t="s">
        <v>1243</v>
      </c>
      <c r="P371" s="42">
        <v>2479.8000000000002</v>
      </c>
      <c r="Q371" s="42">
        <v>10</v>
      </c>
      <c r="R371" s="42">
        <v>247.98</v>
      </c>
      <c r="S371" s="72" t="s">
        <v>1242</v>
      </c>
      <c r="T371" s="42"/>
      <c r="U371" s="41"/>
    </row>
    <row r="372" spans="1:21" s="40" customFormat="1" ht="24.95" customHeight="1" x14ac:dyDescent="0.3">
      <c r="A372" s="124"/>
      <c r="B372" s="124"/>
      <c r="C372" s="124"/>
      <c r="D372" s="124"/>
      <c r="E372" s="124"/>
      <c r="F372" s="124"/>
      <c r="G372" s="124"/>
      <c r="H372" s="124"/>
      <c r="I372" s="124"/>
      <c r="J372" s="42" t="s">
        <v>1055</v>
      </c>
      <c r="K372" s="42"/>
      <c r="L372" s="42">
        <v>10.5</v>
      </c>
      <c r="M372" s="42">
        <v>10</v>
      </c>
      <c r="N372" s="42">
        <v>2480</v>
      </c>
      <c r="O372" s="42" t="s">
        <v>1243</v>
      </c>
      <c r="P372" s="42">
        <v>2479.8000000000002</v>
      </c>
      <c r="Q372" s="42">
        <v>10</v>
      </c>
      <c r="R372" s="42">
        <v>247.98</v>
      </c>
      <c r="S372" s="72" t="s">
        <v>1242</v>
      </c>
      <c r="T372" s="42"/>
      <c r="U372" s="41"/>
    </row>
    <row r="373" spans="1:21" s="40" customFormat="1" ht="24.95" customHeight="1" x14ac:dyDescent="0.3">
      <c r="A373" s="61">
        <v>2023.1</v>
      </c>
      <c r="B373" s="57" t="s">
        <v>877</v>
      </c>
      <c r="C373" s="57" t="s">
        <v>576</v>
      </c>
      <c r="D373" s="57" t="s">
        <v>885</v>
      </c>
      <c r="E373" s="57"/>
      <c r="F373" s="57" t="s">
        <v>1552</v>
      </c>
      <c r="G373" s="57" t="s">
        <v>517</v>
      </c>
      <c r="H373" s="57" t="s">
        <v>1551</v>
      </c>
      <c r="I373" s="57" t="s">
        <v>1171</v>
      </c>
      <c r="J373" s="57"/>
      <c r="K373" s="57"/>
      <c r="L373" s="57">
        <v>8.5</v>
      </c>
      <c r="M373" s="57">
        <v>20</v>
      </c>
      <c r="N373" s="57">
        <v>3318</v>
      </c>
      <c r="O373" s="57" t="s">
        <v>1550</v>
      </c>
      <c r="P373" s="57"/>
      <c r="Q373" s="57"/>
      <c r="R373" s="57"/>
      <c r="S373" s="57"/>
      <c r="T373" s="57"/>
      <c r="U373" s="60"/>
    </row>
    <row r="374" spans="1:21" s="40" customFormat="1" ht="24.95" customHeight="1" x14ac:dyDescent="0.3">
      <c r="A374" s="149">
        <v>2023.1</v>
      </c>
      <c r="B374" s="152" t="s">
        <v>734</v>
      </c>
      <c r="C374" s="152" t="s">
        <v>225</v>
      </c>
      <c r="D374" s="152" t="s">
        <v>1144</v>
      </c>
      <c r="E374" s="152"/>
      <c r="F374" s="152" t="s">
        <v>1549</v>
      </c>
      <c r="G374" s="152" t="s">
        <v>1548</v>
      </c>
      <c r="H374" s="152" t="s">
        <v>1547</v>
      </c>
      <c r="I374" s="49" t="s">
        <v>1546</v>
      </c>
      <c r="J374" s="52" t="s">
        <v>768</v>
      </c>
      <c r="K374" s="149" t="s">
        <v>753</v>
      </c>
      <c r="L374" s="49" t="s">
        <v>721</v>
      </c>
      <c r="M374" s="49">
        <v>7</v>
      </c>
      <c r="N374" s="49" t="s">
        <v>721</v>
      </c>
      <c r="O374" s="152" t="s">
        <v>1166</v>
      </c>
      <c r="P374" s="152">
        <v>5390</v>
      </c>
      <c r="Q374" s="49">
        <v>7</v>
      </c>
      <c r="R374" s="49"/>
      <c r="S374" s="49"/>
      <c r="T374" s="49"/>
      <c r="U374" s="48"/>
    </row>
    <row r="375" spans="1:21" s="40" customFormat="1" ht="24.95" customHeight="1" x14ac:dyDescent="0.3">
      <c r="A375" s="151"/>
      <c r="B375" s="154"/>
      <c r="C375" s="154"/>
      <c r="D375" s="154"/>
      <c r="E375" s="154"/>
      <c r="F375" s="154"/>
      <c r="G375" s="154"/>
      <c r="H375" s="154"/>
      <c r="I375" s="49" t="s">
        <v>1545</v>
      </c>
      <c r="J375" s="52" t="s">
        <v>768</v>
      </c>
      <c r="K375" s="151"/>
      <c r="L375" s="49" t="s">
        <v>721</v>
      </c>
      <c r="M375" s="49">
        <v>3</v>
      </c>
      <c r="N375" s="49" t="s">
        <v>721</v>
      </c>
      <c r="O375" s="154"/>
      <c r="P375" s="154"/>
      <c r="Q375" s="49">
        <v>3</v>
      </c>
      <c r="R375" s="49"/>
      <c r="S375" s="49"/>
      <c r="T375" s="49"/>
      <c r="U375" s="48"/>
    </row>
    <row r="376" spans="1:21" s="40" customFormat="1" ht="24.95" customHeight="1" x14ac:dyDescent="0.3">
      <c r="A376" s="151"/>
      <c r="B376" s="154"/>
      <c r="C376" s="154"/>
      <c r="D376" s="154"/>
      <c r="E376" s="154"/>
      <c r="F376" s="154"/>
      <c r="G376" s="154"/>
      <c r="H376" s="154"/>
      <c r="I376" s="49" t="s">
        <v>1544</v>
      </c>
      <c r="J376" s="52" t="s">
        <v>768</v>
      </c>
      <c r="K376" s="151"/>
      <c r="L376" s="49" t="s">
        <v>721</v>
      </c>
      <c r="M376" s="49">
        <v>5</v>
      </c>
      <c r="N376" s="49" t="s">
        <v>721</v>
      </c>
      <c r="O376" s="154"/>
      <c r="P376" s="154"/>
      <c r="Q376" s="49">
        <v>5</v>
      </c>
      <c r="R376" s="49"/>
      <c r="S376" s="49"/>
      <c r="T376" s="49"/>
      <c r="U376" s="48"/>
    </row>
    <row r="377" spans="1:21" s="40" customFormat="1" ht="24.95" customHeight="1" x14ac:dyDescent="0.3">
      <c r="A377" s="150"/>
      <c r="B377" s="153"/>
      <c r="C377" s="153"/>
      <c r="D377" s="153"/>
      <c r="E377" s="153"/>
      <c r="F377" s="153"/>
      <c r="G377" s="153"/>
      <c r="H377" s="153"/>
      <c r="I377" s="49" t="s">
        <v>1543</v>
      </c>
      <c r="J377" s="52" t="s">
        <v>768</v>
      </c>
      <c r="K377" s="150"/>
      <c r="L377" s="49" t="s">
        <v>721</v>
      </c>
      <c r="M377" s="49">
        <v>5</v>
      </c>
      <c r="N377" s="49" t="s">
        <v>721</v>
      </c>
      <c r="O377" s="153"/>
      <c r="P377" s="153"/>
      <c r="Q377" s="49">
        <v>5</v>
      </c>
      <c r="R377" s="49"/>
      <c r="S377" s="49"/>
      <c r="T377" s="49"/>
      <c r="U377" s="48"/>
    </row>
    <row r="378" spans="1:21" s="40" customFormat="1" ht="24.95" customHeight="1" x14ac:dyDescent="0.3">
      <c r="A378" s="84">
        <v>2023.1</v>
      </c>
      <c r="B378" s="49" t="s">
        <v>734</v>
      </c>
      <c r="C378" s="49" t="s">
        <v>351</v>
      </c>
      <c r="D378" s="49" t="s">
        <v>725</v>
      </c>
      <c r="E378" s="49"/>
      <c r="F378" s="49" t="s">
        <v>1542</v>
      </c>
      <c r="G378" s="49" t="s">
        <v>1541</v>
      </c>
      <c r="H378" s="49" t="s">
        <v>1540</v>
      </c>
      <c r="I378" s="49" t="s">
        <v>1539</v>
      </c>
      <c r="J378" s="49" t="s">
        <v>728</v>
      </c>
      <c r="K378" s="49" t="s">
        <v>753</v>
      </c>
      <c r="L378" s="49">
        <v>8</v>
      </c>
      <c r="M378" s="49">
        <v>3</v>
      </c>
      <c r="N378" s="49">
        <v>555</v>
      </c>
      <c r="O378" s="49" t="s">
        <v>1538</v>
      </c>
      <c r="P378" s="49"/>
      <c r="Q378" s="49">
        <v>3</v>
      </c>
      <c r="R378" s="49"/>
      <c r="S378" s="49" t="s">
        <v>1537</v>
      </c>
      <c r="T378" s="49"/>
      <c r="U378" s="48"/>
    </row>
    <row r="379" spans="1:21" s="40" customFormat="1" ht="24.95" customHeight="1" x14ac:dyDescent="0.3">
      <c r="A379" s="43">
        <v>2023.1</v>
      </c>
      <c r="B379" s="42" t="s">
        <v>734</v>
      </c>
      <c r="C379" s="42" t="s">
        <v>576</v>
      </c>
      <c r="D379" s="42" t="s">
        <v>1536</v>
      </c>
      <c r="E379" s="42"/>
      <c r="F379" s="42" t="s">
        <v>1535</v>
      </c>
      <c r="G379" s="42" t="s">
        <v>1534</v>
      </c>
      <c r="H379" s="42" t="s">
        <v>1533</v>
      </c>
      <c r="I379" s="42" t="s">
        <v>1532</v>
      </c>
      <c r="J379" s="42" t="s">
        <v>1055</v>
      </c>
      <c r="K379" s="42"/>
      <c r="L379" s="42">
        <v>11</v>
      </c>
      <c r="M379" s="42">
        <v>10</v>
      </c>
      <c r="N379" s="42" t="s">
        <v>721</v>
      </c>
      <c r="O379" s="42" t="s">
        <v>1531</v>
      </c>
      <c r="P379" s="42">
        <v>2050</v>
      </c>
      <c r="Q379" s="42">
        <v>10</v>
      </c>
      <c r="R379" s="42">
        <v>205</v>
      </c>
      <c r="S379" s="42" t="s">
        <v>1530</v>
      </c>
      <c r="T379" s="42">
        <v>60</v>
      </c>
      <c r="U379" s="41" t="s">
        <v>1529</v>
      </c>
    </row>
    <row r="380" spans="1:21" s="40" customFormat="1" ht="24.95" customHeight="1" x14ac:dyDescent="0.3">
      <c r="A380" s="87">
        <v>2023.1</v>
      </c>
      <c r="B380" s="86" t="s">
        <v>789</v>
      </c>
      <c r="C380" s="86" t="s">
        <v>156</v>
      </c>
      <c r="D380" s="86" t="s">
        <v>172</v>
      </c>
      <c r="E380" s="86" t="s">
        <v>773</v>
      </c>
      <c r="F380" s="86" t="s">
        <v>772</v>
      </c>
      <c r="G380" s="86" t="s">
        <v>517</v>
      </c>
      <c r="H380" s="86" t="s">
        <v>1528</v>
      </c>
      <c r="I380" s="86" t="s">
        <v>1527</v>
      </c>
      <c r="J380" s="86" t="s">
        <v>743</v>
      </c>
      <c r="K380" s="86"/>
      <c r="L380" s="86" t="s">
        <v>721</v>
      </c>
      <c r="M380" s="86">
        <v>40</v>
      </c>
      <c r="N380" s="86">
        <v>4000</v>
      </c>
      <c r="O380" s="86" t="s">
        <v>1526</v>
      </c>
      <c r="P380" s="86">
        <v>3990.8</v>
      </c>
      <c r="Q380" s="86">
        <v>40</v>
      </c>
      <c r="R380" s="86">
        <v>99.77</v>
      </c>
      <c r="S380" s="86" t="s">
        <v>766</v>
      </c>
      <c r="T380" s="86"/>
      <c r="U380" s="85" t="s">
        <v>1525</v>
      </c>
    </row>
    <row r="381" spans="1:21" s="40" customFormat="1" ht="24.95" customHeight="1" x14ac:dyDescent="0.3">
      <c r="A381" s="84">
        <v>2023.1</v>
      </c>
      <c r="B381" s="49" t="s">
        <v>734</v>
      </c>
      <c r="C381" s="49" t="s">
        <v>191</v>
      </c>
      <c r="D381" s="49" t="s">
        <v>1524</v>
      </c>
      <c r="E381" s="49" t="s">
        <v>1523</v>
      </c>
      <c r="F381" s="49" t="s">
        <v>1522</v>
      </c>
      <c r="G381" s="49" t="s">
        <v>1521</v>
      </c>
      <c r="H381" s="49" t="s">
        <v>1520</v>
      </c>
      <c r="I381" s="49" t="s">
        <v>1519</v>
      </c>
      <c r="J381" s="49" t="s">
        <v>737</v>
      </c>
      <c r="K381" s="49" t="s">
        <v>753</v>
      </c>
      <c r="L381" s="49" t="s">
        <v>721</v>
      </c>
      <c r="M381" s="49" t="s">
        <v>721</v>
      </c>
      <c r="N381" s="49" t="s">
        <v>721</v>
      </c>
      <c r="O381" s="49" t="s">
        <v>1518</v>
      </c>
      <c r="P381" s="49">
        <v>3195</v>
      </c>
      <c r="Q381" s="49"/>
      <c r="R381" s="49"/>
      <c r="S381" s="49" t="s">
        <v>1242</v>
      </c>
      <c r="T381" s="49"/>
      <c r="U381" s="48"/>
    </row>
    <row r="382" spans="1:21" s="40" customFormat="1" ht="24.95" customHeight="1" x14ac:dyDescent="0.3">
      <c r="A382" s="84">
        <v>2023.1</v>
      </c>
      <c r="B382" s="49" t="s">
        <v>734</v>
      </c>
      <c r="C382" s="49" t="s">
        <v>191</v>
      </c>
      <c r="D382" s="49" t="s">
        <v>327</v>
      </c>
      <c r="E382" s="49" t="s">
        <v>1517</v>
      </c>
      <c r="F382" s="49" t="s">
        <v>1516</v>
      </c>
      <c r="G382" s="49" t="s">
        <v>1515</v>
      </c>
      <c r="H382" s="49" t="s">
        <v>1514</v>
      </c>
      <c r="I382" s="49" t="s">
        <v>1514</v>
      </c>
      <c r="J382" s="49" t="s">
        <v>768</v>
      </c>
      <c r="K382" s="49" t="s">
        <v>753</v>
      </c>
      <c r="L382" s="49" t="s">
        <v>721</v>
      </c>
      <c r="M382" s="49" t="s">
        <v>721</v>
      </c>
      <c r="N382" s="49">
        <v>1400</v>
      </c>
      <c r="O382" s="49" t="s">
        <v>1513</v>
      </c>
      <c r="P382" s="49">
        <v>139.91</v>
      </c>
      <c r="Q382" s="49"/>
      <c r="R382" s="49"/>
      <c r="S382" s="49"/>
      <c r="T382" s="49"/>
      <c r="U382" s="48"/>
    </row>
    <row r="383" spans="1:21" s="40" customFormat="1" ht="24.95" customHeight="1" x14ac:dyDescent="0.3">
      <c r="A383" s="43">
        <v>2023.11</v>
      </c>
      <c r="B383" s="42" t="s">
        <v>734</v>
      </c>
      <c r="C383" s="42" t="s">
        <v>403</v>
      </c>
      <c r="D383" s="42"/>
      <c r="E383" s="42"/>
      <c r="F383" s="42" t="s">
        <v>1190</v>
      </c>
      <c r="G383" s="42" t="s">
        <v>517</v>
      </c>
      <c r="H383" s="42" t="s">
        <v>1512</v>
      </c>
      <c r="I383" s="42" t="s">
        <v>1465</v>
      </c>
      <c r="J383" s="42" t="s">
        <v>768</v>
      </c>
      <c r="K383" s="42"/>
      <c r="L383" s="42" t="s">
        <v>721</v>
      </c>
      <c r="M383" s="42" t="s">
        <v>721</v>
      </c>
      <c r="N383" s="42">
        <v>2120</v>
      </c>
      <c r="O383" s="42" t="s">
        <v>1187</v>
      </c>
      <c r="P383" s="42">
        <v>3177</v>
      </c>
      <c r="Q383" s="42">
        <v>30</v>
      </c>
      <c r="R383" s="42">
        <v>105.9</v>
      </c>
      <c r="S383" s="42" t="s">
        <v>1227</v>
      </c>
      <c r="T383" s="42"/>
      <c r="U383" s="41"/>
    </row>
    <row r="384" spans="1:21" s="40" customFormat="1" ht="24.95" customHeight="1" x14ac:dyDescent="0.3">
      <c r="A384" s="43">
        <v>2023.11</v>
      </c>
      <c r="B384" s="42" t="s">
        <v>734</v>
      </c>
      <c r="C384" s="42" t="s">
        <v>225</v>
      </c>
      <c r="D384" s="42" t="s">
        <v>1144</v>
      </c>
      <c r="E384" s="42"/>
      <c r="F384" s="42" t="s">
        <v>1511</v>
      </c>
      <c r="G384" s="42" t="s">
        <v>1510</v>
      </c>
      <c r="H384" s="42" t="s">
        <v>1509</v>
      </c>
      <c r="I384" s="42" t="s">
        <v>1508</v>
      </c>
      <c r="J384" s="42" t="s">
        <v>1055</v>
      </c>
      <c r="K384" s="42"/>
      <c r="L384" s="42">
        <v>10</v>
      </c>
      <c r="M384" s="42">
        <v>100</v>
      </c>
      <c r="N384" s="42">
        <v>28500</v>
      </c>
      <c r="O384" s="42" t="s">
        <v>1145</v>
      </c>
      <c r="P384" s="42">
        <v>28496</v>
      </c>
      <c r="Q384" s="42">
        <v>100</v>
      </c>
      <c r="R384" s="42">
        <v>284.95999999999998</v>
      </c>
      <c r="S384" s="42" t="s">
        <v>1066</v>
      </c>
      <c r="T384" s="42"/>
      <c r="U384" s="41"/>
    </row>
    <row r="385" spans="1:21" s="40" customFormat="1" ht="24.95" customHeight="1" x14ac:dyDescent="0.3">
      <c r="A385" s="43">
        <v>2023.11</v>
      </c>
      <c r="B385" s="42" t="s">
        <v>734</v>
      </c>
      <c r="C385" s="42" t="s">
        <v>191</v>
      </c>
      <c r="D385" s="42" t="s">
        <v>563</v>
      </c>
      <c r="E385" s="42"/>
      <c r="F385" s="42" t="s">
        <v>1507</v>
      </c>
      <c r="G385" s="42" t="s">
        <v>1506</v>
      </c>
      <c r="H385" s="42" t="s">
        <v>729</v>
      </c>
      <c r="I385" s="42" t="s">
        <v>729</v>
      </c>
      <c r="J385" s="42" t="s">
        <v>737</v>
      </c>
      <c r="K385" s="42"/>
      <c r="L385" s="42" t="s">
        <v>721</v>
      </c>
      <c r="M385" s="42">
        <v>150</v>
      </c>
      <c r="N385" s="42" t="s">
        <v>721</v>
      </c>
      <c r="O385" s="42" t="s">
        <v>1505</v>
      </c>
      <c r="P385" s="42">
        <v>23248.5</v>
      </c>
      <c r="Q385" s="42">
        <v>150</v>
      </c>
      <c r="R385" s="42">
        <v>154.99</v>
      </c>
      <c r="S385" s="42" t="s">
        <v>1242</v>
      </c>
      <c r="T385" s="42"/>
      <c r="U385" s="41"/>
    </row>
    <row r="386" spans="1:21" s="40" customFormat="1" ht="24.95" customHeight="1" x14ac:dyDescent="0.3">
      <c r="A386" s="43">
        <v>2023.11</v>
      </c>
      <c r="B386" s="42" t="s">
        <v>734</v>
      </c>
      <c r="C386" s="42" t="s">
        <v>25</v>
      </c>
      <c r="D386" s="42" t="s">
        <v>291</v>
      </c>
      <c r="E386" s="42"/>
      <c r="F386" s="42" t="s">
        <v>1504</v>
      </c>
      <c r="G386" s="42" t="s">
        <v>517</v>
      </c>
      <c r="H386" s="42" t="s">
        <v>1503</v>
      </c>
      <c r="I386" s="42" t="s">
        <v>729</v>
      </c>
      <c r="J386" s="42" t="s">
        <v>1055</v>
      </c>
      <c r="K386" s="42"/>
      <c r="L386" s="42">
        <v>10</v>
      </c>
      <c r="M386" s="42">
        <v>20</v>
      </c>
      <c r="N386" s="42">
        <v>4800</v>
      </c>
      <c r="O386" s="42" t="s">
        <v>1502</v>
      </c>
      <c r="P386" s="42">
        <v>4778</v>
      </c>
      <c r="Q386" s="42">
        <v>20</v>
      </c>
      <c r="R386" s="42">
        <v>238.9</v>
      </c>
      <c r="S386" s="42" t="s">
        <v>1242</v>
      </c>
      <c r="T386" s="42"/>
      <c r="U386" s="41"/>
    </row>
    <row r="387" spans="1:21" s="40" customFormat="1" ht="24.95" customHeight="1" x14ac:dyDescent="0.3">
      <c r="A387" s="43">
        <v>2023.11</v>
      </c>
      <c r="B387" s="42" t="s">
        <v>734</v>
      </c>
      <c r="C387" s="42" t="s">
        <v>13</v>
      </c>
      <c r="D387" s="42" t="s">
        <v>1346</v>
      </c>
      <c r="E387" s="42"/>
      <c r="F387" s="42" t="s">
        <v>1501</v>
      </c>
      <c r="G387" s="42" t="s">
        <v>1500</v>
      </c>
      <c r="H387" s="42" t="s">
        <v>1499</v>
      </c>
      <c r="I387" s="42" t="s">
        <v>1498</v>
      </c>
      <c r="J387" s="42" t="s">
        <v>759</v>
      </c>
      <c r="K387" s="42"/>
      <c r="L387" s="42" t="s">
        <v>721</v>
      </c>
      <c r="M387" s="42">
        <v>6</v>
      </c>
      <c r="N387" s="42">
        <v>1560</v>
      </c>
      <c r="O387" s="42" t="s">
        <v>794</v>
      </c>
      <c r="P387" s="42">
        <v>1554</v>
      </c>
      <c r="Q387" s="42">
        <v>6</v>
      </c>
      <c r="R387" s="42">
        <v>259</v>
      </c>
      <c r="S387" s="42" t="s">
        <v>1178</v>
      </c>
      <c r="T387" s="42">
        <v>120.2</v>
      </c>
      <c r="U387" s="41" t="s">
        <v>1497</v>
      </c>
    </row>
    <row r="388" spans="1:21" s="40" customFormat="1" ht="24.95" customHeight="1" x14ac:dyDescent="0.3">
      <c r="A388" s="49">
        <v>2023.11</v>
      </c>
      <c r="B388" s="49" t="s">
        <v>734</v>
      </c>
      <c r="C388" s="49" t="s">
        <v>13</v>
      </c>
      <c r="D388" s="49" t="s">
        <v>1496</v>
      </c>
      <c r="E388" s="49"/>
      <c r="F388" s="49" t="s">
        <v>1495</v>
      </c>
      <c r="G388" s="49" t="s">
        <v>1494</v>
      </c>
      <c r="H388" s="49" t="s">
        <v>1493</v>
      </c>
      <c r="I388" s="49" t="s">
        <v>1492</v>
      </c>
      <c r="J388" s="49" t="s">
        <v>737</v>
      </c>
      <c r="K388" s="49" t="s">
        <v>753</v>
      </c>
      <c r="L388" s="49" t="s">
        <v>721</v>
      </c>
      <c r="M388" s="49">
        <v>30</v>
      </c>
      <c r="N388" s="49">
        <v>0</v>
      </c>
      <c r="O388" s="49" t="s">
        <v>1491</v>
      </c>
      <c r="P388" s="49">
        <v>0</v>
      </c>
      <c r="Q388" s="49">
        <v>30</v>
      </c>
      <c r="R388" s="49">
        <v>0</v>
      </c>
      <c r="S388" s="49" t="s">
        <v>1178</v>
      </c>
      <c r="T388" s="49"/>
      <c r="U388" s="48"/>
    </row>
    <row r="389" spans="1:21" s="40" customFormat="1" ht="24.95" customHeight="1" x14ac:dyDescent="0.3">
      <c r="A389" s="43">
        <v>2023.11</v>
      </c>
      <c r="B389" s="42" t="s">
        <v>734</v>
      </c>
      <c r="C389" s="42" t="s">
        <v>873</v>
      </c>
      <c r="D389" s="42"/>
      <c r="E389" s="42"/>
      <c r="F389" s="42" t="s">
        <v>1341</v>
      </c>
      <c r="G389" s="42" t="s">
        <v>1490</v>
      </c>
      <c r="H389" s="42" t="s">
        <v>1489</v>
      </c>
      <c r="I389" s="42" t="s">
        <v>983</v>
      </c>
      <c r="J389" s="42" t="s">
        <v>768</v>
      </c>
      <c r="K389" s="42"/>
      <c r="L389" s="42" t="s">
        <v>721</v>
      </c>
      <c r="M389" s="42">
        <v>35</v>
      </c>
      <c r="N389" s="42">
        <v>875</v>
      </c>
      <c r="O389" s="42" t="s">
        <v>1338</v>
      </c>
      <c r="P389" s="42">
        <v>874.3</v>
      </c>
      <c r="Q389" s="42">
        <v>35</v>
      </c>
      <c r="R389" s="42">
        <v>24.98</v>
      </c>
      <c r="S389" s="42" t="s">
        <v>987</v>
      </c>
      <c r="T389" s="42"/>
      <c r="U389" s="41"/>
    </row>
    <row r="390" spans="1:21" s="40" customFormat="1" ht="24.95" customHeight="1" x14ac:dyDescent="0.3">
      <c r="A390" s="123">
        <v>2023.11</v>
      </c>
      <c r="B390" s="127" t="s">
        <v>734</v>
      </c>
      <c r="C390" s="123" t="s">
        <v>44</v>
      </c>
      <c r="D390" s="123" t="s">
        <v>1488</v>
      </c>
      <c r="E390" s="123" t="s">
        <v>1487</v>
      </c>
      <c r="F390" s="123" t="s">
        <v>1486</v>
      </c>
      <c r="G390" s="123" t="s">
        <v>1485</v>
      </c>
      <c r="H390" s="123" t="s">
        <v>1021</v>
      </c>
      <c r="I390" s="42" t="s">
        <v>1268</v>
      </c>
      <c r="J390" s="42" t="s">
        <v>722</v>
      </c>
      <c r="K390" s="42"/>
      <c r="L390" s="42" t="s">
        <v>721</v>
      </c>
      <c r="M390" s="42">
        <v>2</v>
      </c>
      <c r="N390" s="123">
        <v>405</v>
      </c>
      <c r="O390" s="123" t="s">
        <v>1202</v>
      </c>
      <c r="P390" s="42">
        <v>270</v>
      </c>
      <c r="Q390" s="42">
        <v>2</v>
      </c>
      <c r="R390" s="42">
        <v>135</v>
      </c>
      <c r="S390" s="42" t="s">
        <v>1052</v>
      </c>
      <c r="T390" s="42"/>
      <c r="U390" s="41" t="s">
        <v>1484</v>
      </c>
    </row>
    <row r="391" spans="1:21" s="40" customFormat="1" ht="24.95" customHeight="1" x14ac:dyDescent="0.3">
      <c r="A391" s="124"/>
      <c r="B391" s="128"/>
      <c r="C391" s="124"/>
      <c r="D391" s="124"/>
      <c r="E391" s="124"/>
      <c r="F391" s="124"/>
      <c r="G391" s="124"/>
      <c r="H391" s="124"/>
      <c r="I391" s="42" t="s">
        <v>1483</v>
      </c>
      <c r="J391" s="42" t="s">
        <v>743</v>
      </c>
      <c r="K391" s="42"/>
      <c r="L391" s="42" t="s">
        <v>721</v>
      </c>
      <c r="M391" s="42">
        <v>2</v>
      </c>
      <c r="N391" s="124"/>
      <c r="O391" s="124"/>
      <c r="P391" s="42">
        <v>130.80000000000001</v>
      </c>
      <c r="Q391" s="42">
        <v>2</v>
      </c>
      <c r="R391" s="42">
        <v>65.400000000000006</v>
      </c>
      <c r="S391" s="42" t="s">
        <v>1052</v>
      </c>
      <c r="T391" s="42"/>
      <c r="U391" s="41" t="s">
        <v>1482</v>
      </c>
    </row>
    <row r="392" spans="1:21" s="40" customFormat="1" ht="24.95" customHeight="1" x14ac:dyDescent="0.3">
      <c r="A392" s="123">
        <v>2023.11</v>
      </c>
      <c r="B392" s="127" t="s">
        <v>734</v>
      </c>
      <c r="C392" s="123" t="s">
        <v>122</v>
      </c>
      <c r="D392" s="123" t="s">
        <v>1481</v>
      </c>
      <c r="E392" s="123" t="s">
        <v>1480</v>
      </c>
      <c r="F392" s="123" t="s">
        <v>1479</v>
      </c>
      <c r="G392" s="123" t="s">
        <v>1478</v>
      </c>
      <c r="H392" s="123" t="s">
        <v>1021</v>
      </c>
      <c r="I392" s="42" t="s">
        <v>1364</v>
      </c>
      <c r="J392" s="42" t="s">
        <v>722</v>
      </c>
      <c r="K392" s="42"/>
      <c r="L392" s="42" t="s">
        <v>721</v>
      </c>
      <c r="M392" s="42">
        <v>5</v>
      </c>
      <c r="N392" s="123">
        <v>1850</v>
      </c>
      <c r="O392" s="123" t="s">
        <v>1477</v>
      </c>
      <c r="P392" s="42">
        <v>946.9</v>
      </c>
      <c r="Q392" s="42">
        <v>5</v>
      </c>
      <c r="R392" s="42">
        <v>189.38</v>
      </c>
      <c r="S392" s="42" t="s">
        <v>1474</v>
      </c>
      <c r="T392" s="42">
        <v>126</v>
      </c>
      <c r="U392" s="41" t="s">
        <v>1476</v>
      </c>
    </row>
    <row r="393" spans="1:21" s="40" customFormat="1" ht="24.95" customHeight="1" x14ac:dyDescent="0.3">
      <c r="A393" s="124"/>
      <c r="B393" s="128"/>
      <c r="C393" s="124"/>
      <c r="D393" s="124"/>
      <c r="E393" s="124"/>
      <c r="F393" s="124"/>
      <c r="G393" s="124"/>
      <c r="H393" s="124"/>
      <c r="I393" s="42" t="s">
        <v>1475</v>
      </c>
      <c r="J393" s="42" t="s">
        <v>759</v>
      </c>
      <c r="K393" s="42"/>
      <c r="L393" s="42" t="s">
        <v>721</v>
      </c>
      <c r="M393" s="42">
        <v>5</v>
      </c>
      <c r="N393" s="124"/>
      <c r="O393" s="124"/>
      <c r="P393" s="42">
        <v>902</v>
      </c>
      <c r="Q393" s="42">
        <v>5</v>
      </c>
      <c r="R393" s="42">
        <v>180.4</v>
      </c>
      <c r="S393" s="42" t="s">
        <v>1474</v>
      </c>
      <c r="T393" s="42">
        <v>88</v>
      </c>
      <c r="U393" s="41" t="s">
        <v>1473</v>
      </c>
    </row>
    <row r="394" spans="1:21" s="40" customFormat="1" ht="24.95" customHeight="1" x14ac:dyDescent="0.3">
      <c r="A394" s="43">
        <v>2023.11</v>
      </c>
      <c r="B394" s="42" t="s">
        <v>734</v>
      </c>
      <c r="C394" s="42" t="s">
        <v>1472</v>
      </c>
      <c r="D394" s="42"/>
      <c r="E394" s="42"/>
      <c r="F394" s="42" t="s">
        <v>1471</v>
      </c>
      <c r="G394" s="42" t="s">
        <v>1470</v>
      </c>
      <c r="H394" s="42" t="s">
        <v>1469</v>
      </c>
      <c r="I394" s="42" t="s">
        <v>1468</v>
      </c>
      <c r="J394" s="42" t="s">
        <v>743</v>
      </c>
      <c r="K394" s="42"/>
      <c r="L394" s="42">
        <v>3</v>
      </c>
      <c r="M394" s="42">
        <v>4</v>
      </c>
      <c r="N394" s="42" t="s">
        <v>721</v>
      </c>
      <c r="O394" s="42" t="s">
        <v>982</v>
      </c>
      <c r="P394" s="42">
        <v>132</v>
      </c>
      <c r="Q394" s="42">
        <v>3</v>
      </c>
      <c r="R394" s="42">
        <v>44</v>
      </c>
      <c r="S394" s="42" t="s">
        <v>1467</v>
      </c>
      <c r="T394" s="42"/>
      <c r="U394" s="41"/>
    </row>
    <row r="395" spans="1:21" s="40" customFormat="1" ht="24.95" customHeight="1" x14ac:dyDescent="0.3">
      <c r="A395" s="43">
        <v>2023.11</v>
      </c>
      <c r="B395" s="42" t="s">
        <v>734</v>
      </c>
      <c r="C395" s="42" t="s">
        <v>403</v>
      </c>
      <c r="D395" s="42"/>
      <c r="E395" s="42"/>
      <c r="F395" s="42" t="s">
        <v>1190</v>
      </c>
      <c r="G395" s="42" t="s">
        <v>517</v>
      </c>
      <c r="H395" s="42" t="s">
        <v>1466</v>
      </c>
      <c r="I395" s="42" t="s">
        <v>1465</v>
      </c>
      <c r="J395" s="42" t="s">
        <v>768</v>
      </c>
      <c r="K395" s="42"/>
      <c r="L395" s="42" t="s">
        <v>721</v>
      </c>
      <c r="M395" s="42">
        <v>20</v>
      </c>
      <c r="N395" s="42">
        <v>2120</v>
      </c>
      <c r="O395" s="42" t="s">
        <v>1187</v>
      </c>
      <c r="P395" s="42">
        <v>2108</v>
      </c>
      <c r="Q395" s="42">
        <v>20</v>
      </c>
      <c r="R395" s="42">
        <v>105.4</v>
      </c>
      <c r="S395" s="42" t="s">
        <v>1227</v>
      </c>
      <c r="T395" s="42"/>
      <c r="U395" s="41"/>
    </row>
    <row r="396" spans="1:21" s="40" customFormat="1" ht="24.95" customHeight="1" x14ac:dyDescent="0.3">
      <c r="A396" s="43">
        <v>2023.11</v>
      </c>
      <c r="B396" s="42" t="s">
        <v>734</v>
      </c>
      <c r="C396" s="42" t="s">
        <v>403</v>
      </c>
      <c r="D396" s="42"/>
      <c r="E396" s="42"/>
      <c r="F396" s="42" t="s">
        <v>1190</v>
      </c>
      <c r="G396" s="42" t="s">
        <v>517</v>
      </c>
      <c r="H396" s="42" t="s">
        <v>1464</v>
      </c>
      <c r="I396" s="42" t="s">
        <v>1313</v>
      </c>
      <c r="J396" s="42" t="s">
        <v>768</v>
      </c>
      <c r="K396" s="42"/>
      <c r="L396" s="42" t="s">
        <v>721</v>
      </c>
      <c r="M396" s="42">
        <v>20</v>
      </c>
      <c r="N396" s="42">
        <v>2660</v>
      </c>
      <c r="O396" s="42" t="s">
        <v>1236</v>
      </c>
      <c r="P396" s="42">
        <v>2560</v>
      </c>
      <c r="Q396" s="42">
        <v>20</v>
      </c>
      <c r="R396" s="42">
        <v>128</v>
      </c>
      <c r="S396" s="42" t="s">
        <v>1227</v>
      </c>
      <c r="T396" s="42"/>
      <c r="U396" s="41"/>
    </row>
    <row r="397" spans="1:21" s="40" customFormat="1" ht="24.95" customHeight="1" x14ac:dyDescent="0.3">
      <c r="A397" s="87">
        <v>2023.11</v>
      </c>
      <c r="B397" s="86" t="s">
        <v>789</v>
      </c>
      <c r="C397" s="86" t="s">
        <v>576</v>
      </c>
      <c r="D397" s="86" t="s">
        <v>1463</v>
      </c>
      <c r="E397" s="86"/>
      <c r="F397" s="86" t="s">
        <v>1462</v>
      </c>
      <c r="G397" s="86" t="s">
        <v>1461</v>
      </c>
      <c r="H397" s="86" t="s">
        <v>1460</v>
      </c>
      <c r="I397" s="86" t="s">
        <v>1460</v>
      </c>
      <c r="J397" s="86" t="s">
        <v>737</v>
      </c>
      <c r="K397" s="86"/>
      <c r="L397" s="86" t="s">
        <v>721</v>
      </c>
      <c r="M397" s="86" t="s">
        <v>721</v>
      </c>
      <c r="N397" s="86" t="s">
        <v>721</v>
      </c>
      <c r="O397" s="86" t="s">
        <v>1459</v>
      </c>
      <c r="P397" s="86">
        <v>4041.1</v>
      </c>
      <c r="Q397" s="86">
        <v>23</v>
      </c>
      <c r="R397" s="86">
        <v>175.7</v>
      </c>
      <c r="S397" s="86" t="s">
        <v>879</v>
      </c>
      <c r="T397" s="86"/>
      <c r="U397" s="85"/>
    </row>
    <row r="398" spans="1:21" s="40" customFormat="1" ht="24.95" customHeight="1" x14ac:dyDescent="0.3">
      <c r="A398" s="87">
        <v>2023.11</v>
      </c>
      <c r="B398" s="86" t="s">
        <v>789</v>
      </c>
      <c r="C398" s="86" t="s">
        <v>139</v>
      </c>
      <c r="D398" s="86" t="s">
        <v>140</v>
      </c>
      <c r="E398" s="86"/>
      <c r="F398" s="86" t="s">
        <v>1458</v>
      </c>
      <c r="G398" s="86" t="s">
        <v>1457</v>
      </c>
      <c r="H398" s="86" t="s">
        <v>1370</v>
      </c>
      <c r="I398" s="86" t="s">
        <v>1370</v>
      </c>
      <c r="J398" s="86" t="s">
        <v>737</v>
      </c>
      <c r="K398" s="86"/>
      <c r="L398" s="86" t="s">
        <v>721</v>
      </c>
      <c r="M398" s="86">
        <v>11</v>
      </c>
      <c r="N398" s="86">
        <v>2035</v>
      </c>
      <c r="O398" s="86" t="s">
        <v>1456</v>
      </c>
      <c r="P398" s="86">
        <v>2035</v>
      </c>
      <c r="Q398" s="86">
        <v>11</v>
      </c>
      <c r="R398" s="86">
        <v>185</v>
      </c>
      <c r="S398" s="86" t="s">
        <v>1129</v>
      </c>
      <c r="T398" s="86"/>
      <c r="U398" s="85"/>
    </row>
    <row r="399" spans="1:21" s="40" customFormat="1" ht="24.95" customHeight="1" x14ac:dyDescent="0.3">
      <c r="A399" s="43">
        <v>2023.12</v>
      </c>
      <c r="B399" s="42" t="s">
        <v>734</v>
      </c>
      <c r="C399" s="42" t="s">
        <v>214</v>
      </c>
      <c r="D399" s="42" t="s">
        <v>468</v>
      </c>
      <c r="E399" s="42"/>
      <c r="F399" s="42" t="s">
        <v>1455</v>
      </c>
      <c r="G399" s="42" t="s">
        <v>1454</v>
      </c>
      <c r="H399" s="42" t="s">
        <v>738</v>
      </c>
      <c r="I399" s="42" t="s">
        <v>738</v>
      </c>
      <c r="J399" s="42" t="s">
        <v>728</v>
      </c>
      <c r="K399" s="42"/>
      <c r="L399" s="42">
        <v>8.5</v>
      </c>
      <c r="M399" s="42">
        <v>5</v>
      </c>
      <c r="N399" s="42" t="s">
        <v>721</v>
      </c>
      <c r="O399" s="42" t="s">
        <v>1453</v>
      </c>
      <c r="P399" s="42">
        <v>875</v>
      </c>
      <c r="Q399" s="42">
        <v>5</v>
      </c>
      <c r="R399" s="42">
        <v>175</v>
      </c>
      <c r="S399" s="42" t="s">
        <v>1227</v>
      </c>
      <c r="T399" s="42"/>
      <c r="U399" s="41"/>
    </row>
    <row r="400" spans="1:21" s="40" customFormat="1" ht="24.95" customHeight="1" x14ac:dyDescent="0.3">
      <c r="A400" s="61">
        <v>2023.12</v>
      </c>
      <c r="B400" s="57" t="s">
        <v>877</v>
      </c>
      <c r="C400" s="57" t="s">
        <v>156</v>
      </c>
      <c r="D400" s="57" t="s">
        <v>157</v>
      </c>
      <c r="E400" s="57"/>
      <c r="F400" s="57" t="s">
        <v>1452</v>
      </c>
      <c r="G400" s="57" t="s">
        <v>1451</v>
      </c>
      <c r="H400" s="57" t="s">
        <v>1450</v>
      </c>
      <c r="I400" s="57" t="s">
        <v>1450</v>
      </c>
      <c r="J400" s="57"/>
      <c r="K400" s="57"/>
      <c r="L400" s="57" t="s">
        <v>721</v>
      </c>
      <c r="M400" s="57">
        <v>1</v>
      </c>
      <c r="N400" s="57">
        <v>180</v>
      </c>
      <c r="O400" s="57"/>
      <c r="P400" s="57"/>
      <c r="Q400" s="57"/>
      <c r="R400" s="57"/>
      <c r="S400" s="57"/>
      <c r="T400" s="57"/>
      <c r="U400" s="60" t="s">
        <v>1417</v>
      </c>
    </row>
    <row r="401" spans="1:21" s="40" customFormat="1" ht="24.95" customHeight="1" x14ac:dyDescent="0.3">
      <c r="A401" s="43">
        <v>2023.12</v>
      </c>
      <c r="B401" s="42" t="s">
        <v>734</v>
      </c>
      <c r="C401" s="42" t="s">
        <v>403</v>
      </c>
      <c r="D401" s="42"/>
      <c r="E401" s="42"/>
      <c r="F401" s="42" t="s">
        <v>1190</v>
      </c>
      <c r="G401" s="42" t="s">
        <v>517</v>
      </c>
      <c r="H401" s="42" t="s">
        <v>1449</v>
      </c>
      <c r="I401" s="42" t="s">
        <v>1313</v>
      </c>
      <c r="J401" s="42" t="s">
        <v>722</v>
      </c>
      <c r="K401" s="42"/>
      <c r="L401" s="42" t="s">
        <v>721</v>
      </c>
      <c r="M401" s="42" t="s">
        <v>721</v>
      </c>
      <c r="N401" s="42">
        <v>1197</v>
      </c>
      <c r="O401" s="42" t="s">
        <v>1448</v>
      </c>
      <c r="P401" s="42">
        <v>1188</v>
      </c>
      <c r="Q401" s="42">
        <v>9</v>
      </c>
      <c r="R401" s="42">
        <v>132</v>
      </c>
      <c r="S401" s="42" t="s">
        <v>1227</v>
      </c>
      <c r="T401" s="42"/>
      <c r="U401" s="41"/>
    </row>
    <row r="402" spans="1:21" s="40" customFormat="1" ht="24.95" customHeight="1" x14ac:dyDescent="0.3">
      <c r="A402" s="61">
        <v>2023.12</v>
      </c>
      <c r="B402" s="57" t="s">
        <v>877</v>
      </c>
      <c r="C402" s="57" t="s">
        <v>233</v>
      </c>
      <c r="D402" s="57" t="s">
        <v>1201</v>
      </c>
      <c r="E402" s="57"/>
      <c r="F402" s="57" t="s">
        <v>1426</v>
      </c>
      <c r="G402" s="57" t="s">
        <v>1430</v>
      </c>
      <c r="H402" s="57" t="s">
        <v>1447</v>
      </c>
      <c r="I402" s="57" t="s">
        <v>1428</v>
      </c>
      <c r="J402" s="57"/>
      <c r="K402" s="57"/>
      <c r="L402" s="57" t="s">
        <v>721</v>
      </c>
      <c r="M402" s="57">
        <v>10</v>
      </c>
      <c r="N402" s="57">
        <v>1400</v>
      </c>
      <c r="O402" s="57"/>
      <c r="P402" s="57"/>
      <c r="Q402" s="57"/>
      <c r="R402" s="57"/>
      <c r="S402" s="57"/>
      <c r="T402" s="57"/>
      <c r="U402" s="60" t="s">
        <v>922</v>
      </c>
    </row>
    <row r="403" spans="1:21" s="40" customFormat="1" ht="24.95" customHeight="1" x14ac:dyDescent="0.3">
      <c r="A403" s="43">
        <v>2023.12</v>
      </c>
      <c r="B403" s="42" t="s">
        <v>734</v>
      </c>
      <c r="C403" s="42" t="s">
        <v>78</v>
      </c>
      <c r="D403" s="42" t="s">
        <v>1446</v>
      </c>
      <c r="E403" s="42" t="s">
        <v>1445</v>
      </c>
      <c r="F403" s="42" t="s">
        <v>1444</v>
      </c>
      <c r="G403" s="42" t="s">
        <v>1443</v>
      </c>
      <c r="H403" s="42" t="s">
        <v>738</v>
      </c>
      <c r="I403" s="42" t="s">
        <v>738</v>
      </c>
      <c r="J403" s="42" t="s">
        <v>737</v>
      </c>
      <c r="K403" s="42"/>
      <c r="L403" s="42" t="s">
        <v>721</v>
      </c>
      <c r="M403" s="42">
        <v>30</v>
      </c>
      <c r="N403" s="42" t="s">
        <v>721</v>
      </c>
      <c r="O403" s="42" t="s">
        <v>1442</v>
      </c>
      <c r="P403" s="42">
        <v>5670</v>
      </c>
      <c r="Q403" s="42">
        <v>30</v>
      </c>
      <c r="R403" s="42">
        <v>189</v>
      </c>
      <c r="S403" s="72"/>
      <c r="T403" s="42"/>
      <c r="U403" s="41"/>
    </row>
    <row r="404" spans="1:21" s="40" customFormat="1" ht="24.95" customHeight="1" x14ac:dyDescent="0.3">
      <c r="A404" s="43">
        <v>2023.12</v>
      </c>
      <c r="B404" s="42" t="s">
        <v>734</v>
      </c>
      <c r="C404" s="42" t="s">
        <v>50</v>
      </c>
      <c r="D404" s="42" t="s">
        <v>384</v>
      </c>
      <c r="E404" s="42" t="s">
        <v>1441</v>
      </c>
      <c r="F404" s="42" t="s">
        <v>1440</v>
      </c>
      <c r="G404" s="42" t="s">
        <v>1439</v>
      </c>
      <c r="H404" s="42" t="s">
        <v>738</v>
      </c>
      <c r="I404" s="42" t="s">
        <v>738</v>
      </c>
      <c r="J404" s="42" t="s">
        <v>1055</v>
      </c>
      <c r="K404" s="42"/>
      <c r="L404" s="42">
        <v>10.5</v>
      </c>
      <c r="M404" s="42">
        <v>7</v>
      </c>
      <c r="N404" s="42">
        <v>1853.26</v>
      </c>
      <c r="O404" s="42" t="s">
        <v>1145</v>
      </c>
      <c r="P404" s="42">
        <v>1851.99</v>
      </c>
      <c r="Q404" s="42">
        <v>7</v>
      </c>
      <c r="R404" s="42">
        <v>264.57</v>
      </c>
      <c r="S404" s="42" t="s">
        <v>1178</v>
      </c>
      <c r="T404" s="42"/>
      <c r="U404" s="41" t="s">
        <v>1438</v>
      </c>
    </row>
    <row r="405" spans="1:21" s="40" customFormat="1" ht="24.95" customHeight="1" x14ac:dyDescent="0.3">
      <c r="A405" s="61">
        <v>2023.12</v>
      </c>
      <c r="B405" s="57" t="s">
        <v>877</v>
      </c>
      <c r="C405" s="57" t="s">
        <v>225</v>
      </c>
      <c r="D405" s="57" t="s">
        <v>1151</v>
      </c>
      <c r="E405" s="57"/>
      <c r="F405" s="57" t="s">
        <v>1416</v>
      </c>
      <c r="G405" s="57" t="s">
        <v>1415</v>
      </c>
      <c r="H405" s="57" t="s">
        <v>1413</v>
      </c>
      <c r="I405" s="57" t="s">
        <v>1413</v>
      </c>
      <c r="J405" s="57"/>
      <c r="K405" s="57"/>
      <c r="L405" s="57" t="s">
        <v>721</v>
      </c>
      <c r="M405" s="57">
        <v>2</v>
      </c>
      <c r="N405" s="57" t="s">
        <v>721</v>
      </c>
      <c r="O405" s="57"/>
      <c r="P405" s="57"/>
      <c r="Q405" s="57"/>
      <c r="R405" s="57"/>
      <c r="S405" s="57"/>
      <c r="T405" s="57"/>
      <c r="U405" s="60"/>
    </row>
    <row r="406" spans="1:21" s="40" customFormat="1" ht="24.95" customHeight="1" x14ac:dyDescent="0.3">
      <c r="A406" s="49">
        <v>2023.12</v>
      </c>
      <c r="B406" s="49" t="s">
        <v>734</v>
      </c>
      <c r="C406" s="49" t="s">
        <v>225</v>
      </c>
      <c r="D406" s="49" t="s">
        <v>1437</v>
      </c>
      <c r="E406" s="49" t="s">
        <v>1436</v>
      </c>
      <c r="F406" s="49" t="s">
        <v>1435</v>
      </c>
      <c r="G406" s="49" t="s">
        <v>1434</v>
      </c>
      <c r="H406" s="49" t="s">
        <v>769</v>
      </c>
      <c r="I406" s="49" t="s">
        <v>769</v>
      </c>
      <c r="J406" s="49" t="s">
        <v>754</v>
      </c>
      <c r="K406" s="49" t="s">
        <v>753</v>
      </c>
      <c r="L406" s="49" t="s">
        <v>721</v>
      </c>
      <c r="M406" s="49">
        <v>25</v>
      </c>
      <c r="N406" s="49">
        <v>2133.6</v>
      </c>
      <c r="O406" s="49" t="s">
        <v>1433</v>
      </c>
      <c r="P406" s="49">
        <v>2090</v>
      </c>
      <c r="Q406" s="49">
        <v>25</v>
      </c>
      <c r="R406" s="49">
        <v>83.6</v>
      </c>
      <c r="S406" s="49"/>
      <c r="T406" s="49"/>
      <c r="U406" s="48" t="s">
        <v>1432</v>
      </c>
    </row>
    <row r="407" spans="1:21" s="40" customFormat="1" ht="24.95" customHeight="1" x14ac:dyDescent="0.3">
      <c r="A407" s="146">
        <v>2023.12</v>
      </c>
      <c r="B407" s="146" t="s">
        <v>877</v>
      </c>
      <c r="C407" s="146" t="s">
        <v>233</v>
      </c>
      <c r="D407" s="146" t="s">
        <v>1201</v>
      </c>
      <c r="E407" s="146"/>
      <c r="F407" s="146" t="s">
        <v>1426</v>
      </c>
      <c r="G407" s="146" t="s">
        <v>1425</v>
      </c>
      <c r="H407" s="146" t="s">
        <v>1431</v>
      </c>
      <c r="I407" s="57" t="s">
        <v>1423</v>
      </c>
      <c r="J407" s="57"/>
      <c r="K407" s="57"/>
      <c r="L407" s="57" t="s">
        <v>721</v>
      </c>
      <c r="M407" s="57">
        <v>1</v>
      </c>
      <c r="N407" s="57">
        <v>29</v>
      </c>
      <c r="O407" s="57"/>
      <c r="P407" s="57"/>
      <c r="Q407" s="57"/>
      <c r="R407" s="57"/>
      <c r="S407" s="57"/>
      <c r="T407" s="57"/>
      <c r="U407" s="140" t="s">
        <v>922</v>
      </c>
    </row>
    <row r="408" spans="1:21" s="40" customFormat="1" ht="24.95" customHeight="1" x14ac:dyDescent="0.3">
      <c r="A408" s="147"/>
      <c r="B408" s="147"/>
      <c r="C408" s="147"/>
      <c r="D408" s="147"/>
      <c r="E408" s="147"/>
      <c r="F408" s="147"/>
      <c r="G408" s="147"/>
      <c r="H408" s="147"/>
      <c r="I408" s="57" t="s">
        <v>1422</v>
      </c>
      <c r="J408" s="57"/>
      <c r="K408" s="57"/>
      <c r="L408" s="57" t="s">
        <v>721</v>
      </c>
      <c r="M408" s="57">
        <v>1</v>
      </c>
      <c r="N408" s="57">
        <v>69</v>
      </c>
      <c r="O408" s="57"/>
      <c r="P408" s="57"/>
      <c r="Q408" s="57"/>
      <c r="R408" s="57"/>
      <c r="S408" s="57"/>
      <c r="T408" s="57"/>
      <c r="U408" s="141"/>
    </row>
    <row r="409" spans="1:21" s="40" customFormat="1" ht="24.95" customHeight="1" x14ac:dyDescent="0.3">
      <c r="A409" s="43">
        <v>2024.01</v>
      </c>
      <c r="B409" s="42" t="s">
        <v>734</v>
      </c>
      <c r="C409" s="42" t="s">
        <v>233</v>
      </c>
      <c r="D409" s="42" t="s">
        <v>1201</v>
      </c>
      <c r="E409" s="42"/>
      <c r="F409" s="42" t="s">
        <v>1426</v>
      </c>
      <c r="G409" s="42" t="s">
        <v>1430</v>
      </c>
      <c r="H409" s="42" t="s">
        <v>1429</v>
      </c>
      <c r="I409" s="42" t="s">
        <v>1428</v>
      </c>
      <c r="J409" s="42" t="s">
        <v>768</v>
      </c>
      <c r="K409" s="42"/>
      <c r="L409" s="42" t="s">
        <v>721</v>
      </c>
      <c r="M409" s="42">
        <v>10</v>
      </c>
      <c r="N409" s="42">
        <v>1400</v>
      </c>
      <c r="O409" s="42" t="s">
        <v>1427</v>
      </c>
      <c r="P409" s="42">
        <v>1380</v>
      </c>
      <c r="Q409" s="42">
        <v>10</v>
      </c>
      <c r="R409" s="42">
        <v>138</v>
      </c>
      <c r="S409" s="42" t="s">
        <v>1097</v>
      </c>
      <c r="T409" s="42"/>
      <c r="U409" s="41"/>
    </row>
    <row r="410" spans="1:21" s="40" customFormat="1" ht="24.95" customHeight="1" x14ac:dyDescent="0.3">
      <c r="A410" s="152">
        <v>2024.02</v>
      </c>
      <c r="B410" s="152" t="s">
        <v>734</v>
      </c>
      <c r="C410" s="152" t="s">
        <v>233</v>
      </c>
      <c r="D410" s="152" t="s">
        <v>1201</v>
      </c>
      <c r="E410" s="152"/>
      <c r="F410" s="152" t="s">
        <v>1426</v>
      </c>
      <c r="G410" s="152" t="s">
        <v>1425</v>
      </c>
      <c r="H410" s="152" t="s">
        <v>1424</v>
      </c>
      <c r="I410" s="49" t="s">
        <v>1423</v>
      </c>
      <c r="J410" s="49" t="s">
        <v>743</v>
      </c>
      <c r="K410" s="152" t="s">
        <v>753</v>
      </c>
      <c r="L410" s="49" t="s">
        <v>721</v>
      </c>
      <c r="M410" s="49">
        <v>1</v>
      </c>
      <c r="N410" s="49">
        <v>29</v>
      </c>
      <c r="O410" s="152" t="s">
        <v>982</v>
      </c>
      <c r="P410" s="49">
        <v>1</v>
      </c>
      <c r="Q410" s="152">
        <v>94.8</v>
      </c>
      <c r="R410" s="49"/>
      <c r="S410" s="152" t="s">
        <v>987</v>
      </c>
      <c r="T410" s="49"/>
      <c r="U410" s="48"/>
    </row>
    <row r="411" spans="1:21" s="40" customFormat="1" ht="24.95" customHeight="1" x14ac:dyDescent="0.3">
      <c r="A411" s="153"/>
      <c r="B411" s="153"/>
      <c r="C411" s="153"/>
      <c r="D411" s="153"/>
      <c r="E411" s="153"/>
      <c r="F411" s="153"/>
      <c r="G411" s="153"/>
      <c r="H411" s="153"/>
      <c r="I411" s="49" t="s">
        <v>1422</v>
      </c>
      <c r="J411" s="49" t="s">
        <v>743</v>
      </c>
      <c r="K411" s="153"/>
      <c r="L411" s="49" t="s">
        <v>721</v>
      </c>
      <c r="M411" s="49">
        <v>1</v>
      </c>
      <c r="N411" s="49">
        <v>69</v>
      </c>
      <c r="O411" s="153"/>
      <c r="P411" s="49">
        <v>1</v>
      </c>
      <c r="Q411" s="153"/>
      <c r="R411" s="49"/>
      <c r="S411" s="153"/>
      <c r="T411" s="49"/>
      <c r="U411" s="48"/>
    </row>
    <row r="412" spans="1:21" s="40" customFormat="1" ht="24.95" customHeight="1" x14ac:dyDescent="0.3">
      <c r="A412" s="61">
        <v>2024.01</v>
      </c>
      <c r="B412" s="57" t="s">
        <v>877</v>
      </c>
      <c r="C412" s="57" t="s">
        <v>191</v>
      </c>
      <c r="D412" s="57" t="s">
        <v>1286</v>
      </c>
      <c r="E412" s="57" t="s">
        <v>1421</v>
      </c>
      <c r="F412" s="57" t="s">
        <v>1420</v>
      </c>
      <c r="G412" s="57" t="s">
        <v>1419</v>
      </c>
      <c r="H412" s="57" t="s">
        <v>1418</v>
      </c>
      <c r="I412" s="57" t="s">
        <v>899</v>
      </c>
      <c r="J412" s="57"/>
      <c r="K412" s="57"/>
      <c r="L412" s="57" t="s">
        <v>721</v>
      </c>
      <c r="M412" s="57">
        <v>50</v>
      </c>
      <c r="N412" s="57">
        <v>1500</v>
      </c>
      <c r="O412" s="57"/>
      <c r="P412" s="57"/>
      <c r="Q412" s="57"/>
      <c r="R412" s="57"/>
      <c r="S412" s="57"/>
      <c r="T412" s="57"/>
      <c r="U412" s="60" t="s">
        <v>1417</v>
      </c>
    </row>
    <row r="413" spans="1:21" s="40" customFormat="1" ht="24.95" customHeight="1" x14ac:dyDescent="0.3">
      <c r="A413" s="43">
        <v>2024.01</v>
      </c>
      <c r="B413" s="42" t="s">
        <v>734</v>
      </c>
      <c r="C413" s="42" t="s">
        <v>225</v>
      </c>
      <c r="D413" s="42" t="s">
        <v>1151</v>
      </c>
      <c r="E413" s="42"/>
      <c r="F413" s="42" t="s">
        <v>1416</v>
      </c>
      <c r="G413" s="42" t="s">
        <v>1415</v>
      </c>
      <c r="H413" s="42" t="s">
        <v>1414</v>
      </c>
      <c r="I413" s="42" t="s">
        <v>1413</v>
      </c>
      <c r="J413" s="42" t="s">
        <v>768</v>
      </c>
      <c r="K413" s="42"/>
      <c r="L413" s="42" t="s">
        <v>721</v>
      </c>
      <c r="M413" s="42">
        <v>2</v>
      </c>
      <c r="N413" s="42" t="s">
        <v>721</v>
      </c>
      <c r="O413" s="42" t="s">
        <v>1319</v>
      </c>
      <c r="P413" s="42">
        <v>160.4</v>
      </c>
      <c r="Q413" s="42">
        <v>2</v>
      </c>
      <c r="R413" s="42">
        <v>80.2</v>
      </c>
      <c r="S413" s="72"/>
      <c r="T413" s="42"/>
      <c r="U413" s="41"/>
    </row>
    <row r="414" spans="1:21" s="40" customFormat="1" ht="24.95" customHeight="1" x14ac:dyDescent="0.3">
      <c r="A414" s="43">
        <v>2024.01</v>
      </c>
      <c r="B414" s="42" t="s">
        <v>734</v>
      </c>
      <c r="C414" s="42" t="s">
        <v>233</v>
      </c>
      <c r="D414" s="42" t="s">
        <v>1311</v>
      </c>
      <c r="E414" s="42" t="s">
        <v>1412</v>
      </c>
      <c r="F414" s="42" t="s">
        <v>1411</v>
      </c>
      <c r="G414" s="42" t="s">
        <v>517</v>
      </c>
      <c r="H414" s="42" t="s">
        <v>1410</v>
      </c>
      <c r="I414" s="42" t="s">
        <v>1409</v>
      </c>
      <c r="J414" s="42" t="s">
        <v>722</v>
      </c>
      <c r="K414" s="42"/>
      <c r="L414" s="42" t="s">
        <v>721</v>
      </c>
      <c r="M414" s="42">
        <v>50</v>
      </c>
      <c r="N414" s="42">
        <v>6150</v>
      </c>
      <c r="O414" s="42" t="s">
        <v>1408</v>
      </c>
      <c r="P414" s="42">
        <v>6149.85</v>
      </c>
      <c r="Q414" s="42">
        <v>50</v>
      </c>
      <c r="R414" s="42">
        <v>122.997</v>
      </c>
      <c r="S414" s="42" t="s">
        <v>1227</v>
      </c>
      <c r="T414" s="42"/>
      <c r="U414" s="41" t="s">
        <v>1407</v>
      </c>
    </row>
    <row r="415" spans="1:21" s="40" customFormat="1" ht="24.95" customHeight="1" x14ac:dyDescent="0.3">
      <c r="A415" s="144">
        <v>2024.01</v>
      </c>
      <c r="B415" s="144" t="s">
        <v>877</v>
      </c>
      <c r="C415" s="144" t="s">
        <v>13</v>
      </c>
      <c r="D415" s="144" t="s">
        <v>1386</v>
      </c>
      <c r="E415" s="144"/>
      <c r="F415" s="144" t="s">
        <v>1164</v>
      </c>
      <c r="G415" s="144" t="s">
        <v>1385</v>
      </c>
      <c r="H415" s="144" t="s">
        <v>1406</v>
      </c>
      <c r="I415" s="144" t="s">
        <v>1383</v>
      </c>
      <c r="J415" s="59"/>
      <c r="K415" s="59"/>
      <c r="L415" s="144" t="s">
        <v>721</v>
      </c>
      <c r="M415" s="57">
        <v>4</v>
      </c>
      <c r="N415" s="57" t="s">
        <v>721</v>
      </c>
      <c r="O415" s="57"/>
      <c r="P415" s="57"/>
      <c r="Q415" s="57"/>
      <c r="R415" s="57"/>
      <c r="S415" s="57"/>
      <c r="T415" s="57"/>
      <c r="U415" s="60" t="s">
        <v>1382</v>
      </c>
    </row>
    <row r="416" spans="1:21" s="40" customFormat="1" ht="24.95" customHeight="1" x14ac:dyDescent="0.3">
      <c r="A416" s="155"/>
      <c r="B416" s="155"/>
      <c r="C416" s="155"/>
      <c r="D416" s="155"/>
      <c r="E416" s="155"/>
      <c r="F416" s="155"/>
      <c r="G416" s="155"/>
      <c r="H416" s="155"/>
      <c r="I416" s="155"/>
      <c r="J416" s="66"/>
      <c r="K416" s="66"/>
      <c r="L416" s="155"/>
      <c r="M416" s="57">
        <v>4</v>
      </c>
      <c r="N416" s="57" t="s">
        <v>721</v>
      </c>
      <c r="O416" s="57"/>
      <c r="P416" s="57"/>
      <c r="Q416" s="57"/>
      <c r="R416" s="57"/>
      <c r="S416" s="57"/>
      <c r="T416" s="57"/>
      <c r="U416" s="60" t="s">
        <v>1381</v>
      </c>
    </row>
    <row r="417" spans="1:21" s="40" customFormat="1" ht="24.95" customHeight="1" x14ac:dyDescent="0.3">
      <c r="A417" s="155"/>
      <c r="B417" s="155"/>
      <c r="C417" s="155"/>
      <c r="D417" s="155"/>
      <c r="E417" s="155"/>
      <c r="F417" s="155"/>
      <c r="G417" s="155"/>
      <c r="H417" s="155"/>
      <c r="I417" s="155"/>
      <c r="J417" s="66"/>
      <c r="K417" s="66"/>
      <c r="L417" s="155"/>
      <c r="M417" s="57">
        <v>2</v>
      </c>
      <c r="N417" s="57" t="s">
        <v>721</v>
      </c>
      <c r="O417" s="57"/>
      <c r="P417" s="57"/>
      <c r="Q417" s="57"/>
      <c r="R417" s="57"/>
      <c r="S417" s="57"/>
      <c r="T417" s="57"/>
      <c r="U417" s="60" t="s">
        <v>1380</v>
      </c>
    </row>
    <row r="418" spans="1:21" s="40" customFormat="1" ht="24.95" customHeight="1" x14ac:dyDescent="0.3">
      <c r="A418" s="145"/>
      <c r="B418" s="145"/>
      <c r="C418" s="145"/>
      <c r="D418" s="145"/>
      <c r="E418" s="145"/>
      <c r="F418" s="145"/>
      <c r="G418" s="145"/>
      <c r="H418" s="145"/>
      <c r="I418" s="145"/>
      <c r="J418" s="58"/>
      <c r="K418" s="58"/>
      <c r="L418" s="145"/>
      <c r="M418" s="57">
        <v>2</v>
      </c>
      <c r="N418" s="57" t="s">
        <v>721</v>
      </c>
      <c r="O418" s="57"/>
      <c r="P418" s="57"/>
      <c r="Q418" s="57"/>
      <c r="R418" s="57"/>
      <c r="S418" s="57"/>
      <c r="T418" s="57"/>
      <c r="U418" s="60" t="s">
        <v>1378</v>
      </c>
    </row>
    <row r="419" spans="1:21" s="40" customFormat="1" ht="24.95" customHeight="1" x14ac:dyDescent="0.3">
      <c r="A419" s="149">
        <v>2024.02</v>
      </c>
      <c r="B419" s="149" t="s">
        <v>734</v>
      </c>
      <c r="C419" s="149" t="s">
        <v>139</v>
      </c>
      <c r="D419" s="149" t="s">
        <v>140</v>
      </c>
      <c r="E419" s="149"/>
      <c r="F419" s="149" t="s">
        <v>1134</v>
      </c>
      <c r="G419" s="149" t="s">
        <v>1405</v>
      </c>
      <c r="H419" s="149" t="s">
        <v>1404</v>
      </c>
      <c r="I419" s="49" t="s">
        <v>762</v>
      </c>
      <c r="J419" s="49" t="s">
        <v>759</v>
      </c>
      <c r="K419" s="152" t="s">
        <v>753</v>
      </c>
      <c r="L419" s="49" t="s">
        <v>721</v>
      </c>
      <c r="M419" s="49">
        <v>7</v>
      </c>
      <c r="N419" s="152">
        <v>2200</v>
      </c>
      <c r="O419" s="152" t="s">
        <v>1124</v>
      </c>
      <c r="P419" s="152">
        <v>1980</v>
      </c>
      <c r="Q419" s="49">
        <v>7</v>
      </c>
      <c r="R419" s="152"/>
      <c r="S419" s="49" t="s">
        <v>1402</v>
      </c>
      <c r="T419" s="49"/>
      <c r="U419" s="48"/>
    </row>
    <row r="420" spans="1:21" s="40" customFormat="1" ht="24.95" customHeight="1" x14ac:dyDescent="0.3">
      <c r="A420" s="150"/>
      <c r="B420" s="150"/>
      <c r="C420" s="150"/>
      <c r="D420" s="150"/>
      <c r="E420" s="150"/>
      <c r="F420" s="150"/>
      <c r="G420" s="150"/>
      <c r="H420" s="150"/>
      <c r="I420" s="49" t="s">
        <v>1403</v>
      </c>
      <c r="J420" s="49" t="s">
        <v>759</v>
      </c>
      <c r="K420" s="153"/>
      <c r="L420" s="49" t="s">
        <v>721</v>
      </c>
      <c r="M420" s="49">
        <v>4</v>
      </c>
      <c r="N420" s="153"/>
      <c r="O420" s="153"/>
      <c r="P420" s="153"/>
      <c r="Q420" s="49">
        <v>4</v>
      </c>
      <c r="R420" s="153"/>
      <c r="S420" s="49" t="s">
        <v>1402</v>
      </c>
      <c r="T420" s="49"/>
      <c r="U420" s="48"/>
    </row>
    <row r="421" spans="1:21" s="40" customFormat="1" ht="24.95" customHeight="1" x14ac:dyDescent="0.3">
      <c r="A421" s="49">
        <v>2024.02</v>
      </c>
      <c r="B421" s="49" t="s">
        <v>1123</v>
      </c>
      <c r="C421" s="49" t="s">
        <v>214</v>
      </c>
      <c r="D421" s="49" t="s">
        <v>468</v>
      </c>
      <c r="E421" s="49"/>
      <c r="F421" s="49" t="s">
        <v>1401</v>
      </c>
      <c r="G421" s="49" t="s">
        <v>517</v>
      </c>
      <c r="H421" s="49" t="s">
        <v>1400</v>
      </c>
      <c r="I421" s="49" t="s">
        <v>868</v>
      </c>
      <c r="J421" s="49" t="s">
        <v>768</v>
      </c>
      <c r="K421" s="49" t="s">
        <v>753</v>
      </c>
      <c r="L421" s="49" t="s">
        <v>721</v>
      </c>
      <c r="M421" s="49">
        <v>1000</v>
      </c>
      <c r="N421" s="49" t="s">
        <v>721</v>
      </c>
      <c r="O421" s="49"/>
      <c r="P421" s="49"/>
      <c r="Q421" s="49"/>
      <c r="R421" s="49"/>
      <c r="S421" s="49"/>
      <c r="T421" s="49"/>
      <c r="U421" s="48" t="s">
        <v>1399</v>
      </c>
    </row>
    <row r="422" spans="1:21" s="40" customFormat="1" ht="24.95" customHeight="1" x14ac:dyDescent="0.3">
      <c r="A422" s="43">
        <v>2024.02</v>
      </c>
      <c r="B422" s="42" t="s">
        <v>734</v>
      </c>
      <c r="C422" s="42" t="s">
        <v>873</v>
      </c>
      <c r="D422" s="42"/>
      <c r="E422" s="42"/>
      <c r="F422" s="42" t="s">
        <v>1315</v>
      </c>
      <c r="G422" s="42" t="s">
        <v>1398</v>
      </c>
      <c r="H422" s="42" t="s">
        <v>1237</v>
      </c>
      <c r="I422" s="42" t="s">
        <v>1047</v>
      </c>
      <c r="J422" s="42" t="s">
        <v>722</v>
      </c>
      <c r="K422" s="42"/>
      <c r="L422" s="42" t="s">
        <v>721</v>
      </c>
      <c r="M422" s="42">
        <v>45</v>
      </c>
      <c r="N422" s="42">
        <v>5500</v>
      </c>
      <c r="O422" s="42" t="s">
        <v>1312</v>
      </c>
      <c r="P422" s="42">
        <v>5175</v>
      </c>
      <c r="Q422" s="42">
        <v>45</v>
      </c>
      <c r="R422" s="42">
        <v>115</v>
      </c>
      <c r="S422" s="42" t="s">
        <v>1227</v>
      </c>
      <c r="T422" s="42"/>
      <c r="U422" s="41"/>
    </row>
    <row r="423" spans="1:21" s="40" customFormat="1" ht="24.95" customHeight="1" x14ac:dyDescent="0.3">
      <c r="A423" s="49">
        <v>2024.02</v>
      </c>
      <c r="B423" s="49" t="s">
        <v>734</v>
      </c>
      <c r="C423" s="49" t="s">
        <v>13</v>
      </c>
      <c r="D423" s="49"/>
      <c r="E423" s="49"/>
      <c r="F423" s="49" t="s">
        <v>1266</v>
      </c>
      <c r="G423" s="49" t="s">
        <v>1397</v>
      </c>
      <c r="H423" s="49" t="s">
        <v>1396</v>
      </c>
      <c r="I423" s="49" t="s">
        <v>1395</v>
      </c>
      <c r="J423" s="49" t="s">
        <v>943</v>
      </c>
      <c r="K423" s="49" t="s">
        <v>753</v>
      </c>
      <c r="L423" s="49" t="s">
        <v>721</v>
      </c>
      <c r="M423" s="49">
        <v>2</v>
      </c>
      <c r="N423" s="49" t="s">
        <v>721</v>
      </c>
      <c r="O423" s="49" t="s">
        <v>1394</v>
      </c>
      <c r="P423" s="49"/>
      <c r="Q423" s="49">
        <v>2</v>
      </c>
      <c r="R423" s="49"/>
      <c r="S423" s="49" t="s">
        <v>766</v>
      </c>
      <c r="T423" s="49"/>
      <c r="U423" s="48"/>
    </row>
    <row r="424" spans="1:21" s="40" customFormat="1" ht="24.95" customHeight="1" x14ac:dyDescent="0.3">
      <c r="A424" s="43">
        <v>2024.02</v>
      </c>
      <c r="B424" s="42" t="s">
        <v>734</v>
      </c>
      <c r="C424" s="42" t="s">
        <v>403</v>
      </c>
      <c r="D424" s="42" t="s">
        <v>1393</v>
      </c>
      <c r="E424" s="42"/>
      <c r="F424" s="42" t="s">
        <v>1392</v>
      </c>
      <c r="G424" s="42" t="s">
        <v>1391</v>
      </c>
      <c r="H424" s="42" t="s">
        <v>1390</v>
      </c>
      <c r="I424" s="42" t="s">
        <v>1389</v>
      </c>
      <c r="J424" s="42" t="s">
        <v>768</v>
      </c>
      <c r="K424" s="42"/>
      <c r="L424" s="42" t="s">
        <v>721</v>
      </c>
      <c r="M424" s="42">
        <v>1</v>
      </c>
      <c r="N424" s="42">
        <v>160</v>
      </c>
      <c r="O424" s="42" t="s">
        <v>1388</v>
      </c>
      <c r="P424" s="42">
        <v>156.80000000000001</v>
      </c>
      <c r="Q424" s="42">
        <v>1</v>
      </c>
      <c r="R424" s="42">
        <v>156.80000000000001</v>
      </c>
      <c r="S424" s="42" t="s">
        <v>1387</v>
      </c>
      <c r="T424" s="42"/>
      <c r="U424" s="41"/>
    </row>
    <row r="425" spans="1:21" s="40" customFormat="1" ht="24.95" customHeight="1" x14ac:dyDescent="0.3">
      <c r="A425" s="149">
        <v>2024.03</v>
      </c>
      <c r="B425" s="149" t="s">
        <v>734</v>
      </c>
      <c r="C425" s="149" t="s">
        <v>13</v>
      </c>
      <c r="D425" s="149" t="s">
        <v>1386</v>
      </c>
      <c r="E425" s="149"/>
      <c r="F425" s="149" t="s">
        <v>1164</v>
      </c>
      <c r="G425" s="149" t="s">
        <v>1385</v>
      </c>
      <c r="H425" s="149" t="s">
        <v>1384</v>
      </c>
      <c r="I425" s="149" t="s">
        <v>1383</v>
      </c>
      <c r="J425" s="49" t="s">
        <v>1263</v>
      </c>
      <c r="K425" s="149" t="s">
        <v>753</v>
      </c>
      <c r="L425" s="149" t="s">
        <v>721</v>
      </c>
      <c r="M425" s="49">
        <v>4</v>
      </c>
      <c r="N425" s="49" t="s">
        <v>721</v>
      </c>
      <c r="O425" s="49" t="s">
        <v>1379</v>
      </c>
      <c r="P425" s="49"/>
      <c r="Q425" s="49">
        <v>4</v>
      </c>
      <c r="R425" s="49"/>
      <c r="S425" s="49" t="s">
        <v>766</v>
      </c>
      <c r="T425" s="49"/>
      <c r="U425" s="48" t="s">
        <v>1382</v>
      </c>
    </row>
    <row r="426" spans="1:21" s="40" customFormat="1" ht="24.95" customHeight="1" x14ac:dyDescent="0.3">
      <c r="A426" s="151"/>
      <c r="B426" s="151"/>
      <c r="C426" s="151"/>
      <c r="D426" s="151"/>
      <c r="E426" s="151"/>
      <c r="F426" s="151"/>
      <c r="G426" s="151"/>
      <c r="H426" s="151"/>
      <c r="I426" s="151"/>
      <c r="J426" s="49" t="s">
        <v>1263</v>
      </c>
      <c r="K426" s="151"/>
      <c r="L426" s="151"/>
      <c r="M426" s="49">
        <v>4</v>
      </c>
      <c r="N426" s="49" t="s">
        <v>721</v>
      </c>
      <c r="O426" s="49" t="s">
        <v>1379</v>
      </c>
      <c r="P426" s="49"/>
      <c r="Q426" s="49">
        <v>4</v>
      </c>
      <c r="R426" s="49"/>
      <c r="S426" s="49" t="s">
        <v>766</v>
      </c>
      <c r="T426" s="49"/>
      <c r="U426" s="48" t="s">
        <v>1381</v>
      </c>
    </row>
    <row r="427" spans="1:21" s="40" customFormat="1" ht="24.95" customHeight="1" x14ac:dyDescent="0.3">
      <c r="A427" s="151"/>
      <c r="B427" s="151"/>
      <c r="C427" s="151"/>
      <c r="D427" s="151"/>
      <c r="E427" s="151"/>
      <c r="F427" s="151"/>
      <c r="G427" s="151"/>
      <c r="H427" s="151"/>
      <c r="I427" s="151"/>
      <c r="J427" s="49" t="s">
        <v>1263</v>
      </c>
      <c r="K427" s="151"/>
      <c r="L427" s="151"/>
      <c r="M427" s="49">
        <v>2</v>
      </c>
      <c r="N427" s="49" t="s">
        <v>721</v>
      </c>
      <c r="O427" s="49" t="s">
        <v>1379</v>
      </c>
      <c r="P427" s="49"/>
      <c r="Q427" s="49">
        <v>2</v>
      </c>
      <c r="R427" s="49"/>
      <c r="S427" s="49" t="s">
        <v>766</v>
      </c>
      <c r="T427" s="49"/>
      <c r="U427" s="48" t="s">
        <v>1380</v>
      </c>
    </row>
    <row r="428" spans="1:21" s="40" customFormat="1" ht="24.95" customHeight="1" x14ac:dyDescent="0.3">
      <c r="A428" s="150"/>
      <c r="B428" s="150"/>
      <c r="C428" s="150"/>
      <c r="D428" s="150"/>
      <c r="E428" s="150"/>
      <c r="F428" s="150"/>
      <c r="G428" s="150"/>
      <c r="H428" s="150"/>
      <c r="I428" s="150"/>
      <c r="J428" s="49" t="s">
        <v>1263</v>
      </c>
      <c r="K428" s="150"/>
      <c r="L428" s="150"/>
      <c r="M428" s="49">
        <v>2</v>
      </c>
      <c r="N428" s="49" t="s">
        <v>721</v>
      </c>
      <c r="O428" s="49" t="s">
        <v>1379</v>
      </c>
      <c r="P428" s="49"/>
      <c r="Q428" s="49">
        <v>2</v>
      </c>
      <c r="R428" s="49"/>
      <c r="S428" s="49" t="s">
        <v>766</v>
      </c>
      <c r="T428" s="49"/>
      <c r="U428" s="48" t="s">
        <v>1378</v>
      </c>
    </row>
    <row r="429" spans="1:21" s="40" customFormat="1" ht="24.95" customHeight="1" x14ac:dyDescent="0.3">
      <c r="A429" s="87">
        <v>2024.03</v>
      </c>
      <c r="B429" s="86" t="s">
        <v>789</v>
      </c>
      <c r="C429" s="86" t="s">
        <v>156</v>
      </c>
      <c r="D429" s="86" t="s">
        <v>172</v>
      </c>
      <c r="E429" s="86" t="s">
        <v>1377</v>
      </c>
      <c r="F429" s="86" t="s">
        <v>1186</v>
      </c>
      <c r="G429" s="89" t="s">
        <v>1376</v>
      </c>
      <c r="H429" s="86" t="s">
        <v>1375</v>
      </c>
      <c r="I429" s="86" t="s">
        <v>1374</v>
      </c>
      <c r="J429" s="86" t="s">
        <v>768</v>
      </c>
      <c r="K429" s="88"/>
      <c r="L429" s="86" t="s">
        <v>721</v>
      </c>
      <c r="M429" s="86">
        <v>40</v>
      </c>
      <c r="N429" s="86">
        <v>2820</v>
      </c>
      <c r="O429" s="86" t="s">
        <v>1373</v>
      </c>
      <c r="P429" s="86">
        <v>2820</v>
      </c>
      <c r="Q429" s="86">
        <v>40</v>
      </c>
      <c r="R429" s="86">
        <v>70.5</v>
      </c>
      <c r="S429" s="86" t="s">
        <v>766</v>
      </c>
      <c r="T429" s="86"/>
      <c r="U429" s="85"/>
    </row>
    <row r="430" spans="1:21" s="40" customFormat="1" ht="24.95" customHeight="1" x14ac:dyDescent="0.3">
      <c r="A430" s="43">
        <v>2024.03</v>
      </c>
      <c r="B430" s="42" t="s">
        <v>734</v>
      </c>
      <c r="C430" s="42" t="s">
        <v>122</v>
      </c>
      <c r="D430" s="42" t="s">
        <v>200</v>
      </c>
      <c r="E430" s="42"/>
      <c r="F430" s="42" t="s">
        <v>1372</v>
      </c>
      <c r="G430" s="42" t="s">
        <v>1371</v>
      </c>
      <c r="H430" s="42" t="s">
        <v>1370</v>
      </c>
      <c r="I430" s="42" t="s">
        <v>1370</v>
      </c>
      <c r="J430" s="42" t="s">
        <v>737</v>
      </c>
      <c r="K430" s="42"/>
      <c r="L430" s="42" t="s">
        <v>721</v>
      </c>
      <c r="M430" s="42" t="s">
        <v>721</v>
      </c>
      <c r="N430" s="42">
        <v>1900</v>
      </c>
      <c r="O430" s="42" t="s">
        <v>1369</v>
      </c>
      <c r="P430" s="42">
        <v>1872</v>
      </c>
      <c r="Q430" s="42">
        <v>12</v>
      </c>
      <c r="R430" s="42">
        <v>156</v>
      </c>
      <c r="S430" s="42" t="s">
        <v>1368</v>
      </c>
      <c r="T430" s="42"/>
      <c r="U430" s="41" t="s">
        <v>1367</v>
      </c>
    </row>
    <row r="431" spans="1:21" s="40" customFormat="1" ht="24.95" customHeight="1" x14ac:dyDescent="0.3">
      <c r="A431" s="43">
        <v>2024.03</v>
      </c>
      <c r="B431" s="42" t="s">
        <v>734</v>
      </c>
      <c r="C431" s="42" t="s">
        <v>25</v>
      </c>
      <c r="D431" s="42" t="s">
        <v>641</v>
      </c>
      <c r="E431" s="42"/>
      <c r="F431" s="42" t="s">
        <v>1009</v>
      </c>
      <c r="G431" s="42" t="s">
        <v>1366</v>
      </c>
      <c r="H431" s="42" t="s">
        <v>1365</v>
      </c>
      <c r="I431" s="42" t="s">
        <v>1364</v>
      </c>
      <c r="J431" s="42" t="s">
        <v>722</v>
      </c>
      <c r="K431" s="42"/>
      <c r="L431" s="42" t="s">
        <v>721</v>
      </c>
      <c r="M431" s="42">
        <v>500</v>
      </c>
      <c r="N431" s="42">
        <v>65000</v>
      </c>
      <c r="O431" s="42" t="s">
        <v>963</v>
      </c>
      <c r="P431" s="42">
        <v>53400</v>
      </c>
      <c r="Q431" s="42">
        <v>500</v>
      </c>
      <c r="R431" s="42">
        <v>106.8</v>
      </c>
      <c r="S431" s="42" t="s">
        <v>1363</v>
      </c>
      <c r="T431" s="42"/>
      <c r="U431" s="41"/>
    </row>
    <row r="432" spans="1:21" s="40" customFormat="1" ht="24.95" customHeight="1" x14ac:dyDescent="0.3">
      <c r="A432" s="49">
        <v>2024.03</v>
      </c>
      <c r="B432" s="49" t="s">
        <v>789</v>
      </c>
      <c r="C432" s="49" t="s">
        <v>576</v>
      </c>
      <c r="D432" s="49" t="s">
        <v>1362</v>
      </c>
      <c r="E432" s="49"/>
      <c r="F432" s="49" t="s">
        <v>1361</v>
      </c>
      <c r="G432" s="49"/>
      <c r="H432" s="49" t="s">
        <v>1360</v>
      </c>
      <c r="I432" s="49" t="s">
        <v>1359</v>
      </c>
      <c r="J432" s="49" t="s">
        <v>1358</v>
      </c>
      <c r="K432" s="49" t="s">
        <v>753</v>
      </c>
      <c r="L432" s="49">
        <v>8.5</v>
      </c>
      <c r="M432" s="49">
        <v>10</v>
      </c>
      <c r="N432" s="49" t="s">
        <v>1357</v>
      </c>
      <c r="O432" s="49" t="s">
        <v>1356</v>
      </c>
      <c r="P432" s="49">
        <v>1250</v>
      </c>
      <c r="Q432" s="49">
        <v>10</v>
      </c>
      <c r="R432" s="49" t="s">
        <v>1355</v>
      </c>
      <c r="S432" s="49" t="s">
        <v>1354</v>
      </c>
      <c r="T432" s="49"/>
      <c r="U432" s="48"/>
    </row>
    <row r="433" spans="1:21" s="40" customFormat="1" ht="24.95" customHeight="1" x14ac:dyDescent="0.3">
      <c r="A433" s="49">
        <v>2024.03</v>
      </c>
      <c r="B433" s="49" t="s">
        <v>734</v>
      </c>
      <c r="C433" s="49" t="s">
        <v>233</v>
      </c>
      <c r="D433" s="49" t="s">
        <v>1311</v>
      </c>
      <c r="E433" s="49"/>
      <c r="F433" s="49" t="s">
        <v>1353</v>
      </c>
      <c r="G433" s="49" t="s">
        <v>1352</v>
      </c>
      <c r="H433" s="49" t="s">
        <v>1351</v>
      </c>
      <c r="I433" s="49" t="s">
        <v>887</v>
      </c>
      <c r="J433" s="49" t="s">
        <v>754</v>
      </c>
      <c r="K433" s="49" t="s">
        <v>753</v>
      </c>
      <c r="L433" s="49" t="s">
        <v>721</v>
      </c>
      <c r="M433" s="49">
        <v>30</v>
      </c>
      <c r="N433" s="49" t="s">
        <v>1350</v>
      </c>
      <c r="O433" s="49" t="s">
        <v>1349</v>
      </c>
      <c r="P433" s="49"/>
      <c r="Q433" s="49">
        <v>30</v>
      </c>
      <c r="R433" s="49" t="s">
        <v>1348</v>
      </c>
      <c r="S433" s="49" t="s">
        <v>1227</v>
      </c>
      <c r="T433" s="49"/>
      <c r="U433" s="48" t="s">
        <v>1347</v>
      </c>
    </row>
    <row r="434" spans="1:21" s="40" customFormat="1" ht="24.95" customHeight="1" x14ac:dyDescent="0.3">
      <c r="A434" s="49">
        <v>2024.04</v>
      </c>
      <c r="B434" s="49" t="s">
        <v>789</v>
      </c>
      <c r="C434" s="49" t="s">
        <v>13</v>
      </c>
      <c r="D434" s="49"/>
      <c r="E434" s="49"/>
      <c r="F434" s="49" t="s">
        <v>1266</v>
      </c>
      <c r="G434" s="49"/>
      <c r="H434" s="49" t="s">
        <v>1264</v>
      </c>
      <c r="I434" s="49" t="s">
        <v>1264</v>
      </c>
      <c r="J434" s="49" t="s">
        <v>1263</v>
      </c>
      <c r="K434" s="49" t="s">
        <v>753</v>
      </c>
      <c r="L434" s="49" t="s">
        <v>721</v>
      </c>
      <c r="M434" s="49">
        <v>2</v>
      </c>
      <c r="N434" s="49" t="s">
        <v>721</v>
      </c>
      <c r="O434" s="49" t="s">
        <v>1262</v>
      </c>
      <c r="P434" s="49"/>
      <c r="Q434" s="49">
        <v>2</v>
      </c>
      <c r="R434" s="49"/>
      <c r="S434" s="49" t="s">
        <v>1220</v>
      </c>
      <c r="T434" s="49"/>
      <c r="U434" s="48"/>
    </row>
    <row r="435" spans="1:21" s="40" customFormat="1" ht="24.95" customHeight="1" x14ac:dyDescent="0.3">
      <c r="A435" s="49">
        <v>2024.04</v>
      </c>
      <c r="B435" s="49" t="s">
        <v>734</v>
      </c>
      <c r="C435" s="49" t="s">
        <v>13</v>
      </c>
      <c r="D435" s="49" t="s">
        <v>1346</v>
      </c>
      <c r="E435" s="49"/>
      <c r="F435" s="49" t="s">
        <v>1345</v>
      </c>
      <c r="G435" s="49" t="s">
        <v>1344</v>
      </c>
      <c r="H435" s="49" t="s">
        <v>1343</v>
      </c>
      <c r="I435" s="49" t="s">
        <v>1099</v>
      </c>
      <c r="J435" s="49" t="s">
        <v>737</v>
      </c>
      <c r="K435" s="49" t="s">
        <v>753</v>
      </c>
      <c r="L435" s="49" t="s">
        <v>721</v>
      </c>
      <c r="M435" s="49">
        <v>20</v>
      </c>
      <c r="N435" s="49">
        <v>0</v>
      </c>
      <c r="O435" s="49" t="s">
        <v>1342</v>
      </c>
      <c r="P435" s="49">
        <v>0</v>
      </c>
      <c r="Q435" s="49">
        <v>20</v>
      </c>
      <c r="R435" s="49">
        <v>0</v>
      </c>
      <c r="S435" s="49"/>
      <c r="T435" s="49"/>
      <c r="U435" s="48"/>
    </row>
    <row r="436" spans="1:21" s="40" customFormat="1" ht="24.95" customHeight="1" x14ac:dyDescent="0.3">
      <c r="A436" s="43">
        <v>2024.04</v>
      </c>
      <c r="B436" s="42" t="s">
        <v>734</v>
      </c>
      <c r="C436" s="42" t="s">
        <v>873</v>
      </c>
      <c r="D436" s="42"/>
      <c r="E436" s="42"/>
      <c r="F436" s="42" t="s">
        <v>1341</v>
      </c>
      <c r="G436" s="42" t="s">
        <v>1340</v>
      </c>
      <c r="H436" s="42" t="s">
        <v>1339</v>
      </c>
      <c r="I436" s="42" t="s">
        <v>868</v>
      </c>
      <c r="J436" s="42" t="s">
        <v>768</v>
      </c>
      <c r="K436" s="42"/>
      <c r="L436" s="42" t="s">
        <v>721</v>
      </c>
      <c r="M436" s="42">
        <v>20</v>
      </c>
      <c r="N436" s="42">
        <v>2700</v>
      </c>
      <c r="O436" s="42" t="s">
        <v>1338</v>
      </c>
      <c r="P436" s="42">
        <v>2696</v>
      </c>
      <c r="Q436" s="42">
        <v>20</v>
      </c>
      <c r="R436" s="42">
        <v>134.80000000000001</v>
      </c>
      <c r="S436" s="42" t="s">
        <v>1337</v>
      </c>
      <c r="T436" s="42"/>
      <c r="U436" s="41"/>
    </row>
    <row r="437" spans="1:21" s="40" customFormat="1" ht="24.95" customHeight="1" x14ac:dyDescent="0.3">
      <c r="A437" s="43">
        <v>2024.04</v>
      </c>
      <c r="B437" s="42" t="s">
        <v>734</v>
      </c>
      <c r="C437" s="42" t="s">
        <v>25</v>
      </c>
      <c r="D437" s="42" t="s">
        <v>1336</v>
      </c>
      <c r="E437" s="42"/>
      <c r="F437" s="42" t="s">
        <v>1335</v>
      </c>
      <c r="G437" s="42"/>
      <c r="H437" s="42" t="s">
        <v>839</v>
      </c>
      <c r="I437" s="42" t="s">
        <v>1238</v>
      </c>
      <c r="J437" s="42" t="s">
        <v>759</v>
      </c>
      <c r="K437" s="42"/>
      <c r="L437" s="42" t="s">
        <v>721</v>
      </c>
      <c r="M437" s="42">
        <v>2</v>
      </c>
      <c r="N437" s="42">
        <v>320</v>
      </c>
      <c r="O437" s="42" t="s">
        <v>1334</v>
      </c>
      <c r="P437" s="42">
        <v>308</v>
      </c>
      <c r="Q437" s="42">
        <v>2</v>
      </c>
      <c r="R437" s="42">
        <v>154</v>
      </c>
      <c r="S437" s="42" t="s">
        <v>1333</v>
      </c>
      <c r="T437" s="42"/>
      <c r="U437" s="41"/>
    </row>
    <row r="438" spans="1:21" s="40" customFormat="1" ht="24.95" customHeight="1" x14ac:dyDescent="0.3">
      <c r="A438" s="43">
        <v>2024.04</v>
      </c>
      <c r="B438" s="42" t="s">
        <v>734</v>
      </c>
      <c r="C438" s="42" t="s">
        <v>25</v>
      </c>
      <c r="D438" s="42" t="s">
        <v>90</v>
      </c>
      <c r="E438" s="42"/>
      <c r="F438" s="42" t="s">
        <v>1332</v>
      </c>
      <c r="G438" s="42"/>
      <c r="H438" s="42" t="s">
        <v>1331</v>
      </c>
      <c r="I438" s="42" t="s">
        <v>1330</v>
      </c>
      <c r="J438" s="42" t="s">
        <v>737</v>
      </c>
      <c r="K438" s="42"/>
      <c r="L438" s="42" t="s">
        <v>721</v>
      </c>
      <c r="M438" s="42" t="s">
        <v>721</v>
      </c>
      <c r="N438" s="42" t="s">
        <v>721</v>
      </c>
      <c r="O438" s="42" t="s">
        <v>1329</v>
      </c>
      <c r="P438" s="42">
        <v>2499</v>
      </c>
      <c r="Q438" s="42">
        <v>10</v>
      </c>
      <c r="R438" s="42">
        <v>249.9</v>
      </c>
      <c r="S438" s="42" t="s">
        <v>1097</v>
      </c>
      <c r="T438" s="42"/>
      <c r="U438" s="41"/>
    </row>
    <row r="439" spans="1:21" s="40" customFormat="1" ht="24.95" customHeight="1" x14ac:dyDescent="0.3">
      <c r="A439" s="49">
        <v>2024.04</v>
      </c>
      <c r="B439" s="49" t="s">
        <v>1123</v>
      </c>
      <c r="C439" s="49" t="s">
        <v>13</v>
      </c>
      <c r="D439" s="49" t="s">
        <v>1103</v>
      </c>
      <c r="E439" s="49"/>
      <c r="F439" s="49" t="s">
        <v>1098</v>
      </c>
      <c r="G439" s="49" t="s">
        <v>1328</v>
      </c>
      <c r="H439" s="49" t="s">
        <v>1327</v>
      </c>
      <c r="I439" s="49" t="s">
        <v>1047</v>
      </c>
      <c r="J439" s="49" t="s">
        <v>722</v>
      </c>
      <c r="K439" s="49" t="s">
        <v>753</v>
      </c>
      <c r="L439" s="49" t="s">
        <v>721</v>
      </c>
      <c r="M439" s="49">
        <v>600</v>
      </c>
      <c r="N439" s="49" t="s">
        <v>721</v>
      </c>
      <c r="O439" s="49"/>
      <c r="P439" s="49"/>
      <c r="Q439" s="49"/>
      <c r="R439" s="49"/>
      <c r="S439" s="49"/>
      <c r="T439" s="49"/>
      <c r="U439" s="48"/>
    </row>
    <row r="440" spans="1:21" s="40" customFormat="1" ht="24.95" customHeight="1" x14ac:dyDescent="0.3">
      <c r="A440" s="61">
        <v>2024.04</v>
      </c>
      <c r="B440" s="57" t="s">
        <v>877</v>
      </c>
      <c r="C440" s="57" t="s">
        <v>233</v>
      </c>
      <c r="D440" s="57" t="s">
        <v>1311</v>
      </c>
      <c r="E440" s="57" t="s">
        <v>1310</v>
      </c>
      <c r="F440" s="57" t="s">
        <v>1309</v>
      </c>
      <c r="G440" s="57" t="s">
        <v>1308</v>
      </c>
      <c r="H440" s="57" t="s">
        <v>1326</v>
      </c>
      <c r="I440" s="57" t="s">
        <v>1306</v>
      </c>
      <c r="J440" s="57"/>
      <c r="K440" s="57"/>
      <c r="L440" s="57">
        <v>8.5</v>
      </c>
      <c r="M440" s="57">
        <v>2</v>
      </c>
      <c r="N440" s="57">
        <v>400</v>
      </c>
      <c r="O440" s="57"/>
      <c r="P440" s="57"/>
      <c r="Q440" s="57"/>
      <c r="R440" s="57"/>
      <c r="S440" s="57"/>
      <c r="T440" s="57"/>
      <c r="U440" s="60" t="s">
        <v>922</v>
      </c>
    </row>
    <row r="441" spans="1:21" s="40" customFormat="1" ht="24.95" customHeight="1" x14ac:dyDescent="0.3">
      <c r="A441" s="61">
        <v>2024.04</v>
      </c>
      <c r="B441" s="57" t="s">
        <v>877</v>
      </c>
      <c r="C441" s="57" t="s">
        <v>13</v>
      </c>
      <c r="D441" s="57"/>
      <c r="E441" s="57"/>
      <c r="F441" s="57" t="s">
        <v>1297</v>
      </c>
      <c r="G441" s="57" t="s">
        <v>1325</v>
      </c>
      <c r="H441" s="57" t="s">
        <v>1295</v>
      </c>
      <c r="I441" s="57" t="s">
        <v>1294</v>
      </c>
      <c r="J441" s="57"/>
      <c r="K441" s="57"/>
      <c r="L441" s="57" t="s">
        <v>721</v>
      </c>
      <c r="M441" s="57" t="s">
        <v>721</v>
      </c>
      <c r="N441" s="57" t="s">
        <v>721</v>
      </c>
      <c r="O441" s="57"/>
      <c r="P441" s="57"/>
      <c r="Q441" s="57"/>
      <c r="R441" s="57"/>
      <c r="S441" s="57"/>
      <c r="T441" s="57"/>
      <c r="U441" s="60"/>
    </row>
    <row r="442" spans="1:21" s="40" customFormat="1" ht="24.95" customHeight="1" x14ac:dyDescent="0.3">
      <c r="A442" s="43">
        <v>2024.05</v>
      </c>
      <c r="B442" s="42" t="s">
        <v>734</v>
      </c>
      <c r="C442" s="42" t="s">
        <v>225</v>
      </c>
      <c r="D442" s="42" t="s">
        <v>1324</v>
      </c>
      <c r="E442" s="42"/>
      <c r="F442" s="42" t="s">
        <v>1323</v>
      </c>
      <c r="G442" s="42" t="s">
        <v>1322</v>
      </c>
      <c r="H442" s="42" t="s">
        <v>1321</v>
      </c>
      <c r="I442" s="42" t="s">
        <v>1320</v>
      </c>
      <c r="J442" s="42" t="s">
        <v>768</v>
      </c>
      <c r="K442" s="42"/>
      <c r="L442" s="42" t="s">
        <v>721</v>
      </c>
      <c r="M442" s="42">
        <v>50</v>
      </c>
      <c r="N442" s="42">
        <v>2600</v>
      </c>
      <c r="O442" s="42" t="s">
        <v>1319</v>
      </c>
      <c r="P442" s="42">
        <v>2590</v>
      </c>
      <c r="Q442" s="42">
        <v>50</v>
      </c>
      <c r="R442" s="42">
        <v>51.8</v>
      </c>
      <c r="S442" s="42" t="s">
        <v>1318</v>
      </c>
      <c r="T442" s="42"/>
      <c r="U442" s="41"/>
    </row>
    <row r="443" spans="1:21" s="40" customFormat="1" ht="24.95" customHeight="1" x14ac:dyDescent="0.3">
      <c r="A443" s="61">
        <v>2024.05</v>
      </c>
      <c r="B443" s="57" t="s">
        <v>877</v>
      </c>
      <c r="C443" s="57" t="s">
        <v>208</v>
      </c>
      <c r="D443" s="57" t="s">
        <v>1195</v>
      </c>
      <c r="E443" s="57"/>
      <c r="F443" s="57" t="s">
        <v>1305</v>
      </c>
      <c r="G443" s="57" t="s">
        <v>1317</v>
      </c>
      <c r="H443" s="57" t="s">
        <v>1316</v>
      </c>
      <c r="I443" s="57" t="s">
        <v>1302</v>
      </c>
      <c r="J443" s="57"/>
      <c r="K443" s="57"/>
      <c r="L443" s="57" t="s">
        <v>721</v>
      </c>
      <c r="M443" s="57">
        <v>20</v>
      </c>
      <c r="N443" s="57">
        <v>2200</v>
      </c>
      <c r="O443" s="57"/>
      <c r="P443" s="57"/>
      <c r="Q443" s="57"/>
      <c r="R443" s="57"/>
      <c r="S443" s="57"/>
      <c r="T443" s="57"/>
      <c r="U443" s="60" t="s">
        <v>1301</v>
      </c>
    </row>
    <row r="444" spans="1:21" s="40" customFormat="1" ht="24.95" customHeight="1" x14ac:dyDescent="0.3">
      <c r="A444" s="43">
        <v>2024.05</v>
      </c>
      <c r="B444" s="42" t="s">
        <v>734</v>
      </c>
      <c r="C444" s="42" t="s">
        <v>873</v>
      </c>
      <c r="D444" s="42"/>
      <c r="E444" s="42"/>
      <c r="F444" s="42" t="s">
        <v>1315</v>
      </c>
      <c r="G444" s="42" t="s">
        <v>1314</v>
      </c>
      <c r="H444" s="42" t="s">
        <v>1237</v>
      </c>
      <c r="I444" s="42" t="s">
        <v>1313</v>
      </c>
      <c r="J444" s="42" t="s">
        <v>722</v>
      </c>
      <c r="K444" s="42"/>
      <c r="L444" s="42" t="s">
        <v>721</v>
      </c>
      <c r="M444" s="42">
        <v>55</v>
      </c>
      <c r="N444" s="42">
        <v>6050</v>
      </c>
      <c r="O444" s="42" t="s">
        <v>1312</v>
      </c>
      <c r="P444" s="42">
        <v>5720</v>
      </c>
      <c r="Q444" s="42">
        <v>55</v>
      </c>
      <c r="R444" s="42">
        <v>104</v>
      </c>
      <c r="S444" s="42" t="s">
        <v>1227</v>
      </c>
      <c r="T444" s="42"/>
      <c r="U444" s="41"/>
    </row>
    <row r="445" spans="1:21" s="40" customFormat="1" ht="24.95" customHeight="1" x14ac:dyDescent="0.3">
      <c r="A445" s="61">
        <v>2024.05</v>
      </c>
      <c r="B445" s="57" t="s">
        <v>877</v>
      </c>
      <c r="C445" s="57" t="s">
        <v>78</v>
      </c>
      <c r="D445" s="57" t="s">
        <v>79</v>
      </c>
      <c r="E445" s="57"/>
      <c r="F445" s="57" t="s">
        <v>443</v>
      </c>
      <c r="G445" s="57" t="s">
        <v>1288</v>
      </c>
      <c r="H445" s="57" t="s">
        <v>1280</v>
      </c>
      <c r="I445" s="57" t="s">
        <v>1280</v>
      </c>
      <c r="J445" s="57"/>
      <c r="K445" s="57"/>
      <c r="L445" s="57" t="s">
        <v>721</v>
      </c>
      <c r="M445" s="57">
        <v>2</v>
      </c>
      <c r="N445" s="57" t="s">
        <v>721</v>
      </c>
      <c r="O445" s="57"/>
      <c r="P445" s="57"/>
      <c r="Q445" s="57"/>
      <c r="R445" s="57"/>
      <c r="S445" s="57"/>
      <c r="T445" s="57"/>
      <c r="U445" s="60" t="s">
        <v>922</v>
      </c>
    </row>
    <row r="446" spans="1:21" s="40" customFormat="1" ht="24.95" customHeight="1" x14ac:dyDescent="0.3">
      <c r="A446" s="61">
        <v>2024.05</v>
      </c>
      <c r="B446" s="57" t="s">
        <v>877</v>
      </c>
      <c r="C446" s="57" t="s">
        <v>233</v>
      </c>
      <c r="D446" s="57" t="s">
        <v>1311</v>
      </c>
      <c r="E446" s="57" t="s">
        <v>1310</v>
      </c>
      <c r="F446" s="57" t="s">
        <v>1309</v>
      </c>
      <c r="G446" s="57" t="s">
        <v>1308</v>
      </c>
      <c r="H446" s="57" t="s">
        <v>1307</v>
      </c>
      <c r="I446" s="57" t="s">
        <v>1306</v>
      </c>
      <c r="J446" s="57"/>
      <c r="K446" s="57"/>
      <c r="L446" s="57">
        <v>8.5</v>
      </c>
      <c r="M446" s="57">
        <v>2</v>
      </c>
      <c r="N446" s="57">
        <v>400</v>
      </c>
      <c r="O446" s="57"/>
      <c r="P446" s="57"/>
      <c r="Q446" s="57"/>
      <c r="R446" s="57"/>
      <c r="S446" s="57"/>
      <c r="T446" s="57"/>
      <c r="U446" s="60" t="s">
        <v>922</v>
      </c>
    </row>
    <row r="447" spans="1:21" s="40" customFormat="1" ht="24.95" customHeight="1" x14ac:dyDescent="0.3">
      <c r="A447" s="43">
        <v>2024.05</v>
      </c>
      <c r="B447" s="42" t="s">
        <v>734</v>
      </c>
      <c r="C447" s="42" t="s">
        <v>208</v>
      </c>
      <c r="D447" s="42" t="s">
        <v>1195</v>
      </c>
      <c r="E447" s="42"/>
      <c r="F447" s="42" t="s">
        <v>1305</v>
      </c>
      <c r="G447" s="42" t="s">
        <v>1304</v>
      </c>
      <c r="H447" s="42" t="s">
        <v>1303</v>
      </c>
      <c r="I447" s="42" t="s">
        <v>1302</v>
      </c>
      <c r="J447" s="42" t="s">
        <v>737</v>
      </c>
      <c r="K447" s="42"/>
      <c r="L447" s="42" t="s">
        <v>721</v>
      </c>
      <c r="M447" s="42">
        <v>10</v>
      </c>
      <c r="N447" s="42">
        <v>2600</v>
      </c>
      <c r="O447" s="42" t="s">
        <v>1191</v>
      </c>
      <c r="P447" s="42">
        <v>2574</v>
      </c>
      <c r="Q447" s="42">
        <v>10</v>
      </c>
      <c r="R447" s="42">
        <v>257.39999999999998</v>
      </c>
      <c r="S447" s="42" t="s">
        <v>1279</v>
      </c>
      <c r="T447" s="42"/>
      <c r="U447" s="41" t="s">
        <v>1301</v>
      </c>
    </row>
    <row r="448" spans="1:21" s="40" customFormat="1" ht="24.95" customHeight="1" x14ac:dyDescent="0.3">
      <c r="A448" s="49">
        <v>2024.05</v>
      </c>
      <c r="B448" s="49" t="s">
        <v>734</v>
      </c>
      <c r="C448" s="49" t="s">
        <v>139</v>
      </c>
      <c r="D448" s="49" t="s">
        <v>1064</v>
      </c>
      <c r="E448" s="49"/>
      <c r="F448" s="49" t="s">
        <v>1063</v>
      </c>
      <c r="G448" s="49" t="s">
        <v>1300</v>
      </c>
      <c r="H448" s="49" t="s">
        <v>1299</v>
      </c>
      <c r="I448" s="49" t="s">
        <v>1273</v>
      </c>
      <c r="J448" s="49" t="s">
        <v>754</v>
      </c>
      <c r="K448" s="49" t="s">
        <v>753</v>
      </c>
      <c r="L448" s="49" t="s">
        <v>721</v>
      </c>
      <c r="M448" s="49">
        <v>5</v>
      </c>
      <c r="N448" s="49" t="s">
        <v>721</v>
      </c>
      <c r="O448" s="49" t="s">
        <v>1298</v>
      </c>
      <c r="P448" s="49" t="s">
        <v>721</v>
      </c>
      <c r="Q448" s="49">
        <v>5</v>
      </c>
      <c r="R448" s="49" t="s">
        <v>721</v>
      </c>
      <c r="S448" s="49"/>
      <c r="T448" s="49"/>
      <c r="U448" s="48" t="s">
        <v>1161</v>
      </c>
    </row>
    <row r="449" spans="1:21" s="40" customFormat="1" ht="24.95" customHeight="1" x14ac:dyDescent="0.3">
      <c r="A449" s="49">
        <v>2024.05</v>
      </c>
      <c r="B449" s="49" t="s">
        <v>734</v>
      </c>
      <c r="C449" s="49" t="s">
        <v>13</v>
      </c>
      <c r="D449" s="49"/>
      <c r="E449" s="49"/>
      <c r="F449" s="49" t="s">
        <v>1297</v>
      </c>
      <c r="G449" s="49" t="s">
        <v>1296</v>
      </c>
      <c r="H449" s="49" t="s">
        <v>1295</v>
      </c>
      <c r="I449" s="49" t="s">
        <v>1294</v>
      </c>
      <c r="J449" s="49" t="s">
        <v>737</v>
      </c>
      <c r="K449" s="49" t="s">
        <v>753</v>
      </c>
      <c r="L449" s="49" t="s">
        <v>721</v>
      </c>
      <c r="M449" s="49" t="s">
        <v>721</v>
      </c>
      <c r="N449" s="49" t="s">
        <v>721</v>
      </c>
      <c r="O449" s="49" t="s">
        <v>1293</v>
      </c>
      <c r="P449" s="49" t="s">
        <v>721</v>
      </c>
      <c r="Q449" s="49" t="s">
        <v>721</v>
      </c>
      <c r="R449" s="49">
        <v>111.6</v>
      </c>
      <c r="S449" s="49"/>
      <c r="T449" s="49"/>
      <c r="U449" s="48"/>
    </row>
    <row r="450" spans="1:21" s="40" customFormat="1" ht="24.95" customHeight="1" x14ac:dyDescent="0.3">
      <c r="A450" s="43">
        <v>2024.05</v>
      </c>
      <c r="B450" s="42" t="s">
        <v>734</v>
      </c>
      <c r="C450" s="42" t="s">
        <v>50</v>
      </c>
      <c r="D450" s="42" t="s">
        <v>399</v>
      </c>
      <c r="E450" s="42" t="s">
        <v>1292</v>
      </c>
      <c r="F450" s="42" t="s">
        <v>1291</v>
      </c>
      <c r="G450" s="42" t="s">
        <v>1290</v>
      </c>
      <c r="H450" s="42" t="s">
        <v>1289</v>
      </c>
      <c r="I450" s="42" t="s">
        <v>738</v>
      </c>
      <c r="J450" s="42" t="s">
        <v>737</v>
      </c>
      <c r="K450" s="42"/>
      <c r="L450" s="42" t="s">
        <v>721</v>
      </c>
      <c r="M450" s="42" t="s">
        <v>721</v>
      </c>
      <c r="N450" s="42">
        <v>850</v>
      </c>
      <c r="O450" s="42" t="s">
        <v>1145</v>
      </c>
      <c r="P450" s="42">
        <v>848</v>
      </c>
      <c r="Q450" s="42">
        <v>5</v>
      </c>
      <c r="R450" s="42">
        <v>169.6</v>
      </c>
      <c r="S450" s="42" t="s">
        <v>1066</v>
      </c>
      <c r="T450" s="42"/>
      <c r="U450" s="41"/>
    </row>
    <row r="451" spans="1:21" s="40" customFormat="1" ht="24.95" customHeight="1" x14ac:dyDescent="0.3">
      <c r="A451" s="61">
        <v>2024.05</v>
      </c>
      <c r="B451" s="57" t="s">
        <v>877</v>
      </c>
      <c r="C451" s="57" t="s">
        <v>78</v>
      </c>
      <c r="D451" s="57" t="s">
        <v>79</v>
      </c>
      <c r="E451" s="57"/>
      <c r="F451" s="57" t="s">
        <v>443</v>
      </c>
      <c r="G451" s="57" t="s">
        <v>1288</v>
      </c>
      <c r="H451" s="57" t="s">
        <v>1287</v>
      </c>
      <c r="I451" s="57" t="s">
        <v>1280</v>
      </c>
      <c r="J451" s="57"/>
      <c r="K451" s="57"/>
      <c r="L451" s="57" t="s">
        <v>721</v>
      </c>
      <c r="M451" s="57">
        <v>2</v>
      </c>
      <c r="N451" s="57" t="s">
        <v>721</v>
      </c>
      <c r="O451" s="57"/>
      <c r="P451" s="57"/>
      <c r="Q451" s="57"/>
      <c r="R451" s="57"/>
      <c r="S451" s="57"/>
      <c r="T451" s="57"/>
      <c r="U451" s="60"/>
    </row>
    <row r="452" spans="1:21" s="40" customFormat="1" ht="24.95" customHeight="1" x14ac:dyDescent="0.3">
      <c r="A452" s="49">
        <v>2024.06</v>
      </c>
      <c r="B452" s="49" t="s">
        <v>734</v>
      </c>
      <c r="C452" s="49" t="s">
        <v>191</v>
      </c>
      <c r="D452" s="49" t="s">
        <v>1286</v>
      </c>
      <c r="E452" s="49" t="s">
        <v>1285</v>
      </c>
      <c r="F452" s="49" t="s">
        <v>1284</v>
      </c>
      <c r="G452" s="49" t="s">
        <v>1283</v>
      </c>
      <c r="H452" s="49" t="s">
        <v>729</v>
      </c>
      <c r="I452" s="49" t="s">
        <v>729</v>
      </c>
      <c r="J452" s="49" t="s">
        <v>737</v>
      </c>
      <c r="K452" s="49" t="s">
        <v>753</v>
      </c>
      <c r="L452" s="49" t="s">
        <v>721</v>
      </c>
      <c r="M452" s="49" t="s">
        <v>721</v>
      </c>
      <c r="N452" s="49">
        <v>1300</v>
      </c>
      <c r="O452" s="49" t="s">
        <v>1013</v>
      </c>
      <c r="P452" s="49">
        <v>1290</v>
      </c>
      <c r="Q452" s="49" t="s">
        <v>721</v>
      </c>
      <c r="R452" s="49" t="s">
        <v>721</v>
      </c>
      <c r="S452" s="49"/>
      <c r="T452" s="49"/>
      <c r="U452" s="48"/>
    </row>
    <row r="453" spans="1:21" s="40" customFormat="1" ht="24.95" customHeight="1" x14ac:dyDescent="0.3">
      <c r="A453" s="43">
        <v>2024.06</v>
      </c>
      <c r="B453" s="42" t="s">
        <v>734</v>
      </c>
      <c r="C453" s="42" t="s">
        <v>78</v>
      </c>
      <c r="D453" s="42" t="s">
        <v>79</v>
      </c>
      <c r="E453" s="42"/>
      <c r="F453" s="42" t="s">
        <v>443</v>
      </c>
      <c r="G453" s="42" t="s">
        <v>1282</v>
      </c>
      <c r="H453" s="42" t="s">
        <v>1281</v>
      </c>
      <c r="I453" s="42" t="s">
        <v>1280</v>
      </c>
      <c r="J453" s="42" t="s">
        <v>737</v>
      </c>
      <c r="K453" s="42"/>
      <c r="L453" s="42" t="s">
        <v>721</v>
      </c>
      <c r="M453" s="42">
        <v>2</v>
      </c>
      <c r="N453" s="42" t="s">
        <v>721</v>
      </c>
      <c r="O453" s="42" t="s">
        <v>1191</v>
      </c>
      <c r="P453" s="42">
        <v>243.9</v>
      </c>
      <c r="Q453" s="42">
        <v>2</v>
      </c>
      <c r="R453" s="42">
        <v>121.95</v>
      </c>
      <c r="S453" s="42" t="s">
        <v>1279</v>
      </c>
      <c r="T453" s="42"/>
      <c r="U453" s="41"/>
    </row>
    <row r="454" spans="1:21" s="40" customFormat="1" ht="24.95" customHeight="1" x14ac:dyDescent="0.3">
      <c r="A454" s="61">
        <v>2024.06</v>
      </c>
      <c r="B454" s="57" t="s">
        <v>877</v>
      </c>
      <c r="C454" s="57" t="s">
        <v>122</v>
      </c>
      <c r="D454" s="57" t="s">
        <v>1051</v>
      </c>
      <c r="E454" s="57"/>
      <c r="F454" s="57" t="s">
        <v>1253</v>
      </c>
      <c r="G454" s="57" t="s">
        <v>1278</v>
      </c>
      <c r="H454" s="57" t="s">
        <v>833</v>
      </c>
      <c r="I454" s="57" t="s">
        <v>833</v>
      </c>
      <c r="J454" s="57"/>
      <c r="K454" s="57"/>
      <c r="L454" s="57">
        <v>10</v>
      </c>
      <c r="M454" s="57">
        <v>5</v>
      </c>
      <c r="N454" s="57">
        <v>750</v>
      </c>
      <c r="O454" s="57"/>
      <c r="P454" s="57"/>
      <c r="Q454" s="57"/>
      <c r="R454" s="57"/>
      <c r="S454" s="57"/>
      <c r="T454" s="57"/>
      <c r="U454" s="60" t="s">
        <v>1082</v>
      </c>
    </row>
    <row r="455" spans="1:21" s="40" customFormat="1" ht="24.95" customHeight="1" x14ac:dyDescent="0.3">
      <c r="A455" s="49">
        <v>2024.06</v>
      </c>
      <c r="B455" s="49" t="s">
        <v>734</v>
      </c>
      <c r="C455" s="49" t="s">
        <v>225</v>
      </c>
      <c r="D455" s="49" t="s">
        <v>1144</v>
      </c>
      <c r="E455" s="49"/>
      <c r="F455" s="49" t="s">
        <v>1277</v>
      </c>
      <c r="G455" s="49" t="s">
        <v>1276</v>
      </c>
      <c r="H455" s="49" t="s">
        <v>1275</v>
      </c>
      <c r="I455" s="49" t="s">
        <v>1275</v>
      </c>
      <c r="J455" s="49" t="s">
        <v>768</v>
      </c>
      <c r="K455" s="49" t="s">
        <v>753</v>
      </c>
      <c r="L455" s="49" t="s">
        <v>721</v>
      </c>
      <c r="M455" s="49" t="s">
        <v>721</v>
      </c>
      <c r="N455" s="49">
        <v>2400</v>
      </c>
      <c r="O455" s="49" t="s">
        <v>1166</v>
      </c>
      <c r="P455" s="49">
        <v>2240</v>
      </c>
      <c r="Q455" s="49" t="s">
        <v>721</v>
      </c>
      <c r="R455" s="49" t="s">
        <v>721</v>
      </c>
      <c r="S455" s="49"/>
      <c r="T455" s="49"/>
      <c r="U455" s="48"/>
    </row>
    <row r="456" spans="1:21" s="40" customFormat="1" ht="24.95" customHeight="1" x14ac:dyDescent="0.3">
      <c r="A456" s="61">
        <v>2024.07</v>
      </c>
      <c r="B456" s="57" t="s">
        <v>877</v>
      </c>
      <c r="C456" s="57" t="s">
        <v>139</v>
      </c>
      <c r="D456" s="57" t="s">
        <v>1064</v>
      </c>
      <c r="E456" s="57"/>
      <c r="F456" s="57" t="s">
        <v>1063</v>
      </c>
      <c r="G456" s="57" t="s">
        <v>1274</v>
      </c>
      <c r="H456" s="57" t="s">
        <v>1060</v>
      </c>
      <c r="I456" s="57" t="s">
        <v>1273</v>
      </c>
      <c r="J456" s="57"/>
      <c r="K456" s="57"/>
      <c r="L456" s="57"/>
      <c r="M456" s="57">
        <v>5</v>
      </c>
      <c r="N456" s="57"/>
      <c r="O456" s="57"/>
      <c r="P456" s="57"/>
      <c r="Q456" s="57"/>
      <c r="R456" s="57"/>
      <c r="S456" s="57"/>
      <c r="T456" s="57"/>
      <c r="U456" s="60" t="s">
        <v>1161</v>
      </c>
    </row>
    <row r="457" spans="1:21" s="40" customFormat="1" ht="24.95" customHeight="1" x14ac:dyDescent="0.3">
      <c r="A457" s="87">
        <v>2024.07</v>
      </c>
      <c r="B457" s="86" t="s">
        <v>789</v>
      </c>
      <c r="C457" s="86" t="s">
        <v>13</v>
      </c>
      <c r="D457" s="86" t="s">
        <v>1272</v>
      </c>
      <c r="E457" s="86"/>
      <c r="F457" s="86" t="s">
        <v>1271</v>
      </c>
      <c r="G457" s="86"/>
      <c r="H457" s="86" t="s">
        <v>723</v>
      </c>
      <c r="I457" s="86" t="s">
        <v>723</v>
      </c>
      <c r="J457" s="86" t="s">
        <v>768</v>
      </c>
      <c r="K457" s="86"/>
      <c r="L457" s="86" t="s">
        <v>721</v>
      </c>
      <c r="M457" s="86" t="s">
        <v>721</v>
      </c>
      <c r="N457" s="86" t="s">
        <v>721</v>
      </c>
      <c r="O457" s="86" t="s">
        <v>1270</v>
      </c>
      <c r="P457" s="86" t="s">
        <v>721</v>
      </c>
      <c r="Q457" s="86" t="s">
        <v>721</v>
      </c>
      <c r="R457" s="86" t="s">
        <v>721</v>
      </c>
      <c r="S457" s="86"/>
      <c r="T457" s="86"/>
      <c r="U457" s="85"/>
    </row>
    <row r="458" spans="1:21" s="40" customFormat="1" ht="24.95" customHeight="1" x14ac:dyDescent="0.3">
      <c r="A458" s="49">
        <v>2024.07</v>
      </c>
      <c r="B458" s="49" t="s">
        <v>734</v>
      </c>
      <c r="C458" s="49" t="s">
        <v>44</v>
      </c>
      <c r="D458" s="49"/>
      <c r="E458" s="49"/>
      <c r="F458" s="49" t="s">
        <v>889</v>
      </c>
      <c r="G458" s="49" t="s">
        <v>1269</v>
      </c>
      <c r="H458" s="49" t="s">
        <v>1268</v>
      </c>
      <c r="I458" s="49" t="s">
        <v>887</v>
      </c>
      <c r="J458" s="49" t="s">
        <v>886</v>
      </c>
      <c r="K458" s="49" t="s">
        <v>753</v>
      </c>
      <c r="L458" s="49" t="s">
        <v>721</v>
      </c>
      <c r="M458" s="49">
        <v>4</v>
      </c>
      <c r="N458" s="49" t="s">
        <v>721</v>
      </c>
      <c r="O458" s="49" t="s">
        <v>1267</v>
      </c>
      <c r="P458" s="49" t="s">
        <v>721</v>
      </c>
      <c r="Q458" s="49">
        <v>4</v>
      </c>
      <c r="R458" s="49" t="s">
        <v>721</v>
      </c>
      <c r="S458" s="49" t="s">
        <v>1052</v>
      </c>
      <c r="T458" s="49"/>
      <c r="U458" s="48" t="s">
        <v>1161</v>
      </c>
    </row>
    <row r="459" spans="1:21" s="40" customFormat="1" ht="24.95" customHeight="1" x14ac:dyDescent="0.3">
      <c r="A459" s="49">
        <v>2024.07</v>
      </c>
      <c r="B459" s="49" t="s">
        <v>734</v>
      </c>
      <c r="C459" s="49" t="s">
        <v>13</v>
      </c>
      <c r="D459" s="49"/>
      <c r="E459" s="49"/>
      <c r="F459" s="49" t="s">
        <v>1266</v>
      </c>
      <c r="G459" s="49" t="s">
        <v>1265</v>
      </c>
      <c r="H459" s="49" t="s">
        <v>1264</v>
      </c>
      <c r="I459" s="49" t="s">
        <v>1264</v>
      </c>
      <c r="J459" s="49" t="s">
        <v>1263</v>
      </c>
      <c r="K459" s="49" t="s">
        <v>753</v>
      </c>
      <c r="L459" s="49" t="s">
        <v>721</v>
      </c>
      <c r="M459" s="49">
        <v>2</v>
      </c>
      <c r="N459" s="49" t="s">
        <v>721</v>
      </c>
      <c r="O459" s="49" t="s">
        <v>1262</v>
      </c>
      <c r="P459" s="49" t="s">
        <v>721</v>
      </c>
      <c r="Q459" s="49">
        <v>2</v>
      </c>
      <c r="R459" s="49" t="s">
        <v>721</v>
      </c>
      <c r="S459" s="49"/>
      <c r="T459" s="49"/>
      <c r="U459" s="48"/>
    </row>
    <row r="460" spans="1:21" s="40" customFormat="1" ht="24.95" customHeight="1" x14ac:dyDescent="0.3">
      <c r="A460" s="45">
        <v>2024.07</v>
      </c>
      <c r="B460" s="45" t="s">
        <v>734</v>
      </c>
      <c r="C460" s="45" t="s">
        <v>488</v>
      </c>
      <c r="D460" s="45" t="s">
        <v>1261</v>
      </c>
      <c r="E460" s="45"/>
      <c r="F460" s="45" t="s">
        <v>1260</v>
      </c>
      <c r="G460" s="45" t="s">
        <v>1259</v>
      </c>
      <c r="H460" s="42" t="s">
        <v>1258</v>
      </c>
      <c r="I460" s="42" t="s">
        <v>1257</v>
      </c>
      <c r="J460" s="42" t="s">
        <v>1055</v>
      </c>
      <c r="K460" s="42"/>
      <c r="L460" s="42">
        <v>10</v>
      </c>
      <c r="M460" s="42">
        <v>5</v>
      </c>
      <c r="N460" s="42">
        <v>1400</v>
      </c>
      <c r="O460" s="42" t="s">
        <v>1221</v>
      </c>
      <c r="P460" s="42">
        <v>1399.9</v>
      </c>
      <c r="Q460" s="42">
        <v>5</v>
      </c>
      <c r="R460" s="42">
        <v>279.98</v>
      </c>
      <c r="S460" s="42" t="s">
        <v>1220</v>
      </c>
      <c r="T460" s="42"/>
      <c r="U460" s="41"/>
    </row>
    <row r="461" spans="1:21" s="40" customFormat="1" ht="24.95" customHeight="1" x14ac:dyDescent="0.3">
      <c r="A461" s="87">
        <v>2024.07</v>
      </c>
      <c r="B461" s="86" t="s">
        <v>789</v>
      </c>
      <c r="C461" s="86" t="s">
        <v>44</v>
      </c>
      <c r="D461" s="86" t="s">
        <v>347</v>
      </c>
      <c r="E461" s="86"/>
      <c r="F461" s="86" t="s">
        <v>1256</v>
      </c>
      <c r="G461" s="86"/>
      <c r="H461" s="86" t="s">
        <v>1255</v>
      </c>
      <c r="I461" s="86" t="s">
        <v>1255</v>
      </c>
      <c r="J461" s="86" t="s">
        <v>517</v>
      </c>
      <c r="K461" s="86"/>
      <c r="L461" s="86"/>
      <c r="M461" s="86"/>
      <c r="N461" s="86"/>
      <c r="O461" s="86" t="s">
        <v>1254</v>
      </c>
      <c r="P461" s="86"/>
      <c r="Q461" s="86"/>
      <c r="R461" s="86"/>
      <c r="S461" s="86"/>
      <c r="T461" s="86"/>
      <c r="U461" s="85"/>
    </row>
    <row r="462" spans="1:21" s="40" customFormat="1" ht="24.95" customHeight="1" x14ac:dyDescent="0.3">
      <c r="A462" s="43">
        <v>2024.07</v>
      </c>
      <c r="B462" s="42" t="s">
        <v>734</v>
      </c>
      <c r="C462" s="42" t="s">
        <v>122</v>
      </c>
      <c r="D462" s="42" t="s">
        <v>1051</v>
      </c>
      <c r="E462" s="42"/>
      <c r="F462" s="42" t="s">
        <v>1253</v>
      </c>
      <c r="G462" s="42" t="s">
        <v>1252</v>
      </c>
      <c r="H462" s="42" t="s">
        <v>833</v>
      </c>
      <c r="I462" s="42" t="s">
        <v>833</v>
      </c>
      <c r="J462" s="42" t="s">
        <v>1055</v>
      </c>
      <c r="K462" s="42"/>
      <c r="L462" s="42">
        <v>10</v>
      </c>
      <c r="M462" s="42">
        <v>5</v>
      </c>
      <c r="N462" s="42">
        <v>750</v>
      </c>
      <c r="O462" s="42" t="s">
        <v>1251</v>
      </c>
      <c r="P462" s="42">
        <v>748.88</v>
      </c>
      <c r="Q462" s="42">
        <v>5</v>
      </c>
      <c r="R462" s="42">
        <v>149.77600000000001</v>
      </c>
      <c r="S462" s="42" t="s">
        <v>957</v>
      </c>
      <c r="T462" s="42"/>
      <c r="U462" s="41"/>
    </row>
    <row r="463" spans="1:21" s="40" customFormat="1" ht="24.95" customHeight="1" x14ac:dyDescent="0.3">
      <c r="A463" s="52">
        <v>2024.07</v>
      </c>
      <c r="B463" s="49" t="s">
        <v>734</v>
      </c>
      <c r="C463" s="49" t="s">
        <v>44</v>
      </c>
      <c r="D463" s="49"/>
      <c r="E463" s="49"/>
      <c r="F463" s="49" t="s">
        <v>889</v>
      </c>
      <c r="G463" s="49"/>
      <c r="H463" s="49" t="s">
        <v>1250</v>
      </c>
      <c r="I463" s="49" t="s">
        <v>887</v>
      </c>
      <c r="J463" s="49" t="s">
        <v>886</v>
      </c>
      <c r="K463" s="49" t="s">
        <v>753</v>
      </c>
      <c r="L463" s="49" t="s">
        <v>721</v>
      </c>
      <c r="M463" s="49">
        <v>4</v>
      </c>
      <c r="N463" s="49" t="s">
        <v>721</v>
      </c>
      <c r="O463" s="49" t="s">
        <v>1249</v>
      </c>
      <c r="P463" s="49" t="s">
        <v>721</v>
      </c>
      <c r="Q463" s="49">
        <v>4</v>
      </c>
      <c r="R463" s="49" t="s">
        <v>721</v>
      </c>
      <c r="S463" s="49"/>
      <c r="T463" s="49"/>
      <c r="U463" s="48"/>
    </row>
    <row r="464" spans="1:21" s="38" customFormat="1" ht="24.95" customHeight="1" x14ac:dyDescent="0.3">
      <c r="A464" s="169">
        <v>2024.07</v>
      </c>
      <c r="B464" s="169" t="s">
        <v>877</v>
      </c>
      <c r="C464" s="169" t="s">
        <v>35</v>
      </c>
      <c r="D464" s="169" t="s">
        <v>102</v>
      </c>
      <c r="E464" s="169"/>
      <c r="F464" s="169" t="s">
        <v>1234</v>
      </c>
      <c r="G464" s="169" t="s">
        <v>1248</v>
      </c>
      <c r="H464" s="74" t="s">
        <v>1232</v>
      </c>
      <c r="I464" s="74" t="s">
        <v>1231</v>
      </c>
      <c r="J464" s="74"/>
      <c r="K464" s="74"/>
      <c r="L464" s="74" t="s">
        <v>721</v>
      </c>
      <c r="M464" s="74">
        <v>10</v>
      </c>
      <c r="N464" s="74" t="s">
        <v>721</v>
      </c>
      <c r="O464" s="74"/>
      <c r="P464" s="74"/>
      <c r="Q464" s="74"/>
      <c r="R464" s="74"/>
      <c r="S464" s="74"/>
      <c r="T464" s="74"/>
      <c r="U464" s="73"/>
    </row>
    <row r="465" spans="1:21" s="38" customFormat="1" ht="24.95" customHeight="1" x14ac:dyDescent="0.3">
      <c r="A465" s="171"/>
      <c r="B465" s="171"/>
      <c r="C465" s="171"/>
      <c r="D465" s="171"/>
      <c r="E465" s="171"/>
      <c r="F465" s="171"/>
      <c r="G465" s="171"/>
      <c r="H465" s="74" t="s">
        <v>1229</v>
      </c>
      <c r="I465" s="74" t="s">
        <v>1228</v>
      </c>
      <c r="J465" s="74"/>
      <c r="K465" s="74"/>
      <c r="L465" s="74" t="s">
        <v>721</v>
      </c>
      <c r="M465" s="74">
        <v>2</v>
      </c>
      <c r="N465" s="74" t="s">
        <v>721</v>
      </c>
      <c r="O465" s="74"/>
      <c r="P465" s="74"/>
      <c r="Q465" s="74"/>
      <c r="R465" s="74"/>
      <c r="S465" s="74"/>
      <c r="T465" s="74"/>
      <c r="U465" s="73"/>
    </row>
    <row r="466" spans="1:21" s="38" customFormat="1" ht="24.95" customHeight="1" x14ac:dyDescent="0.3">
      <c r="A466" s="75">
        <v>2024.08</v>
      </c>
      <c r="B466" s="74" t="s">
        <v>877</v>
      </c>
      <c r="C466" s="74" t="s">
        <v>208</v>
      </c>
      <c r="D466" s="74" t="s">
        <v>1195</v>
      </c>
      <c r="E466" s="74"/>
      <c r="F466" s="74" t="s">
        <v>1194</v>
      </c>
      <c r="G466" s="74" t="s">
        <v>1247</v>
      </c>
      <c r="H466" s="74" t="s">
        <v>1246</v>
      </c>
      <c r="I466" s="74" t="s">
        <v>1056</v>
      </c>
      <c r="J466" s="74"/>
      <c r="K466" s="74"/>
      <c r="L466" s="74" t="s">
        <v>721</v>
      </c>
      <c r="M466" s="74">
        <v>10</v>
      </c>
      <c r="N466" s="74">
        <v>1300</v>
      </c>
      <c r="O466" s="74"/>
      <c r="P466" s="74"/>
      <c r="Q466" s="74"/>
      <c r="R466" s="74"/>
      <c r="S466" s="74"/>
      <c r="T466" s="74"/>
      <c r="U466" s="73" t="s">
        <v>922</v>
      </c>
    </row>
    <row r="467" spans="1:21" s="38" customFormat="1" ht="24.95" customHeight="1" x14ac:dyDescent="0.3">
      <c r="A467" s="81">
        <v>2024.08</v>
      </c>
      <c r="B467" s="80" t="s">
        <v>734</v>
      </c>
      <c r="C467" s="80" t="s">
        <v>78</v>
      </c>
      <c r="D467" s="80" t="s">
        <v>79</v>
      </c>
      <c r="E467" s="80"/>
      <c r="F467" s="80" t="s">
        <v>1245</v>
      </c>
      <c r="G467" s="80" t="s">
        <v>1244</v>
      </c>
      <c r="H467" s="80" t="s">
        <v>729</v>
      </c>
      <c r="I467" s="80" t="s">
        <v>729</v>
      </c>
      <c r="J467" s="80" t="s">
        <v>737</v>
      </c>
      <c r="K467" s="80"/>
      <c r="L467" s="80" t="s">
        <v>721</v>
      </c>
      <c r="M467" s="80">
        <v>3</v>
      </c>
      <c r="N467" s="80">
        <v>690</v>
      </c>
      <c r="O467" s="80" t="s">
        <v>1243</v>
      </c>
      <c r="P467" s="80">
        <v>686.4</v>
      </c>
      <c r="Q467" s="80">
        <v>3</v>
      </c>
      <c r="R467" s="80">
        <v>228.8</v>
      </c>
      <c r="S467" s="80" t="s">
        <v>1242</v>
      </c>
      <c r="T467" s="80"/>
      <c r="U467" s="79"/>
    </row>
    <row r="468" spans="1:21" s="38" customFormat="1" ht="24.95" customHeight="1" x14ac:dyDescent="0.3">
      <c r="A468" s="163">
        <v>2024.08</v>
      </c>
      <c r="B468" s="163" t="s">
        <v>734</v>
      </c>
      <c r="C468" s="163" t="s">
        <v>25</v>
      </c>
      <c r="D468" s="163" t="s">
        <v>641</v>
      </c>
      <c r="E468" s="163"/>
      <c r="F468" s="163" t="s">
        <v>1009</v>
      </c>
      <c r="G468" s="163" t="s">
        <v>1241</v>
      </c>
      <c r="H468" s="163" t="s">
        <v>1240</v>
      </c>
      <c r="I468" s="83" t="s">
        <v>1239</v>
      </c>
      <c r="J468" s="83" t="s">
        <v>768</v>
      </c>
      <c r="K468" s="152" t="s">
        <v>753</v>
      </c>
      <c r="L468" s="83" t="s">
        <v>721</v>
      </c>
      <c r="M468" s="83">
        <v>2</v>
      </c>
      <c r="N468" s="83">
        <v>340</v>
      </c>
      <c r="O468" s="166" t="s">
        <v>1074</v>
      </c>
      <c r="P468" s="166">
        <v>2009.4</v>
      </c>
      <c r="Q468" s="83">
        <v>2</v>
      </c>
      <c r="R468" s="83" t="s">
        <v>721</v>
      </c>
      <c r="S468" s="83" t="s">
        <v>1227</v>
      </c>
      <c r="T468" s="83"/>
      <c r="U468" s="82"/>
    </row>
    <row r="469" spans="1:21" s="38" customFormat="1" ht="24.95" customHeight="1" x14ac:dyDescent="0.3">
      <c r="A469" s="165"/>
      <c r="B469" s="165"/>
      <c r="C469" s="165"/>
      <c r="D469" s="165"/>
      <c r="E469" s="165"/>
      <c r="F469" s="165"/>
      <c r="G469" s="165"/>
      <c r="H469" s="165"/>
      <c r="I469" s="83" t="s">
        <v>1238</v>
      </c>
      <c r="J469" s="83" t="s">
        <v>768</v>
      </c>
      <c r="K469" s="153"/>
      <c r="L469" s="83" t="s">
        <v>721</v>
      </c>
      <c r="M469" s="83">
        <v>10</v>
      </c>
      <c r="N469" s="83">
        <v>1700</v>
      </c>
      <c r="O469" s="168"/>
      <c r="P469" s="168"/>
      <c r="Q469" s="83">
        <v>10</v>
      </c>
      <c r="R469" s="83" t="s">
        <v>721</v>
      </c>
      <c r="S469" s="83" t="s">
        <v>1227</v>
      </c>
      <c r="T469" s="83"/>
      <c r="U469" s="82"/>
    </row>
    <row r="470" spans="1:21" s="38" customFormat="1" ht="24.95" customHeight="1" x14ac:dyDescent="0.3">
      <c r="A470" s="81">
        <v>2024.08</v>
      </c>
      <c r="B470" s="80" t="s">
        <v>734</v>
      </c>
      <c r="C470" s="80" t="s">
        <v>403</v>
      </c>
      <c r="D470" s="80"/>
      <c r="E470" s="80"/>
      <c r="F470" s="80" t="s">
        <v>1190</v>
      </c>
      <c r="G470" s="80"/>
      <c r="H470" s="80" t="s">
        <v>1237</v>
      </c>
      <c r="I470" s="80" t="s">
        <v>1047</v>
      </c>
      <c r="J470" s="80" t="s">
        <v>722</v>
      </c>
      <c r="K470" s="80"/>
      <c r="L470" s="80" t="s">
        <v>721</v>
      </c>
      <c r="M470" s="80">
        <v>70</v>
      </c>
      <c r="N470" s="80">
        <v>8960</v>
      </c>
      <c r="O470" s="80" t="s">
        <v>1236</v>
      </c>
      <c r="P470" s="80">
        <v>8750</v>
      </c>
      <c r="Q470" s="80">
        <v>70</v>
      </c>
      <c r="R470" s="80">
        <v>125</v>
      </c>
      <c r="S470" s="80" t="s">
        <v>1227</v>
      </c>
      <c r="T470" s="80"/>
      <c r="U470" s="79"/>
    </row>
    <row r="471" spans="1:21" s="38" customFormat="1" ht="24.95" customHeight="1" x14ac:dyDescent="0.3">
      <c r="A471" s="81">
        <v>2024.08</v>
      </c>
      <c r="B471" s="80" t="s">
        <v>734</v>
      </c>
      <c r="C471" s="80" t="s">
        <v>403</v>
      </c>
      <c r="D471" s="80"/>
      <c r="E471" s="80"/>
      <c r="F471" s="80" t="s">
        <v>1190</v>
      </c>
      <c r="G471" s="80"/>
      <c r="H471" s="80" t="s">
        <v>1188</v>
      </c>
      <c r="I471" s="80" t="s">
        <v>1235</v>
      </c>
      <c r="J471" s="80" t="s">
        <v>759</v>
      </c>
      <c r="K471" s="80"/>
      <c r="L471" s="80" t="s">
        <v>721</v>
      </c>
      <c r="M471" s="80">
        <v>30</v>
      </c>
      <c r="N471" s="80">
        <v>3150</v>
      </c>
      <c r="O471" s="80" t="s">
        <v>1187</v>
      </c>
      <c r="P471" s="80">
        <v>3066</v>
      </c>
      <c r="Q471" s="80">
        <v>30</v>
      </c>
      <c r="R471" s="80">
        <v>102.2</v>
      </c>
      <c r="S471" s="80" t="s">
        <v>1227</v>
      </c>
      <c r="T471" s="80"/>
      <c r="U471" s="79"/>
    </row>
    <row r="472" spans="1:21" s="38" customFormat="1" ht="24.95" customHeight="1" x14ac:dyDescent="0.3">
      <c r="A472" s="163">
        <v>2024.08</v>
      </c>
      <c r="B472" s="163" t="s">
        <v>734</v>
      </c>
      <c r="C472" s="163" t="s">
        <v>35</v>
      </c>
      <c r="D472" s="163" t="s">
        <v>102</v>
      </c>
      <c r="E472" s="163"/>
      <c r="F472" s="163" t="s">
        <v>1234</v>
      </c>
      <c r="G472" s="163" t="s">
        <v>1233</v>
      </c>
      <c r="H472" s="83" t="s">
        <v>1232</v>
      </c>
      <c r="I472" s="83" t="s">
        <v>1231</v>
      </c>
      <c r="J472" s="83" t="s">
        <v>737</v>
      </c>
      <c r="K472" s="152" t="s">
        <v>753</v>
      </c>
      <c r="L472" s="83" t="s">
        <v>721</v>
      </c>
      <c r="M472" s="83">
        <v>10</v>
      </c>
      <c r="N472" s="83" t="s">
        <v>721</v>
      </c>
      <c r="O472" s="166" t="s">
        <v>1230</v>
      </c>
      <c r="P472" s="166">
        <v>1856.6</v>
      </c>
      <c r="Q472" s="83">
        <v>10</v>
      </c>
      <c r="R472" s="166" t="s">
        <v>721</v>
      </c>
      <c r="S472" s="83" t="s">
        <v>1227</v>
      </c>
      <c r="T472" s="83"/>
      <c r="U472" s="82"/>
    </row>
    <row r="473" spans="1:21" s="38" customFormat="1" ht="24.95" customHeight="1" x14ac:dyDescent="0.3">
      <c r="A473" s="165"/>
      <c r="B473" s="165"/>
      <c r="C473" s="165"/>
      <c r="D473" s="165"/>
      <c r="E473" s="165"/>
      <c r="F473" s="165"/>
      <c r="G473" s="165"/>
      <c r="H473" s="83" t="s">
        <v>1229</v>
      </c>
      <c r="I473" s="83" t="s">
        <v>1228</v>
      </c>
      <c r="J473" s="83" t="s">
        <v>737</v>
      </c>
      <c r="K473" s="153"/>
      <c r="L473" s="83" t="s">
        <v>721</v>
      </c>
      <c r="M473" s="83">
        <v>2</v>
      </c>
      <c r="N473" s="83" t="s">
        <v>721</v>
      </c>
      <c r="O473" s="168"/>
      <c r="P473" s="168"/>
      <c r="Q473" s="83">
        <v>2</v>
      </c>
      <c r="R473" s="168"/>
      <c r="S473" s="83" t="s">
        <v>1227</v>
      </c>
      <c r="T473" s="83"/>
      <c r="U473" s="82"/>
    </row>
    <row r="474" spans="1:21" s="38" customFormat="1" ht="24.95" customHeight="1" x14ac:dyDescent="0.3">
      <c r="A474" s="81">
        <v>2024.09</v>
      </c>
      <c r="B474" s="80" t="s">
        <v>734</v>
      </c>
      <c r="C474" s="80" t="s">
        <v>488</v>
      </c>
      <c r="D474" s="80" t="s">
        <v>1226</v>
      </c>
      <c r="E474" s="80"/>
      <c r="F474" s="80" t="s">
        <v>1225</v>
      </c>
      <c r="G474" s="80" t="s">
        <v>1224</v>
      </c>
      <c r="H474" s="80" t="s">
        <v>1223</v>
      </c>
      <c r="I474" s="80" t="s">
        <v>1222</v>
      </c>
      <c r="J474" s="80" t="s">
        <v>1055</v>
      </c>
      <c r="K474" s="80"/>
      <c r="L474" s="80">
        <v>10</v>
      </c>
      <c r="M474" s="80">
        <v>5</v>
      </c>
      <c r="N474" s="80">
        <v>1400</v>
      </c>
      <c r="O474" s="80" t="s">
        <v>1221</v>
      </c>
      <c r="P474" s="80">
        <v>1399.9</v>
      </c>
      <c r="Q474" s="80">
        <v>5</v>
      </c>
      <c r="R474" s="80">
        <v>279.98</v>
      </c>
      <c r="S474" s="80" t="s">
        <v>1220</v>
      </c>
      <c r="T474" s="80"/>
      <c r="U474" s="79"/>
    </row>
    <row r="475" spans="1:21" s="38" customFormat="1" ht="24.95" customHeight="1" x14ac:dyDescent="0.3">
      <c r="A475" s="75">
        <v>2024.09</v>
      </c>
      <c r="B475" s="74" t="s">
        <v>877</v>
      </c>
      <c r="C475" s="74" t="s">
        <v>208</v>
      </c>
      <c r="D475" s="74" t="s">
        <v>1195</v>
      </c>
      <c r="E475" s="74"/>
      <c r="F475" s="74" t="s">
        <v>1194</v>
      </c>
      <c r="G475" s="74" t="s">
        <v>1219</v>
      </c>
      <c r="H475" s="74" t="s">
        <v>1218</v>
      </c>
      <c r="I475" s="74" t="s">
        <v>1056</v>
      </c>
      <c r="J475" s="74"/>
      <c r="K475" s="74"/>
      <c r="L475" s="74" t="s">
        <v>721</v>
      </c>
      <c r="M475" s="74">
        <v>10</v>
      </c>
      <c r="N475" s="74">
        <v>1300</v>
      </c>
      <c r="O475" s="74"/>
      <c r="P475" s="74"/>
      <c r="Q475" s="74"/>
      <c r="R475" s="74"/>
      <c r="S475" s="74"/>
      <c r="T475" s="74"/>
      <c r="U475" s="73"/>
    </row>
    <row r="476" spans="1:21" s="38" customFormat="1" ht="24.95" customHeight="1" x14ac:dyDescent="0.3">
      <c r="A476" s="64">
        <v>2024.09</v>
      </c>
      <c r="B476" s="63" t="s">
        <v>789</v>
      </c>
      <c r="C476" s="63" t="s">
        <v>476</v>
      </c>
      <c r="D476" s="63" t="s">
        <v>1217</v>
      </c>
      <c r="E476" s="63"/>
      <c r="F476" s="63" t="s">
        <v>1216</v>
      </c>
      <c r="G476" s="63"/>
      <c r="H476" s="63" t="s">
        <v>1215</v>
      </c>
      <c r="I476" s="63" t="s">
        <v>1021</v>
      </c>
      <c r="J476" s="63" t="s">
        <v>737</v>
      </c>
      <c r="K476" s="63"/>
      <c r="L476" s="63" t="s">
        <v>721</v>
      </c>
      <c r="M476" s="63" t="s">
        <v>721</v>
      </c>
      <c r="N476" s="63">
        <v>2750</v>
      </c>
      <c r="O476" s="63" t="s">
        <v>1214</v>
      </c>
      <c r="P476" s="63">
        <v>2744</v>
      </c>
      <c r="Q476" s="63">
        <v>14</v>
      </c>
      <c r="R476" s="63">
        <v>196.4</v>
      </c>
      <c r="S476" s="63" t="s">
        <v>1052</v>
      </c>
      <c r="T476" s="63"/>
      <c r="U476" s="62"/>
    </row>
    <row r="477" spans="1:21" s="38" customFormat="1" ht="24.95" customHeight="1" x14ac:dyDescent="0.3">
      <c r="A477" s="75">
        <v>2024.09</v>
      </c>
      <c r="B477" s="74" t="s">
        <v>877</v>
      </c>
      <c r="C477" s="74" t="s">
        <v>233</v>
      </c>
      <c r="D477" s="74" t="s">
        <v>1201</v>
      </c>
      <c r="E477" s="74"/>
      <c r="F477" s="74" t="s">
        <v>1200</v>
      </c>
      <c r="G477" s="74" t="s">
        <v>1213</v>
      </c>
      <c r="H477" s="74" t="s">
        <v>1212</v>
      </c>
      <c r="I477" s="74" t="s">
        <v>1211</v>
      </c>
      <c r="J477" s="74"/>
      <c r="K477" s="74"/>
      <c r="L477" s="74">
        <v>8.5</v>
      </c>
      <c r="M477" s="74">
        <v>5</v>
      </c>
      <c r="N477" s="74">
        <v>996.25</v>
      </c>
      <c r="O477" s="74"/>
      <c r="P477" s="74"/>
      <c r="Q477" s="74"/>
      <c r="R477" s="74"/>
      <c r="S477" s="74"/>
      <c r="T477" s="74"/>
      <c r="U477" s="73"/>
    </row>
    <row r="478" spans="1:21" s="40" customFormat="1" ht="24.95" customHeight="1" x14ac:dyDescent="0.3">
      <c r="A478" s="49">
        <v>2024.09</v>
      </c>
      <c r="B478" s="49" t="s">
        <v>734</v>
      </c>
      <c r="C478" s="49" t="s">
        <v>214</v>
      </c>
      <c r="D478" s="49" t="s">
        <v>1210</v>
      </c>
      <c r="E478" s="49"/>
      <c r="F478" s="49" t="s">
        <v>1209</v>
      </c>
      <c r="G478" s="49" t="s">
        <v>1208</v>
      </c>
      <c r="H478" s="49" t="s">
        <v>1207</v>
      </c>
      <c r="I478" s="49" t="s">
        <v>1206</v>
      </c>
      <c r="J478" s="49" t="s">
        <v>737</v>
      </c>
      <c r="K478" s="49" t="s">
        <v>753</v>
      </c>
      <c r="L478" s="49" t="s">
        <v>721</v>
      </c>
      <c r="M478" s="49" t="s">
        <v>721</v>
      </c>
      <c r="N478" s="49" t="s">
        <v>721</v>
      </c>
      <c r="O478" s="49" t="s">
        <v>963</v>
      </c>
      <c r="P478" s="49">
        <v>218.8</v>
      </c>
      <c r="Q478" s="49" t="s">
        <v>721</v>
      </c>
      <c r="R478" s="49" t="s">
        <v>721</v>
      </c>
      <c r="S478" s="49"/>
      <c r="T478" s="49"/>
      <c r="U478" s="48"/>
    </row>
    <row r="479" spans="1:21" s="40" customFormat="1" ht="24.95" customHeight="1" x14ac:dyDescent="0.3">
      <c r="A479" s="49">
        <v>2024.09</v>
      </c>
      <c r="B479" s="49" t="s">
        <v>1123</v>
      </c>
      <c r="C479" s="49" t="s">
        <v>44</v>
      </c>
      <c r="D479" s="49" t="s">
        <v>45</v>
      </c>
      <c r="E479" s="49"/>
      <c r="F479" s="49" t="s">
        <v>515</v>
      </c>
      <c r="G479" s="49" t="s">
        <v>1205</v>
      </c>
      <c r="H479" s="49" t="s">
        <v>1204</v>
      </c>
      <c r="I479" s="49" t="s">
        <v>1203</v>
      </c>
      <c r="J479" s="49" t="s">
        <v>768</v>
      </c>
      <c r="K479" s="49" t="s">
        <v>753</v>
      </c>
      <c r="L479" s="49" t="s">
        <v>721</v>
      </c>
      <c r="M479" s="49" t="s">
        <v>721</v>
      </c>
      <c r="N479" s="49" t="s">
        <v>721</v>
      </c>
      <c r="O479" s="49" t="s">
        <v>1202</v>
      </c>
      <c r="P479" s="49"/>
      <c r="Q479" s="49">
        <v>12</v>
      </c>
      <c r="R479" s="49"/>
      <c r="S479" s="49"/>
      <c r="T479" s="49"/>
      <c r="U479" s="48"/>
    </row>
    <row r="480" spans="1:21" s="38" customFormat="1" ht="24.95" customHeight="1" x14ac:dyDescent="0.3">
      <c r="A480" s="81">
        <v>2024.1</v>
      </c>
      <c r="B480" s="80" t="s">
        <v>734</v>
      </c>
      <c r="C480" s="80" t="s">
        <v>233</v>
      </c>
      <c r="D480" s="80" t="s">
        <v>1201</v>
      </c>
      <c r="E480" s="80"/>
      <c r="F480" s="80" t="s">
        <v>1200</v>
      </c>
      <c r="G480" s="80" t="s">
        <v>1199</v>
      </c>
      <c r="H480" s="80" t="s">
        <v>1198</v>
      </c>
      <c r="I480" s="80" t="s">
        <v>1197</v>
      </c>
      <c r="J480" s="80" t="s">
        <v>728</v>
      </c>
      <c r="K480" s="80"/>
      <c r="L480" s="80">
        <v>8.5</v>
      </c>
      <c r="M480" s="80">
        <v>5</v>
      </c>
      <c r="N480" s="80">
        <v>996.25</v>
      </c>
      <c r="O480" s="80" t="s">
        <v>1196</v>
      </c>
      <c r="P480" s="80">
        <v>925</v>
      </c>
      <c r="Q480" s="80">
        <v>5</v>
      </c>
      <c r="R480" s="80">
        <v>185</v>
      </c>
      <c r="S480" s="80" t="s">
        <v>1097</v>
      </c>
      <c r="T480" s="80"/>
      <c r="U480" s="79"/>
    </row>
    <row r="481" spans="1:21" s="38" customFormat="1" ht="24.95" customHeight="1" x14ac:dyDescent="0.3">
      <c r="A481" s="75">
        <v>2024.1</v>
      </c>
      <c r="B481" s="74" t="s">
        <v>877</v>
      </c>
      <c r="C481" s="74" t="s">
        <v>13</v>
      </c>
      <c r="D481" s="74"/>
      <c r="E481" s="74"/>
      <c r="F481" s="74" t="s">
        <v>1164</v>
      </c>
      <c r="G481" s="74" t="s">
        <v>1163</v>
      </c>
      <c r="H481" s="74" t="s">
        <v>1162</v>
      </c>
      <c r="I481" s="74" t="s">
        <v>1162</v>
      </c>
      <c r="J481" s="74"/>
      <c r="K481" s="74"/>
      <c r="L481" s="74" t="s">
        <v>721</v>
      </c>
      <c r="M481" s="74">
        <v>6</v>
      </c>
      <c r="N481" s="74" t="s">
        <v>721</v>
      </c>
      <c r="O481" s="74"/>
      <c r="P481" s="74"/>
      <c r="Q481" s="74"/>
      <c r="R481" s="74"/>
      <c r="S481" s="74"/>
      <c r="T481" s="74"/>
      <c r="U481" s="73" t="s">
        <v>1161</v>
      </c>
    </row>
    <row r="482" spans="1:21" s="38" customFormat="1" ht="24.95" customHeight="1" x14ac:dyDescent="0.3">
      <c r="A482" s="81">
        <v>2024.1</v>
      </c>
      <c r="B482" s="80" t="s">
        <v>734</v>
      </c>
      <c r="C482" s="80" t="s">
        <v>208</v>
      </c>
      <c r="D482" s="80" t="s">
        <v>1195</v>
      </c>
      <c r="E482" s="80"/>
      <c r="F482" s="80" t="s">
        <v>1194</v>
      </c>
      <c r="G482" s="80" t="s">
        <v>1193</v>
      </c>
      <c r="H482" s="80" t="s">
        <v>1192</v>
      </c>
      <c r="I482" s="80" t="s">
        <v>1056</v>
      </c>
      <c r="J482" s="80" t="s">
        <v>737</v>
      </c>
      <c r="K482" s="80"/>
      <c r="L482" s="80" t="s">
        <v>721</v>
      </c>
      <c r="M482" s="80">
        <v>10</v>
      </c>
      <c r="N482" s="80">
        <v>1300</v>
      </c>
      <c r="O482" s="80" t="s">
        <v>1191</v>
      </c>
      <c r="P482" s="80">
        <v>1283.5999999999999</v>
      </c>
      <c r="Q482" s="80">
        <v>10</v>
      </c>
      <c r="R482" s="80">
        <v>128.36000000000001</v>
      </c>
      <c r="S482" s="80"/>
      <c r="T482" s="80"/>
      <c r="U482" s="79"/>
    </row>
    <row r="483" spans="1:21" s="40" customFormat="1" ht="24.95" customHeight="1" x14ac:dyDescent="0.3">
      <c r="A483" s="84">
        <v>2024.1</v>
      </c>
      <c r="B483" s="49" t="s">
        <v>734</v>
      </c>
      <c r="C483" s="49" t="s">
        <v>403</v>
      </c>
      <c r="D483" s="49"/>
      <c r="E483" s="49"/>
      <c r="F483" s="49" t="s">
        <v>1190</v>
      </c>
      <c r="G483" s="49"/>
      <c r="H483" s="49" t="s">
        <v>1189</v>
      </c>
      <c r="I483" s="49" t="s">
        <v>1188</v>
      </c>
      <c r="J483" s="49" t="s">
        <v>759</v>
      </c>
      <c r="K483" s="49" t="s">
        <v>753</v>
      </c>
      <c r="L483" s="49" t="s">
        <v>721</v>
      </c>
      <c r="M483" s="49" t="s">
        <v>721</v>
      </c>
      <c r="N483" s="49">
        <v>2100</v>
      </c>
      <c r="O483" s="49" t="s">
        <v>1187</v>
      </c>
      <c r="P483" s="49">
        <v>2044</v>
      </c>
      <c r="Q483" s="49" t="s">
        <v>721</v>
      </c>
      <c r="R483" s="49" t="s">
        <v>721</v>
      </c>
      <c r="S483" s="49"/>
      <c r="T483" s="49"/>
      <c r="U483" s="48"/>
    </row>
    <row r="484" spans="1:21" s="38" customFormat="1" ht="24.95" customHeight="1" x14ac:dyDescent="0.3">
      <c r="A484" s="64">
        <v>2024.1</v>
      </c>
      <c r="B484" s="63" t="s">
        <v>789</v>
      </c>
      <c r="C484" s="63" t="s">
        <v>156</v>
      </c>
      <c r="D484" s="63" t="s">
        <v>172</v>
      </c>
      <c r="E484" s="63"/>
      <c r="F484" s="63" t="s">
        <v>1186</v>
      </c>
      <c r="G484" s="63"/>
      <c r="H484" s="63" t="s">
        <v>1185</v>
      </c>
      <c r="I484" s="63" t="s">
        <v>1184</v>
      </c>
      <c r="J484" s="63" t="s">
        <v>768</v>
      </c>
      <c r="K484" s="63"/>
      <c r="L484" s="63" t="s">
        <v>721</v>
      </c>
      <c r="M484" s="63">
        <v>190</v>
      </c>
      <c r="N484" s="63">
        <v>12635</v>
      </c>
      <c r="O484" s="63" t="s">
        <v>856</v>
      </c>
      <c r="P484" s="63">
        <v>12635</v>
      </c>
      <c r="Q484" s="63">
        <v>190</v>
      </c>
      <c r="R484" s="63">
        <v>66.5</v>
      </c>
      <c r="S484" s="63" t="s">
        <v>766</v>
      </c>
      <c r="T484" s="63"/>
      <c r="U484" s="62"/>
    </row>
    <row r="485" spans="1:21" s="38" customFormat="1" ht="24.95" customHeight="1" x14ac:dyDescent="0.3">
      <c r="A485" s="75">
        <v>2024.1</v>
      </c>
      <c r="B485" s="74" t="s">
        <v>877</v>
      </c>
      <c r="C485" s="74" t="s">
        <v>25</v>
      </c>
      <c r="D485" s="74" t="s">
        <v>1010</v>
      </c>
      <c r="E485" s="74"/>
      <c r="F485" s="74" t="s">
        <v>1156</v>
      </c>
      <c r="G485" s="74" t="s">
        <v>1183</v>
      </c>
      <c r="H485" s="74" t="s">
        <v>1154</v>
      </c>
      <c r="I485" s="74" t="s">
        <v>1153</v>
      </c>
      <c r="J485" s="74"/>
      <c r="K485" s="74"/>
      <c r="L485" s="74" t="s">
        <v>721</v>
      </c>
      <c r="M485" s="74">
        <v>50</v>
      </c>
      <c r="N485" s="74">
        <v>6400</v>
      </c>
      <c r="O485" s="74"/>
      <c r="P485" s="74"/>
      <c r="Q485" s="74"/>
      <c r="R485" s="74"/>
      <c r="S485" s="74"/>
      <c r="T485" s="74"/>
      <c r="U485" s="73"/>
    </row>
    <row r="486" spans="1:21" s="40" customFormat="1" ht="24.95" customHeight="1" x14ac:dyDescent="0.3">
      <c r="A486" s="84">
        <v>2024.1</v>
      </c>
      <c r="B486" s="49" t="s">
        <v>734</v>
      </c>
      <c r="C486" s="49" t="s">
        <v>50</v>
      </c>
      <c r="D486" s="49" t="s">
        <v>71</v>
      </c>
      <c r="E486" s="49"/>
      <c r="F486" s="49" t="s">
        <v>1182</v>
      </c>
      <c r="G486" s="49" t="s">
        <v>1181</v>
      </c>
      <c r="H486" s="49" t="s">
        <v>1180</v>
      </c>
      <c r="I486" s="49" t="s">
        <v>1180</v>
      </c>
      <c r="J486" s="49" t="s">
        <v>754</v>
      </c>
      <c r="K486" s="49" t="s">
        <v>753</v>
      </c>
      <c r="L486" s="49" t="s">
        <v>721</v>
      </c>
      <c r="M486" s="49">
        <v>20</v>
      </c>
      <c r="N486" s="49">
        <v>200</v>
      </c>
      <c r="O486" s="49" t="s">
        <v>1179</v>
      </c>
      <c r="P486" s="49">
        <v>200</v>
      </c>
      <c r="Q486" s="49">
        <v>20</v>
      </c>
      <c r="R486" s="49">
        <v>10</v>
      </c>
      <c r="S486" s="49" t="s">
        <v>1178</v>
      </c>
      <c r="T486" s="49"/>
      <c r="U486" s="48" t="s">
        <v>1161</v>
      </c>
    </row>
    <row r="487" spans="1:21" s="40" customFormat="1" ht="24.95" customHeight="1" x14ac:dyDescent="0.3">
      <c r="A487" s="84">
        <v>2024.1</v>
      </c>
      <c r="B487" s="49" t="s">
        <v>734</v>
      </c>
      <c r="C487" s="49" t="s">
        <v>214</v>
      </c>
      <c r="D487" s="49" t="s">
        <v>468</v>
      </c>
      <c r="E487" s="49"/>
      <c r="F487" s="49" t="s">
        <v>909</v>
      </c>
      <c r="G487" s="49" t="s">
        <v>1177</v>
      </c>
      <c r="H487" s="49" t="s">
        <v>1176</v>
      </c>
      <c r="I487" s="49" t="s">
        <v>1176</v>
      </c>
      <c r="J487" s="49" t="s">
        <v>1175</v>
      </c>
      <c r="K487" s="49" t="s">
        <v>753</v>
      </c>
      <c r="L487" s="49" t="s">
        <v>721</v>
      </c>
      <c r="M487" s="49">
        <v>2</v>
      </c>
      <c r="N487" s="49">
        <v>149.9</v>
      </c>
      <c r="O487" s="49" t="s">
        <v>904</v>
      </c>
      <c r="P487" s="49">
        <v>149.9</v>
      </c>
      <c r="Q487" s="49">
        <v>2</v>
      </c>
      <c r="R487" s="49">
        <v>74.95</v>
      </c>
      <c r="S487" s="49"/>
      <c r="T487" s="49"/>
      <c r="U487" s="48" t="s">
        <v>1161</v>
      </c>
    </row>
    <row r="488" spans="1:21" s="38" customFormat="1" ht="24.95" customHeight="1" x14ac:dyDescent="0.3">
      <c r="A488" s="81">
        <v>2024.1</v>
      </c>
      <c r="B488" s="80" t="s">
        <v>734</v>
      </c>
      <c r="C488" s="80" t="s">
        <v>84</v>
      </c>
      <c r="D488" s="80" t="s">
        <v>1174</v>
      </c>
      <c r="E488" s="80"/>
      <c r="F488" s="80" t="s">
        <v>1173</v>
      </c>
      <c r="G488" s="80" t="s">
        <v>1172</v>
      </c>
      <c r="H488" s="80" t="s">
        <v>1171</v>
      </c>
      <c r="I488" s="80" t="s">
        <v>1171</v>
      </c>
      <c r="J488" s="80" t="s">
        <v>737</v>
      </c>
      <c r="K488" s="80"/>
      <c r="L488" s="80" t="s">
        <v>721</v>
      </c>
      <c r="M488" s="80">
        <v>50</v>
      </c>
      <c r="N488" s="80">
        <v>9400</v>
      </c>
      <c r="O488" s="80" t="s">
        <v>1145</v>
      </c>
      <c r="P488" s="80">
        <v>9330</v>
      </c>
      <c r="Q488" s="80">
        <v>50</v>
      </c>
      <c r="R488" s="80">
        <v>186.6</v>
      </c>
      <c r="S488" s="80" t="s">
        <v>1066</v>
      </c>
      <c r="T488" s="80"/>
      <c r="U488" s="79"/>
    </row>
    <row r="489" spans="1:21" s="38" customFormat="1" ht="24.95" customHeight="1" x14ac:dyDescent="0.3">
      <c r="A489" s="163">
        <v>2024.11</v>
      </c>
      <c r="B489" s="163" t="s">
        <v>734</v>
      </c>
      <c r="C489" s="163" t="s">
        <v>225</v>
      </c>
      <c r="D489" s="163" t="s">
        <v>1144</v>
      </c>
      <c r="E489" s="163" t="s">
        <v>1170</v>
      </c>
      <c r="F489" s="163" t="s">
        <v>1169</v>
      </c>
      <c r="G489" s="163"/>
      <c r="H489" s="163" t="s">
        <v>1168</v>
      </c>
      <c r="I489" s="83" t="s">
        <v>1167</v>
      </c>
      <c r="J489" s="83" t="s">
        <v>759</v>
      </c>
      <c r="K489" s="166" t="s">
        <v>753</v>
      </c>
      <c r="L489" s="83" t="s">
        <v>721</v>
      </c>
      <c r="M489" s="83">
        <v>4</v>
      </c>
      <c r="N489" s="163">
        <v>1322.5</v>
      </c>
      <c r="O489" s="166" t="s">
        <v>1166</v>
      </c>
      <c r="P489" s="166">
        <v>1283.2</v>
      </c>
      <c r="Q489" s="83">
        <v>4</v>
      </c>
      <c r="R489" s="83">
        <v>320.8</v>
      </c>
      <c r="S489" s="49"/>
      <c r="T489" s="83"/>
      <c r="U489" s="82"/>
    </row>
    <row r="490" spans="1:21" s="38" customFormat="1" ht="24.95" customHeight="1" x14ac:dyDescent="0.3">
      <c r="A490" s="164"/>
      <c r="B490" s="164"/>
      <c r="C490" s="164"/>
      <c r="D490" s="164"/>
      <c r="E490" s="164"/>
      <c r="F490" s="164"/>
      <c r="G490" s="164"/>
      <c r="H490" s="164"/>
      <c r="I490" s="83" t="s">
        <v>1165</v>
      </c>
      <c r="J490" s="83" t="s">
        <v>759</v>
      </c>
      <c r="K490" s="167"/>
      <c r="L490" s="83" t="s">
        <v>721</v>
      </c>
      <c r="M490" s="83">
        <v>5</v>
      </c>
      <c r="N490" s="164"/>
      <c r="O490" s="167"/>
      <c r="P490" s="167"/>
      <c r="Q490" s="83">
        <v>5</v>
      </c>
      <c r="R490" s="83" t="s">
        <v>721</v>
      </c>
      <c r="S490" s="49"/>
      <c r="T490" s="83"/>
      <c r="U490" s="82"/>
    </row>
    <row r="491" spans="1:21" s="38" customFormat="1" ht="24.95" customHeight="1" x14ac:dyDescent="0.3">
      <c r="A491" s="165"/>
      <c r="B491" s="165"/>
      <c r="C491" s="165"/>
      <c r="D491" s="165"/>
      <c r="E491" s="165"/>
      <c r="F491" s="165"/>
      <c r="G491" s="165"/>
      <c r="H491" s="165"/>
      <c r="I491" s="83" t="s">
        <v>926</v>
      </c>
      <c r="J491" s="83" t="s">
        <v>759</v>
      </c>
      <c r="K491" s="168"/>
      <c r="L491" s="83" t="s">
        <v>721</v>
      </c>
      <c r="M491" s="83">
        <v>1</v>
      </c>
      <c r="N491" s="165"/>
      <c r="O491" s="168"/>
      <c r="P491" s="168"/>
      <c r="Q491" s="83">
        <v>1</v>
      </c>
      <c r="R491" s="83" t="s">
        <v>721</v>
      </c>
      <c r="S491" s="49"/>
      <c r="T491" s="83"/>
      <c r="U491" s="82"/>
    </row>
    <row r="492" spans="1:21" s="40" customFormat="1" ht="24.95" customHeight="1" x14ac:dyDescent="0.3">
      <c r="A492" s="49">
        <v>2024.11</v>
      </c>
      <c r="B492" s="49" t="s">
        <v>1123</v>
      </c>
      <c r="C492" s="49" t="s">
        <v>13</v>
      </c>
      <c r="D492" s="49"/>
      <c r="E492" s="49"/>
      <c r="F492" s="49" t="s">
        <v>1164</v>
      </c>
      <c r="G492" s="49" t="s">
        <v>1163</v>
      </c>
      <c r="H492" s="49" t="s">
        <v>1162</v>
      </c>
      <c r="I492" s="49" t="s">
        <v>1162</v>
      </c>
      <c r="J492" s="49" t="s">
        <v>943</v>
      </c>
      <c r="K492" s="49" t="s">
        <v>753</v>
      </c>
      <c r="L492" s="49" t="s">
        <v>721</v>
      </c>
      <c r="M492" s="49">
        <v>6</v>
      </c>
      <c r="N492" s="49" t="s">
        <v>721</v>
      </c>
      <c r="O492" s="49"/>
      <c r="P492" s="49"/>
      <c r="Q492" s="49"/>
      <c r="R492" s="49"/>
      <c r="S492" s="49"/>
      <c r="T492" s="49"/>
      <c r="U492" s="48" t="s">
        <v>1161</v>
      </c>
    </row>
    <row r="493" spans="1:21" s="40" customFormat="1" ht="24.95" customHeight="1" x14ac:dyDescent="0.3">
      <c r="A493" s="49">
        <v>2024.11</v>
      </c>
      <c r="B493" s="49" t="s">
        <v>734</v>
      </c>
      <c r="C493" s="49" t="s">
        <v>225</v>
      </c>
      <c r="D493" s="49" t="s">
        <v>1144</v>
      </c>
      <c r="E493" s="49"/>
      <c r="F493" s="49" t="s">
        <v>1160</v>
      </c>
      <c r="G493" s="49" t="s">
        <v>1159</v>
      </c>
      <c r="H493" s="49" t="s">
        <v>1158</v>
      </c>
      <c r="I493" s="49" t="s">
        <v>1158</v>
      </c>
      <c r="J493" s="49" t="s">
        <v>768</v>
      </c>
      <c r="K493" s="49" t="s">
        <v>753</v>
      </c>
      <c r="L493" s="49" t="s">
        <v>721</v>
      </c>
      <c r="M493" s="49" t="s">
        <v>721</v>
      </c>
      <c r="N493" s="49" t="s">
        <v>721</v>
      </c>
      <c r="O493" s="49" t="s">
        <v>1157</v>
      </c>
      <c r="P493" s="49">
        <v>3015</v>
      </c>
      <c r="Q493" s="49"/>
      <c r="R493" s="49"/>
      <c r="S493" s="49"/>
      <c r="T493" s="49"/>
      <c r="U493" s="48"/>
    </row>
    <row r="494" spans="1:21" s="38" customFormat="1" ht="24.95" customHeight="1" x14ac:dyDescent="0.3">
      <c r="A494" s="169">
        <v>2024.11</v>
      </c>
      <c r="B494" s="169" t="s">
        <v>877</v>
      </c>
      <c r="C494" s="169" t="s">
        <v>225</v>
      </c>
      <c r="D494" s="169" t="s">
        <v>1144</v>
      </c>
      <c r="E494" s="169" t="s">
        <v>1143</v>
      </c>
      <c r="F494" s="169" t="s">
        <v>1142</v>
      </c>
      <c r="G494" s="169" t="s">
        <v>1141</v>
      </c>
      <c r="H494" s="169" t="s">
        <v>1140</v>
      </c>
      <c r="I494" s="74" t="s">
        <v>1139</v>
      </c>
      <c r="J494" s="74" t="s">
        <v>768</v>
      </c>
      <c r="K494" s="74"/>
      <c r="L494" s="74" t="s">
        <v>721</v>
      </c>
      <c r="M494" s="74">
        <v>20</v>
      </c>
      <c r="N494" s="169">
        <v>7939.71</v>
      </c>
      <c r="O494" s="57"/>
      <c r="P494" s="57"/>
      <c r="Q494" s="57"/>
      <c r="R494" s="57"/>
      <c r="S494" s="57"/>
      <c r="T494" s="74"/>
      <c r="U494" s="172" t="s">
        <v>922</v>
      </c>
    </row>
    <row r="495" spans="1:21" s="38" customFormat="1" ht="24.95" customHeight="1" x14ac:dyDescent="0.3">
      <c r="A495" s="170"/>
      <c r="B495" s="170"/>
      <c r="C495" s="170"/>
      <c r="D495" s="170"/>
      <c r="E495" s="170"/>
      <c r="F495" s="170"/>
      <c r="G495" s="170"/>
      <c r="H495" s="170"/>
      <c r="I495" s="74" t="s">
        <v>1137</v>
      </c>
      <c r="J495" s="74" t="s">
        <v>768</v>
      </c>
      <c r="K495" s="74"/>
      <c r="L495" s="74" t="s">
        <v>721</v>
      </c>
      <c r="M495" s="74">
        <v>15</v>
      </c>
      <c r="N495" s="170"/>
      <c r="O495" s="57"/>
      <c r="P495" s="57"/>
      <c r="Q495" s="57"/>
      <c r="R495" s="57"/>
      <c r="S495" s="57"/>
      <c r="T495" s="74"/>
      <c r="U495" s="173"/>
    </row>
    <row r="496" spans="1:21" s="38" customFormat="1" ht="24.95" customHeight="1" x14ac:dyDescent="0.3">
      <c r="A496" s="170"/>
      <c r="B496" s="170"/>
      <c r="C496" s="170"/>
      <c r="D496" s="170"/>
      <c r="E496" s="170"/>
      <c r="F496" s="170"/>
      <c r="G496" s="170"/>
      <c r="H496" s="170"/>
      <c r="I496" s="74" t="s">
        <v>1136</v>
      </c>
      <c r="J496" s="74" t="s">
        <v>768</v>
      </c>
      <c r="K496" s="74"/>
      <c r="L496" s="74" t="s">
        <v>721</v>
      </c>
      <c r="M496" s="74">
        <v>15</v>
      </c>
      <c r="N496" s="170"/>
      <c r="O496" s="57"/>
      <c r="P496" s="57"/>
      <c r="Q496" s="57"/>
      <c r="R496" s="57"/>
      <c r="S496" s="57"/>
      <c r="T496" s="74"/>
      <c r="U496" s="173"/>
    </row>
    <row r="497" spans="1:255" s="38" customFormat="1" ht="24.95" customHeight="1" x14ac:dyDescent="0.3">
      <c r="A497" s="171"/>
      <c r="B497" s="171"/>
      <c r="C497" s="171"/>
      <c r="D497" s="171"/>
      <c r="E497" s="171"/>
      <c r="F497" s="171"/>
      <c r="G497" s="171"/>
      <c r="H497" s="171"/>
      <c r="I497" s="74" t="s">
        <v>1135</v>
      </c>
      <c r="J497" s="74" t="s">
        <v>768</v>
      </c>
      <c r="K497" s="74"/>
      <c r="L497" s="74" t="s">
        <v>721</v>
      </c>
      <c r="M497" s="74">
        <v>10</v>
      </c>
      <c r="N497" s="171"/>
      <c r="O497" s="57"/>
      <c r="P497" s="57"/>
      <c r="Q497" s="57"/>
      <c r="R497" s="57"/>
      <c r="S497" s="57"/>
      <c r="T497" s="74"/>
      <c r="U497" s="174"/>
    </row>
    <row r="498" spans="1:255" s="38" customFormat="1" ht="24.95" customHeight="1" x14ac:dyDescent="0.3">
      <c r="A498" s="81">
        <v>2024.11</v>
      </c>
      <c r="B498" s="80" t="s">
        <v>734</v>
      </c>
      <c r="C498" s="80" t="s">
        <v>25</v>
      </c>
      <c r="D498" s="80" t="s">
        <v>1010</v>
      </c>
      <c r="E498" s="80"/>
      <c r="F498" s="80" t="s">
        <v>1156</v>
      </c>
      <c r="G498" s="80" t="s">
        <v>1155</v>
      </c>
      <c r="H498" s="80" t="s">
        <v>1154</v>
      </c>
      <c r="I498" s="80" t="s">
        <v>1153</v>
      </c>
      <c r="J498" s="80" t="s">
        <v>722</v>
      </c>
      <c r="K498" s="80"/>
      <c r="L498" s="80" t="s">
        <v>721</v>
      </c>
      <c r="M498" s="80">
        <v>50</v>
      </c>
      <c r="N498" s="80">
        <v>6400</v>
      </c>
      <c r="O498" s="80" t="s">
        <v>1152</v>
      </c>
      <c r="P498" s="80">
        <v>5495</v>
      </c>
      <c r="Q498" s="80">
        <v>50</v>
      </c>
      <c r="R498" s="80">
        <v>109.9</v>
      </c>
      <c r="S498" s="72"/>
      <c r="T498" s="80"/>
      <c r="U498" s="79"/>
    </row>
    <row r="499" spans="1:255" s="40" customFormat="1" ht="24.95" customHeight="1" x14ac:dyDescent="0.3">
      <c r="A499" s="49">
        <v>2024.11</v>
      </c>
      <c r="B499" s="49" t="s">
        <v>734</v>
      </c>
      <c r="C499" s="49" t="s">
        <v>225</v>
      </c>
      <c r="D499" s="49" t="s">
        <v>1151</v>
      </c>
      <c r="E499" s="49" t="s">
        <v>1150</v>
      </c>
      <c r="F499" s="49" t="s">
        <v>1149</v>
      </c>
      <c r="G499" s="49" t="s">
        <v>1148</v>
      </c>
      <c r="H499" s="49" t="s">
        <v>1147</v>
      </c>
      <c r="I499" s="49" t="s">
        <v>1146</v>
      </c>
      <c r="J499" s="49" t="s">
        <v>737</v>
      </c>
      <c r="K499" s="49" t="s">
        <v>753</v>
      </c>
      <c r="L499" s="49" t="s">
        <v>721</v>
      </c>
      <c r="M499" s="49">
        <v>10</v>
      </c>
      <c r="N499" s="49" t="s">
        <v>721</v>
      </c>
      <c r="O499" s="49" t="s">
        <v>1145</v>
      </c>
      <c r="P499" s="49" t="s">
        <v>721</v>
      </c>
      <c r="Q499" s="49">
        <v>10</v>
      </c>
      <c r="R499" s="49" t="s">
        <v>721</v>
      </c>
      <c r="S499" s="49"/>
      <c r="T499" s="49"/>
      <c r="U499" s="48"/>
    </row>
    <row r="500" spans="1:255" s="77" customFormat="1" ht="24.95" customHeight="1" x14ac:dyDescent="0.3">
      <c r="A500" s="149">
        <v>2024.12</v>
      </c>
      <c r="B500" s="149" t="s">
        <v>734</v>
      </c>
      <c r="C500" s="149" t="s">
        <v>225</v>
      </c>
      <c r="D500" s="149" t="s">
        <v>1144</v>
      </c>
      <c r="E500" s="149" t="s">
        <v>1143</v>
      </c>
      <c r="F500" s="149" t="s">
        <v>1142</v>
      </c>
      <c r="G500" s="149" t="s">
        <v>1141</v>
      </c>
      <c r="H500" s="149" t="s">
        <v>1140</v>
      </c>
      <c r="I500" s="49" t="s">
        <v>1139</v>
      </c>
      <c r="J500" s="49" t="s">
        <v>768</v>
      </c>
      <c r="K500" s="152" t="s">
        <v>753</v>
      </c>
      <c r="L500" s="49" t="s">
        <v>721</v>
      </c>
      <c r="M500" s="49">
        <v>20</v>
      </c>
      <c r="N500" s="149">
        <v>7939.71</v>
      </c>
      <c r="O500" s="152" t="s">
        <v>1138</v>
      </c>
      <c r="P500" s="152">
        <v>7921.44</v>
      </c>
      <c r="Q500" s="49">
        <v>20</v>
      </c>
      <c r="R500" s="49" t="s">
        <v>721</v>
      </c>
      <c r="S500" s="49"/>
      <c r="T500" s="49"/>
      <c r="U500" s="160"/>
    </row>
    <row r="501" spans="1:255" s="77" customFormat="1" ht="24.95" customHeight="1" x14ac:dyDescent="0.3">
      <c r="A501" s="151"/>
      <c r="B501" s="151"/>
      <c r="C501" s="151"/>
      <c r="D501" s="151"/>
      <c r="E501" s="151"/>
      <c r="F501" s="151"/>
      <c r="G501" s="151"/>
      <c r="H501" s="151"/>
      <c r="I501" s="49" t="s">
        <v>1137</v>
      </c>
      <c r="J501" s="49" t="s">
        <v>768</v>
      </c>
      <c r="K501" s="154"/>
      <c r="L501" s="49" t="s">
        <v>721</v>
      </c>
      <c r="M501" s="49">
        <v>15</v>
      </c>
      <c r="N501" s="151"/>
      <c r="O501" s="154"/>
      <c r="P501" s="154"/>
      <c r="Q501" s="49">
        <v>15</v>
      </c>
      <c r="R501" s="49" t="s">
        <v>721</v>
      </c>
      <c r="S501" s="49"/>
      <c r="T501" s="49"/>
      <c r="U501" s="161"/>
    </row>
    <row r="502" spans="1:255" s="77" customFormat="1" ht="24.95" customHeight="1" x14ac:dyDescent="0.3">
      <c r="A502" s="151"/>
      <c r="B502" s="151"/>
      <c r="C502" s="151"/>
      <c r="D502" s="151"/>
      <c r="E502" s="151"/>
      <c r="F502" s="151"/>
      <c r="G502" s="151"/>
      <c r="H502" s="151"/>
      <c r="I502" s="49" t="s">
        <v>1136</v>
      </c>
      <c r="J502" s="49" t="s">
        <v>768</v>
      </c>
      <c r="K502" s="154"/>
      <c r="L502" s="49" t="s">
        <v>721</v>
      </c>
      <c r="M502" s="49">
        <v>15</v>
      </c>
      <c r="N502" s="151"/>
      <c r="O502" s="154"/>
      <c r="P502" s="154"/>
      <c r="Q502" s="49">
        <v>15</v>
      </c>
      <c r="R502" s="49" t="s">
        <v>721</v>
      </c>
      <c r="S502" s="49"/>
      <c r="T502" s="49"/>
      <c r="U502" s="161"/>
    </row>
    <row r="503" spans="1:255" s="77" customFormat="1" ht="24.95" customHeight="1" x14ac:dyDescent="0.3">
      <c r="A503" s="150"/>
      <c r="B503" s="150"/>
      <c r="C503" s="150"/>
      <c r="D503" s="150"/>
      <c r="E503" s="150"/>
      <c r="F503" s="150"/>
      <c r="G503" s="150"/>
      <c r="H503" s="150"/>
      <c r="I503" s="49" t="s">
        <v>1135</v>
      </c>
      <c r="J503" s="49" t="s">
        <v>768</v>
      </c>
      <c r="K503" s="153"/>
      <c r="L503" s="49" t="s">
        <v>721</v>
      </c>
      <c r="M503" s="49">
        <v>10</v>
      </c>
      <c r="N503" s="150"/>
      <c r="O503" s="153"/>
      <c r="P503" s="153"/>
      <c r="Q503" s="49">
        <v>10</v>
      </c>
      <c r="R503" s="49" t="s">
        <v>721</v>
      </c>
      <c r="S503" s="49"/>
      <c r="T503" s="49"/>
      <c r="U503" s="162"/>
    </row>
    <row r="504" spans="1:255" s="76" customFormat="1" ht="24.95" customHeight="1" x14ac:dyDescent="0.3">
      <c r="A504" s="149">
        <v>2024.12</v>
      </c>
      <c r="B504" s="149" t="s">
        <v>734</v>
      </c>
      <c r="C504" s="149" t="s">
        <v>139</v>
      </c>
      <c r="D504" s="149" t="s">
        <v>140</v>
      </c>
      <c r="E504" s="149"/>
      <c r="F504" s="149" t="s">
        <v>1134</v>
      </c>
      <c r="G504" s="149" t="s">
        <v>1133</v>
      </c>
      <c r="H504" s="152" t="s">
        <v>1132</v>
      </c>
      <c r="I504" s="49" t="s">
        <v>1131</v>
      </c>
      <c r="J504" s="49" t="s">
        <v>768</v>
      </c>
      <c r="K504" s="152" t="s">
        <v>753</v>
      </c>
      <c r="L504" s="49" t="s">
        <v>721</v>
      </c>
      <c r="M504" s="49">
        <v>10</v>
      </c>
      <c r="N504" s="152">
        <v>1700</v>
      </c>
      <c r="O504" s="152" t="s">
        <v>1130</v>
      </c>
      <c r="P504" s="152">
        <v>2729.2</v>
      </c>
      <c r="Q504" s="49">
        <v>10</v>
      </c>
      <c r="R504" s="49" t="s">
        <v>721</v>
      </c>
      <c r="S504" s="152" t="s">
        <v>1129</v>
      </c>
      <c r="T504" s="49"/>
      <c r="U504" s="48"/>
    </row>
    <row r="505" spans="1:255" s="76" customFormat="1" ht="24.95" customHeight="1" x14ac:dyDescent="0.3">
      <c r="A505" s="151"/>
      <c r="B505" s="151"/>
      <c r="C505" s="151"/>
      <c r="D505" s="151"/>
      <c r="E505" s="151"/>
      <c r="F505" s="151"/>
      <c r="G505" s="151"/>
      <c r="H505" s="154"/>
      <c r="I505" s="49" t="s">
        <v>1128</v>
      </c>
      <c r="J505" s="49" t="s">
        <v>759</v>
      </c>
      <c r="K505" s="154"/>
      <c r="L505" s="49" t="s">
        <v>721</v>
      </c>
      <c r="M505" s="49">
        <v>8</v>
      </c>
      <c r="N505" s="154"/>
      <c r="O505" s="154"/>
      <c r="P505" s="154"/>
      <c r="Q505" s="49">
        <v>8</v>
      </c>
      <c r="R505" s="49" t="s">
        <v>721</v>
      </c>
      <c r="S505" s="154"/>
      <c r="T505" s="49"/>
      <c r="U505" s="48"/>
    </row>
    <row r="506" spans="1:255" s="76" customFormat="1" ht="24.95" customHeight="1" x14ac:dyDescent="0.3">
      <c r="A506" s="151"/>
      <c r="B506" s="151"/>
      <c r="C506" s="151"/>
      <c r="D506" s="151"/>
      <c r="E506" s="151"/>
      <c r="F506" s="151"/>
      <c r="G506" s="151"/>
      <c r="H506" s="153"/>
      <c r="I506" s="49" t="s">
        <v>1127</v>
      </c>
      <c r="J506" s="49" t="s">
        <v>759</v>
      </c>
      <c r="K506" s="154"/>
      <c r="L506" s="49" t="s">
        <v>721</v>
      </c>
      <c r="M506" s="49">
        <v>2</v>
      </c>
      <c r="N506" s="153"/>
      <c r="O506" s="153"/>
      <c r="P506" s="154"/>
      <c r="Q506" s="49">
        <v>2</v>
      </c>
      <c r="R506" s="49" t="s">
        <v>721</v>
      </c>
      <c r="S506" s="154"/>
      <c r="T506" s="49"/>
      <c r="U506" s="48"/>
    </row>
    <row r="507" spans="1:255" s="76" customFormat="1" ht="24.95" customHeight="1" x14ac:dyDescent="0.3">
      <c r="A507" s="150"/>
      <c r="B507" s="150"/>
      <c r="C507" s="150"/>
      <c r="D507" s="150"/>
      <c r="E507" s="150"/>
      <c r="F507" s="150"/>
      <c r="G507" s="150"/>
      <c r="H507" s="49" t="s">
        <v>1126</v>
      </c>
      <c r="I507" s="49" t="s">
        <v>1125</v>
      </c>
      <c r="J507" s="49" t="s">
        <v>759</v>
      </c>
      <c r="K507" s="153"/>
      <c r="L507" s="49" t="s">
        <v>721</v>
      </c>
      <c r="M507" s="49">
        <v>8</v>
      </c>
      <c r="N507" s="49">
        <v>1200</v>
      </c>
      <c r="O507" s="49" t="s">
        <v>1124</v>
      </c>
      <c r="P507" s="153"/>
      <c r="Q507" s="49">
        <v>8</v>
      </c>
      <c r="R507" s="49" t="s">
        <v>721</v>
      </c>
      <c r="S507" s="153"/>
      <c r="T507" s="49"/>
      <c r="U507" s="48"/>
    </row>
    <row r="508" spans="1:255" s="40" customFormat="1" ht="24.95" customHeight="1" x14ac:dyDescent="0.3">
      <c r="A508" s="43">
        <v>2025.01</v>
      </c>
      <c r="B508" s="42" t="s">
        <v>1123</v>
      </c>
      <c r="C508" s="42" t="s">
        <v>25</v>
      </c>
      <c r="D508" s="42" t="s">
        <v>1010</v>
      </c>
      <c r="E508" s="42"/>
      <c r="F508" s="42" t="s">
        <v>1122</v>
      </c>
      <c r="G508" s="42"/>
      <c r="H508" s="42" t="s">
        <v>1121</v>
      </c>
      <c r="I508" s="42" t="s">
        <v>1120</v>
      </c>
      <c r="J508" s="42" t="s">
        <v>737</v>
      </c>
      <c r="K508" s="42"/>
      <c r="L508" s="42" t="s">
        <v>721</v>
      </c>
      <c r="M508" s="42">
        <v>2</v>
      </c>
      <c r="N508" s="42"/>
      <c r="O508" s="42"/>
      <c r="P508" s="42"/>
      <c r="Q508" s="42"/>
      <c r="R508" s="42"/>
      <c r="S508" s="72"/>
      <c r="T508" s="42"/>
      <c r="U508" s="41"/>
    </row>
    <row r="509" spans="1:255" s="38" customFormat="1" ht="24.95" customHeight="1" x14ac:dyDescent="0.3">
      <c r="A509" s="75">
        <v>2025.01</v>
      </c>
      <c r="B509" s="74" t="s">
        <v>877</v>
      </c>
      <c r="C509" s="74" t="s">
        <v>476</v>
      </c>
      <c r="D509" s="74" t="s">
        <v>477</v>
      </c>
      <c r="E509" s="74"/>
      <c r="F509" s="74" t="s">
        <v>1119</v>
      </c>
      <c r="G509" s="74" t="s">
        <v>1118</v>
      </c>
      <c r="H509" s="74" t="s">
        <v>1117</v>
      </c>
      <c r="I509" s="74" t="s">
        <v>1116</v>
      </c>
      <c r="J509" s="74" t="s">
        <v>737</v>
      </c>
      <c r="K509" s="74"/>
      <c r="L509" s="74" t="s">
        <v>721</v>
      </c>
      <c r="M509" s="74">
        <v>15</v>
      </c>
      <c r="N509" s="74">
        <v>2775</v>
      </c>
      <c r="O509" s="74"/>
      <c r="P509" s="74"/>
      <c r="Q509" s="74"/>
      <c r="R509" s="74"/>
      <c r="S509" s="74"/>
      <c r="T509" s="74"/>
      <c r="U509" s="73"/>
    </row>
    <row r="510" spans="1:255" s="68" customFormat="1" ht="24.95" customHeight="1" x14ac:dyDescent="0.3">
      <c r="A510" s="123">
        <v>2025.01</v>
      </c>
      <c r="B510" s="123" t="s">
        <v>734</v>
      </c>
      <c r="C510" s="123" t="s">
        <v>122</v>
      </c>
      <c r="D510" s="123" t="s">
        <v>200</v>
      </c>
      <c r="E510" s="123"/>
      <c r="F510" s="123" t="s">
        <v>202</v>
      </c>
      <c r="G510" s="123" t="s">
        <v>1115</v>
      </c>
      <c r="H510" s="123" t="s">
        <v>1114</v>
      </c>
      <c r="I510" s="42" t="s">
        <v>953</v>
      </c>
      <c r="J510" s="42" t="s">
        <v>768</v>
      </c>
      <c r="K510" s="42"/>
      <c r="L510" s="42" t="s">
        <v>721</v>
      </c>
      <c r="M510" s="42" t="s">
        <v>721</v>
      </c>
      <c r="N510" s="123">
        <v>3500</v>
      </c>
      <c r="O510" s="127" t="s">
        <v>1113</v>
      </c>
      <c r="P510" s="123">
        <v>3488.4</v>
      </c>
      <c r="Q510" s="42"/>
      <c r="R510" s="42"/>
      <c r="S510" s="42"/>
      <c r="T510" s="42"/>
      <c r="U510" s="41"/>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c r="BV510" s="40"/>
      <c r="BW510" s="40"/>
      <c r="BX510" s="40"/>
      <c r="BY510" s="40"/>
      <c r="BZ510" s="40"/>
      <c r="CA510" s="40"/>
      <c r="CB510" s="40"/>
      <c r="CC510" s="40"/>
      <c r="CD510" s="40"/>
      <c r="CE510" s="40"/>
      <c r="CF510" s="40"/>
      <c r="CG510" s="40"/>
      <c r="CH510" s="40"/>
      <c r="CI510" s="40"/>
      <c r="CJ510" s="40"/>
      <c r="CK510" s="40"/>
      <c r="CL510" s="40"/>
      <c r="CM510" s="40"/>
      <c r="CN510" s="40"/>
      <c r="CO510" s="40"/>
      <c r="CP510" s="40"/>
      <c r="CQ510" s="40"/>
      <c r="CR510" s="40"/>
      <c r="CS510" s="40"/>
      <c r="CT510" s="40"/>
      <c r="CU510" s="40"/>
      <c r="CV510" s="40"/>
      <c r="CW510" s="40"/>
      <c r="CX510" s="40"/>
      <c r="CY510" s="40"/>
      <c r="CZ510" s="40"/>
      <c r="DA510" s="40"/>
      <c r="DB510" s="40"/>
      <c r="DC510" s="40"/>
      <c r="DD510" s="40"/>
      <c r="DE510" s="40"/>
      <c r="DF510" s="40"/>
      <c r="DG510" s="40"/>
      <c r="DH510" s="40"/>
      <c r="DI510" s="40"/>
      <c r="DJ510" s="40"/>
      <c r="DK510" s="40"/>
      <c r="DL510" s="40"/>
      <c r="DM510" s="40"/>
      <c r="DN510" s="40"/>
      <c r="DO510" s="40"/>
      <c r="DP510" s="40"/>
      <c r="DQ510" s="40"/>
      <c r="DR510" s="40"/>
      <c r="DS510" s="40"/>
      <c r="DT510" s="40"/>
      <c r="DU510" s="40"/>
      <c r="DV510" s="40"/>
      <c r="DW510" s="40"/>
      <c r="DX510" s="40"/>
      <c r="DY510" s="40"/>
      <c r="DZ510" s="40"/>
      <c r="EA510" s="40"/>
      <c r="EB510" s="40"/>
      <c r="EC510" s="40"/>
      <c r="ED510" s="40"/>
      <c r="EE510" s="40"/>
      <c r="EF510" s="40"/>
      <c r="EG510" s="40"/>
      <c r="EH510" s="40"/>
      <c r="EI510" s="40"/>
      <c r="EJ510" s="40"/>
      <c r="EK510" s="40"/>
      <c r="EL510" s="40"/>
      <c r="EM510" s="40"/>
      <c r="EN510" s="40"/>
      <c r="EO510" s="40"/>
      <c r="EP510" s="40"/>
      <c r="EQ510" s="40"/>
      <c r="ER510" s="40"/>
      <c r="ES510" s="40"/>
      <c r="ET510" s="40"/>
      <c r="EU510" s="40"/>
      <c r="EV510" s="40"/>
      <c r="EW510" s="40"/>
      <c r="EX510" s="40"/>
      <c r="EY510" s="40"/>
      <c r="EZ510" s="40"/>
      <c r="FA510" s="40"/>
      <c r="FB510" s="40"/>
      <c r="FC510" s="40"/>
      <c r="FD510" s="40"/>
      <c r="FE510" s="40"/>
      <c r="FF510" s="40"/>
      <c r="FG510" s="40"/>
      <c r="FH510" s="40"/>
      <c r="FI510" s="40"/>
      <c r="FJ510" s="40"/>
      <c r="FK510" s="40"/>
      <c r="FL510" s="40"/>
      <c r="FM510" s="40"/>
      <c r="FN510" s="40"/>
      <c r="FO510" s="40"/>
      <c r="FP510" s="40"/>
      <c r="FQ510" s="40"/>
      <c r="FR510" s="40"/>
      <c r="FS510" s="40"/>
      <c r="FT510" s="40"/>
      <c r="FU510" s="40"/>
      <c r="FV510" s="40"/>
      <c r="FW510" s="40"/>
      <c r="FX510" s="40"/>
      <c r="FY510" s="40"/>
      <c r="FZ510" s="40"/>
      <c r="GA510" s="40"/>
      <c r="GB510" s="40"/>
      <c r="GC510" s="40"/>
      <c r="GD510" s="40"/>
      <c r="GE510" s="40"/>
      <c r="GF510" s="40"/>
      <c r="GG510" s="40"/>
      <c r="GH510" s="40"/>
      <c r="GI510" s="40"/>
      <c r="GJ510" s="40"/>
      <c r="GK510" s="40"/>
      <c r="GL510" s="40"/>
      <c r="GM510" s="40"/>
      <c r="GN510" s="40"/>
      <c r="GO510" s="40"/>
      <c r="GP510" s="40"/>
      <c r="GQ510" s="40"/>
      <c r="GR510" s="40"/>
      <c r="GS510" s="40"/>
      <c r="GT510" s="40"/>
      <c r="GU510" s="40"/>
      <c r="GV510" s="40"/>
      <c r="GW510" s="40"/>
      <c r="GX510" s="40"/>
      <c r="GY510" s="40"/>
      <c r="GZ510" s="40"/>
      <c r="HA510" s="40"/>
      <c r="HB510" s="40"/>
      <c r="HC510" s="40"/>
      <c r="HD510" s="40"/>
      <c r="HE510" s="40"/>
      <c r="HF510" s="40"/>
      <c r="HG510" s="40"/>
      <c r="HH510" s="40"/>
      <c r="HI510" s="40"/>
      <c r="HJ510" s="40"/>
      <c r="HK510" s="40"/>
      <c r="HL510" s="40"/>
      <c r="HM510" s="40"/>
      <c r="HN510" s="40"/>
      <c r="HO510" s="40"/>
      <c r="HP510" s="40"/>
      <c r="HQ510" s="40"/>
      <c r="HR510" s="40"/>
      <c r="HS510" s="40"/>
      <c r="HT510" s="40"/>
      <c r="HU510" s="40"/>
      <c r="HV510" s="40"/>
      <c r="HW510" s="40"/>
      <c r="HX510" s="40"/>
      <c r="HY510" s="40"/>
      <c r="HZ510" s="40"/>
      <c r="IA510" s="40"/>
      <c r="IB510" s="40"/>
      <c r="IC510" s="40"/>
      <c r="ID510" s="40"/>
      <c r="IE510" s="40"/>
      <c r="IF510" s="40"/>
      <c r="IG510" s="40"/>
      <c r="IH510" s="40"/>
      <c r="II510" s="40"/>
      <c r="IJ510" s="40"/>
      <c r="IK510" s="40"/>
      <c r="IL510" s="40"/>
      <c r="IM510" s="40"/>
      <c r="IN510" s="40"/>
      <c r="IO510" s="40"/>
      <c r="IP510" s="40"/>
      <c r="IQ510" s="40"/>
      <c r="IR510" s="40"/>
      <c r="IS510" s="40"/>
      <c r="IT510" s="40"/>
      <c r="IU510" s="40"/>
    </row>
    <row r="511" spans="1:255" s="68" customFormat="1" ht="24.95" customHeight="1" x14ac:dyDescent="0.3">
      <c r="A511" s="139"/>
      <c r="B511" s="139"/>
      <c r="C511" s="139"/>
      <c r="D511" s="139"/>
      <c r="E511" s="139"/>
      <c r="F511" s="139"/>
      <c r="G511" s="139"/>
      <c r="H511" s="139"/>
      <c r="I511" s="42" t="s">
        <v>1112</v>
      </c>
      <c r="J511" s="42" t="s">
        <v>768</v>
      </c>
      <c r="K511" s="42"/>
      <c r="L511" s="42" t="s">
        <v>721</v>
      </c>
      <c r="M511" s="42" t="s">
        <v>721</v>
      </c>
      <c r="N511" s="139"/>
      <c r="O511" s="148"/>
      <c r="P511" s="139"/>
      <c r="Q511" s="42"/>
      <c r="R511" s="42"/>
      <c r="S511" s="42"/>
      <c r="T511" s="42"/>
      <c r="U511" s="41"/>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40"/>
      <c r="BV511" s="40"/>
      <c r="BW511" s="40"/>
      <c r="BX511" s="40"/>
      <c r="BY511" s="40"/>
      <c r="BZ511" s="40"/>
      <c r="CA511" s="40"/>
      <c r="CB511" s="40"/>
      <c r="CC511" s="40"/>
      <c r="CD511" s="40"/>
      <c r="CE511" s="40"/>
      <c r="CF511" s="40"/>
      <c r="CG511" s="40"/>
      <c r="CH511" s="40"/>
      <c r="CI511" s="40"/>
      <c r="CJ511" s="40"/>
      <c r="CK511" s="40"/>
      <c r="CL511" s="40"/>
      <c r="CM511" s="40"/>
      <c r="CN511" s="40"/>
      <c r="CO511" s="40"/>
      <c r="CP511" s="40"/>
      <c r="CQ511" s="40"/>
      <c r="CR511" s="40"/>
      <c r="CS511" s="40"/>
      <c r="CT511" s="40"/>
      <c r="CU511" s="40"/>
      <c r="CV511" s="40"/>
      <c r="CW511" s="40"/>
      <c r="CX511" s="40"/>
      <c r="CY511" s="40"/>
      <c r="CZ511" s="40"/>
      <c r="DA511" s="40"/>
      <c r="DB511" s="40"/>
      <c r="DC511" s="40"/>
      <c r="DD511" s="40"/>
      <c r="DE511" s="40"/>
      <c r="DF511" s="40"/>
      <c r="DG511" s="40"/>
      <c r="DH511" s="40"/>
      <c r="DI511" s="40"/>
      <c r="DJ511" s="40"/>
      <c r="DK511" s="40"/>
      <c r="DL511" s="40"/>
      <c r="DM511" s="40"/>
      <c r="DN511" s="40"/>
      <c r="DO511" s="40"/>
      <c r="DP511" s="40"/>
      <c r="DQ511" s="40"/>
      <c r="DR511" s="40"/>
      <c r="DS511" s="40"/>
      <c r="DT511" s="40"/>
      <c r="DU511" s="40"/>
      <c r="DV511" s="40"/>
      <c r="DW511" s="40"/>
      <c r="DX511" s="40"/>
      <c r="DY511" s="40"/>
      <c r="DZ511" s="40"/>
      <c r="EA511" s="40"/>
      <c r="EB511" s="40"/>
      <c r="EC511" s="40"/>
      <c r="ED511" s="40"/>
      <c r="EE511" s="40"/>
      <c r="EF511" s="40"/>
      <c r="EG511" s="40"/>
      <c r="EH511" s="40"/>
      <c r="EI511" s="40"/>
      <c r="EJ511" s="40"/>
      <c r="EK511" s="40"/>
      <c r="EL511" s="40"/>
      <c r="EM511" s="40"/>
      <c r="EN511" s="40"/>
      <c r="EO511" s="40"/>
      <c r="EP511" s="40"/>
      <c r="EQ511" s="40"/>
      <c r="ER511" s="40"/>
      <c r="ES511" s="40"/>
      <c r="ET511" s="40"/>
      <c r="EU511" s="40"/>
      <c r="EV511" s="40"/>
      <c r="EW511" s="40"/>
      <c r="EX511" s="40"/>
      <c r="EY511" s="40"/>
      <c r="EZ511" s="40"/>
      <c r="FA511" s="40"/>
      <c r="FB511" s="40"/>
      <c r="FC511" s="40"/>
      <c r="FD511" s="40"/>
      <c r="FE511" s="40"/>
      <c r="FF511" s="40"/>
      <c r="FG511" s="40"/>
      <c r="FH511" s="40"/>
      <c r="FI511" s="40"/>
      <c r="FJ511" s="40"/>
      <c r="FK511" s="40"/>
      <c r="FL511" s="40"/>
      <c r="FM511" s="40"/>
      <c r="FN511" s="40"/>
      <c r="FO511" s="40"/>
      <c r="FP511" s="40"/>
      <c r="FQ511" s="40"/>
      <c r="FR511" s="40"/>
      <c r="FS511" s="40"/>
      <c r="FT511" s="40"/>
      <c r="FU511" s="40"/>
      <c r="FV511" s="40"/>
      <c r="FW511" s="40"/>
      <c r="FX511" s="40"/>
      <c r="FY511" s="40"/>
      <c r="FZ511" s="40"/>
      <c r="GA511" s="40"/>
      <c r="GB511" s="40"/>
      <c r="GC511" s="40"/>
      <c r="GD511" s="40"/>
      <c r="GE511" s="40"/>
      <c r="GF511" s="40"/>
      <c r="GG511" s="40"/>
      <c r="GH511" s="40"/>
      <c r="GI511" s="40"/>
      <c r="GJ511" s="40"/>
      <c r="GK511" s="40"/>
      <c r="GL511" s="40"/>
      <c r="GM511" s="40"/>
      <c r="GN511" s="40"/>
      <c r="GO511" s="40"/>
      <c r="GP511" s="40"/>
      <c r="GQ511" s="40"/>
      <c r="GR511" s="40"/>
      <c r="GS511" s="40"/>
      <c r="GT511" s="40"/>
      <c r="GU511" s="40"/>
      <c r="GV511" s="40"/>
      <c r="GW511" s="40"/>
      <c r="GX511" s="40"/>
      <c r="GY511" s="40"/>
      <c r="GZ511" s="40"/>
      <c r="HA511" s="40"/>
      <c r="HB511" s="40"/>
      <c r="HC511" s="40"/>
      <c r="HD511" s="40"/>
      <c r="HE511" s="40"/>
      <c r="HF511" s="40"/>
      <c r="HG511" s="40"/>
      <c r="HH511" s="40"/>
      <c r="HI511" s="40"/>
      <c r="HJ511" s="40"/>
      <c r="HK511" s="40"/>
      <c r="HL511" s="40"/>
      <c r="HM511" s="40"/>
      <c r="HN511" s="40"/>
      <c r="HO511" s="40"/>
      <c r="HP511" s="40"/>
      <c r="HQ511" s="40"/>
      <c r="HR511" s="40"/>
      <c r="HS511" s="40"/>
      <c r="HT511" s="40"/>
      <c r="HU511" s="40"/>
      <c r="HV511" s="40"/>
      <c r="HW511" s="40"/>
      <c r="HX511" s="40"/>
      <c r="HY511" s="40"/>
      <c r="HZ511" s="40"/>
      <c r="IA511" s="40"/>
      <c r="IB511" s="40"/>
      <c r="IC511" s="40"/>
      <c r="ID511" s="40"/>
      <c r="IE511" s="40"/>
      <c r="IF511" s="40"/>
      <c r="IG511" s="40"/>
      <c r="IH511" s="40"/>
      <c r="II511" s="40"/>
      <c r="IJ511" s="40"/>
      <c r="IK511" s="40"/>
      <c r="IL511" s="40"/>
      <c r="IM511" s="40"/>
      <c r="IN511" s="40"/>
      <c r="IO511" s="40"/>
      <c r="IP511" s="40"/>
      <c r="IQ511" s="40"/>
      <c r="IR511" s="40"/>
      <c r="IS511" s="40"/>
      <c r="IT511" s="40"/>
      <c r="IU511" s="40"/>
    </row>
    <row r="512" spans="1:255" s="68" customFormat="1" ht="24.95" customHeight="1" x14ac:dyDescent="0.3">
      <c r="A512" s="139"/>
      <c r="B512" s="139"/>
      <c r="C512" s="139"/>
      <c r="D512" s="139"/>
      <c r="E512" s="139"/>
      <c r="F512" s="139"/>
      <c r="G512" s="139"/>
      <c r="H512" s="139"/>
      <c r="I512" s="42" t="s">
        <v>951</v>
      </c>
      <c r="J512" s="42" t="s">
        <v>768</v>
      </c>
      <c r="K512" s="42"/>
      <c r="L512" s="42" t="s">
        <v>721</v>
      </c>
      <c r="M512" s="42" t="s">
        <v>721</v>
      </c>
      <c r="N512" s="139"/>
      <c r="O512" s="148"/>
      <c r="P512" s="139"/>
      <c r="Q512" s="42"/>
      <c r="R512" s="42"/>
      <c r="S512" s="42"/>
      <c r="T512" s="42"/>
      <c r="U512" s="41"/>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40"/>
      <c r="BV512" s="40"/>
      <c r="BW512" s="40"/>
      <c r="BX512" s="40"/>
      <c r="BY512" s="40"/>
      <c r="BZ512" s="40"/>
      <c r="CA512" s="40"/>
      <c r="CB512" s="40"/>
      <c r="CC512" s="40"/>
      <c r="CD512" s="40"/>
      <c r="CE512" s="40"/>
      <c r="CF512" s="40"/>
      <c r="CG512" s="40"/>
      <c r="CH512" s="40"/>
      <c r="CI512" s="40"/>
      <c r="CJ512" s="40"/>
      <c r="CK512" s="40"/>
      <c r="CL512" s="40"/>
      <c r="CM512" s="40"/>
      <c r="CN512" s="40"/>
      <c r="CO512" s="40"/>
      <c r="CP512" s="40"/>
      <c r="CQ512" s="40"/>
      <c r="CR512" s="40"/>
      <c r="CS512" s="40"/>
      <c r="CT512" s="40"/>
      <c r="CU512" s="40"/>
      <c r="CV512" s="40"/>
      <c r="CW512" s="40"/>
      <c r="CX512" s="40"/>
      <c r="CY512" s="40"/>
      <c r="CZ512" s="40"/>
      <c r="DA512" s="40"/>
      <c r="DB512" s="40"/>
      <c r="DC512" s="40"/>
      <c r="DD512" s="40"/>
      <c r="DE512" s="40"/>
      <c r="DF512" s="40"/>
      <c r="DG512" s="40"/>
      <c r="DH512" s="40"/>
      <c r="DI512" s="40"/>
      <c r="DJ512" s="40"/>
      <c r="DK512" s="40"/>
      <c r="DL512" s="40"/>
      <c r="DM512" s="40"/>
      <c r="DN512" s="40"/>
      <c r="DO512" s="40"/>
      <c r="DP512" s="40"/>
      <c r="DQ512" s="40"/>
      <c r="DR512" s="40"/>
      <c r="DS512" s="40"/>
      <c r="DT512" s="40"/>
      <c r="DU512" s="40"/>
      <c r="DV512" s="40"/>
      <c r="DW512" s="40"/>
      <c r="DX512" s="40"/>
      <c r="DY512" s="40"/>
      <c r="DZ512" s="40"/>
      <c r="EA512" s="40"/>
      <c r="EB512" s="40"/>
      <c r="EC512" s="40"/>
      <c r="ED512" s="40"/>
      <c r="EE512" s="40"/>
      <c r="EF512" s="40"/>
      <c r="EG512" s="40"/>
      <c r="EH512" s="40"/>
      <c r="EI512" s="40"/>
      <c r="EJ512" s="40"/>
      <c r="EK512" s="40"/>
      <c r="EL512" s="40"/>
      <c r="EM512" s="40"/>
      <c r="EN512" s="40"/>
      <c r="EO512" s="40"/>
      <c r="EP512" s="40"/>
      <c r="EQ512" s="40"/>
      <c r="ER512" s="40"/>
      <c r="ES512" s="40"/>
      <c r="ET512" s="40"/>
      <c r="EU512" s="40"/>
      <c r="EV512" s="40"/>
      <c r="EW512" s="40"/>
      <c r="EX512" s="40"/>
      <c r="EY512" s="40"/>
      <c r="EZ512" s="40"/>
      <c r="FA512" s="40"/>
      <c r="FB512" s="40"/>
      <c r="FC512" s="40"/>
      <c r="FD512" s="40"/>
      <c r="FE512" s="40"/>
      <c r="FF512" s="40"/>
      <c r="FG512" s="40"/>
      <c r="FH512" s="40"/>
      <c r="FI512" s="40"/>
      <c r="FJ512" s="40"/>
      <c r="FK512" s="40"/>
      <c r="FL512" s="40"/>
      <c r="FM512" s="40"/>
      <c r="FN512" s="40"/>
      <c r="FO512" s="40"/>
      <c r="FP512" s="40"/>
      <c r="FQ512" s="40"/>
      <c r="FR512" s="40"/>
      <c r="FS512" s="40"/>
      <c r="FT512" s="40"/>
      <c r="FU512" s="40"/>
      <c r="FV512" s="40"/>
      <c r="FW512" s="40"/>
      <c r="FX512" s="40"/>
      <c r="FY512" s="40"/>
      <c r="FZ512" s="40"/>
      <c r="GA512" s="40"/>
      <c r="GB512" s="40"/>
      <c r="GC512" s="40"/>
      <c r="GD512" s="40"/>
      <c r="GE512" s="40"/>
      <c r="GF512" s="40"/>
      <c r="GG512" s="40"/>
      <c r="GH512" s="40"/>
      <c r="GI512" s="40"/>
      <c r="GJ512" s="40"/>
      <c r="GK512" s="40"/>
      <c r="GL512" s="40"/>
      <c r="GM512" s="40"/>
      <c r="GN512" s="40"/>
      <c r="GO512" s="40"/>
      <c r="GP512" s="40"/>
      <c r="GQ512" s="40"/>
      <c r="GR512" s="40"/>
      <c r="GS512" s="40"/>
      <c r="GT512" s="40"/>
      <c r="GU512" s="40"/>
      <c r="GV512" s="40"/>
      <c r="GW512" s="40"/>
      <c r="GX512" s="40"/>
      <c r="GY512" s="40"/>
      <c r="GZ512" s="40"/>
      <c r="HA512" s="40"/>
      <c r="HB512" s="40"/>
      <c r="HC512" s="40"/>
      <c r="HD512" s="40"/>
      <c r="HE512" s="40"/>
      <c r="HF512" s="40"/>
      <c r="HG512" s="40"/>
      <c r="HH512" s="40"/>
      <c r="HI512" s="40"/>
      <c r="HJ512" s="40"/>
      <c r="HK512" s="40"/>
      <c r="HL512" s="40"/>
      <c r="HM512" s="40"/>
      <c r="HN512" s="40"/>
      <c r="HO512" s="40"/>
      <c r="HP512" s="40"/>
      <c r="HQ512" s="40"/>
      <c r="HR512" s="40"/>
      <c r="HS512" s="40"/>
      <c r="HT512" s="40"/>
      <c r="HU512" s="40"/>
      <c r="HV512" s="40"/>
      <c r="HW512" s="40"/>
      <c r="HX512" s="40"/>
      <c r="HY512" s="40"/>
      <c r="HZ512" s="40"/>
      <c r="IA512" s="40"/>
      <c r="IB512" s="40"/>
      <c r="IC512" s="40"/>
      <c r="ID512" s="40"/>
      <c r="IE512" s="40"/>
      <c r="IF512" s="40"/>
      <c r="IG512" s="40"/>
      <c r="IH512" s="40"/>
      <c r="II512" s="40"/>
      <c r="IJ512" s="40"/>
      <c r="IK512" s="40"/>
      <c r="IL512" s="40"/>
      <c r="IM512" s="40"/>
      <c r="IN512" s="40"/>
      <c r="IO512" s="40"/>
      <c r="IP512" s="40"/>
      <c r="IQ512" s="40"/>
      <c r="IR512" s="40"/>
      <c r="IS512" s="40"/>
      <c r="IT512" s="40"/>
      <c r="IU512" s="40"/>
    </row>
    <row r="513" spans="1:255" s="68" customFormat="1" ht="24.95" customHeight="1" x14ac:dyDescent="0.3">
      <c r="A513" s="124"/>
      <c r="B513" s="124"/>
      <c r="C513" s="124"/>
      <c r="D513" s="124"/>
      <c r="E513" s="124"/>
      <c r="F513" s="124"/>
      <c r="G513" s="124"/>
      <c r="H513" s="124"/>
      <c r="I513" s="42" t="s">
        <v>949</v>
      </c>
      <c r="J513" s="42" t="s">
        <v>768</v>
      </c>
      <c r="K513" s="42"/>
      <c r="L513" s="42" t="s">
        <v>721</v>
      </c>
      <c r="M513" s="42" t="s">
        <v>721</v>
      </c>
      <c r="N513" s="124"/>
      <c r="O513" s="128"/>
      <c r="P513" s="124"/>
      <c r="Q513" s="42"/>
      <c r="R513" s="42"/>
      <c r="S513" s="42"/>
      <c r="T513" s="42"/>
      <c r="U513" s="41"/>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c r="BH513" s="40"/>
      <c r="BI513" s="40"/>
      <c r="BJ513" s="40"/>
      <c r="BK513" s="40"/>
      <c r="BL513" s="40"/>
      <c r="BM513" s="40"/>
      <c r="BN513" s="40"/>
      <c r="BO513" s="40"/>
      <c r="BP513" s="40"/>
      <c r="BQ513" s="40"/>
      <c r="BR513" s="40"/>
      <c r="BS513" s="40"/>
      <c r="BT513" s="40"/>
      <c r="BU513" s="40"/>
      <c r="BV513" s="40"/>
      <c r="BW513" s="40"/>
      <c r="BX513" s="40"/>
      <c r="BY513" s="40"/>
      <c r="BZ513" s="40"/>
      <c r="CA513" s="40"/>
      <c r="CB513" s="40"/>
      <c r="CC513" s="40"/>
      <c r="CD513" s="40"/>
      <c r="CE513" s="40"/>
      <c r="CF513" s="40"/>
      <c r="CG513" s="40"/>
      <c r="CH513" s="40"/>
      <c r="CI513" s="40"/>
      <c r="CJ513" s="40"/>
      <c r="CK513" s="40"/>
      <c r="CL513" s="40"/>
      <c r="CM513" s="40"/>
      <c r="CN513" s="40"/>
      <c r="CO513" s="40"/>
      <c r="CP513" s="40"/>
      <c r="CQ513" s="40"/>
      <c r="CR513" s="40"/>
      <c r="CS513" s="40"/>
      <c r="CT513" s="40"/>
      <c r="CU513" s="40"/>
      <c r="CV513" s="40"/>
      <c r="CW513" s="40"/>
      <c r="CX513" s="40"/>
      <c r="CY513" s="40"/>
      <c r="CZ513" s="40"/>
      <c r="DA513" s="40"/>
      <c r="DB513" s="40"/>
      <c r="DC513" s="40"/>
      <c r="DD513" s="40"/>
      <c r="DE513" s="40"/>
      <c r="DF513" s="40"/>
      <c r="DG513" s="40"/>
      <c r="DH513" s="40"/>
      <c r="DI513" s="40"/>
      <c r="DJ513" s="40"/>
      <c r="DK513" s="40"/>
      <c r="DL513" s="40"/>
      <c r="DM513" s="40"/>
      <c r="DN513" s="40"/>
      <c r="DO513" s="40"/>
      <c r="DP513" s="40"/>
      <c r="DQ513" s="40"/>
      <c r="DR513" s="40"/>
      <c r="DS513" s="40"/>
      <c r="DT513" s="40"/>
      <c r="DU513" s="40"/>
      <c r="DV513" s="40"/>
      <c r="DW513" s="40"/>
      <c r="DX513" s="40"/>
      <c r="DY513" s="40"/>
      <c r="DZ513" s="40"/>
      <c r="EA513" s="40"/>
      <c r="EB513" s="40"/>
      <c r="EC513" s="40"/>
      <c r="ED513" s="40"/>
      <c r="EE513" s="40"/>
      <c r="EF513" s="40"/>
      <c r="EG513" s="40"/>
      <c r="EH513" s="40"/>
      <c r="EI513" s="40"/>
      <c r="EJ513" s="40"/>
      <c r="EK513" s="40"/>
      <c r="EL513" s="40"/>
      <c r="EM513" s="40"/>
      <c r="EN513" s="40"/>
      <c r="EO513" s="40"/>
      <c r="EP513" s="40"/>
      <c r="EQ513" s="40"/>
      <c r="ER513" s="40"/>
      <c r="ES513" s="40"/>
      <c r="ET513" s="40"/>
      <c r="EU513" s="40"/>
      <c r="EV513" s="40"/>
      <c r="EW513" s="40"/>
      <c r="EX513" s="40"/>
      <c r="EY513" s="40"/>
      <c r="EZ513" s="40"/>
      <c r="FA513" s="40"/>
      <c r="FB513" s="40"/>
      <c r="FC513" s="40"/>
      <c r="FD513" s="40"/>
      <c r="FE513" s="40"/>
      <c r="FF513" s="40"/>
      <c r="FG513" s="40"/>
      <c r="FH513" s="40"/>
      <c r="FI513" s="40"/>
      <c r="FJ513" s="40"/>
      <c r="FK513" s="40"/>
      <c r="FL513" s="40"/>
      <c r="FM513" s="40"/>
      <c r="FN513" s="40"/>
      <c r="FO513" s="40"/>
      <c r="FP513" s="40"/>
      <c r="FQ513" s="40"/>
      <c r="FR513" s="40"/>
      <c r="FS513" s="40"/>
      <c r="FT513" s="40"/>
      <c r="FU513" s="40"/>
      <c r="FV513" s="40"/>
      <c r="FW513" s="40"/>
      <c r="FX513" s="40"/>
      <c r="FY513" s="40"/>
      <c r="FZ513" s="40"/>
      <c r="GA513" s="40"/>
      <c r="GB513" s="40"/>
      <c r="GC513" s="40"/>
      <c r="GD513" s="40"/>
      <c r="GE513" s="40"/>
      <c r="GF513" s="40"/>
      <c r="GG513" s="40"/>
      <c r="GH513" s="40"/>
      <c r="GI513" s="40"/>
      <c r="GJ513" s="40"/>
      <c r="GK513" s="40"/>
      <c r="GL513" s="40"/>
      <c r="GM513" s="40"/>
      <c r="GN513" s="40"/>
      <c r="GO513" s="40"/>
      <c r="GP513" s="40"/>
      <c r="GQ513" s="40"/>
      <c r="GR513" s="40"/>
      <c r="GS513" s="40"/>
      <c r="GT513" s="40"/>
      <c r="GU513" s="40"/>
      <c r="GV513" s="40"/>
      <c r="GW513" s="40"/>
      <c r="GX513" s="40"/>
      <c r="GY513" s="40"/>
      <c r="GZ513" s="40"/>
      <c r="HA513" s="40"/>
      <c r="HB513" s="40"/>
      <c r="HC513" s="40"/>
      <c r="HD513" s="40"/>
      <c r="HE513" s="40"/>
      <c r="HF513" s="40"/>
      <c r="HG513" s="40"/>
      <c r="HH513" s="40"/>
      <c r="HI513" s="40"/>
      <c r="HJ513" s="40"/>
      <c r="HK513" s="40"/>
      <c r="HL513" s="40"/>
      <c r="HM513" s="40"/>
      <c r="HN513" s="40"/>
      <c r="HO513" s="40"/>
      <c r="HP513" s="40"/>
      <c r="HQ513" s="40"/>
      <c r="HR513" s="40"/>
      <c r="HS513" s="40"/>
      <c r="HT513" s="40"/>
      <c r="HU513" s="40"/>
      <c r="HV513" s="40"/>
      <c r="HW513" s="40"/>
      <c r="HX513" s="40"/>
      <c r="HY513" s="40"/>
      <c r="HZ513" s="40"/>
      <c r="IA513" s="40"/>
      <c r="IB513" s="40"/>
      <c r="IC513" s="40"/>
      <c r="ID513" s="40"/>
      <c r="IE513" s="40"/>
      <c r="IF513" s="40"/>
      <c r="IG513" s="40"/>
      <c r="IH513" s="40"/>
      <c r="II513" s="40"/>
      <c r="IJ513" s="40"/>
      <c r="IK513" s="40"/>
      <c r="IL513" s="40"/>
      <c r="IM513" s="40"/>
      <c r="IN513" s="40"/>
      <c r="IO513" s="40"/>
      <c r="IP513" s="40"/>
      <c r="IQ513" s="40"/>
      <c r="IR513" s="40"/>
      <c r="IS513" s="40"/>
      <c r="IT513" s="40"/>
      <c r="IU513" s="40"/>
    </row>
    <row r="514" spans="1:255" s="68" customFormat="1" ht="24.95" customHeight="1" x14ac:dyDescent="0.3">
      <c r="A514" s="45">
        <v>2025.01</v>
      </c>
      <c r="B514" s="45" t="s">
        <v>734</v>
      </c>
      <c r="C514" s="45" t="s">
        <v>44</v>
      </c>
      <c r="D514" s="45" t="s">
        <v>45</v>
      </c>
      <c r="E514" s="45"/>
      <c r="F514" s="45" t="s">
        <v>1111</v>
      </c>
      <c r="G514" s="45" t="s">
        <v>1110</v>
      </c>
      <c r="H514" s="45" t="s">
        <v>1109</v>
      </c>
      <c r="I514" s="42" t="s">
        <v>1108</v>
      </c>
      <c r="J514" s="42" t="s">
        <v>737</v>
      </c>
      <c r="K514" s="42"/>
      <c r="L514" s="42" t="s">
        <v>721</v>
      </c>
      <c r="M514" s="42" t="s">
        <v>721</v>
      </c>
      <c r="N514" s="42" t="s">
        <v>721</v>
      </c>
      <c r="O514" s="42" t="s">
        <v>1107</v>
      </c>
      <c r="P514" s="42">
        <v>2054.384</v>
      </c>
      <c r="Q514" s="42">
        <v>20</v>
      </c>
      <c r="R514" s="42">
        <v>102.72</v>
      </c>
      <c r="S514" s="42" t="s">
        <v>1052</v>
      </c>
      <c r="T514" s="42"/>
      <c r="U514" s="41" t="s">
        <v>1106</v>
      </c>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40"/>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40"/>
      <c r="CV514" s="40"/>
      <c r="CW514" s="40"/>
      <c r="CX514" s="40"/>
      <c r="CY514" s="40"/>
      <c r="CZ514" s="40"/>
      <c r="DA514" s="40"/>
      <c r="DB514" s="40"/>
      <c r="DC514" s="40"/>
      <c r="DD514" s="40"/>
      <c r="DE514" s="40"/>
      <c r="DF514" s="40"/>
      <c r="DG514" s="40"/>
      <c r="DH514" s="40"/>
      <c r="DI514" s="40"/>
      <c r="DJ514" s="40"/>
      <c r="DK514" s="40"/>
      <c r="DL514" s="40"/>
      <c r="DM514" s="40"/>
      <c r="DN514" s="40"/>
      <c r="DO514" s="40"/>
      <c r="DP514" s="40"/>
      <c r="DQ514" s="40"/>
      <c r="DR514" s="40"/>
      <c r="DS514" s="40"/>
      <c r="DT514" s="40"/>
      <c r="DU514" s="40"/>
      <c r="DV514" s="40"/>
      <c r="DW514" s="40"/>
      <c r="DX514" s="40"/>
      <c r="DY514" s="40"/>
      <c r="DZ514" s="40"/>
      <c r="EA514" s="40"/>
      <c r="EB514" s="40"/>
      <c r="EC514" s="40"/>
      <c r="ED514" s="40"/>
      <c r="EE514" s="40"/>
      <c r="EF514" s="40"/>
      <c r="EG514" s="40"/>
      <c r="EH514" s="40"/>
      <c r="EI514" s="40"/>
      <c r="EJ514" s="40"/>
      <c r="EK514" s="40"/>
      <c r="EL514" s="40"/>
      <c r="EM514" s="40"/>
      <c r="EN514" s="40"/>
      <c r="EO514" s="40"/>
      <c r="EP514" s="40"/>
      <c r="EQ514" s="40"/>
      <c r="ER514" s="40"/>
      <c r="ES514" s="40"/>
      <c r="ET514" s="40"/>
      <c r="EU514" s="40"/>
      <c r="EV514" s="40"/>
      <c r="EW514" s="40"/>
      <c r="EX514" s="40"/>
      <c r="EY514" s="40"/>
      <c r="EZ514" s="40"/>
      <c r="FA514" s="40"/>
      <c r="FB514" s="40"/>
      <c r="FC514" s="40"/>
      <c r="FD514" s="40"/>
      <c r="FE514" s="40"/>
      <c r="FF514" s="40"/>
      <c r="FG514" s="40"/>
      <c r="FH514" s="40"/>
      <c r="FI514" s="40"/>
      <c r="FJ514" s="40"/>
      <c r="FK514" s="40"/>
      <c r="FL514" s="40"/>
      <c r="FM514" s="40"/>
      <c r="FN514" s="40"/>
      <c r="FO514" s="40"/>
      <c r="FP514" s="40"/>
      <c r="FQ514" s="40"/>
      <c r="FR514" s="40"/>
      <c r="FS514" s="40"/>
      <c r="FT514" s="40"/>
      <c r="FU514" s="40"/>
      <c r="FV514" s="40"/>
      <c r="FW514" s="40"/>
      <c r="FX514" s="40"/>
      <c r="FY514" s="40"/>
      <c r="FZ514" s="40"/>
      <c r="GA514" s="40"/>
      <c r="GB514" s="40"/>
      <c r="GC514" s="40"/>
      <c r="GD514" s="40"/>
      <c r="GE514" s="40"/>
      <c r="GF514" s="40"/>
      <c r="GG514" s="40"/>
      <c r="GH514" s="40"/>
      <c r="GI514" s="40"/>
      <c r="GJ514" s="40"/>
      <c r="GK514" s="40"/>
      <c r="GL514" s="40"/>
      <c r="GM514" s="40"/>
      <c r="GN514" s="40"/>
      <c r="GO514" s="40"/>
      <c r="GP514" s="40"/>
      <c r="GQ514" s="40"/>
      <c r="GR514" s="40"/>
      <c r="GS514" s="40"/>
      <c r="GT514" s="40"/>
      <c r="GU514" s="40"/>
      <c r="GV514" s="40"/>
      <c r="GW514" s="40"/>
      <c r="GX514" s="40"/>
      <c r="GY514" s="40"/>
      <c r="GZ514" s="40"/>
      <c r="HA514" s="40"/>
      <c r="HB514" s="40"/>
      <c r="HC514" s="40"/>
      <c r="HD514" s="40"/>
      <c r="HE514" s="40"/>
      <c r="HF514" s="40"/>
      <c r="HG514" s="40"/>
      <c r="HH514" s="40"/>
      <c r="HI514" s="40"/>
      <c r="HJ514" s="40"/>
      <c r="HK514" s="40"/>
      <c r="HL514" s="40"/>
      <c r="HM514" s="40"/>
      <c r="HN514" s="40"/>
      <c r="HO514" s="40"/>
      <c r="HP514" s="40"/>
      <c r="HQ514" s="40"/>
      <c r="HR514" s="40"/>
      <c r="HS514" s="40"/>
      <c r="HT514" s="40"/>
      <c r="HU514" s="40"/>
      <c r="HV514" s="40"/>
      <c r="HW514" s="40"/>
      <c r="HX514" s="40"/>
      <c r="HY514" s="40"/>
      <c r="HZ514" s="40"/>
      <c r="IA514" s="40"/>
      <c r="IB514" s="40"/>
      <c r="IC514" s="40"/>
      <c r="ID514" s="40"/>
      <c r="IE514" s="40"/>
      <c r="IF514" s="40"/>
      <c r="IG514" s="40"/>
      <c r="IH514" s="40"/>
      <c r="II514" s="40"/>
      <c r="IJ514" s="40"/>
      <c r="IK514" s="40"/>
      <c r="IL514" s="40"/>
      <c r="IM514" s="40"/>
      <c r="IN514" s="40"/>
      <c r="IO514" s="40"/>
      <c r="IP514" s="40"/>
      <c r="IQ514" s="40"/>
      <c r="IR514" s="40"/>
      <c r="IS514" s="40"/>
      <c r="IT514" s="40"/>
      <c r="IU514" s="40"/>
    </row>
    <row r="515" spans="1:255" s="40" customFormat="1" ht="24.95" customHeight="1" x14ac:dyDescent="0.3">
      <c r="A515" s="43">
        <v>2025.02</v>
      </c>
      <c r="B515" s="42" t="s">
        <v>734</v>
      </c>
      <c r="C515" s="42" t="s">
        <v>233</v>
      </c>
      <c r="D515" s="42" t="s">
        <v>234</v>
      </c>
      <c r="E515" s="42"/>
      <c r="F515" s="42" t="s">
        <v>1105</v>
      </c>
      <c r="G515" s="42" t="s">
        <v>1104</v>
      </c>
      <c r="H515" s="42" t="s">
        <v>1021</v>
      </c>
      <c r="I515" s="42" t="s">
        <v>1021</v>
      </c>
      <c r="J515" s="42" t="s">
        <v>737</v>
      </c>
      <c r="K515" s="42"/>
      <c r="L515" s="42" t="s">
        <v>721</v>
      </c>
      <c r="M515" s="42">
        <v>1</v>
      </c>
      <c r="N515" s="42">
        <v>190</v>
      </c>
      <c r="O515" s="42" t="s">
        <v>794</v>
      </c>
      <c r="P515" s="42">
        <v>168.2</v>
      </c>
      <c r="Q515" s="42">
        <v>1</v>
      </c>
      <c r="R515" s="42">
        <v>168.2</v>
      </c>
      <c r="S515" s="72"/>
      <c r="T515" s="42"/>
      <c r="U515" s="41"/>
    </row>
    <row r="516" spans="1:255" s="40" customFormat="1" ht="24.95" customHeight="1" x14ac:dyDescent="0.3">
      <c r="A516" s="43">
        <v>2025.02</v>
      </c>
      <c r="B516" s="42" t="s">
        <v>734</v>
      </c>
      <c r="C516" s="42" t="s">
        <v>13</v>
      </c>
      <c r="D516" s="42" t="s">
        <v>1103</v>
      </c>
      <c r="E516" s="42"/>
      <c r="F516" s="42" t="s">
        <v>1102</v>
      </c>
      <c r="G516" s="42" t="s">
        <v>1101</v>
      </c>
      <c r="H516" s="42" t="s">
        <v>1100</v>
      </c>
      <c r="I516" s="42" t="s">
        <v>1099</v>
      </c>
      <c r="J516" s="42" t="s">
        <v>737</v>
      </c>
      <c r="K516" s="42"/>
      <c r="L516" s="42" t="s">
        <v>721</v>
      </c>
      <c r="M516" s="42">
        <v>100</v>
      </c>
      <c r="N516" s="42">
        <v>0</v>
      </c>
      <c r="O516" s="42" t="s">
        <v>1098</v>
      </c>
      <c r="P516" s="42">
        <v>0</v>
      </c>
      <c r="Q516" s="42">
        <v>100</v>
      </c>
      <c r="R516" s="42">
        <v>0</v>
      </c>
      <c r="S516" s="42" t="s">
        <v>1097</v>
      </c>
      <c r="T516" s="42"/>
      <c r="U516" s="41"/>
    </row>
    <row r="517" spans="1:255" s="40" customFormat="1" ht="24.95" customHeight="1" x14ac:dyDescent="0.3">
      <c r="A517" s="61">
        <v>2025.02</v>
      </c>
      <c r="B517" s="57" t="s">
        <v>877</v>
      </c>
      <c r="C517" s="57" t="s">
        <v>50</v>
      </c>
      <c r="D517" s="57" t="s">
        <v>947</v>
      </c>
      <c r="E517" s="57"/>
      <c r="F517" s="57" t="s">
        <v>1087</v>
      </c>
      <c r="G517" s="57" t="s">
        <v>1086</v>
      </c>
      <c r="H517" s="57" t="s">
        <v>1096</v>
      </c>
      <c r="I517" s="57" t="s">
        <v>833</v>
      </c>
      <c r="J517" s="57" t="s">
        <v>737</v>
      </c>
      <c r="K517" s="57"/>
      <c r="L517" s="57" t="s">
        <v>721</v>
      </c>
      <c r="M517" s="57">
        <v>14</v>
      </c>
      <c r="N517" s="57" t="s">
        <v>721</v>
      </c>
      <c r="O517" s="57"/>
      <c r="P517" s="57"/>
      <c r="Q517" s="57"/>
      <c r="R517" s="57"/>
      <c r="S517" s="57"/>
      <c r="T517" s="57"/>
      <c r="U517" s="60" t="s">
        <v>922</v>
      </c>
    </row>
    <row r="518" spans="1:255" s="40" customFormat="1" ht="24.95" customHeight="1" x14ac:dyDescent="0.3">
      <c r="A518" s="49">
        <v>2025.03</v>
      </c>
      <c r="B518" s="49" t="s">
        <v>734</v>
      </c>
      <c r="C518" s="49" t="s">
        <v>191</v>
      </c>
      <c r="D518" s="49" t="s">
        <v>327</v>
      </c>
      <c r="E518" s="49" t="s">
        <v>976</v>
      </c>
      <c r="F518" s="49" t="s">
        <v>975</v>
      </c>
      <c r="G518" s="49"/>
      <c r="H518" s="49" t="s">
        <v>972</v>
      </c>
      <c r="I518" s="49" t="s">
        <v>972</v>
      </c>
      <c r="J518" s="49" t="s">
        <v>517</v>
      </c>
      <c r="K518" s="49" t="s">
        <v>753</v>
      </c>
      <c r="L518" s="49" t="s">
        <v>721</v>
      </c>
      <c r="M518" s="49">
        <v>1000</v>
      </c>
      <c r="N518" s="49">
        <v>850</v>
      </c>
      <c r="O518" s="49" t="s">
        <v>1095</v>
      </c>
      <c r="P518" s="49">
        <v>850</v>
      </c>
      <c r="Q518" s="49">
        <v>1000</v>
      </c>
      <c r="R518" s="49">
        <v>0.85</v>
      </c>
      <c r="S518" s="49"/>
      <c r="T518" s="49"/>
      <c r="U518" s="48"/>
    </row>
    <row r="519" spans="1:255" s="40" customFormat="1" ht="24.95" customHeight="1" x14ac:dyDescent="0.3">
      <c r="A519" s="43">
        <v>2025.03</v>
      </c>
      <c r="B519" s="42" t="s">
        <v>734</v>
      </c>
      <c r="C519" s="42" t="s">
        <v>403</v>
      </c>
      <c r="D519" s="42"/>
      <c r="E519" s="42"/>
      <c r="F519" s="42" t="s">
        <v>1094</v>
      </c>
      <c r="G519" s="42" t="s">
        <v>1093</v>
      </c>
      <c r="H519" s="42" t="s">
        <v>1092</v>
      </c>
      <c r="I519" s="42" t="s">
        <v>1091</v>
      </c>
      <c r="J519" s="42" t="s">
        <v>768</v>
      </c>
      <c r="K519" s="42"/>
      <c r="L519" s="42">
        <v>4.2</v>
      </c>
      <c r="M519" s="42">
        <v>1</v>
      </c>
      <c r="N519" s="42">
        <v>54.5</v>
      </c>
      <c r="O519" s="42" t="s">
        <v>1090</v>
      </c>
      <c r="P519" s="42">
        <v>27.63</v>
      </c>
      <c r="Q519" s="42">
        <v>1</v>
      </c>
      <c r="R519" s="42">
        <v>27.63</v>
      </c>
      <c r="S519" s="42" t="s">
        <v>1089</v>
      </c>
      <c r="T519" s="42"/>
      <c r="U519" s="41"/>
    </row>
    <row r="520" spans="1:255" s="40" customFormat="1" ht="24.95" customHeight="1" x14ac:dyDescent="0.3">
      <c r="A520" s="61">
        <v>2025.03</v>
      </c>
      <c r="B520" s="57" t="s">
        <v>877</v>
      </c>
      <c r="C520" s="57" t="s">
        <v>156</v>
      </c>
      <c r="D520" s="57" t="s">
        <v>172</v>
      </c>
      <c r="E520" s="57"/>
      <c r="F520" s="57" t="s">
        <v>986</v>
      </c>
      <c r="G520" s="57" t="s">
        <v>985</v>
      </c>
      <c r="H520" s="57" t="s">
        <v>984</v>
      </c>
      <c r="I520" s="57" t="s">
        <v>983</v>
      </c>
      <c r="J520" s="57" t="s">
        <v>517</v>
      </c>
      <c r="K520" s="57" t="s">
        <v>753</v>
      </c>
      <c r="L520" s="57" t="s">
        <v>721</v>
      </c>
      <c r="M520" s="57">
        <v>3</v>
      </c>
      <c r="N520" s="57" t="s">
        <v>721</v>
      </c>
      <c r="O520" s="57"/>
      <c r="P520" s="57"/>
      <c r="Q520" s="57"/>
      <c r="R520" s="57"/>
      <c r="S520" s="57"/>
      <c r="T520" s="57"/>
      <c r="U520" s="60" t="s">
        <v>1088</v>
      </c>
    </row>
    <row r="521" spans="1:255" s="40" customFormat="1" ht="24.95" customHeight="1" x14ac:dyDescent="0.3">
      <c r="A521" s="61">
        <v>2025.03</v>
      </c>
      <c r="B521" s="57" t="s">
        <v>877</v>
      </c>
      <c r="C521" s="57" t="s">
        <v>211</v>
      </c>
      <c r="D521" s="57" t="s">
        <v>1017</v>
      </c>
      <c r="E521" s="57"/>
      <c r="F521" s="57" t="s">
        <v>1016</v>
      </c>
      <c r="G521" s="57" t="s">
        <v>1084</v>
      </c>
      <c r="H521" s="57" t="s">
        <v>738</v>
      </c>
      <c r="I521" s="57" t="s">
        <v>738</v>
      </c>
      <c r="J521" s="57" t="s">
        <v>737</v>
      </c>
      <c r="K521" s="57"/>
      <c r="L521" s="57" t="s">
        <v>721</v>
      </c>
      <c r="M521" s="57">
        <v>10</v>
      </c>
      <c r="N521" s="57">
        <v>1600</v>
      </c>
      <c r="O521" s="57"/>
      <c r="P521" s="57"/>
      <c r="Q521" s="57"/>
      <c r="R521" s="57"/>
      <c r="S521" s="57"/>
      <c r="T521" s="57"/>
      <c r="U521" s="60" t="s">
        <v>922</v>
      </c>
    </row>
    <row r="522" spans="1:255" s="40" customFormat="1" ht="24.95" customHeight="1" x14ac:dyDescent="0.3">
      <c r="A522" s="61">
        <v>2025.03</v>
      </c>
      <c r="B522" s="57" t="s">
        <v>877</v>
      </c>
      <c r="C522" s="57" t="s">
        <v>50</v>
      </c>
      <c r="D522" s="57" t="s">
        <v>947</v>
      </c>
      <c r="E522" s="57"/>
      <c r="F522" s="57" t="s">
        <v>1087</v>
      </c>
      <c r="G522" s="57" t="s">
        <v>1086</v>
      </c>
      <c r="H522" s="57" t="s">
        <v>1085</v>
      </c>
      <c r="I522" s="57" t="s">
        <v>833</v>
      </c>
      <c r="J522" s="57" t="s">
        <v>737</v>
      </c>
      <c r="K522" s="57"/>
      <c r="L522" s="57" t="s">
        <v>721</v>
      </c>
      <c r="M522" s="57">
        <v>14</v>
      </c>
      <c r="N522" s="57" t="s">
        <v>721</v>
      </c>
      <c r="O522" s="57"/>
      <c r="P522" s="57"/>
      <c r="Q522" s="57"/>
      <c r="R522" s="57"/>
      <c r="S522" s="57"/>
      <c r="T522" s="57"/>
      <c r="U522" s="60" t="s">
        <v>922</v>
      </c>
    </row>
    <row r="523" spans="1:255" s="40" customFormat="1" ht="24.95" customHeight="1" x14ac:dyDescent="0.3">
      <c r="A523" s="61">
        <v>2025.04</v>
      </c>
      <c r="B523" s="57" t="s">
        <v>877</v>
      </c>
      <c r="C523" s="57" t="s">
        <v>211</v>
      </c>
      <c r="D523" s="57" t="s">
        <v>1017</v>
      </c>
      <c r="E523" s="57"/>
      <c r="F523" s="57" t="s">
        <v>1016</v>
      </c>
      <c r="G523" s="57" t="s">
        <v>1084</v>
      </c>
      <c r="H523" s="57" t="s">
        <v>1083</v>
      </c>
      <c r="I523" s="57" t="s">
        <v>738</v>
      </c>
      <c r="J523" s="57" t="s">
        <v>737</v>
      </c>
      <c r="K523" s="57"/>
      <c r="L523" s="57" t="s">
        <v>721</v>
      </c>
      <c r="M523" s="57">
        <v>10</v>
      </c>
      <c r="N523" s="57">
        <v>1600</v>
      </c>
      <c r="O523" s="57"/>
      <c r="P523" s="57"/>
      <c r="Q523" s="57"/>
      <c r="R523" s="57"/>
      <c r="S523" s="57"/>
      <c r="T523" s="57"/>
      <c r="U523" s="60" t="s">
        <v>1082</v>
      </c>
    </row>
    <row r="524" spans="1:255" s="40" customFormat="1" ht="24.95" customHeight="1" x14ac:dyDescent="0.3">
      <c r="A524" s="43">
        <v>2025.04</v>
      </c>
      <c r="B524" s="42" t="s">
        <v>734</v>
      </c>
      <c r="C524" s="42" t="s">
        <v>44</v>
      </c>
      <c r="D524" s="42" t="s">
        <v>1024</v>
      </c>
      <c r="E524" s="42"/>
      <c r="F524" s="42" t="s">
        <v>1081</v>
      </c>
      <c r="G524" s="42"/>
      <c r="H524" s="42" t="s">
        <v>1080</v>
      </c>
      <c r="I524" s="42" t="s">
        <v>1079</v>
      </c>
      <c r="J524" s="42" t="s">
        <v>722</v>
      </c>
      <c r="K524" s="42"/>
      <c r="L524" s="42" t="s">
        <v>721</v>
      </c>
      <c r="M524" s="42">
        <v>30</v>
      </c>
      <c r="N524" s="42" t="s">
        <v>721</v>
      </c>
      <c r="O524" s="42" t="s">
        <v>1078</v>
      </c>
      <c r="P524" s="42" t="s">
        <v>721</v>
      </c>
      <c r="Q524" s="42">
        <v>30</v>
      </c>
      <c r="R524" s="42" t="s">
        <v>721</v>
      </c>
      <c r="S524" s="42" t="s">
        <v>1052</v>
      </c>
      <c r="T524" s="42"/>
      <c r="U524" s="41"/>
    </row>
    <row r="525" spans="1:255" s="40" customFormat="1" ht="24.95" customHeight="1" x14ac:dyDescent="0.3">
      <c r="A525" s="123">
        <v>2025.04</v>
      </c>
      <c r="B525" s="123" t="s">
        <v>929</v>
      </c>
      <c r="C525" s="123" t="s">
        <v>156</v>
      </c>
      <c r="D525" s="123" t="s">
        <v>758</v>
      </c>
      <c r="E525" s="123"/>
      <c r="F525" s="123" t="s">
        <v>920</v>
      </c>
      <c r="G525" s="123" t="s">
        <v>1077</v>
      </c>
      <c r="H525" s="123" t="s">
        <v>1076</v>
      </c>
      <c r="I525" s="42" t="s">
        <v>1075</v>
      </c>
      <c r="J525" s="42" t="s">
        <v>768</v>
      </c>
      <c r="K525" s="42"/>
      <c r="L525" s="42" t="s">
        <v>721</v>
      </c>
      <c r="M525" s="42">
        <v>500</v>
      </c>
      <c r="N525" s="42">
        <v>28750</v>
      </c>
      <c r="O525" s="42" t="s">
        <v>1074</v>
      </c>
      <c r="P525" s="42">
        <v>28750</v>
      </c>
      <c r="Q525" s="42">
        <v>500</v>
      </c>
      <c r="R525" s="42">
        <v>57.5</v>
      </c>
      <c r="S525" s="72" t="s">
        <v>916</v>
      </c>
      <c r="T525" s="42"/>
      <c r="U525" s="41" t="s">
        <v>1073</v>
      </c>
    </row>
    <row r="526" spans="1:255" s="40" customFormat="1" ht="24.95" customHeight="1" x14ac:dyDescent="0.3">
      <c r="A526" s="139"/>
      <c r="B526" s="139"/>
      <c r="C526" s="139"/>
      <c r="D526" s="139"/>
      <c r="E526" s="139"/>
      <c r="F526" s="139"/>
      <c r="G526" s="139"/>
      <c r="H526" s="139"/>
      <c r="I526" s="42" t="s">
        <v>1072</v>
      </c>
      <c r="J526" s="42" t="s">
        <v>768</v>
      </c>
      <c r="K526" s="42"/>
      <c r="L526" s="42" t="s">
        <v>721</v>
      </c>
      <c r="M526" s="42">
        <v>300</v>
      </c>
      <c r="N526" s="42">
        <v>17250</v>
      </c>
      <c r="O526" s="57"/>
      <c r="P526" s="57"/>
      <c r="Q526" s="57"/>
      <c r="R526" s="57"/>
      <c r="S526" s="57"/>
      <c r="T526" s="57"/>
      <c r="U526" s="60" t="s">
        <v>922</v>
      </c>
    </row>
    <row r="527" spans="1:255" s="40" customFormat="1" ht="24.95" customHeight="1" x14ac:dyDescent="0.3">
      <c r="A527" s="124"/>
      <c r="B527" s="124"/>
      <c r="C527" s="124"/>
      <c r="D527" s="124"/>
      <c r="E527" s="124"/>
      <c r="F527" s="124"/>
      <c r="G527" s="124"/>
      <c r="H527" s="124"/>
      <c r="I527" s="42" t="s">
        <v>1071</v>
      </c>
      <c r="J527" s="42" t="s">
        <v>768</v>
      </c>
      <c r="K527" s="42"/>
      <c r="L527" s="42" t="s">
        <v>721</v>
      </c>
      <c r="M527" s="42">
        <v>200</v>
      </c>
      <c r="N527" s="42">
        <v>11500</v>
      </c>
      <c r="O527" s="42" t="s">
        <v>1070</v>
      </c>
      <c r="P527" s="42">
        <v>11500</v>
      </c>
      <c r="Q527" s="42">
        <v>200</v>
      </c>
      <c r="R527" s="42">
        <v>57.5</v>
      </c>
      <c r="S527" s="72" t="s">
        <v>916</v>
      </c>
      <c r="T527" s="42"/>
      <c r="U527" s="41" t="s">
        <v>915</v>
      </c>
    </row>
    <row r="528" spans="1:255" s="40" customFormat="1" ht="24.95" customHeight="1" x14ac:dyDescent="0.3">
      <c r="A528" s="43">
        <v>2025.04</v>
      </c>
      <c r="B528" s="42" t="s">
        <v>734</v>
      </c>
      <c r="C528" s="42" t="s">
        <v>476</v>
      </c>
      <c r="D528" s="42" t="s">
        <v>477</v>
      </c>
      <c r="E528" s="42"/>
      <c r="F528" s="42" t="s">
        <v>1069</v>
      </c>
      <c r="G528" s="42" t="s">
        <v>1068</v>
      </c>
      <c r="H528" s="42" t="s">
        <v>729</v>
      </c>
      <c r="I528" s="42" t="s">
        <v>729</v>
      </c>
      <c r="J528" s="42" t="s">
        <v>737</v>
      </c>
      <c r="K528" s="42"/>
      <c r="L528" s="42" t="s">
        <v>721</v>
      </c>
      <c r="M528" s="42">
        <v>15</v>
      </c>
      <c r="N528" s="42">
        <v>2775</v>
      </c>
      <c r="O528" s="42" t="s">
        <v>1067</v>
      </c>
      <c r="P528" s="42">
        <v>2635.5</v>
      </c>
      <c r="Q528" s="42">
        <v>15</v>
      </c>
      <c r="R528" s="42">
        <v>175.5</v>
      </c>
      <c r="S528" s="72" t="s">
        <v>1066</v>
      </c>
      <c r="T528" s="42"/>
      <c r="U528" s="41" t="s">
        <v>1065</v>
      </c>
    </row>
    <row r="529" spans="1:21" s="40" customFormat="1" ht="24.95" customHeight="1" x14ac:dyDescent="0.3">
      <c r="A529" s="43">
        <v>2025.04</v>
      </c>
      <c r="B529" s="42" t="s">
        <v>734</v>
      </c>
      <c r="C529" s="42" t="s">
        <v>139</v>
      </c>
      <c r="D529" s="42" t="s">
        <v>1064</v>
      </c>
      <c r="E529" s="42"/>
      <c r="F529" s="42" t="s">
        <v>1063</v>
      </c>
      <c r="G529" s="42" t="s">
        <v>1062</v>
      </c>
      <c r="H529" s="42" t="s">
        <v>1061</v>
      </c>
      <c r="I529" s="42" t="s">
        <v>1060</v>
      </c>
      <c r="J529" s="42" t="s">
        <v>754</v>
      </c>
      <c r="K529" s="42" t="s">
        <v>753</v>
      </c>
      <c r="L529" s="42" t="s">
        <v>721</v>
      </c>
      <c r="M529" s="42" t="s">
        <v>721</v>
      </c>
      <c r="N529" s="42" t="s">
        <v>721</v>
      </c>
      <c r="O529" s="42" t="s">
        <v>1059</v>
      </c>
      <c r="P529" s="42" t="s">
        <v>721</v>
      </c>
      <c r="Q529" s="42" t="s">
        <v>721</v>
      </c>
      <c r="R529" s="42" t="s">
        <v>721</v>
      </c>
      <c r="S529" s="42" t="s">
        <v>866</v>
      </c>
      <c r="T529" s="42">
        <v>200</v>
      </c>
      <c r="U529" s="41"/>
    </row>
    <row r="530" spans="1:21" s="40" customFormat="1" ht="24.95" customHeight="1" x14ac:dyDescent="0.3">
      <c r="A530" s="43">
        <v>2025.04</v>
      </c>
      <c r="B530" s="42" t="s">
        <v>734</v>
      </c>
      <c r="C530" s="42" t="s">
        <v>44</v>
      </c>
      <c r="D530" s="42" t="s">
        <v>1058</v>
      </c>
      <c r="E530" s="42"/>
      <c r="F530" s="42" t="s">
        <v>1057</v>
      </c>
      <c r="G530" s="42"/>
      <c r="H530" s="42" t="s">
        <v>1056</v>
      </c>
      <c r="I530" s="42" t="s">
        <v>1056</v>
      </c>
      <c r="J530" s="42" t="s">
        <v>1055</v>
      </c>
      <c r="K530" s="42" t="s">
        <v>753</v>
      </c>
      <c r="L530" s="42" t="s">
        <v>1054</v>
      </c>
      <c r="M530" s="42">
        <v>10</v>
      </c>
      <c r="N530" s="42">
        <v>1500</v>
      </c>
      <c r="O530" s="42" t="s">
        <v>799</v>
      </c>
      <c r="P530" s="42" t="s">
        <v>721</v>
      </c>
      <c r="Q530" s="42" t="s">
        <v>1053</v>
      </c>
      <c r="R530" s="42" t="s">
        <v>721</v>
      </c>
      <c r="S530" s="42" t="s">
        <v>1052</v>
      </c>
      <c r="T530" s="42"/>
      <c r="U530" s="41"/>
    </row>
    <row r="531" spans="1:21" s="40" customFormat="1" ht="24.95" customHeight="1" x14ac:dyDescent="0.3">
      <c r="A531" s="43">
        <v>2025.04</v>
      </c>
      <c r="B531" s="42" t="s">
        <v>734</v>
      </c>
      <c r="C531" s="42" t="s">
        <v>122</v>
      </c>
      <c r="D531" s="42" t="s">
        <v>1051</v>
      </c>
      <c r="E531" s="42"/>
      <c r="F531" s="42" t="s">
        <v>1050</v>
      </c>
      <c r="G531" s="42" t="s">
        <v>1049</v>
      </c>
      <c r="H531" s="42" t="s">
        <v>1048</v>
      </c>
      <c r="I531" s="42" t="s">
        <v>1047</v>
      </c>
      <c r="J531" s="42" t="s">
        <v>722</v>
      </c>
      <c r="K531" s="42"/>
      <c r="L531" s="42" t="s">
        <v>721</v>
      </c>
      <c r="M531" s="42">
        <v>300</v>
      </c>
      <c r="N531" s="42">
        <v>34200</v>
      </c>
      <c r="O531" s="42" t="s">
        <v>963</v>
      </c>
      <c r="P531" s="42">
        <v>3.4049999999999998</v>
      </c>
      <c r="Q531" s="42">
        <v>300</v>
      </c>
      <c r="R531" s="42">
        <v>113.5</v>
      </c>
      <c r="S531" s="42"/>
      <c r="T531" s="42"/>
      <c r="U531" s="41" t="s">
        <v>1046</v>
      </c>
    </row>
    <row r="532" spans="1:21" s="40" customFormat="1" ht="24.95" customHeight="1" x14ac:dyDescent="0.3">
      <c r="A532" s="43">
        <v>2025.04</v>
      </c>
      <c r="B532" s="42" t="s">
        <v>734</v>
      </c>
      <c r="C532" s="42" t="s">
        <v>156</v>
      </c>
      <c r="D532" s="42" t="s">
        <v>172</v>
      </c>
      <c r="E532" s="42" t="s">
        <v>1045</v>
      </c>
      <c r="F532" s="42" t="s">
        <v>1044</v>
      </c>
      <c r="G532" s="42" t="s">
        <v>1043</v>
      </c>
      <c r="H532" s="42" t="s">
        <v>1042</v>
      </c>
      <c r="I532" s="42" t="s">
        <v>1041</v>
      </c>
      <c r="J532" s="42" t="s">
        <v>759</v>
      </c>
      <c r="K532" s="42"/>
      <c r="L532" s="42" t="s">
        <v>721</v>
      </c>
      <c r="M532" s="42">
        <v>6</v>
      </c>
      <c r="N532" s="42">
        <v>1200</v>
      </c>
      <c r="O532" s="42" t="s">
        <v>925</v>
      </c>
      <c r="P532" s="42">
        <v>960</v>
      </c>
      <c r="Q532" s="42">
        <v>6</v>
      </c>
      <c r="R532" s="42">
        <v>160</v>
      </c>
      <c r="S532" s="42"/>
      <c r="T532" s="42"/>
      <c r="U532" s="41"/>
    </row>
    <row r="533" spans="1:21" s="40" customFormat="1" ht="24.95" customHeight="1" x14ac:dyDescent="0.3">
      <c r="A533" s="43">
        <v>2025.04</v>
      </c>
      <c r="B533" s="42" t="s">
        <v>734</v>
      </c>
      <c r="C533" s="42" t="s">
        <v>122</v>
      </c>
      <c r="D533" s="42" t="s">
        <v>123</v>
      </c>
      <c r="E533" s="42"/>
      <c r="F533" s="42" t="s">
        <v>1040</v>
      </c>
      <c r="G533" s="42" t="s">
        <v>1039</v>
      </c>
      <c r="H533" s="42" t="s">
        <v>1038</v>
      </c>
      <c r="I533" s="42" t="s">
        <v>755</v>
      </c>
      <c r="J533" s="42" t="s">
        <v>737</v>
      </c>
      <c r="K533" s="42"/>
      <c r="L533" s="42" t="s">
        <v>721</v>
      </c>
      <c r="M533" s="42" t="s">
        <v>721</v>
      </c>
      <c r="N533" s="42">
        <v>160</v>
      </c>
      <c r="O533" s="42" t="s">
        <v>1013</v>
      </c>
      <c r="P533" s="42">
        <v>157.99343999999999</v>
      </c>
      <c r="Q533" s="42" t="s">
        <v>721</v>
      </c>
      <c r="R533" s="42" t="s">
        <v>721</v>
      </c>
      <c r="S533" s="42"/>
      <c r="T533" s="42"/>
      <c r="U533" s="41"/>
    </row>
    <row r="534" spans="1:21" s="40" customFormat="1" ht="24.95" customHeight="1" x14ac:dyDescent="0.3">
      <c r="A534" s="123">
        <v>2025.04</v>
      </c>
      <c r="B534" s="123" t="s">
        <v>734</v>
      </c>
      <c r="C534" s="123" t="s">
        <v>403</v>
      </c>
      <c r="D534" s="123" t="s">
        <v>1037</v>
      </c>
      <c r="E534" s="123"/>
      <c r="F534" s="123" t="s">
        <v>1036</v>
      </c>
      <c r="G534" s="123" t="s">
        <v>1035</v>
      </c>
      <c r="H534" s="42" t="s">
        <v>760</v>
      </c>
      <c r="I534" s="42" t="s">
        <v>1034</v>
      </c>
      <c r="J534" s="42" t="s">
        <v>759</v>
      </c>
      <c r="K534" s="42"/>
      <c r="L534" s="42" t="s">
        <v>721</v>
      </c>
      <c r="M534" s="42">
        <v>6</v>
      </c>
      <c r="N534" s="127">
        <v>1434</v>
      </c>
      <c r="O534" s="127" t="s">
        <v>1033</v>
      </c>
      <c r="P534" s="42">
        <v>712.8</v>
      </c>
      <c r="Q534" s="42">
        <v>6</v>
      </c>
      <c r="R534" s="42">
        <v>118.8</v>
      </c>
      <c r="S534" s="42"/>
      <c r="T534" s="42"/>
      <c r="U534" s="41" t="s">
        <v>1032</v>
      </c>
    </row>
    <row r="535" spans="1:21" s="40" customFormat="1" ht="24.95" customHeight="1" x14ac:dyDescent="0.3">
      <c r="A535" s="124"/>
      <c r="B535" s="124"/>
      <c r="C535" s="124"/>
      <c r="D535" s="124"/>
      <c r="E535" s="124"/>
      <c r="F535" s="124"/>
      <c r="G535" s="124"/>
      <c r="H535" s="42" t="s">
        <v>1031</v>
      </c>
      <c r="I535" s="42" t="s">
        <v>1030</v>
      </c>
      <c r="J535" s="42" t="s">
        <v>759</v>
      </c>
      <c r="K535" s="42"/>
      <c r="L535" s="42" t="s">
        <v>721</v>
      </c>
      <c r="M535" s="42">
        <v>6</v>
      </c>
      <c r="N535" s="128"/>
      <c r="O535" s="128"/>
      <c r="P535" s="42">
        <v>718.8</v>
      </c>
      <c r="Q535" s="42">
        <v>6</v>
      </c>
      <c r="R535" s="42">
        <v>119.8</v>
      </c>
      <c r="S535" s="42"/>
      <c r="T535" s="42"/>
      <c r="U535" s="41" t="s">
        <v>1029</v>
      </c>
    </row>
    <row r="536" spans="1:21" s="40" customFormat="1" ht="24.95" customHeight="1" x14ac:dyDescent="0.3">
      <c r="A536" s="71">
        <v>2025.05</v>
      </c>
      <c r="B536" s="70" t="s">
        <v>734</v>
      </c>
      <c r="C536" s="70" t="s">
        <v>13</v>
      </c>
      <c r="D536" s="70"/>
      <c r="E536" s="70"/>
      <c r="F536" s="70" t="s">
        <v>1028</v>
      </c>
      <c r="G536" s="70" t="s">
        <v>1027</v>
      </c>
      <c r="H536" s="70" t="s">
        <v>1026</v>
      </c>
      <c r="I536" s="70" t="s">
        <v>1026</v>
      </c>
      <c r="J536" s="70" t="s">
        <v>517</v>
      </c>
      <c r="K536" s="70" t="s">
        <v>753</v>
      </c>
      <c r="L536" s="70" t="s">
        <v>721</v>
      </c>
      <c r="M536" s="70">
        <v>1</v>
      </c>
      <c r="N536" s="70" t="s">
        <v>721</v>
      </c>
      <c r="O536" s="70" t="s">
        <v>1025</v>
      </c>
      <c r="P536" s="70" t="s">
        <v>721</v>
      </c>
      <c r="Q536" s="70">
        <v>1</v>
      </c>
      <c r="R536" s="70" t="s">
        <v>721</v>
      </c>
      <c r="S536" s="70"/>
      <c r="T536" s="70"/>
      <c r="U536" s="69"/>
    </row>
    <row r="537" spans="1:21" s="40" customFormat="1" ht="24.95" customHeight="1" x14ac:dyDescent="0.3">
      <c r="A537" s="144">
        <v>2025.05</v>
      </c>
      <c r="B537" s="144" t="s">
        <v>877</v>
      </c>
      <c r="C537" s="144" t="s">
        <v>44</v>
      </c>
      <c r="D537" s="144" t="s">
        <v>1024</v>
      </c>
      <c r="E537" s="144"/>
      <c r="F537" s="144" t="s">
        <v>1023</v>
      </c>
      <c r="G537" s="144" t="s">
        <v>1022</v>
      </c>
      <c r="H537" s="144" t="s">
        <v>1021</v>
      </c>
      <c r="I537" s="57" t="s">
        <v>1020</v>
      </c>
      <c r="J537" s="57" t="s">
        <v>722</v>
      </c>
      <c r="K537" s="57"/>
      <c r="L537" s="57" t="s">
        <v>721</v>
      </c>
      <c r="M537" s="57">
        <v>12</v>
      </c>
      <c r="N537" s="57"/>
      <c r="O537" s="57"/>
      <c r="P537" s="57"/>
      <c r="Q537" s="57"/>
      <c r="R537" s="57"/>
      <c r="S537" s="57"/>
      <c r="T537" s="57"/>
      <c r="U537" s="140" t="s">
        <v>922</v>
      </c>
    </row>
    <row r="538" spans="1:21" s="40" customFormat="1" ht="24.95" customHeight="1" x14ac:dyDescent="0.3">
      <c r="A538" s="155"/>
      <c r="B538" s="155"/>
      <c r="C538" s="155"/>
      <c r="D538" s="155"/>
      <c r="E538" s="155"/>
      <c r="F538" s="155"/>
      <c r="G538" s="155"/>
      <c r="H538" s="155"/>
      <c r="I538" s="57" t="s">
        <v>1019</v>
      </c>
      <c r="J538" s="57" t="s">
        <v>759</v>
      </c>
      <c r="K538" s="57"/>
      <c r="L538" s="57" t="s">
        <v>721</v>
      </c>
      <c r="M538" s="57">
        <v>2</v>
      </c>
      <c r="N538" s="57"/>
      <c r="O538" s="57"/>
      <c r="P538" s="57"/>
      <c r="Q538" s="57"/>
      <c r="R538" s="57"/>
      <c r="S538" s="57"/>
      <c r="T538" s="57"/>
      <c r="U538" s="157"/>
    </row>
    <row r="539" spans="1:21" s="40" customFormat="1" ht="24.95" customHeight="1" x14ac:dyDescent="0.3">
      <c r="A539" s="145"/>
      <c r="B539" s="145"/>
      <c r="C539" s="145"/>
      <c r="D539" s="145"/>
      <c r="E539" s="145"/>
      <c r="F539" s="145"/>
      <c r="G539" s="145"/>
      <c r="H539" s="145"/>
      <c r="I539" s="57" t="s">
        <v>1018</v>
      </c>
      <c r="J539" s="57" t="s">
        <v>759</v>
      </c>
      <c r="K539" s="57"/>
      <c r="L539" s="57" t="s">
        <v>721</v>
      </c>
      <c r="M539" s="57">
        <v>1</v>
      </c>
      <c r="N539" s="57"/>
      <c r="O539" s="57"/>
      <c r="P539" s="57"/>
      <c r="Q539" s="57"/>
      <c r="R539" s="57"/>
      <c r="S539" s="57"/>
      <c r="T539" s="57"/>
      <c r="U539" s="141"/>
    </row>
    <row r="540" spans="1:21" s="40" customFormat="1" ht="24.95" customHeight="1" x14ac:dyDescent="0.3">
      <c r="A540" s="43">
        <v>2025.05</v>
      </c>
      <c r="B540" s="42" t="s">
        <v>734</v>
      </c>
      <c r="C540" s="42" t="s">
        <v>211</v>
      </c>
      <c r="D540" s="42" t="s">
        <v>1017</v>
      </c>
      <c r="E540" s="42"/>
      <c r="F540" s="42" t="s">
        <v>1016</v>
      </c>
      <c r="G540" s="42" t="s">
        <v>1015</v>
      </c>
      <c r="H540" s="42" t="s">
        <v>1014</v>
      </c>
      <c r="I540" s="42" t="s">
        <v>738</v>
      </c>
      <c r="J540" s="42" t="s">
        <v>737</v>
      </c>
      <c r="K540" s="42"/>
      <c r="L540" s="42" t="s">
        <v>721</v>
      </c>
      <c r="M540" s="42">
        <v>10</v>
      </c>
      <c r="N540" s="42">
        <v>1600</v>
      </c>
      <c r="O540" s="42" t="s">
        <v>1013</v>
      </c>
      <c r="P540" s="42">
        <v>1592.8</v>
      </c>
      <c r="Q540" s="42">
        <v>10</v>
      </c>
      <c r="R540" s="42">
        <v>159.28</v>
      </c>
      <c r="S540" s="42" t="s">
        <v>1012</v>
      </c>
      <c r="T540" s="42"/>
      <c r="U540" s="41" t="s">
        <v>1011</v>
      </c>
    </row>
    <row r="541" spans="1:21" s="40" customFormat="1" ht="24.95" customHeight="1" x14ac:dyDescent="0.3">
      <c r="A541" s="43">
        <v>2025.05</v>
      </c>
      <c r="B541" s="42" t="s">
        <v>734</v>
      </c>
      <c r="C541" s="42" t="s">
        <v>25</v>
      </c>
      <c r="D541" s="42" t="s">
        <v>1010</v>
      </c>
      <c r="E541" s="42"/>
      <c r="F541" s="42" t="s">
        <v>1009</v>
      </c>
      <c r="G541" s="42" t="s">
        <v>1008</v>
      </c>
      <c r="H541" s="42" t="s">
        <v>1007</v>
      </c>
      <c r="I541" s="42" t="s">
        <v>1006</v>
      </c>
      <c r="J541" s="42" t="s">
        <v>754</v>
      </c>
      <c r="K541" s="42"/>
      <c r="L541" s="42" t="s">
        <v>721</v>
      </c>
      <c r="M541" s="42" t="s">
        <v>1005</v>
      </c>
      <c r="N541" s="42" t="s">
        <v>1004</v>
      </c>
      <c r="O541" s="42" t="s">
        <v>1003</v>
      </c>
      <c r="P541" s="42" t="s">
        <v>1002</v>
      </c>
      <c r="Q541" s="42" t="s">
        <v>721</v>
      </c>
      <c r="R541" s="42" t="s">
        <v>721</v>
      </c>
      <c r="S541" s="42"/>
      <c r="T541" s="42"/>
      <c r="U541" s="41"/>
    </row>
    <row r="542" spans="1:21" s="40" customFormat="1" ht="24.95" customHeight="1" x14ac:dyDescent="0.3">
      <c r="A542" s="149">
        <v>2025.05</v>
      </c>
      <c r="B542" s="149" t="s">
        <v>734</v>
      </c>
      <c r="C542" s="149" t="s">
        <v>351</v>
      </c>
      <c r="D542" s="149" t="s">
        <v>992</v>
      </c>
      <c r="E542" s="149" t="s">
        <v>991</v>
      </c>
      <c r="F542" s="149" t="s">
        <v>996</v>
      </c>
      <c r="G542" s="149" t="s">
        <v>1001</v>
      </c>
      <c r="H542" s="149" t="s">
        <v>1000</v>
      </c>
      <c r="I542" s="49" t="s">
        <v>983</v>
      </c>
      <c r="J542" s="49" t="s">
        <v>517</v>
      </c>
      <c r="K542" s="149" t="s">
        <v>753</v>
      </c>
      <c r="L542" s="49" t="s">
        <v>721</v>
      </c>
      <c r="M542" s="49" t="s">
        <v>721</v>
      </c>
      <c r="N542" s="152">
        <v>3280</v>
      </c>
      <c r="O542" s="152" t="s">
        <v>988</v>
      </c>
      <c r="P542" s="152">
        <v>3277</v>
      </c>
      <c r="Q542" s="49">
        <v>120</v>
      </c>
      <c r="R542" s="49" t="s">
        <v>721</v>
      </c>
      <c r="S542" s="49" t="s">
        <v>987</v>
      </c>
      <c r="T542" s="49"/>
      <c r="U542" s="48"/>
    </row>
    <row r="543" spans="1:21" s="40" customFormat="1" ht="24.95" customHeight="1" x14ac:dyDescent="0.3">
      <c r="A543" s="151"/>
      <c r="B543" s="151"/>
      <c r="C543" s="151"/>
      <c r="D543" s="151"/>
      <c r="E543" s="151"/>
      <c r="F543" s="151"/>
      <c r="G543" s="151"/>
      <c r="H543" s="151"/>
      <c r="I543" s="49" t="s">
        <v>999</v>
      </c>
      <c r="J543" s="49" t="s">
        <v>517</v>
      </c>
      <c r="K543" s="151"/>
      <c r="L543" s="49" t="s">
        <v>721</v>
      </c>
      <c r="M543" s="49" t="s">
        <v>721</v>
      </c>
      <c r="N543" s="154"/>
      <c r="O543" s="154"/>
      <c r="P543" s="154"/>
      <c r="Q543" s="49">
        <v>10</v>
      </c>
      <c r="R543" s="49" t="s">
        <v>721</v>
      </c>
      <c r="S543" s="49" t="s">
        <v>987</v>
      </c>
      <c r="T543" s="49"/>
      <c r="U543" s="48"/>
    </row>
    <row r="544" spans="1:21" s="40" customFormat="1" ht="24.95" customHeight="1" x14ac:dyDescent="0.3">
      <c r="A544" s="151"/>
      <c r="B544" s="151"/>
      <c r="C544" s="151"/>
      <c r="D544" s="151"/>
      <c r="E544" s="151"/>
      <c r="F544" s="151"/>
      <c r="G544" s="151"/>
      <c r="H544" s="151"/>
      <c r="I544" s="49" t="s">
        <v>998</v>
      </c>
      <c r="J544" s="49" t="s">
        <v>517</v>
      </c>
      <c r="K544" s="151"/>
      <c r="L544" s="49" t="s">
        <v>721</v>
      </c>
      <c r="M544" s="49" t="s">
        <v>721</v>
      </c>
      <c r="N544" s="154"/>
      <c r="O544" s="154"/>
      <c r="P544" s="154"/>
      <c r="Q544" s="49">
        <v>10</v>
      </c>
      <c r="R544" s="49" t="s">
        <v>721</v>
      </c>
      <c r="S544" s="49" t="s">
        <v>987</v>
      </c>
      <c r="T544" s="49"/>
      <c r="U544" s="48"/>
    </row>
    <row r="545" spans="1:255" s="40" customFormat="1" ht="24.95" customHeight="1" x14ac:dyDescent="0.3">
      <c r="A545" s="150"/>
      <c r="B545" s="150"/>
      <c r="C545" s="150"/>
      <c r="D545" s="150"/>
      <c r="E545" s="150"/>
      <c r="F545" s="150"/>
      <c r="G545" s="150"/>
      <c r="H545" s="150"/>
      <c r="I545" s="49" t="s">
        <v>997</v>
      </c>
      <c r="J545" s="49" t="s">
        <v>517</v>
      </c>
      <c r="K545" s="150"/>
      <c r="L545" s="49" t="s">
        <v>721</v>
      </c>
      <c r="M545" s="49" t="s">
        <v>721</v>
      </c>
      <c r="N545" s="153"/>
      <c r="O545" s="153"/>
      <c r="P545" s="153"/>
      <c r="Q545" s="49">
        <v>200</v>
      </c>
      <c r="R545" s="49" t="s">
        <v>721</v>
      </c>
      <c r="S545" s="49" t="s">
        <v>987</v>
      </c>
      <c r="T545" s="49"/>
      <c r="U545" s="48"/>
    </row>
    <row r="546" spans="1:255" s="40" customFormat="1" ht="24.95" customHeight="1" x14ac:dyDescent="0.3">
      <c r="A546" s="49">
        <v>2025.06</v>
      </c>
      <c r="B546" s="49" t="s">
        <v>734</v>
      </c>
      <c r="C546" s="49" t="s">
        <v>351</v>
      </c>
      <c r="D546" s="49" t="s">
        <v>992</v>
      </c>
      <c r="E546" s="49" t="s">
        <v>991</v>
      </c>
      <c r="F546" s="49" t="s">
        <v>996</v>
      </c>
      <c r="G546" s="49" t="s">
        <v>995</v>
      </c>
      <c r="H546" s="49" t="s">
        <v>994</v>
      </c>
      <c r="I546" s="49" t="s">
        <v>993</v>
      </c>
      <c r="J546" s="49" t="s">
        <v>754</v>
      </c>
      <c r="K546" s="49" t="s">
        <v>753</v>
      </c>
      <c r="L546" s="49" t="s">
        <v>721</v>
      </c>
      <c r="M546" s="49">
        <v>15</v>
      </c>
      <c r="N546" s="49">
        <v>870</v>
      </c>
      <c r="O546" s="49" t="s">
        <v>988</v>
      </c>
      <c r="P546" s="49">
        <v>869.25</v>
      </c>
      <c r="Q546" s="49">
        <v>15</v>
      </c>
      <c r="R546" s="49">
        <v>57.95</v>
      </c>
      <c r="S546" s="49" t="s">
        <v>987</v>
      </c>
      <c r="T546" s="49"/>
      <c r="U546" s="48"/>
    </row>
    <row r="547" spans="1:255" s="40" customFormat="1" ht="24.95" customHeight="1" x14ac:dyDescent="0.3">
      <c r="A547" s="43">
        <v>2025.06</v>
      </c>
      <c r="B547" s="42" t="s">
        <v>734</v>
      </c>
      <c r="C547" s="42" t="s">
        <v>351</v>
      </c>
      <c r="D547" s="42" t="s">
        <v>992</v>
      </c>
      <c r="E547" s="42" t="s">
        <v>991</v>
      </c>
      <c r="F547" s="42" t="s">
        <v>990</v>
      </c>
      <c r="G547" s="42" t="s">
        <v>989</v>
      </c>
      <c r="H547" s="42" t="s">
        <v>907</v>
      </c>
      <c r="I547" s="42" t="s">
        <v>907</v>
      </c>
      <c r="J547" s="42" t="s">
        <v>737</v>
      </c>
      <c r="K547" s="42"/>
      <c r="L547" s="42" t="s">
        <v>721</v>
      </c>
      <c r="M547" s="42">
        <v>6</v>
      </c>
      <c r="N547" s="42">
        <v>1220</v>
      </c>
      <c r="O547" s="42" t="s">
        <v>988</v>
      </c>
      <c r="P547" s="42">
        <v>1218.4000000000001</v>
      </c>
      <c r="Q547" s="42">
        <v>6</v>
      </c>
      <c r="R547" s="42">
        <v>203.07</v>
      </c>
      <c r="S547" s="42" t="s">
        <v>987</v>
      </c>
      <c r="T547" s="42"/>
      <c r="U547" s="41"/>
    </row>
    <row r="548" spans="1:255" s="40" customFormat="1" ht="24.95" customHeight="1" x14ac:dyDescent="0.3">
      <c r="A548" s="49">
        <v>2025.06</v>
      </c>
      <c r="B548" s="49" t="s">
        <v>734</v>
      </c>
      <c r="C548" s="49" t="s">
        <v>156</v>
      </c>
      <c r="D548" s="49" t="s">
        <v>172</v>
      </c>
      <c r="E548" s="49"/>
      <c r="F548" s="49" t="s">
        <v>986</v>
      </c>
      <c r="G548" s="49" t="s">
        <v>985</v>
      </c>
      <c r="H548" s="49" t="s">
        <v>984</v>
      </c>
      <c r="I548" s="49" t="s">
        <v>983</v>
      </c>
      <c r="J548" s="49" t="s">
        <v>517</v>
      </c>
      <c r="K548" s="49" t="s">
        <v>753</v>
      </c>
      <c r="L548" s="49" t="s">
        <v>721</v>
      </c>
      <c r="M548" s="49">
        <v>5</v>
      </c>
      <c r="N548" s="49" t="s">
        <v>721</v>
      </c>
      <c r="O548" s="49" t="s">
        <v>982</v>
      </c>
      <c r="P548" s="49">
        <v>124.75</v>
      </c>
      <c r="Q548" s="49">
        <v>5</v>
      </c>
      <c r="R548" s="49">
        <v>24.95</v>
      </c>
      <c r="S548" s="49"/>
      <c r="T548" s="49"/>
      <c r="U548" s="48"/>
    </row>
    <row r="549" spans="1:255" s="68" customFormat="1" ht="24.95" customHeight="1" x14ac:dyDescent="0.3">
      <c r="A549" s="149">
        <v>2025.07</v>
      </c>
      <c r="B549" s="149" t="s">
        <v>734</v>
      </c>
      <c r="C549" s="149" t="s">
        <v>13</v>
      </c>
      <c r="D549" s="149"/>
      <c r="E549" s="149"/>
      <c r="F549" s="149" t="s">
        <v>981</v>
      </c>
      <c r="G549" s="149" t="s">
        <v>980</v>
      </c>
      <c r="H549" s="149" t="s">
        <v>979</v>
      </c>
      <c r="I549" s="149" t="s">
        <v>978</v>
      </c>
      <c r="J549" s="49" t="s">
        <v>768</v>
      </c>
      <c r="K549" s="149" t="s">
        <v>753</v>
      </c>
      <c r="L549" s="49" t="s">
        <v>721</v>
      </c>
      <c r="M549" s="49">
        <v>9</v>
      </c>
      <c r="N549" s="158">
        <v>4428</v>
      </c>
      <c r="O549" s="152" t="s">
        <v>977</v>
      </c>
      <c r="P549" s="152">
        <v>4417.0929999999998</v>
      </c>
      <c r="Q549" s="49">
        <v>9</v>
      </c>
      <c r="R549" s="49" t="s">
        <v>721</v>
      </c>
      <c r="S549" s="49"/>
      <c r="T549" s="49"/>
      <c r="U549" s="48"/>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c r="BF549" s="40"/>
      <c r="BG549" s="40"/>
      <c r="BH549" s="40"/>
      <c r="BI549" s="40"/>
      <c r="BJ549" s="40"/>
      <c r="BK549" s="40"/>
      <c r="BL549" s="40"/>
      <c r="BM549" s="40"/>
      <c r="BN549" s="40"/>
      <c r="BO549" s="40"/>
      <c r="BP549" s="40"/>
      <c r="BQ549" s="40"/>
      <c r="BR549" s="40"/>
      <c r="BS549" s="40"/>
      <c r="BT549" s="40"/>
      <c r="BU549" s="40"/>
      <c r="BV549" s="40"/>
      <c r="BW549" s="40"/>
      <c r="BX549" s="40"/>
      <c r="BY549" s="40"/>
      <c r="BZ549" s="40"/>
      <c r="CA549" s="40"/>
      <c r="CB549" s="40"/>
      <c r="CC549" s="40"/>
      <c r="CD549" s="40"/>
      <c r="CE549" s="40"/>
      <c r="CF549" s="40"/>
      <c r="CG549" s="40"/>
      <c r="CH549" s="40"/>
      <c r="CI549" s="40"/>
      <c r="CJ549" s="40"/>
      <c r="CK549" s="40"/>
      <c r="CL549" s="40"/>
      <c r="CM549" s="40"/>
      <c r="CN549" s="40"/>
      <c r="CO549" s="40"/>
      <c r="CP549" s="40"/>
      <c r="CQ549" s="40"/>
      <c r="CR549" s="40"/>
      <c r="CS549" s="40"/>
      <c r="CT549" s="40"/>
      <c r="CU549" s="40"/>
      <c r="CV549" s="40"/>
      <c r="CW549" s="40"/>
      <c r="CX549" s="40"/>
      <c r="CY549" s="40"/>
      <c r="CZ549" s="40"/>
      <c r="DA549" s="40"/>
      <c r="DB549" s="40"/>
      <c r="DC549" s="40"/>
      <c r="DD549" s="40"/>
      <c r="DE549" s="40"/>
      <c r="DF549" s="40"/>
      <c r="DG549" s="40"/>
      <c r="DH549" s="40"/>
      <c r="DI549" s="40"/>
      <c r="DJ549" s="40"/>
      <c r="DK549" s="40"/>
      <c r="DL549" s="40"/>
      <c r="DM549" s="40"/>
      <c r="DN549" s="40"/>
      <c r="DO549" s="40"/>
      <c r="DP549" s="40"/>
      <c r="DQ549" s="40"/>
      <c r="DR549" s="40"/>
      <c r="DS549" s="40"/>
      <c r="DT549" s="40"/>
      <c r="DU549" s="40"/>
      <c r="DV549" s="40"/>
      <c r="DW549" s="40"/>
      <c r="DX549" s="40"/>
      <c r="DY549" s="40"/>
      <c r="DZ549" s="40"/>
      <c r="EA549" s="40"/>
      <c r="EB549" s="40"/>
      <c r="EC549" s="40"/>
      <c r="ED549" s="40"/>
      <c r="EE549" s="40"/>
      <c r="EF549" s="40"/>
      <c r="EG549" s="40"/>
      <c r="EH549" s="40"/>
      <c r="EI549" s="40"/>
      <c r="EJ549" s="40"/>
      <c r="EK549" s="40"/>
      <c r="EL549" s="40"/>
      <c r="EM549" s="40"/>
      <c r="EN549" s="40"/>
      <c r="EO549" s="40"/>
      <c r="EP549" s="40"/>
      <c r="EQ549" s="40"/>
      <c r="ER549" s="40"/>
      <c r="ES549" s="40"/>
      <c r="ET549" s="40"/>
      <c r="EU549" s="40"/>
      <c r="EV549" s="40"/>
      <c r="EW549" s="40"/>
      <c r="EX549" s="40"/>
      <c r="EY549" s="40"/>
      <c r="EZ549" s="40"/>
      <c r="FA549" s="40"/>
      <c r="FB549" s="40"/>
      <c r="FC549" s="40"/>
      <c r="FD549" s="40"/>
      <c r="FE549" s="40"/>
      <c r="FF549" s="40"/>
      <c r="FG549" s="40"/>
      <c r="FH549" s="40"/>
      <c r="FI549" s="40"/>
      <c r="FJ549" s="40"/>
      <c r="FK549" s="40"/>
      <c r="FL549" s="40"/>
      <c r="FM549" s="40"/>
      <c r="FN549" s="40"/>
      <c r="FO549" s="40"/>
      <c r="FP549" s="40"/>
      <c r="FQ549" s="40"/>
      <c r="FR549" s="40"/>
      <c r="FS549" s="40"/>
      <c r="FT549" s="40"/>
      <c r="FU549" s="40"/>
      <c r="FV549" s="40"/>
      <c r="FW549" s="40"/>
      <c r="FX549" s="40"/>
      <c r="FY549" s="40"/>
      <c r="FZ549" s="40"/>
      <c r="GA549" s="40"/>
      <c r="GB549" s="40"/>
      <c r="GC549" s="40"/>
      <c r="GD549" s="40"/>
      <c r="GE549" s="40"/>
      <c r="GF549" s="40"/>
      <c r="GG549" s="40"/>
      <c r="GH549" s="40"/>
      <c r="GI549" s="40"/>
      <c r="GJ549" s="40"/>
      <c r="GK549" s="40"/>
      <c r="GL549" s="40"/>
      <c r="GM549" s="40"/>
      <c r="GN549" s="40"/>
      <c r="GO549" s="40"/>
      <c r="GP549" s="40"/>
      <c r="GQ549" s="40"/>
      <c r="GR549" s="40"/>
      <c r="GS549" s="40"/>
      <c r="GT549" s="40"/>
      <c r="GU549" s="40"/>
      <c r="GV549" s="40"/>
      <c r="GW549" s="40"/>
      <c r="GX549" s="40"/>
      <c r="GY549" s="40"/>
      <c r="GZ549" s="40"/>
      <c r="HA549" s="40"/>
      <c r="HB549" s="40"/>
      <c r="HC549" s="40"/>
      <c r="HD549" s="40"/>
      <c r="HE549" s="40"/>
      <c r="HF549" s="40"/>
      <c r="HG549" s="40"/>
      <c r="HH549" s="40"/>
      <c r="HI549" s="40"/>
      <c r="HJ549" s="40"/>
      <c r="HK549" s="40"/>
      <c r="HL549" s="40"/>
      <c r="HM549" s="40"/>
      <c r="HN549" s="40"/>
      <c r="HO549" s="40"/>
      <c r="HP549" s="40"/>
      <c r="HQ549" s="40"/>
      <c r="HR549" s="40"/>
      <c r="HS549" s="40"/>
      <c r="HT549" s="40"/>
      <c r="HU549" s="40"/>
      <c r="HV549" s="40"/>
      <c r="HW549" s="40"/>
      <c r="HX549" s="40"/>
      <c r="HY549" s="40"/>
      <c r="HZ549" s="40"/>
      <c r="IA549" s="40"/>
      <c r="IB549" s="40"/>
      <c r="IC549" s="40"/>
      <c r="ID549" s="40"/>
      <c r="IE549" s="40"/>
      <c r="IF549" s="40"/>
      <c r="IG549" s="40"/>
      <c r="IH549" s="40"/>
      <c r="II549" s="40"/>
      <c r="IJ549" s="40"/>
      <c r="IK549" s="40"/>
      <c r="IL549" s="40"/>
      <c r="IM549" s="40"/>
      <c r="IN549" s="40"/>
      <c r="IO549" s="40"/>
      <c r="IP549" s="40"/>
      <c r="IQ549" s="40"/>
      <c r="IR549" s="40"/>
      <c r="IS549" s="40"/>
      <c r="IT549" s="40"/>
      <c r="IU549" s="40"/>
    </row>
    <row r="550" spans="1:255" s="68" customFormat="1" ht="24.95" customHeight="1" x14ac:dyDescent="0.3">
      <c r="A550" s="150"/>
      <c r="B550" s="150"/>
      <c r="C550" s="150"/>
      <c r="D550" s="150"/>
      <c r="E550" s="150"/>
      <c r="F550" s="150"/>
      <c r="G550" s="150"/>
      <c r="H550" s="150"/>
      <c r="I550" s="150"/>
      <c r="J550" s="49" t="s">
        <v>768</v>
      </c>
      <c r="K550" s="150"/>
      <c r="L550" s="49" t="s">
        <v>721</v>
      </c>
      <c r="M550" s="49">
        <v>17</v>
      </c>
      <c r="N550" s="159"/>
      <c r="O550" s="153"/>
      <c r="P550" s="153"/>
      <c r="Q550" s="49">
        <v>17</v>
      </c>
      <c r="R550" s="49" t="s">
        <v>721</v>
      </c>
      <c r="S550" s="49"/>
      <c r="T550" s="49"/>
      <c r="U550" s="48"/>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c r="BF550" s="40"/>
      <c r="BG550" s="40"/>
      <c r="BH550" s="40"/>
      <c r="BI550" s="40"/>
      <c r="BJ550" s="40"/>
      <c r="BK550" s="40"/>
      <c r="BL550" s="40"/>
      <c r="BM550" s="40"/>
      <c r="BN550" s="40"/>
      <c r="BO550" s="40"/>
      <c r="BP550" s="40"/>
      <c r="BQ550" s="40"/>
      <c r="BR550" s="40"/>
      <c r="BS550" s="40"/>
      <c r="BT550" s="40"/>
      <c r="BU550" s="40"/>
      <c r="BV550" s="40"/>
      <c r="BW550" s="40"/>
      <c r="BX550" s="40"/>
      <c r="BY550" s="40"/>
      <c r="BZ550" s="40"/>
      <c r="CA550" s="40"/>
      <c r="CB550" s="40"/>
      <c r="CC550" s="40"/>
      <c r="CD550" s="40"/>
      <c r="CE550" s="40"/>
      <c r="CF550" s="40"/>
      <c r="CG550" s="40"/>
      <c r="CH550" s="40"/>
      <c r="CI550" s="40"/>
      <c r="CJ550" s="40"/>
      <c r="CK550" s="40"/>
      <c r="CL550" s="40"/>
      <c r="CM550" s="40"/>
      <c r="CN550" s="40"/>
      <c r="CO550" s="40"/>
      <c r="CP550" s="40"/>
      <c r="CQ550" s="40"/>
      <c r="CR550" s="40"/>
      <c r="CS550" s="40"/>
      <c r="CT550" s="40"/>
      <c r="CU550" s="40"/>
      <c r="CV550" s="40"/>
      <c r="CW550" s="40"/>
      <c r="CX550" s="40"/>
      <c r="CY550" s="40"/>
      <c r="CZ550" s="40"/>
      <c r="DA550" s="40"/>
      <c r="DB550" s="40"/>
      <c r="DC550" s="40"/>
      <c r="DD550" s="40"/>
      <c r="DE550" s="40"/>
      <c r="DF550" s="40"/>
      <c r="DG550" s="40"/>
      <c r="DH550" s="40"/>
      <c r="DI550" s="40"/>
      <c r="DJ550" s="40"/>
      <c r="DK550" s="40"/>
      <c r="DL550" s="40"/>
      <c r="DM550" s="40"/>
      <c r="DN550" s="40"/>
      <c r="DO550" s="40"/>
      <c r="DP550" s="40"/>
      <c r="DQ550" s="40"/>
      <c r="DR550" s="40"/>
      <c r="DS550" s="40"/>
      <c r="DT550" s="40"/>
      <c r="DU550" s="40"/>
      <c r="DV550" s="40"/>
      <c r="DW550" s="40"/>
      <c r="DX550" s="40"/>
      <c r="DY550" s="40"/>
      <c r="DZ550" s="40"/>
      <c r="EA550" s="40"/>
      <c r="EB550" s="40"/>
      <c r="EC550" s="40"/>
      <c r="ED550" s="40"/>
      <c r="EE550" s="40"/>
      <c r="EF550" s="40"/>
      <c r="EG550" s="40"/>
      <c r="EH550" s="40"/>
      <c r="EI550" s="40"/>
      <c r="EJ550" s="40"/>
      <c r="EK550" s="40"/>
      <c r="EL550" s="40"/>
      <c r="EM550" s="40"/>
      <c r="EN550" s="40"/>
      <c r="EO550" s="40"/>
      <c r="EP550" s="40"/>
      <c r="EQ550" s="40"/>
      <c r="ER550" s="40"/>
      <c r="ES550" s="40"/>
      <c r="ET550" s="40"/>
      <c r="EU550" s="40"/>
      <c r="EV550" s="40"/>
      <c r="EW550" s="40"/>
      <c r="EX550" s="40"/>
      <c r="EY550" s="40"/>
      <c r="EZ550" s="40"/>
      <c r="FA550" s="40"/>
      <c r="FB550" s="40"/>
      <c r="FC550" s="40"/>
      <c r="FD550" s="40"/>
      <c r="FE550" s="40"/>
      <c r="FF550" s="40"/>
      <c r="FG550" s="40"/>
      <c r="FH550" s="40"/>
      <c r="FI550" s="40"/>
      <c r="FJ550" s="40"/>
      <c r="FK550" s="40"/>
      <c r="FL550" s="40"/>
      <c r="FM550" s="40"/>
      <c r="FN550" s="40"/>
      <c r="FO550" s="40"/>
      <c r="FP550" s="40"/>
      <c r="FQ550" s="40"/>
      <c r="FR550" s="40"/>
      <c r="FS550" s="40"/>
      <c r="FT550" s="40"/>
      <c r="FU550" s="40"/>
      <c r="FV550" s="40"/>
      <c r="FW550" s="40"/>
      <c r="FX550" s="40"/>
      <c r="FY550" s="40"/>
      <c r="FZ550" s="40"/>
      <c r="GA550" s="40"/>
      <c r="GB550" s="40"/>
      <c r="GC550" s="40"/>
      <c r="GD550" s="40"/>
      <c r="GE550" s="40"/>
      <c r="GF550" s="40"/>
      <c r="GG550" s="40"/>
      <c r="GH550" s="40"/>
      <c r="GI550" s="40"/>
      <c r="GJ550" s="40"/>
      <c r="GK550" s="40"/>
      <c r="GL550" s="40"/>
      <c r="GM550" s="40"/>
      <c r="GN550" s="40"/>
      <c r="GO550" s="40"/>
      <c r="GP550" s="40"/>
      <c r="GQ550" s="40"/>
      <c r="GR550" s="40"/>
      <c r="GS550" s="40"/>
      <c r="GT550" s="40"/>
      <c r="GU550" s="40"/>
      <c r="GV550" s="40"/>
      <c r="GW550" s="40"/>
      <c r="GX550" s="40"/>
      <c r="GY550" s="40"/>
      <c r="GZ550" s="40"/>
      <c r="HA550" s="40"/>
      <c r="HB550" s="40"/>
      <c r="HC550" s="40"/>
      <c r="HD550" s="40"/>
      <c r="HE550" s="40"/>
      <c r="HF550" s="40"/>
      <c r="HG550" s="40"/>
      <c r="HH550" s="40"/>
      <c r="HI550" s="40"/>
      <c r="HJ550" s="40"/>
      <c r="HK550" s="40"/>
      <c r="HL550" s="40"/>
      <c r="HM550" s="40"/>
      <c r="HN550" s="40"/>
      <c r="HO550" s="40"/>
      <c r="HP550" s="40"/>
      <c r="HQ550" s="40"/>
      <c r="HR550" s="40"/>
      <c r="HS550" s="40"/>
      <c r="HT550" s="40"/>
      <c r="HU550" s="40"/>
      <c r="HV550" s="40"/>
      <c r="HW550" s="40"/>
      <c r="HX550" s="40"/>
      <c r="HY550" s="40"/>
      <c r="HZ550" s="40"/>
      <c r="IA550" s="40"/>
      <c r="IB550" s="40"/>
      <c r="IC550" s="40"/>
      <c r="ID550" s="40"/>
      <c r="IE550" s="40"/>
      <c r="IF550" s="40"/>
      <c r="IG550" s="40"/>
      <c r="IH550" s="40"/>
      <c r="II550" s="40"/>
      <c r="IJ550" s="40"/>
      <c r="IK550" s="40"/>
      <c r="IL550" s="40"/>
      <c r="IM550" s="40"/>
      <c r="IN550" s="40"/>
      <c r="IO550" s="40"/>
      <c r="IP550" s="40"/>
      <c r="IQ550" s="40"/>
      <c r="IR550" s="40"/>
      <c r="IS550" s="40"/>
      <c r="IT550" s="40"/>
      <c r="IU550" s="40"/>
    </row>
    <row r="551" spans="1:255" s="40" customFormat="1" ht="24.95" customHeight="1" x14ac:dyDescent="0.3">
      <c r="A551" s="61">
        <v>2025.07</v>
      </c>
      <c r="B551" s="57" t="s">
        <v>877</v>
      </c>
      <c r="C551" s="57" t="s">
        <v>156</v>
      </c>
      <c r="D551" s="57" t="s">
        <v>733</v>
      </c>
      <c r="E551" s="57" t="s">
        <v>939</v>
      </c>
      <c r="F551" s="57" t="s">
        <v>938</v>
      </c>
      <c r="G551" s="57" t="s">
        <v>937</v>
      </c>
      <c r="H551" s="57" t="s">
        <v>936</v>
      </c>
      <c r="I551" s="57" t="s">
        <v>935</v>
      </c>
      <c r="J551" s="57" t="s">
        <v>768</v>
      </c>
      <c r="K551" s="57"/>
      <c r="L551" s="57" t="s">
        <v>721</v>
      </c>
      <c r="M551" s="57">
        <v>30</v>
      </c>
      <c r="N551" s="57">
        <v>3900</v>
      </c>
      <c r="O551" s="57"/>
      <c r="P551" s="57"/>
      <c r="Q551" s="57"/>
      <c r="R551" s="57"/>
      <c r="S551" s="57"/>
      <c r="T551" s="57"/>
      <c r="U551" s="60" t="s">
        <v>922</v>
      </c>
    </row>
    <row r="552" spans="1:255" s="40" customFormat="1" ht="24.95" customHeight="1" x14ac:dyDescent="0.3">
      <c r="A552" s="49">
        <v>2025.07</v>
      </c>
      <c r="B552" s="49" t="s">
        <v>734</v>
      </c>
      <c r="C552" s="49" t="s">
        <v>191</v>
      </c>
      <c r="D552" s="49" t="s">
        <v>327</v>
      </c>
      <c r="E552" s="49" t="s">
        <v>976</v>
      </c>
      <c r="F552" s="49" t="s">
        <v>975</v>
      </c>
      <c r="G552" s="49" t="s">
        <v>974</v>
      </c>
      <c r="H552" s="49" t="s">
        <v>973</v>
      </c>
      <c r="I552" s="49" t="s">
        <v>972</v>
      </c>
      <c r="J552" s="49" t="s">
        <v>517</v>
      </c>
      <c r="K552" s="49" t="s">
        <v>753</v>
      </c>
      <c r="L552" s="49" t="s">
        <v>721</v>
      </c>
      <c r="M552" s="49">
        <v>500</v>
      </c>
      <c r="N552" s="49">
        <v>375</v>
      </c>
      <c r="O552" s="49" t="s">
        <v>971</v>
      </c>
      <c r="P552" s="49">
        <v>372.6</v>
      </c>
      <c r="Q552" s="49">
        <v>500</v>
      </c>
      <c r="R552" s="49">
        <f>372.6/500</f>
        <v>0.74520000000000008</v>
      </c>
      <c r="S552" s="49"/>
      <c r="T552" s="49"/>
      <c r="U552" s="48"/>
    </row>
    <row r="553" spans="1:255" s="40" customFormat="1" ht="24.95" customHeight="1" x14ac:dyDescent="0.3">
      <c r="A553" s="149">
        <v>2025.07</v>
      </c>
      <c r="B553" s="149" t="s">
        <v>734</v>
      </c>
      <c r="C553" s="149" t="s">
        <v>25</v>
      </c>
      <c r="D553" s="149" t="s">
        <v>90</v>
      </c>
      <c r="E553" s="149"/>
      <c r="F553" s="149" t="s">
        <v>970</v>
      </c>
      <c r="G553" s="149" t="s">
        <v>969</v>
      </c>
      <c r="H553" s="149" t="s">
        <v>968</v>
      </c>
      <c r="I553" s="49" t="s">
        <v>964</v>
      </c>
      <c r="J553" s="49" t="s">
        <v>768</v>
      </c>
      <c r="K553" s="152" t="s">
        <v>753</v>
      </c>
      <c r="L553" s="49">
        <v>4.2</v>
      </c>
      <c r="M553" s="49">
        <v>95</v>
      </c>
      <c r="N553" s="149">
        <v>5995</v>
      </c>
      <c r="O553" s="152" t="s">
        <v>967</v>
      </c>
      <c r="P553" s="149">
        <v>5966</v>
      </c>
      <c r="Q553" s="49">
        <v>95</v>
      </c>
      <c r="R553" s="152">
        <v>59.66</v>
      </c>
      <c r="S553" s="49"/>
      <c r="T553" s="49"/>
      <c r="U553" s="48"/>
    </row>
    <row r="554" spans="1:255" s="40" customFormat="1" ht="24.95" customHeight="1" x14ac:dyDescent="0.3">
      <c r="A554" s="151"/>
      <c r="B554" s="151"/>
      <c r="C554" s="151"/>
      <c r="D554" s="151"/>
      <c r="E554" s="151"/>
      <c r="F554" s="151"/>
      <c r="G554" s="151"/>
      <c r="H554" s="150"/>
      <c r="I554" s="49" t="s">
        <v>966</v>
      </c>
      <c r="J554" s="49" t="s">
        <v>768</v>
      </c>
      <c r="K554" s="154"/>
      <c r="L554" s="49">
        <v>4.2</v>
      </c>
      <c r="M554" s="49">
        <v>5</v>
      </c>
      <c r="N554" s="150"/>
      <c r="O554" s="153"/>
      <c r="P554" s="150"/>
      <c r="Q554" s="49">
        <v>5</v>
      </c>
      <c r="R554" s="153"/>
      <c r="S554" s="49"/>
      <c r="T554" s="49"/>
      <c r="U554" s="48"/>
    </row>
    <row r="555" spans="1:255" s="40" customFormat="1" ht="24.95" customHeight="1" x14ac:dyDescent="0.3">
      <c r="A555" s="151"/>
      <c r="B555" s="151"/>
      <c r="C555" s="151"/>
      <c r="D555" s="151"/>
      <c r="E555" s="151"/>
      <c r="F555" s="151"/>
      <c r="G555" s="151"/>
      <c r="H555" s="149" t="s">
        <v>965</v>
      </c>
      <c r="I555" s="49" t="s">
        <v>964</v>
      </c>
      <c r="J555" s="49" t="s">
        <v>768</v>
      </c>
      <c r="K555" s="154"/>
      <c r="L555" s="49">
        <v>4.2</v>
      </c>
      <c r="M555" s="49">
        <v>55</v>
      </c>
      <c r="N555" s="149">
        <v>5865</v>
      </c>
      <c r="O555" s="149" t="s">
        <v>963</v>
      </c>
      <c r="P555" s="149">
        <v>5865</v>
      </c>
      <c r="Q555" s="49">
        <v>55</v>
      </c>
      <c r="R555" s="152">
        <v>58.65</v>
      </c>
      <c r="S555" s="49"/>
      <c r="T555" s="49"/>
      <c r="U555" s="48"/>
    </row>
    <row r="556" spans="1:255" s="40" customFormat="1" ht="24.95" customHeight="1" x14ac:dyDescent="0.3">
      <c r="A556" s="150"/>
      <c r="B556" s="150"/>
      <c r="C556" s="150"/>
      <c r="D556" s="150"/>
      <c r="E556" s="150"/>
      <c r="F556" s="150"/>
      <c r="G556" s="150"/>
      <c r="H556" s="150"/>
      <c r="I556" s="49" t="s">
        <v>962</v>
      </c>
      <c r="J556" s="49" t="s">
        <v>768</v>
      </c>
      <c r="K556" s="153"/>
      <c r="L556" s="49">
        <v>4.2</v>
      </c>
      <c r="M556" s="49">
        <v>45</v>
      </c>
      <c r="N556" s="150"/>
      <c r="O556" s="150"/>
      <c r="P556" s="150"/>
      <c r="Q556" s="49">
        <v>45</v>
      </c>
      <c r="R556" s="153"/>
      <c r="S556" s="49"/>
      <c r="T556" s="49"/>
      <c r="U556" s="48"/>
    </row>
    <row r="557" spans="1:255" s="40" customFormat="1" ht="24.95" customHeight="1" x14ac:dyDescent="0.3">
      <c r="A557" s="43">
        <v>2025.07</v>
      </c>
      <c r="B557" s="42" t="s">
        <v>734</v>
      </c>
      <c r="C557" s="42" t="s">
        <v>156</v>
      </c>
      <c r="D557" s="42" t="s">
        <v>157</v>
      </c>
      <c r="E557" s="42"/>
      <c r="F557" s="42" t="s">
        <v>961</v>
      </c>
      <c r="G557" s="42" t="s">
        <v>960</v>
      </c>
      <c r="H557" s="42" t="s">
        <v>959</v>
      </c>
      <c r="I557" s="42" t="s">
        <v>959</v>
      </c>
      <c r="J557" s="42" t="s">
        <v>768</v>
      </c>
      <c r="K557" s="42"/>
      <c r="L557" s="42" t="s">
        <v>721</v>
      </c>
      <c r="M557" s="42">
        <v>1</v>
      </c>
      <c r="N557" s="42">
        <v>225</v>
      </c>
      <c r="O557" s="42" t="s">
        <v>958</v>
      </c>
      <c r="P557" s="42">
        <v>222.5</v>
      </c>
      <c r="Q557" s="42">
        <v>1</v>
      </c>
      <c r="R557" s="42">
        <v>222.5</v>
      </c>
      <c r="S557" s="42" t="s">
        <v>957</v>
      </c>
      <c r="T557" s="42"/>
      <c r="U557" s="41"/>
    </row>
    <row r="558" spans="1:255" ht="24.95" customHeight="1" x14ac:dyDescent="0.3">
      <c r="A558" s="144">
        <v>2025.07</v>
      </c>
      <c r="B558" s="144" t="s">
        <v>877</v>
      </c>
      <c r="C558" s="144" t="s">
        <v>122</v>
      </c>
      <c r="D558" s="144" t="s">
        <v>200</v>
      </c>
      <c r="E558" s="144"/>
      <c r="F558" s="144" t="s">
        <v>202</v>
      </c>
      <c r="G558" s="144" t="s">
        <v>956</v>
      </c>
      <c r="H558" s="57" t="s">
        <v>955</v>
      </c>
      <c r="I558" s="57" t="s">
        <v>952</v>
      </c>
      <c r="J558" s="57" t="s">
        <v>722</v>
      </c>
      <c r="K558" s="57" t="s">
        <v>753</v>
      </c>
      <c r="L558" s="57" t="s">
        <v>721</v>
      </c>
      <c r="M558" s="57">
        <v>20</v>
      </c>
      <c r="N558" s="146">
        <v>27500</v>
      </c>
      <c r="O558" s="57"/>
      <c r="P558" s="57"/>
      <c r="Q558" s="57"/>
      <c r="R558" s="57"/>
      <c r="S558" s="57"/>
      <c r="T558" s="57"/>
      <c r="U558" s="140" t="s">
        <v>954</v>
      </c>
    </row>
    <row r="559" spans="1:255" ht="24.95" customHeight="1" x14ac:dyDescent="0.3">
      <c r="A559" s="155"/>
      <c r="B559" s="155"/>
      <c r="C559" s="155"/>
      <c r="D559" s="155"/>
      <c r="E559" s="155"/>
      <c r="F559" s="155"/>
      <c r="G559" s="155"/>
      <c r="H559" s="57" t="s">
        <v>953</v>
      </c>
      <c r="I559" s="57" t="s">
        <v>952</v>
      </c>
      <c r="J559" s="57" t="s">
        <v>722</v>
      </c>
      <c r="K559" s="57" t="s">
        <v>753</v>
      </c>
      <c r="L559" s="57" t="s">
        <v>721</v>
      </c>
      <c r="M559" s="57">
        <v>228</v>
      </c>
      <c r="N559" s="156"/>
      <c r="O559" s="57"/>
      <c r="P559" s="57"/>
      <c r="Q559" s="57"/>
      <c r="R559" s="57"/>
      <c r="S559" s="57"/>
      <c r="T559" s="57"/>
      <c r="U559" s="157"/>
    </row>
    <row r="560" spans="1:255" ht="24.95" customHeight="1" x14ac:dyDescent="0.3">
      <c r="A560" s="155"/>
      <c r="B560" s="155"/>
      <c r="C560" s="155"/>
      <c r="D560" s="155"/>
      <c r="E560" s="155"/>
      <c r="F560" s="155"/>
      <c r="G560" s="155"/>
      <c r="H560" s="57" t="s">
        <v>951</v>
      </c>
      <c r="I560" s="57" t="s">
        <v>950</v>
      </c>
      <c r="J560" s="57" t="s">
        <v>768</v>
      </c>
      <c r="K560" s="57" t="s">
        <v>753</v>
      </c>
      <c r="L560" s="57" t="s">
        <v>721</v>
      </c>
      <c r="M560" s="57">
        <v>18</v>
      </c>
      <c r="N560" s="156"/>
      <c r="O560" s="57"/>
      <c r="P560" s="57"/>
      <c r="Q560" s="57"/>
      <c r="R560" s="57"/>
      <c r="S560" s="57"/>
      <c r="T560" s="57"/>
      <c r="U560" s="157"/>
    </row>
    <row r="561" spans="1:255" ht="24.95" customHeight="1" x14ac:dyDescent="0.3">
      <c r="A561" s="145"/>
      <c r="B561" s="145"/>
      <c r="C561" s="145"/>
      <c r="D561" s="145"/>
      <c r="E561" s="145"/>
      <c r="F561" s="145"/>
      <c r="G561" s="145"/>
      <c r="H561" s="57" t="s">
        <v>949</v>
      </c>
      <c r="I561" s="57" t="s">
        <v>948</v>
      </c>
      <c r="J561" s="57" t="s">
        <v>768</v>
      </c>
      <c r="K561" s="57" t="s">
        <v>753</v>
      </c>
      <c r="L561" s="57" t="s">
        <v>721</v>
      </c>
      <c r="M561" s="57">
        <v>28</v>
      </c>
      <c r="N561" s="147"/>
      <c r="O561" s="57"/>
      <c r="P561" s="57"/>
      <c r="Q561" s="57"/>
      <c r="R561" s="57"/>
      <c r="S561" s="57"/>
      <c r="T561" s="57"/>
      <c r="U561" s="141"/>
    </row>
    <row r="562" spans="1:255" s="40" customFormat="1" ht="24.95" customHeight="1" x14ac:dyDescent="0.3">
      <c r="A562" s="52">
        <v>2025.07</v>
      </c>
      <c r="B562" s="49" t="s">
        <v>734</v>
      </c>
      <c r="C562" s="49" t="s">
        <v>50</v>
      </c>
      <c r="D562" s="49" t="s">
        <v>947</v>
      </c>
      <c r="E562" s="49"/>
      <c r="F562" s="49" t="s">
        <v>946</v>
      </c>
      <c r="G562" s="49"/>
      <c r="H562" s="49" t="s">
        <v>945</v>
      </c>
      <c r="I562" s="49" t="s">
        <v>944</v>
      </c>
      <c r="J562" s="49" t="s">
        <v>943</v>
      </c>
      <c r="K562" s="49" t="s">
        <v>753</v>
      </c>
      <c r="L562" s="49" t="s">
        <v>721</v>
      </c>
      <c r="M562" s="49">
        <v>10</v>
      </c>
      <c r="N562" s="49" t="s">
        <v>721</v>
      </c>
      <c r="O562" s="49" t="s">
        <v>942</v>
      </c>
      <c r="P562" s="49"/>
      <c r="Q562" s="49">
        <v>10</v>
      </c>
      <c r="R562" s="49"/>
      <c r="S562" s="49"/>
      <c r="T562" s="49"/>
      <c r="U562" s="48"/>
    </row>
    <row r="563" spans="1:255" s="40" customFormat="1" ht="24.95" customHeight="1" x14ac:dyDescent="0.3">
      <c r="A563" s="61">
        <v>2025.08</v>
      </c>
      <c r="B563" s="57" t="s">
        <v>877</v>
      </c>
      <c r="C563" s="57" t="s">
        <v>84</v>
      </c>
      <c r="D563" s="57" t="s">
        <v>165</v>
      </c>
      <c r="E563" s="57" t="s">
        <v>913</v>
      </c>
      <c r="F563" s="57" t="s">
        <v>912</v>
      </c>
      <c r="G563" s="57" t="s">
        <v>911</v>
      </c>
      <c r="H563" s="57" t="s">
        <v>910</v>
      </c>
      <c r="I563" s="57" t="s">
        <v>910</v>
      </c>
      <c r="J563" s="57" t="s">
        <v>737</v>
      </c>
      <c r="K563" s="57"/>
      <c r="L563" s="57" t="s">
        <v>721</v>
      </c>
      <c r="M563" s="57">
        <v>20</v>
      </c>
      <c r="N563" s="57">
        <v>3000</v>
      </c>
      <c r="O563" s="57"/>
      <c r="P563" s="57"/>
      <c r="Q563" s="57"/>
      <c r="R563" s="57"/>
      <c r="S563" s="57"/>
      <c r="T563" s="57"/>
      <c r="U563" s="60" t="s">
        <v>941</v>
      </c>
    </row>
    <row r="564" spans="1:255" s="40" customFormat="1" ht="24.95" customHeight="1" x14ac:dyDescent="0.3">
      <c r="A564" s="61">
        <v>2025.08</v>
      </c>
      <c r="B564" s="57" t="s">
        <v>877</v>
      </c>
      <c r="C564" s="57" t="s">
        <v>214</v>
      </c>
      <c r="D564" s="57" t="s">
        <v>468</v>
      </c>
      <c r="E564" s="57"/>
      <c r="F564" s="57" t="s">
        <v>909</v>
      </c>
      <c r="G564" s="57" t="s">
        <v>940</v>
      </c>
      <c r="H564" s="57" t="s">
        <v>907</v>
      </c>
      <c r="I564" s="57" t="s">
        <v>907</v>
      </c>
      <c r="J564" s="57" t="s">
        <v>754</v>
      </c>
      <c r="K564" s="57"/>
      <c r="L564" s="57" t="s">
        <v>721</v>
      </c>
      <c r="M564" s="57" t="s">
        <v>721</v>
      </c>
      <c r="N564" s="57">
        <v>149.9</v>
      </c>
      <c r="O564" s="57"/>
      <c r="P564" s="57"/>
      <c r="Q564" s="57"/>
      <c r="R564" s="57"/>
      <c r="S564" s="57"/>
      <c r="T564" s="57"/>
      <c r="U564" s="60"/>
    </row>
    <row r="565" spans="1:255" s="40" customFormat="1" ht="24.95" customHeight="1" x14ac:dyDescent="0.3">
      <c r="A565" s="43">
        <v>2025.08</v>
      </c>
      <c r="B565" s="42" t="s">
        <v>734</v>
      </c>
      <c r="C565" s="42" t="s">
        <v>156</v>
      </c>
      <c r="D565" s="42" t="s">
        <v>733</v>
      </c>
      <c r="E565" s="42" t="s">
        <v>939</v>
      </c>
      <c r="F565" s="42" t="s">
        <v>938</v>
      </c>
      <c r="G565" s="42" t="s">
        <v>937</v>
      </c>
      <c r="H565" s="42" t="s">
        <v>936</v>
      </c>
      <c r="I565" s="42" t="s">
        <v>935</v>
      </c>
      <c r="J565" s="42" t="s">
        <v>768</v>
      </c>
      <c r="K565" s="42"/>
      <c r="L565" s="42" t="s">
        <v>721</v>
      </c>
      <c r="M565" s="42">
        <v>30</v>
      </c>
      <c r="N565" s="42">
        <v>3900</v>
      </c>
      <c r="O565" s="42" t="s">
        <v>934</v>
      </c>
      <c r="P565" s="42">
        <v>3870</v>
      </c>
      <c r="Q565" s="42">
        <v>30</v>
      </c>
      <c r="R565" s="42">
        <v>129</v>
      </c>
      <c r="S565" s="42"/>
      <c r="T565" s="42"/>
      <c r="U565" s="41"/>
    </row>
    <row r="566" spans="1:255" s="40" customFormat="1" ht="24.95" customHeight="1" x14ac:dyDescent="0.3">
      <c r="A566" s="43">
        <v>2025.08</v>
      </c>
      <c r="B566" s="42" t="s">
        <v>734</v>
      </c>
      <c r="C566" s="42" t="s">
        <v>156</v>
      </c>
      <c r="D566" s="42" t="s">
        <v>758</v>
      </c>
      <c r="E566" s="42"/>
      <c r="F566" s="42" t="s">
        <v>920</v>
      </c>
      <c r="G566" s="42" t="s">
        <v>933</v>
      </c>
      <c r="H566" s="42" t="s">
        <v>932</v>
      </c>
      <c r="I566" s="42" t="s">
        <v>931</v>
      </c>
      <c r="J566" s="42" t="s">
        <v>768</v>
      </c>
      <c r="K566" s="42"/>
      <c r="L566" s="42" t="s">
        <v>721</v>
      </c>
      <c r="M566" s="42">
        <v>150</v>
      </c>
      <c r="N566" s="42">
        <v>16125</v>
      </c>
      <c r="O566" s="42" t="s">
        <v>917</v>
      </c>
      <c r="P566" s="42">
        <v>16125</v>
      </c>
      <c r="Q566" s="42">
        <v>150</v>
      </c>
      <c r="R566" s="42">
        <v>107.5</v>
      </c>
      <c r="S566" s="42"/>
      <c r="T566" s="42"/>
      <c r="U566" s="41" t="s">
        <v>930</v>
      </c>
    </row>
    <row r="567" spans="1:255" s="40" customFormat="1" ht="24.95" customHeight="1" x14ac:dyDescent="0.3">
      <c r="A567" s="123">
        <v>2025.08</v>
      </c>
      <c r="B567" s="123" t="s">
        <v>929</v>
      </c>
      <c r="C567" s="123" t="s">
        <v>156</v>
      </c>
      <c r="D567" s="123" t="s">
        <v>758</v>
      </c>
      <c r="E567" s="123"/>
      <c r="F567" s="123" t="s">
        <v>920</v>
      </c>
      <c r="G567" s="127" t="s">
        <v>928</v>
      </c>
      <c r="H567" s="127" t="s">
        <v>927</v>
      </c>
      <c r="I567" s="42" t="s">
        <v>926</v>
      </c>
      <c r="J567" s="42" t="s">
        <v>759</v>
      </c>
      <c r="K567" s="42"/>
      <c r="L567" s="42" t="s">
        <v>721</v>
      </c>
      <c r="M567" s="42">
        <v>30</v>
      </c>
      <c r="N567" s="42">
        <v>2973</v>
      </c>
      <c r="O567" s="42" t="s">
        <v>925</v>
      </c>
      <c r="P567" s="42">
        <v>2970</v>
      </c>
      <c r="Q567" s="42">
        <v>30</v>
      </c>
      <c r="R567" s="42">
        <v>99</v>
      </c>
      <c r="S567" s="42"/>
      <c r="T567" s="42"/>
      <c r="U567" s="41" t="s">
        <v>924</v>
      </c>
    </row>
    <row r="568" spans="1:255" s="40" customFormat="1" ht="24.95" customHeight="1" x14ac:dyDescent="0.3">
      <c r="A568" s="124"/>
      <c r="B568" s="124"/>
      <c r="C568" s="124"/>
      <c r="D568" s="124"/>
      <c r="E568" s="124"/>
      <c r="F568" s="124"/>
      <c r="G568" s="128"/>
      <c r="H568" s="128"/>
      <c r="I568" s="57" t="s">
        <v>923</v>
      </c>
      <c r="J568" s="57" t="s">
        <v>743</v>
      </c>
      <c r="K568" s="57"/>
      <c r="L568" s="57" t="s">
        <v>721</v>
      </c>
      <c r="M568" s="57">
        <v>20</v>
      </c>
      <c r="N568" s="57">
        <v>1260</v>
      </c>
      <c r="O568" s="57"/>
      <c r="P568" s="57"/>
      <c r="Q568" s="57"/>
      <c r="R568" s="57"/>
      <c r="S568" s="57"/>
      <c r="T568" s="57"/>
      <c r="U568" s="60" t="s">
        <v>922</v>
      </c>
    </row>
    <row r="569" spans="1:255" s="40" customFormat="1" ht="24.95" customHeight="1" x14ac:dyDescent="0.3">
      <c r="A569" s="144">
        <v>2025.08</v>
      </c>
      <c r="B569" s="144" t="s">
        <v>877</v>
      </c>
      <c r="C569" s="144" t="s">
        <v>156</v>
      </c>
      <c r="D569" s="144" t="s">
        <v>758</v>
      </c>
      <c r="E569" s="144"/>
      <c r="F569" s="144" t="s">
        <v>920</v>
      </c>
      <c r="G569" s="146" t="s">
        <v>919</v>
      </c>
      <c r="H569" s="146" t="s">
        <v>918</v>
      </c>
      <c r="I569" s="144" t="s">
        <v>853</v>
      </c>
      <c r="J569" s="57" t="s">
        <v>768</v>
      </c>
      <c r="K569" s="57"/>
      <c r="L569" s="57" t="s">
        <v>721</v>
      </c>
      <c r="M569" s="57">
        <v>200</v>
      </c>
      <c r="N569" s="57">
        <v>11300</v>
      </c>
      <c r="O569" s="57"/>
      <c r="P569" s="57"/>
      <c r="Q569" s="57"/>
      <c r="R569" s="57"/>
      <c r="S569" s="57"/>
      <c r="T569" s="57"/>
      <c r="U569" s="140" t="s">
        <v>921</v>
      </c>
    </row>
    <row r="570" spans="1:255" ht="24.95" customHeight="1" x14ac:dyDescent="0.3">
      <c r="A570" s="145"/>
      <c r="B570" s="145"/>
      <c r="C570" s="145"/>
      <c r="D570" s="145"/>
      <c r="E570" s="145"/>
      <c r="F570" s="145"/>
      <c r="G570" s="147"/>
      <c r="H570" s="147"/>
      <c r="I570" s="145"/>
      <c r="J570" s="57" t="s">
        <v>768</v>
      </c>
      <c r="K570" s="57"/>
      <c r="L570" s="57" t="s">
        <v>721</v>
      </c>
      <c r="M570" s="57">
        <v>150</v>
      </c>
      <c r="N570" s="57">
        <v>8475</v>
      </c>
      <c r="O570" s="57"/>
      <c r="P570" s="57"/>
      <c r="Q570" s="57"/>
      <c r="R570" s="57"/>
      <c r="S570" s="57"/>
      <c r="T570" s="57"/>
      <c r="U570" s="141"/>
    </row>
    <row r="571" spans="1:255" ht="24.95" customHeight="1" x14ac:dyDescent="0.3">
      <c r="A571" s="123">
        <v>2025.08</v>
      </c>
      <c r="B571" s="123" t="s">
        <v>734</v>
      </c>
      <c r="C571" s="123" t="s">
        <v>156</v>
      </c>
      <c r="D571" s="123" t="s">
        <v>758</v>
      </c>
      <c r="E571" s="123"/>
      <c r="F571" s="123" t="s">
        <v>920</v>
      </c>
      <c r="G571" s="127" t="s">
        <v>919</v>
      </c>
      <c r="H571" s="127" t="s">
        <v>918</v>
      </c>
      <c r="I571" s="123" t="s">
        <v>853</v>
      </c>
      <c r="J571" s="42" t="s">
        <v>768</v>
      </c>
      <c r="K571" s="42"/>
      <c r="L571" s="42" t="s">
        <v>721</v>
      </c>
      <c r="M571" s="42">
        <v>200</v>
      </c>
      <c r="N571" s="42">
        <v>11300</v>
      </c>
      <c r="O571" s="42" t="s">
        <v>917</v>
      </c>
      <c r="P571" s="42">
        <v>11200</v>
      </c>
      <c r="Q571" s="42">
        <v>200</v>
      </c>
      <c r="R571" s="42">
        <v>56</v>
      </c>
      <c r="S571" s="42" t="s">
        <v>916</v>
      </c>
      <c r="T571" s="42"/>
      <c r="U571" s="41" t="s">
        <v>915</v>
      </c>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c r="DN571"/>
      <c r="DO571"/>
      <c r="DP571"/>
      <c r="DQ571"/>
      <c r="DR571"/>
      <c r="DS571"/>
      <c r="DT571"/>
      <c r="DU571"/>
      <c r="DV571"/>
      <c r="DW571"/>
      <c r="DX571"/>
      <c r="DY571"/>
      <c r="DZ571"/>
      <c r="EA571"/>
      <c r="EB571"/>
      <c r="EC571"/>
      <c r="ED571"/>
      <c r="EE571"/>
      <c r="EF571"/>
      <c r="EG571"/>
      <c r="EH571"/>
      <c r="EI571"/>
      <c r="EJ571"/>
      <c r="EK571"/>
      <c r="EL571"/>
      <c r="EM571"/>
      <c r="EN571"/>
      <c r="EO571"/>
      <c r="EP571"/>
      <c r="EQ571"/>
      <c r="ER571"/>
      <c r="ES571"/>
      <c r="ET571"/>
      <c r="EU571"/>
      <c r="EV571"/>
      <c r="EW571"/>
      <c r="EX571"/>
      <c r="EY571"/>
      <c r="EZ571"/>
      <c r="FA571"/>
      <c r="FB571"/>
      <c r="FC571"/>
      <c r="FD571"/>
      <c r="FE571"/>
      <c r="FF571"/>
      <c r="FG571"/>
      <c r="FH571"/>
      <c r="FI571"/>
      <c r="FJ571"/>
      <c r="FK571"/>
      <c r="FL571"/>
      <c r="FM571"/>
      <c r="FN571"/>
      <c r="FO571"/>
      <c r="FP571"/>
      <c r="FQ571"/>
      <c r="FR571"/>
      <c r="FS571"/>
      <c r="FT571"/>
      <c r="FU571"/>
      <c r="FV571"/>
      <c r="FW571"/>
      <c r="FX571"/>
      <c r="FY571"/>
      <c r="FZ571"/>
      <c r="GA571"/>
      <c r="GB571"/>
      <c r="GC571"/>
      <c r="GD571"/>
      <c r="GE571"/>
      <c r="GF571"/>
      <c r="GG571"/>
      <c r="GH571"/>
      <c r="GI571"/>
      <c r="GJ571"/>
      <c r="GK571"/>
      <c r="GL571"/>
      <c r="GM571"/>
      <c r="GN571"/>
      <c r="GO571"/>
      <c r="GP571"/>
      <c r="GQ571"/>
      <c r="GR571"/>
      <c r="GS571"/>
      <c r="GT571"/>
      <c r="GU571"/>
      <c r="GV571"/>
      <c r="GW571"/>
      <c r="GX571"/>
      <c r="GY571"/>
      <c r="GZ571"/>
      <c r="HA571"/>
      <c r="HB571"/>
      <c r="HC571"/>
      <c r="HD571"/>
      <c r="HE571"/>
      <c r="HF571"/>
      <c r="HG571"/>
      <c r="HH571"/>
      <c r="HI571"/>
      <c r="HJ571"/>
      <c r="HK571"/>
      <c r="HL571"/>
      <c r="HM571"/>
      <c r="HN571"/>
      <c r="HO571"/>
      <c r="HP571"/>
      <c r="HQ571"/>
      <c r="HR571"/>
      <c r="HS571"/>
      <c r="HT571"/>
      <c r="HU571"/>
      <c r="HV571"/>
      <c r="HW571"/>
      <c r="HX571"/>
      <c r="HY571"/>
      <c r="HZ571"/>
      <c r="IA571"/>
      <c r="IB571"/>
      <c r="IC571"/>
      <c r="ID571"/>
      <c r="IE571"/>
      <c r="IF571"/>
      <c r="IG571"/>
      <c r="IH571"/>
      <c r="II571"/>
      <c r="IJ571"/>
      <c r="IK571"/>
      <c r="IL571"/>
      <c r="IM571"/>
      <c r="IN571"/>
      <c r="IO571"/>
      <c r="IP571"/>
      <c r="IQ571"/>
      <c r="IR571"/>
      <c r="IS571"/>
      <c r="IT571"/>
      <c r="IU571"/>
    </row>
    <row r="572" spans="1:255" ht="24.95" customHeight="1" x14ac:dyDescent="0.3">
      <c r="A572" s="124"/>
      <c r="B572" s="124"/>
      <c r="C572" s="124"/>
      <c r="D572" s="124"/>
      <c r="E572" s="124"/>
      <c r="F572" s="124"/>
      <c r="G572" s="128"/>
      <c r="H572" s="128"/>
      <c r="I572" s="124"/>
      <c r="J572" s="42" t="s">
        <v>768</v>
      </c>
      <c r="K572" s="42"/>
      <c r="L572" s="42" t="s">
        <v>721</v>
      </c>
      <c r="M572" s="42">
        <v>150</v>
      </c>
      <c r="N572" s="42">
        <v>8475</v>
      </c>
      <c r="O572" s="42" t="s">
        <v>914</v>
      </c>
      <c r="P572" s="42">
        <v>8430</v>
      </c>
      <c r="Q572" s="42">
        <v>150</v>
      </c>
      <c r="R572" s="42">
        <v>56.2</v>
      </c>
      <c r="S572" s="42" t="s">
        <v>850</v>
      </c>
      <c r="T572" s="42"/>
      <c r="U572" s="41" t="s">
        <v>849</v>
      </c>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c r="DL572"/>
      <c r="DM572"/>
      <c r="DN572"/>
      <c r="DO572"/>
      <c r="DP572"/>
      <c r="DQ572"/>
      <c r="DR572"/>
      <c r="DS572"/>
      <c r="DT572"/>
      <c r="DU572"/>
      <c r="DV572"/>
      <c r="DW572"/>
      <c r="DX572"/>
      <c r="DY572"/>
      <c r="DZ572"/>
      <c r="EA572"/>
      <c r="EB572"/>
      <c r="EC572"/>
      <c r="ED572"/>
      <c r="EE572"/>
      <c r="EF572"/>
      <c r="EG572"/>
      <c r="EH572"/>
      <c r="EI572"/>
      <c r="EJ572"/>
      <c r="EK572"/>
      <c r="EL572"/>
      <c r="EM572"/>
      <c r="EN572"/>
      <c r="EO572"/>
      <c r="EP572"/>
      <c r="EQ572"/>
      <c r="ER572"/>
      <c r="ES572"/>
      <c r="ET572"/>
      <c r="EU572"/>
      <c r="EV572"/>
      <c r="EW572"/>
      <c r="EX572"/>
      <c r="EY572"/>
      <c r="EZ572"/>
      <c r="FA572"/>
      <c r="FB572"/>
      <c r="FC572"/>
      <c r="FD572"/>
      <c r="FE572"/>
      <c r="FF572"/>
      <c r="FG572"/>
      <c r="FH572"/>
      <c r="FI572"/>
      <c r="FJ572"/>
      <c r="FK572"/>
      <c r="FL572"/>
      <c r="FM572"/>
      <c r="FN572"/>
      <c r="FO572"/>
      <c r="FP572"/>
      <c r="FQ572"/>
      <c r="FR572"/>
      <c r="FS572"/>
      <c r="FT572"/>
      <c r="FU572"/>
      <c r="FV572"/>
      <c r="FW572"/>
      <c r="FX572"/>
      <c r="FY572"/>
      <c r="FZ572"/>
      <c r="GA572"/>
      <c r="GB572"/>
      <c r="GC572"/>
      <c r="GD572"/>
      <c r="GE572"/>
      <c r="GF572"/>
      <c r="GG572"/>
      <c r="GH572"/>
      <c r="GI572"/>
      <c r="GJ572"/>
      <c r="GK572"/>
      <c r="GL572"/>
      <c r="GM572"/>
      <c r="GN572"/>
      <c r="GO572"/>
      <c r="GP572"/>
      <c r="GQ572"/>
      <c r="GR572"/>
      <c r="GS572"/>
      <c r="GT572"/>
      <c r="GU572"/>
      <c r="GV572"/>
      <c r="GW572"/>
      <c r="GX572"/>
      <c r="GY572"/>
      <c r="GZ572"/>
      <c r="HA572"/>
      <c r="HB572"/>
      <c r="HC572"/>
      <c r="HD572"/>
      <c r="HE572"/>
      <c r="HF572"/>
      <c r="HG572"/>
      <c r="HH572"/>
      <c r="HI572"/>
      <c r="HJ572"/>
      <c r="HK572"/>
      <c r="HL572"/>
      <c r="HM572"/>
      <c r="HN572"/>
      <c r="HO572"/>
      <c r="HP572"/>
      <c r="HQ572"/>
      <c r="HR572"/>
      <c r="HS572"/>
      <c r="HT572"/>
      <c r="HU572"/>
      <c r="HV572"/>
      <c r="HW572"/>
      <c r="HX572"/>
      <c r="HY572"/>
      <c r="HZ572"/>
      <c r="IA572"/>
      <c r="IB572"/>
      <c r="IC572"/>
      <c r="ID572"/>
      <c r="IE572"/>
      <c r="IF572"/>
      <c r="IG572"/>
      <c r="IH572"/>
      <c r="II572"/>
      <c r="IJ572"/>
      <c r="IK572"/>
      <c r="IL572"/>
      <c r="IM572"/>
      <c r="IN572"/>
      <c r="IO572"/>
      <c r="IP572"/>
      <c r="IQ572"/>
      <c r="IR572"/>
      <c r="IS572"/>
      <c r="IT572"/>
      <c r="IU572"/>
    </row>
    <row r="573" spans="1:255" s="40" customFormat="1" ht="24.95" customHeight="1" x14ac:dyDescent="0.3">
      <c r="A573" s="43">
        <v>2025.09</v>
      </c>
      <c r="B573" s="53" t="s">
        <v>793</v>
      </c>
      <c r="C573" s="42" t="s">
        <v>84</v>
      </c>
      <c r="D573" s="42" t="s">
        <v>165</v>
      </c>
      <c r="E573" s="42" t="s">
        <v>913</v>
      </c>
      <c r="F573" s="42" t="s">
        <v>912</v>
      </c>
      <c r="G573" s="42" t="s">
        <v>911</v>
      </c>
      <c r="H573" s="42" t="s">
        <v>910</v>
      </c>
      <c r="I573" s="42" t="s">
        <v>910</v>
      </c>
      <c r="J573" s="42" t="s">
        <v>737</v>
      </c>
      <c r="K573" s="42"/>
      <c r="L573" s="42" t="s">
        <v>721</v>
      </c>
      <c r="M573" s="42">
        <v>20</v>
      </c>
      <c r="N573" s="42">
        <v>3000</v>
      </c>
      <c r="O573" s="42"/>
      <c r="P573" s="42"/>
      <c r="Q573" s="42"/>
      <c r="R573" s="42"/>
      <c r="S573" s="42"/>
      <c r="T573" s="42"/>
      <c r="U573" s="41"/>
    </row>
    <row r="574" spans="1:255" s="38" customFormat="1" ht="24.95" customHeight="1" x14ac:dyDescent="0.3">
      <c r="A574" s="64">
        <v>2025.09</v>
      </c>
      <c r="B574" s="63" t="s">
        <v>789</v>
      </c>
      <c r="C574" s="63" t="s">
        <v>214</v>
      </c>
      <c r="D574" s="63" t="s">
        <v>468</v>
      </c>
      <c r="E574" s="63"/>
      <c r="F574" s="63" t="s">
        <v>909</v>
      </c>
      <c r="G574" s="63" t="s">
        <v>908</v>
      </c>
      <c r="H574" s="63" t="s">
        <v>907</v>
      </c>
      <c r="I574" s="63" t="s">
        <v>907</v>
      </c>
      <c r="J574" s="63" t="s">
        <v>906</v>
      </c>
      <c r="K574" s="63" t="s">
        <v>753</v>
      </c>
      <c r="L574" s="63" t="s">
        <v>905</v>
      </c>
      <c r="M574" s="63">
        <v>2</v>
      </c>
      <c r="N574" s="63">
        <v>149.9</v>
      </c>
      <c r="O574" s="63" t="s">
        <v>904</v>
      </c>
      <c r="P574" s="63">
        <v>149.81200000000001</v>
      </c>
      <c r="Q574" s="63">
        <v>2</v>
      </c>
      <c r="R574" s="63">
        <v>74.906000000000006</v>
      </c>
      <c r="S574" s="63"/>
      <c r="T574" s="63"/>
      <c r="U574" s="62"/>
    </row>
    <row r="575" spans="1:255" s="40" customFormat="1" ht="24.95" customHeight="1" x14ac:dyDescent="0.3">
      <c r="A575" s="123">
        <v>2025.09</v>
      </c>
      <c r="B575" s="123" t="s">
        <v>734</v>
      </c>
      <c r="C575" s="123" t="s">
        <v>233</v>
      </c>
      <c r="D575" s="123" t="s">
        <v>903</v>
      </c>
      <c r="E575" s="123"/>
      <c r="F575" s="123" t="s">
        <v>902</v>
      </c>
      <c r="G575" s="123" t="s">
        <v>901</v>
      </c>
      <c r="H575" s="42" t="s">
        <v>900</v>
      </c>
      <c r="I575" s="42" t="s">
        <v>899</v>
      </c>
      <c r="J575" s="42" t="s">
        <v>768</v>
      </c>
      <c r="K575" s="42"/>
      <c r="L575" s="42" t="s">
        <v>721</v>
      </c>
      <c r="M575" s="42">
        <v>3</v>
      </c>
      <c r="N575" s="42">
        <v>104.05</v>
      </c>
      <c r="O575" s="127" t="s">
        <v>898</v>
      </c>
      <c r="P575" s="42">
        <v>89.7</v>
      </c>
      <c r="Q575" s="42">
        <v>3</v>
      </c>
      <c r="R575" s="42">
        <v>29.9</v>
      </c>
      <c r="S575" s="42" t="s">
        <v>893</v>
      </c>
      <c r="T575" s="42"/>
      <c r="U575" s="41"/>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c r="BK575" s="38"/>
      <c r="BL575" s="38"/>
      <c r="BM575" s="38"/>
      <c r="BN575" s="38"/>
      <c r="BO575" s="38"/>
      <c r="BP575" s="38"/>
      <c r="BQ575" s="38"/>
      <c r="BR575" s="38"/>
      <c r="BS575" s="38"/>
      <c r="BT575" s="38"/>
      <c r="BU575" s="38"/>
      <c r="BV575" s="38"/>
      <c r="BW575" s="38"/>
      <c r="BX575" s="38"/>
      <c r="BY575" s="38"/>
      <c r="BZ575" s="38"/>
      <c r="CA575" s="38"/>
      <c r="CB575" s="38"/>
      <c r="CC575" s="38"/>
      <c r="CD575" s="38"/>
      <c r="CE575" s="38"/>
      <c r="CF575" s="38"/>
      <c r="CG575" s="38"/>
      <c r="CH575" s="38"/>
      <c r="CI575" s="38"/>
      <c r="CJ575" s="38"/>
      <c r="CK575" s="38"/>
      <c r="CL575" s="38"/>
      <c r="CM575" s="38"/>
      <c r="CN575" s="38"/>
      <c r="CO575" s="38"/>
      <c r="CP575" s="38"/>
      <c r="CQ575" s="38"/>
      <c r="CR575" s="38"/>
      <c r="CS575" s="38"/>
      <c r="CT575" s="38"/>
      <c r="CU575" s="38"/>
      <c r="CV575" s="38"/>
      <c r="CW575" s="38"/>
      <c r="CX575" s="38"/>
      <c r="CY575" s="38"/>
      <c r="CZ575" s="38"/>
      <c r="DA575" s="38"/>
      <c r="DB575" s="38"/>
      <c r="DC575" s="38"/>
      <c r="DD575" s="38"/>
      <c r="DE575" s="38"/>
      <c r="DF575" s="38"/>
      <c r="DG575" s="38"/>
      <c r="DH575" s="38"/>
      <c r="DI575" s="38"/>
      <c r="DJ575" s="38"/>
      <c r="DK575" s="38"/>
      <c r="DL575" s="38"/>
      <c r="DM575" s="38"/>
      <c r="DN575" s="38"/>
      <c r="DO575" s="38"/>
      <c r="DP575" s="38"/>
      <c r="DQ575" s="38"/>
      <c r="DR575" s="38"/>
      <c r="DS575" s="38"/>
      <c r="DT575" s="38"/>
      <c r="DU575" s="38"/>
      <c r="DV575" s="38"/>
      <c r="DW575" s="38"/>
      <c r="DX575" s="38"/>
      <c r="DY575" s="38"/>
      <c r="DZ575" s="38"/>
      <c r="EA575" s="38"/>
      <c r="EB575" s="38"/>
      <c r="EC575" s="38"/>
      <c r="ED575" s="38"/>
      <c r="EE575" s="38"/>
      <c r="EF575" s="38"/>
      <c r="EG575" s="38"/>
      <c r="EH575" s="38"/>
      <c r="EI575" s="38"/>
      <c r="EJ575" s="38"/>
      <c r="EK575" s="38"/>
      <c r="EL575" s="38"/>
      <c r="EM575" s="38"/>
      <c r="EN575" s="38"/>
      <c r="EO575" s="38"/>
      <c r="EP575" s="38"/>
      <c r="EQ575" s="38"/>
      <c r="ER575" s="38"/>
      <c r="ES575" s="38"/>
      <c r="ET575" s="38"/>
      <c r="EU575" s="38"/>
      <c r="EV575" s="38"/>
      <c r="EW575" s="38"/>
      <c r="EX575" s="38"/>
      <c r="EY575" s="38"/>
      <c r="EZ575" s="38"/>
      <c r="FA575" s="38"/>
      <c r="FB575" s="38"/>
      <c r="FC575" s="38"/>
      <c r="FD575" s="38"/>
      <c r="FE575" s="38"/>
      <c r="FF575" s="38"/>
      <c r="FG575" s="38"/>
      <c r="FH575" s="38"/>
      <c r="FI575" s="38"/>
      <c r="FJ575" s="38"/>
      <c r="FK575" s="38"/>
      <c r="FL575" s="38"/>
      <c r="FM575" s="38"/>
      <c r="FN575" s="38"/>
      <c r="FO575" s="38"/>
      <c r="FP575" s="38"/>
      <c r="FQ575" s="38"/>
      <c r="FR575" s="38"/>
      <c r="FS575" s="38"/>
      <c r="FT575" s="38"/>
      <c r="FU575" s="38"/>
      <c r="FV575" s="38"/>
      <c r="FW575" s="38"/>
      <c r="FX575" s="38"/>
      <c r="FY575" s="38"/>
      <c r="FZ575" s="38"/>
      <c r="GA575" s="38"/>
      <c r="GB575" s="38"/>
      <c r="GC575" s="38"/>
      <c r="GD575" s="38"/>
      <c r="GE575" s="38"/>
      <c r="GF575" s="38"/>
      <c r="GG575" s="38"/>
      <c r="GH575" s="38"/>
      <c r="GI575" s="38"/>
      <c r="GJ575" s="38"/>
      <c r="GK575" s="38"/>
      <c r="GL575" s="38"/>
      <c r="GM575" s="38"/>
      <c r="GN575" s="38"/>
      <c r="GO575" s="38"/>
      <c r="GP575" s="38"/>
      <c r="GQ575" s="38"/>
      <c r="GR575" s="38"/>
      <c r="GS575" s="38"/>
      <c r="GT575" s="38"/>
      <c r="GU575" s="38"/>
      <c r="GV575" s="38"/>
      <c r="GW575" s="38"/>
      <c r="GX575" s="38"/>
      <c r="GY575" s="38"/>
      <c r="GZ575" s="38"/>
      <c r="HA575" s="38"/>
      <c r="HB575" s="38"/>
      <c r="HC575" s="38"/>
      <c r="HD575" s="38"/>
      <c r="HE575" s="38"/>
      <c r="HF575" s="38"/>
      <c r="HG575" s="38"/>
      <c r="HH575" s="38"/>
      <c r="HI575" s="38"/>
      <c r="HJ575" s="38"/>
      <c r="HK575" s="38"/>
      <c r="HL575" s="38"/>
      <c r="HM575" s="38"/>
      <c r="HN575" s="38"/>
      <c r="HO575" s="38"/>
      <c r="HP575" s="38"/>
      <c r="HQ575" s="38"/>
      <c r="HR575" s="38"/>
      <c r="HS575" s="38"/>
      <c r="HT575" s="38"/>
      <c r="HU575" s="38"/>
      <c r="HV575" s="38"/>
      <c r="HW575" s="38"/>
      <c r="HX575" s="38"/>
      <c r="HY575" s="38"/>
      <c r="HZ575" s="38"/>
      <c r="IA575" s="38"/>
      <c r="IB575" s="38"/>
      <c r="IC575" s="38"/>
      <c r="ID575" s="38"/>
      <c r="IE575" s="38"/>
      <c r="IF575" s="38"/>
      <c r="IG575" s="38"/>
      <c r="IH575" s="38"/>
      <c r="II575" s="38"/>
      <c r="IJ575" s="38"/>
      <c r="IK575" s="38"/>
      <c r="IL575" s="38"/>
      <c r="IM575" s="38"/>
      <c r="IN575" s="38"/>
      <c r="IO575" s="38"/>
      <c r="IP575" s="38"/>
      <c r="IQ575" s="38"/>
      <c r="IR575" s="38"/>
      <c r="IS575" s="38"/>
      <c r="IT575" s="38"/>
      <c r="IU575" s="38"/>
    </row>
    <row r="576" spans="1:255" s="40" customFormat="1" ht="24.95" customHeight="1" x14ac:dyDescent="0.3">
      <c r="A576" s="139"/>
      <c r="B576" s="139"/>
      <c r="C576" s="139"/>
      <c r="D576" s="139"/>
      <c r="E576" s="139"/>
      <c r="F576" s="139"/>
      <c r="G576" s="139"/>
      <c r="H576" s="42" t="s">
        <v>897</v>
      </c>
      <c r="I576" s="42" t="s">
        <v>895</v>
      </c>
      <c r="J576" s="42" t="s">
        <v>737</v>
      </c>
      <c r="K576" s="42"/>
      <c r="L576" s="42" t="s">
        <v>721</v>
      </c>
      <c r="M576" s="42">
        <v>1</v>
      </c>
      <c r="N576" s="42">
        <v>23.43</v>
      </c>
      <c r="O576" s="148"/>
      <c r="P576" s="42">
        <v>22.85</v>
      </c>
      <c r="Q576" s="42">
        <v>1</v>
      </c>
      <c r="R576" s="42">
        <v>22.85</v>
      </c>
      <c r="S576" s="42" t="s">
        <v>893</v>
      </c>
      <c r="T576" s="42"/>
      <c r="U576" s="41"/>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c r="BK576" s="38"/>
      <c r="BL576" s="38"/>
      <c r="BM576" s="38"/>
      <c r="BN576" s="38"/>
      <c r="BO576" s="38"/>
      <c r="BP576" s="38"/>
      <c r="BQ576" s="38"/>
      <c r="BR576" s="38"/>
      <c r="BS576" s="38"/>
      <c r="BT576" s="38"/>
      <c r="BU576" s="38"/>
      <c r="BV576" s="38"/>
      <c r="BW576" s="38"/>
      <c r="BX576" s="38"/>
      <c r="BY576" s="38"/>
      <c r="BZ576" s="38"/>
      <c r="CA576" s="38"/>
      <c r="CB576" s="38"/>
      <c r="CC576" s="38"/>
      <c r="CD576" s="38"/>
      <c r="CE576" s="38"/>
      <c r="CF576" s="38"/>
      <c r="CG576" s="38"/>
      <c r="CH576" s="38"/>
      <c r="CI576" s="38"/>
      <c r="CJ576" s="38"/>
      <c r="CK576" s="38"/>
      <c r="CL576" s="38"/>
      <c r="CM576" s="38"/>
      <c r="CN576" s="38"/>
      <c r="CO576" s="38"/>
      <c r="CP576" s="38"/>
      <c r="CQ576" s="38"/>
      <c r="CR576" s="38"/>
      <c r="CS576" s="38"/>
      <c r="CT576" s="38"/>
      <c r="CU576" s="38"/>
      <c r="CV576" s="38"/>
      <c r="CW576" s="38"/>
      <c r="CX576" s="38"/>
      <c r="CY576" s="38"/>
      <c r="CZ576" s="38"/>
      <c r="DA576" s="38"/>
      <c r="DB576" s="38"/>
      <c r="DC576" s="38"/>
      <c r="DD576" s="38"/>
      <c r="DE576" s="38"/>
      <c r="DF576" s="38"/>
      <c r="DG576" s="38"/>
      <c r="DH576" s="38"/>
      <c r="DI576" s="38"/>
      <c r="DJ576" s="38"/>
      <c r="DK576" s="38"/>
      <c r="DL576" s="38"/>
      <c r="DM576" s="38"/>
      <c r="DN576" s="38"/>
      <c r="DO576" s="38"/>
      <c r="DP576" s="38"/>
      <c r="DQ576" s="38"/>
      <c r="DR576" s="38"/>
      <c r="DS576" s="38"/>
      <c r="DT576" s="38"/>
      <c r="DU576" s="38"/>
      <c r="DV576" s="38"/>
      <c r="DW576" s="38"/>
      <c r="DX576" s="38"/>
      <c r="DY576" s="38"/>
      <c r="DZ576" s="38"/>
      <c r="EA576" s="38"/>
      <c r="EB576" s="38"/>
      <c r="EC576" s="38"/>
      <c r="ED576" s="38"/>
      <c r="EE576" s="38"/>
      <c r="EF576" s="38"/>
      <c r="EG576" s="38"/>
      <c r="EH576" s="38"/>
      <c r="EI576" s="38"/>
      <c r="EJ576" s="38"/>
      <c r="EK576" s="38"/>
      <c r="EL576" s="38"/>
      <c r="EM576" s="38"/>
      <c r="EN576" s="38"/>
      <c r="EO576" s="38"/>
      <c r="EP576" s="38"/>
      <c r="EQ576" s="38"/>
      <c r="ER576" s="38"/>
      <c r="ES576" s="38"/>
      <c r="ET576" s="38"/>
      <c r="EU576" s="38"/>
      <c r="EV576" s="38"/>
      <c r="EW576" s="38"/>
      <c r="EX576" s="38"/>
      <c r="EY576" s="38"/>
      <c r="EZ576" s="38"/>
      <c r="FA576" s="38"/>
      <c r="FB576" s="38"/>
      <c r="FC576" s="38"/>
      <c r="FD576" s="38"/>
      <c r="FE576" s="38"/>
      <c r="FF576" s="38"/>
      <c r="FG576" s="38"/>
      <c r="FH576" s="38"/>
      <c r="FI576" s="38"/>
      <c r="FJ576" s="38"/>
      <c r="FK576" s="38"/>
      <c r="FL576" s="38"/>
      <c r="FM576" s="38"/>
      <c r="FN576" s="38"/>
      <c r="FO576" s="38"/>
      <c r="FP576" s="38"/>
      <c r="FQ576" s="38"/>
      <c r="FR576" s="38"/>
      <c r="FS576" s="38"/>
      <c r="FT576" s="38"/>
      <c r="FU576" s="38"/>
      <c r="FV576" s="38"/>
      <c r="FW576" s="38"/>
      <c r="FX576" s="38"/>
      <c r="FY576" s="38"/>
      <c r="FZ576" s="38"/>
      <c r="GA576" s="38"/>
      <c r="GB576" s="38"/>
      <c r="GC576" s="38"/>
      <c r="GD576" s="38"/>
      <c r="GE576" s="38"/>
      <c r="GF576" s="38"/>
      <c r="GG576" s="38"/>
      <c r="GH576" s="38"/>
      <c r="GI576" s="38"/>
      <c r="GJ576" s="38"/>
      <c r="GK576" s="38"/>
      <c r="GL576" s="38"/>
      <c r="GM576" s="38"/>
      <c r="GN576" s="38"/>
      <c r="GO576" s="38"/>
      <c r="GP576" s="38"/>
      <c r="GQ576" s="38"/>
      <c r="GR576" s="38"/>
      <c r="GS576" s="38"/>
      <c r="GT576" s="38"/>
      <c r="GU576" s="38"/>
      <c r="GV576" s="38"/>
      <c r="GW576" s="38"/>
      <c r="GX576" s="38"/>
      <c r="GY576" s="38"/>
      <c r="GZ576" s="38"/>
      <c r="HA576" s="38"/>
      <c r="HB576" s="38"/>
      <c r="HC576" s="38"/>
      <c r="HD576" s="38"/>
      <c r="HE576" s="38"/>
      <c r="HF576" s="38"/>
      <c r="HG576" s="38"/>
      <c r="HH576" s="38"/>
      <c r="HI576" s="38"/>
      <c r="HJ576" s="38"/>
      <c r="HK576" s="38"/>
      <c r="HL576" s="38"/>
      <c r="HM576" s="38"/>
      <c r="HN576" s="38"/>
      <c r="HO576" s="38"/>
      <c r="HP576" s="38"/>
      <c r="HQ576" s="38"/>
      <c r="HR576" s="38"/>
      <c r="HS576" s="38"/>
      <c r="HT576" s="38"/>
      <c r="HU576" s="38"/>
      <c r="HV576" s="38"/>
      <c r="HW576" s="38"/>
      <c r="HX576" s="38"/>
      <c r="HY576" s="38"/>
      <c r="HZ576" s="38"/>
      <c r="IA576" s="38"/>
      <c r="IB576" s="38"/>
      <c r="IC576" s="38"/>
      <c r="ID576" s="38"/>
      <c r="IE576" s="38"/>
      <c r="IF576" s="38"/>
      <c r="IG576" s="38"/>
      <c r="IH576" s="38"/>
      <c r="II576" s="38"/>
      <c r="IJ576" s="38"/>
      <c r="IK576" s="38"/>
      <c r="IL576" s="38"/>
      <c r="IM576" s="38"/>
      <c r="IN576" s="38"/>
      <c r="IO576" s="38"/>
      <c r="IP576" s="38"/>
      <c r="IQ576" s="38"/>
      <c r="IR576" s="38"/>
      <c r="IS576" s="38"/>
      <c r="IT576" s="38"/>
      <c r="IU576" s="38"/>
    </row>
    <row r="577" spans="1:255" s="40" customFormat="1" ht="24.95" customHeight="1" x14ac:dyDescent="0.3">
      <c r="A577" s="139"/>
      <c r="B577" s="139"/>
      <c r="C577" s="139"/>
      <c r="D577" s="139"/>
      <c r="E577" s="139"/>
      <c r="F577" s="139"/>
      <c r="G577" s="139"/>
      <c r="H577" s="42" t="s">
        <v>896</v>
      </c>
      <c r="I577" s="42" t="s">
        <v>895</v>
      </c>
      <c r="J577" s="42" t="s">
        <v>737</v>
      </c>
      <c r="K577" s="42"/>
      <c r="L577" s="42" t="s">
        <v>721</v>
      </c>
      <c r="M577" s="42">
        <v>2</v>
      </c>
      <c r="N577" s="42">
        <v>42.9</v>
      </c>
      <c r="O577" s="148"/>
      <c r="P577" s="42">
        <v>39.72</v>
      </c>
      <c r="Q577" s="42">
        <v>2</v>
      </c>
      <c r="R577" s="42">
        <v>19.86</v>
      </c>
      <c r="S577" s="42" t="s">
        <v>893</v>
      </c>
      <c r="T577" s="42"/>
      <c r="U577" s="41"/>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c r="BK577" s="38"/>
      <c r="BL577" s="38"/>
      <c r="BM577" s="38"/>
      <c r="BN577" s="38"/>
      <c r="BO577" s="38"/>
      <c r="BP577" s="38"/>
      <c r="BQ577" s="38"/>
      <c r="BR577" s="38"/>
      <c r="BS577" s="38"/>
      <c r="BT577" s="38"/>
      <c r="BU577" s="38"/>
      <c r="BV577" s="38"/>
      <c r="BW577" s="38"/>
      <c r="BX577" s="38"/>
      <c r="BY577" s="38"/>
      <c r="BZ577" s="38"/>
      <c r="CA577" s="38"/>
      <c r="CB577" s="38"/>
      <c r="CC577" s="38"/>
      <c r="CD577" s="38"/>
      <c r="CE577" s="38"/>
      <c r="CF577" s="38"/>
      <c r="CG577" s="38"/>
      <c r="CH577" s="38"/>
      <c r="CI577" s="38"/>
      <c r="CJ577" s="38"/>
      <c r="CK577" s="38"/>
      <c r="CL577" s="38"/>
      <c r="CM577" s="38"/>
      <c r="CN577" s="38"/>
      <c r="CO577" s="38"/>
      <c r="CP577" s="38"/>
      <c r="CQ577" s="38"/>
      <c r="CR577" s="38"/>
      <c r="CS577" s="38"/>
      <c r="CT577" s="38"/>
      <c r="CU577" s="38"/>
      <c r="CV577" s="38"/>
      <c r="CW577" s="38"/>
      <c r="CX577" s="38"/>
      <c r="CY577" s="38"/>
      <c r="CZ577" s="38"/>
      <c r="DA577" s="38"/>
      <c r="DB577" s="38"/>
      <c r="DC577" s="38"/>
      <c r="DD577" s="38"/>
      <c r="DE577" s="38"/>
      <c r="DF577" s="38"/>
      <c r="DG577" s="38"/>
      <c r="DH577" s="38"/>
      <c r="DI577" s="38"/>
      <c r="DJ577" s="38"/>
      <c r="DK577" s="38"/>
      <c r="DL577" s="38"/>
      <c r="DM577" s="38"/>
      <c r="DN577" s="38"/>
      <c r="DO577" s="38"/>
      <c r="DP577" s="38"/>
      <c r="DQ577" s="38"/>
      <c r="DR577" s="38"/>
      <c r="DS577" s="38"/>
      <c r="DT577" s="38"/>
      <c r="DU577" s="38"/>
      <c r="DV577" s="38"/>
      <c r="DW577" s="38"/>
      <c r="DX577" s="38"/>
      <c r="DY577" s="38"/>
      <c r="DZ577" s="38"/>
      <c r="EA577" s="38"/>
      <c r="EB577" s="38"/>
      <c r="EC577" s="38"/>
      <c r="ED577" s="38"/>
      <c r="EE577" s="38"/>
      <c r="EF577" s="38"/>
      <c r="EG577" s="38"/>
      <c r="EH577" s="38"/>
      <c r="EI577" s="38"/>
      <c r="EJ577" s="38"/>
      <c r="EK577" s="38"/>
      <c r="EL577" s="38"/>
      <c r="EM577" s="38"/>
      <c r="EN577" s="38"/>
      <c r="EO577" s="38"/>
      <c r="EP577" s="38"/>
      <c r="EQ577" s="38"/>
      <c r="ER577" s="38"/>
      <c r="ES577" s="38"/>
      <c r="ET577" s="38"/>
      <c r="EU577" s="38"/>
      <c r="EV577" s="38"/>
      <c r="EW577" s="38"/>
      <c r="EX577" s="38"/>
      <c r="EY577" s="38"/>
      <c r="EZ577" s="38"/>
      <c r="FA577" s="38"/>
      <c r="FB577" s="38"/>
      <c r="FC577" s="38"/>
      <c r="FD577" s="38"/>
      <c r="FE577" s="38"/>
      <c r="FF577" s="38"/>
      <c r="FG577" s="38"/>
      <c r="FH577" s="38"/>
      <c r="FI577" s="38"/>
      <c r="FJ577" s="38"/>
      <c r="FK577" s="38"/>
      <c r="FL577" s="38"/>
      <c r="FM577" s="38"/>
      <c r="FN577" s="38"/>
      <c r="FO577" s="38"/>
      <c r="FP577" s="38"/>
      <c r="FQ577" s="38"/>
      <c r="FR577" s="38"/>
      <c r="FS577" s="38"/>
      <c r="FT577" s="38"/>
      <c r="FU577" s="38"/>
      <c r="FV577" s="38"/>
      <c r="FW577" s="38"/>
      <c r="FX577" s="38"/>
      <c r="FY577" s="38"/>
      <c r="FZ577" s="38"/>
      <c r="GA577" s="38"/>
      <c r="GB577" s="38"/>
      <c r="GC577" s="38"/>
      <c r="GD577" s="38"/>
      <c r="GE577" s="38"/>
      <c r="GF577" s="38"/>
      <c r="GG577" s="38"/>
      <c r="GH577" s="38"/>
      <c r="GI577" s="38"/>
      <c r="GJ577" s="38"/>
      <c r="GK577" s="38"/>
      <c r="GL577" s="38"/>
      <c r="GM577" s="38"/>
      <c r="GN577" s="38"/>
      <c r="GO577" s="38"/>
      <c r="GP577" s="38"/>
      <c r="GQ577" s="38"/>
      <c r="GR577" s="38"/>
      <c r="GS577" s="38"/>
      <c r="GT577" s="38"/>
      <c r="GU577" s="38"/>
      <c r="GV577" s="38"/>
      <c r="GW577" s="38"/>
      <c r="GX577" s="38"/>
      <c r="GY577" s="38"/>
      <c r="GZ577" s="38"/>
      <c r="HA577" s="38"/>
      <c r="HB577" s="38"/>
      <c r="HC577" s="38"/>
      <c r="HD577" s="38"/>
      <c r="HE577" s="38"/>
      <c r="HF577" s="38"/>
      <c r="HG577" s="38"/>
      <c r="HH577" s="38"/>
      <c r="HI577" s="38"/>
      <c r="HJ577" s="38"/>
      <c r="HK577" s="38"/>
      <c r="HL577" s="38"/>
      <c r="HM577" s="38"/>
      <c r="HN577" s="38"/>
      <c r="HO577" s="38"/>
      <c r="HP577" s="38"/>
      <c r="HQ577" s="38"/>
      <c r="HR577" s="38"/>
      <c r="HS577" s="38"/>
      <c r="HT577" s="38"/>
      <c r="HU577" s="38"/>
      <c r="HV577" s="38"/>
      <c r="HW577" s="38"/>
      <c r="HX577" s="38"/>
      <c r="HY577" s="38"/>
      <c r="HZ577" s="38"/>
      <c r="IA577" s="38"/>
      <c r="IB577" s="38"/>
      <c r="IC577" s="38"/>
      <c r="ID577" s="38"/>
      <c r="IE577" s="38"/>
      <c r="IF577" s="38"/>
      <c r="IG577" s="38"/>
      <c r="IH577" s="38"/>
      <c r="II577" s="38"/>
      <c r="IJ577" s="38"/>
      <c r="IK577" s="38"/>
      <c r="IL577" s="38"/>
      <c r="IM577" s="38"/>
      <c r="IN577" s="38"/>
      <c r="IO577" s="38"/>
      <c r="IP577" s="38"/>
      <c r="IQ577" s="38"/>
      <c r="IR577" s="38"/>
      <c r="IS577" s="38"/>
      <c r="IT577" s="38"/>
      <c r="IU577" s="38"/>
    </row>
    <row r="578" spans="1:255" s="40" customFormat="1" ht="24.95" customHeight="1" x14ac:dyDescent="0.3">
      <c r="A578" s="124"/>
      <c r="B578" s="124"/>
      <c r="C578" s="124"/>
      <c r="D578" s="124"/>
      <c r="E578" s="124"/>
      <c r="F578" s="124"/>
      <c r="G578" s="124"/>
      <c r="H578" s="42" t="s">
        <v>894</v>
      </c>
      <c r="I578" s="42" t="s">
        <v>894</v>
      </c>
      <c r="J578" s="42" t="s">
        <v>737</v>
      </c>
      <c r="K578" s="42"/>
      <c r="L578" s="42" t="s">
        <v>721</v>
      </c>
      <c r="M578" s="42">
        <v>10</v>
      </c>
      <c r="N578" s="42">
        <v>19.829999999999998</v>
      </c>
      <c r="O578" s="128"/>
      <c r="P578" s="42">
        <v>15.1</v>
      </c>
      <c r="Q578" s="42">
        <v>10</v>
      </c>
      <c r="R578" s="42">
        <v>1.51</v>
      </c>
      <c r="S578" s="42" t="s">
        <v>893</v>
      </c>
      <c r="T578" s="42"/>
      <c r="U578" s="41"/>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c r="BK578" s="38"/>
      <c r="BL578" s="38"/>
      <c r="BM578" s="38"/>
      <c r="BN578" s="38"/>
      <c r="BO578" s="38"/>
      <c r="BP578" s="38"/>
      <c r="BQ578" s="38"/>
      <c r="BR578" s="38"/>
      <c r="BS578" s="38"/>
      <c r="BT578" s="38"/>
      <c r="BU578" s="38"/>
      <c r="BV578" s="38"/>
      <c r="BW578" s="38"/>
      <c r="BX578" s="38"/>
      <c r="BY578" s="38"/>
      <c r="BZ578" s="38"/>
      <c r="CA578" s="38"/>
      <c r="CB578" s="38"/>
      <c r="CC578" s="38"/>
      <c r="CD578" s="38"/>
      <c r="CE578" s="38"/>
      <c r="CF578" s="38"/>
      <c r="CG578" s="38"/>
      <c r="CH578" s="38"/>
      <c r="CI578" s="38"/>
      <c r="CJ578" s="38"/>
      <c r="CK578" s="38"/>
      <c r="CL578" s="38"/>
      <c r="CM578" s="38"/>
      <c r="CN578" s="38"/>
      <c r="CO578" s="38"/>
      <c r="CP578" s="38"/>
      <c r="CQ578" s="38"/>
      <c r="CR578" s="38"/>
      <c r="CS578" s="38"/>
      <c r="CT578" s="38"/>
      <c r="CU578" s="38"/>
      <c r="CV578" s="38"/>
      <c r="CW578" s="38"/>
      <c r="CX578" s="38"/>
      <c r="CY578" s="38"/>
      <c r="CZ578" s="38"/>
      <c r="DA578" s="38"/>
      <c r="DB578" s="38"/>
      <c r="DC578" s="38"/>
      <c r="DD578" s="38"/>
      <c r="DE578" s="38"/>
      <c r="DF578" s="38"/>
      <c r="DG578" s="38"/>
      <c r="DH578" s="38"/>
      <c r="DI578" s="38"/>
      <c r="DJ578" s="38"/>
      <c r="DK578" s="38"/>
      <c r="DL578" s="38"/>
      <c r="DM578" s="38"/>
      <c r="DN578" s="38"/>
      <c r="DO578" s="38"/>
      <c r="DP578" s="38"/>
      <c r="DQ578" s="38"/>
      <c r="DR578" s="38"/>
      <c r="DS578" s="38"/>
      <c r="DT578" s="38"/>
      <c r="DU578" s="38"/>
      <c r="DV578" s="38"/>
      <c r="DW578" s="38"/>
      <c r="DX578" s="38"/>
      <c r="DY578" s="38"/>
      <c r="DZ578" s="38"/>
      <c r="EA578" s="38"/>
      <c r="EB578" s="38"/>
      <c r="EC578" s="38"/>
      <c r="ED578" s="38"/>
      <c r="EE578" s="38"/>
      <c r="EF578" s="38"/>
      <c r="EG578" s="38"/>
      <c r="EH578" s="38"/>
      <c r="EI578" s="38"/>
      <c r="EJ578" s="38"/>
      <c r="EK578" s="38"/>
      <c r="EL578" s="38"/>
      <c r="EM578" s="38"/>
      <c r="EN578" s="38"/>
      <c r="EO578" s="38"/>
      <c r="EP578" s="38"/>
      <c r="EQ578" s="38"/>
      <c r="ER578" s="38"/>
      <c r="ES578" s="38"/>
      <c r="ET578" s="38"/>
      <c r="EU578" s="38"/>
      <c r="EV578" s="38"/>
      <c r="EW578" s="38"/>
      <c r="EX578" s="38"/>
      <c r="EY578" s="38"/>
      <c r="EZ578" s="38"/>
      <c r="FA578" s="38"/>
      <c r="FB578" s="38"/>
      <c r="FC578" s="38"/>
      <c r="FD578" s="38"/>
      <c r="FE578" s="38"/>
      <c r="FF578" s="38"/>
      <c r="FG578" s="38"/>
      <c r="FH578" s="38"/>
      <c r="FI578" s="38"/>
      <c r="FJ578" s="38"/>
      <c r="FK578" s="38"/>
      <c r="FL578" s="38"/>
      <c r="FM578" s="38"/>
      <c r="FN578" s="38"/>
      <c r="FO578" s="38"/>
      <c r="FP578" s="38"/>
      <c r="FQ578" s="38"/>
      <c r="FR578" s="38"/>
      <c r="FS578" s="38"/>
      <c r="FT578" s="38"/>
      <c r="FU578" s="38"/>
      <c r="FV578" s="38"/>
      <c r="FW578" s="38"/>
      <c r="FX578" s="38"/>
      <c r="FY578" s="38"/>
      <c r="FZ578" s="38"/>
      <c r="GA578" s="38"/>
      <c r="GB578" s="38"/>
      <c r="GC578" s="38"/>
      <c r="GD578" s="38"/>
      <c r="GE578" s="38"/>
      <c r="GF578" s="38"/>
      <c r="GG578" s="38"/>
      <c r="GH578" s="38"/>
      <c r="GI578" s="38"/>
      <c r="GJ578" s="38"/>
      <c r="GK578" s="38"/>
      <c r="GL578" s="38"/>
      <c r="GM578" s="38"/>
      <c r="GN578" s="38"/>
      <c r="GO578" s="38"/>
      <c r="GP578" s="38"/>
      <c r="GQ578" s="38"/>
      <c r="GR578" s="38"/>
      <c r="GS578" s="38"/>
      <c r="GT578" s="38"/>
      <c r="GU578" s="38"/>
      <c r="GV578" s="38"/>
      <c r="GW578" s="38"/>
      <c r="GX578" s="38"/>
      <c r="GY578" s="38"/>
      <c r="GZ578" s="38"/>
      <c r="HA578" s="38"/>
      <c r="HB578" s="38"/>
      <c r="HC578" s="38"/>
      <c r="HD578" s="38"/>
      <c r="HE578" s="38"/>
      <c r="HF578" s="38"/>
      <c r="HG578" s="38"/>
      <c r="HH578" s="38"/>
      <c r="HI578" s="38"/>
      <c r="HJ578" s="38"/>
      <c r="HK578" s="38"/>
      <c r="HL578" s="38"/>
      <c r="HM578" s="38"/>
      <c r="HN578" s="38"/>
      <c r="HO578" s="38"/>
      <c r="HP578" s="38"/>
      <c r="HQ578" s="38"/>
      <c r="HR578" s="38"/>
      <c r="HS578" s="38"/>
      <c r="HT578" s="38"/>
      <c r="HU578" s="38"/>
      <c r="HV578" s="38"/>
      <c r="HW578" s="38"/>
      <c r="HX578" s="38"/>
      <c r="HY578" s="38"/>
      <c r="HZ578" s="38"/>
      <c r="IA578" s="38"/>
      <c r="IB578" s="38"/>
      <c r="IC578" s="38"/>
      <c r="ID578" s="38"/>
      <c r="IE578" s="38"/>
      <c r="IF578" s="38"/>
      <c r="IG578" s="38"/>
      <c r="IH578" s="38"/>
      <c r="II578" s="38"/>
      <c r="IJ578" s="38"/>
      <c r="IK578" s="38"/>
      <c r="IL578" s="38"/>
      <c r="IM578" s="38"/>
      <c r="IN578" s="38"/>
      <c r="IO578" s="38"/>
      <c r="IP578" s="38"/>
      <c r="IQ578" s="38"/>
      <c r="IR578" s="38"/>
      <c r="IS578" s="38"/>
      <c r="IT578" s="38"/>
      <c r="IU578" s="38"/>
    </row>
    <row r="579" spans="1:255" s="40" customFormat="1" ht="24.95" customHeight="1" x14ac:dyDescent="0.3">
      <c r="A579" s="43">
        <v>2025.09</v>
      </c>
      <c r="B579" s="42" t="s">
        <v>734</v>
      </c>
      <c r="C579" s="42" t="s">
        <v>44</v>
      </c>
      <c r="D579" s="42" t="s">
        <v>892</v>
      </c>
      <c r="E579" s="42"/>
      <c r="F579" s="42" t="s">
        <v>891</v>
      </c>
      <c r="G579" s="42" t="s">
        <v>890</v>
      </c>
      <c r="H579" s="42" t="s">
        <v>833</v>
      </c>
      <c r="I579" s="42" t="s">
        <v>833</v>
      </c>
      <c r="J579" s="42" t="s">
        <v>737</v>
      </c>
      <c r="K579" s="42"/>
      <c r="L579" s="42" t="s">
        <v>721</v>
      </c>
      <c r="M579" s="42">
        <v>30</v>
      </c>
      <c r="N579" s="42">
        <v>2700</v>
      </c>
      <c r="O579" s="42" t="s">
        <v>736</v>
      </c>
      <c r="P579" s="42">
        <v>2695.5</v>
      </c>
      <c r="Q579" s="42">
        <v>30</v>
      </c>
      <c r="R579" s="42">
        <v>89.85</v>
      </c>
      <c r="S579" s="42" t="s">
        <v>735</v>
      </c>
      <c r="T579" s="42"/>
      <c r="U579" s="41"/>
    </row>
    <row r="580" spans="1:255" s="40" customFormat="1" ht="24.95" customHeight="1" x14ac:dyDescent="0.3">
      <c r="A580" s="52">
        <v>2025.09</v>
      </c>
      <c r="B580" s="53" t="s">
        <v>793</v>
      </c>
      <c r="C580" s="49" t="s">
        <v>44</v>
      </c>
      <c r="D580" s="49"/>
      <c r="E580" s="49"/>
      <c r="F580" s="49" t="s">
        <v>889</v>
      </c>
      <c r="G580" s="49"/>
      <c r="H580" s="49" t="s">
        <v>888</v>
      </c>
      <c r="I580" s="49" t="s">
        <v>887</v>
      </c>
      <c r="J580" s="49" t="s">
        <v>886</v>
      </c>
      <c r="K580" s="49" t="s">
        <v>753</v>
      </c>
      <c r="L580" s="49" t="s">
        <v>721</v>
      </c>
      <c r="M580" s="49">
        <v>4</v>
      </c>
      <c r="N580" s="49"/>
      <c r="O580" s="49"/>
      <c r="P580" s="49"/>
      <c r="Q580" s="49"/>
      <c r="R580" s="49"/>
      <c r="S580" s="49"/>
      <c r="T580" s="49"/>
      <c r="U580" s="48"/>
    </row>
    <row r="581" spans="1:255" s="40" customFormat="1" ht="24.95" customHeight="1" x14ac:dyDescent="0.3">
      <c r="A581" s="43">
        <v>2025.09</v>
      </c>
      <c r="B581" s="42" t="s">
        <v>734</v>
      </c>
      <c r="C581" s="42" t="s">
        <v>576</v>
      </c>
      <c r="D581" s="42" t="s">
        <v>885</v>
      </c>
      <c r="E581" s="42"/>
      <c r="F581" s="42" t="s">
        <v>884</v>
      </c>
      <c r="G581" s="42" t="s">
        <v>883</v>
      </c>
      <c r="H581" s="42" t="s">
        <v>882</v>
      </c>
      <c r="I581" s="42" t="s">
        <v>881</v>
      </c>
      <c r="J581" s="42" t="s">
        <v>728</v>
      </c>
      <c r="K581" s="42"/>
      <c r="L581" s="42">
        <v>8.5</v>
      </c>
      <c r="M581" s="42">
        <v>20</v>
      </c>
      <c r="N581" s="42">
        <v>2980</v>
      </c>
      <c r="O581" s="42" t="s">
        <v>880</v>
      </c>
      <c r="P581" s="42">
        <v>2374</v>
      </c>
      <c r="Q581" s="42">
        <v>20</v>
      </c>
      <c r="R581" s="42">
        <v>118.7</v>
      </c>
      <c r="S581" s="42" t="s">
        <v>879</v>
      </c>
      <c r="T581" s="42"/>
      <c r="U581" s="41" t="s">
        <v>878</v>
      </c>
    </row>
    <row r="582" spans="1:255" s="40" customFormat="1" ht="24.95" customHeight="1" x14ac:dyDescent="0.3">
      <c r="A582" s="61">
        <v>2025.09</v>
      </c>
      <c r="B582" s="57" t="s">
        <v>877</v>
      </c>
      <c r="C582" s="57" t="s">
        <v>351</v>
      </c>
      <c r="D582" s="57" t="s">
        <v>725</v>
      </c>
      <c r="E582" s="57"/>
      <c r="F582" s="57" t="s">
        <v>865</v>
      </c>
      <c r="G582" s="57"/>
      <c r="H582" s="57" t="s">
        <v>864</v>
      </c>
      <c r="I582" s="57" t="s">
        <v>863</v>
      </c>
      <c r="J582" s="57" t="s">
        <v>759</v>
      </c>
      <c r="K582" s="57" t="s">
        <v>753</v>
      </c>
      <c r="L582" s="57" t="s">
        <v>721</v>
      </c>
      <c r="M582" s="57">
        <v>1</v>
      </c>
      <c r="N582" s="57">
        <v>130</v>
      </c>
      <c r="O582" s="57"/>
      <c r="P582" s="57"/>
      <c r="Q582" s="57"/>
      <c r="R582" s="57"/>
      <c r="S582" s="57"/>
      <c r="T582" s="57"/>
      <c r="U582" s="60"/>
    </row>
    <row r="583" spans="1:255" s="40" customFormat="1" ht="24.95" customHeight="1" x14ac:dyDescent="0.3">
      <c r="A583" s="144">
        <v>2025.09</v>
      </c>
      <c r="B583" s="144" t="s">
        <v>877</v>
      </c>
      <c r="C583" s="144" t="s">
        <v>139</v>
      </c>
      <c r="D583" s="144" t="s">
        <v>140</v>
      </c>
      <c r="E583" s="144"/>
      <c r="F583" s="144" t="s">
        <v>825</v>
      </c>
      <c r="G583" s="144" t="s">
        <v>876</v>
      </c>
      <c r="H583" s="144" t="s">
        <v>875</v>
      </c>
      <c r="I583" s="57" t="s">
        <v>822</v>
      </c>
      <c r="J583" s="57" t="s">
        <v>759</v>
      </c>
      <c r="K583" s="57" t="s">
        <v>753</v>
      </c>
      <c r="L583" s="57" t="s">
        <v>721</v>
      </c>
      <c r="M583" s="57">
        <v>5</v>
      </c>
      <c r="N583" s="57"/>
      <c r="O583" s="57"/>
      <c r="P583" s="57"/>
      <c r="Q583" s="57"/>
      <c r="R583" s="57"/>
      <c r="S583" s="57"/>
      <c r="T583" s="57"/>
      <c r="U583" s="140" t="s">
        <v>874</v>
      </c>
    </row>
    <row r="584" spans="1:255" s="40" customFormat="1" ht="24.95" customHeight="1" x14ac:dyDescent="0.3">
      <c r="A584" s="145"/>
      <c r="B584" s="145"/>
      <c r="C584" s="145"/>
      <c r="D584" s="145"/>
      <c r="E584" s="145"/>
      <c r="F584" s="145"/>
      <c r="G584" s="145"/>
      <c r="H584" s="145"/>
      <c r="I584" s="57" t="s">
        <v>821</v>
      </c>
      <c r="J584" s="57" t="s">
        <v>759</v>
      </c>
      <c r="K584" s="57" t="s">
        <v>753</v>
      </c>
      <c r="L584" s="57" t="s">
        <v>721</v>
      </c>
      <c r="M584" s="57">
        <v>8</v>
      </c>
      <c r="N584" s="57"/>
      <c r="O584" s="57"/>
      <c r="P584" s="57"/>
      <c r="Q584" s="57"/>
      <c r="R584" s="57"/>
      <c r="S584" s="57"/>
      <c r="T584" s="57"/>
      <c r="U584" s="141"/>
    </row>
    <row r="585" spans="1:255" s="40" customFormat="1" ht="24.95" customHeight="1" x14ac:dyDescent="0.3">
      <c r="A585" s="52">
        <v>2025.1</v>
      </c>
      <c r="B585" s="49" t="s">
        <v>734</v>
      </c>
      <c r="C585" s="49" t="s">
        <v>873</v>
      </c>
      <c r="D585" s="49" t="s">
        <v>872</v>
      </c>
      <c r="E585" s="49"/>
      <c r="F585" s="49" t="s">
        <v>871</v>
      </c>
      <c r="G585" s="49" t="s">
        <v>870</v>
      </c>
      <c r="H585" s="49" t="s">
        <v>869</v>
      </c>
      <c r="I585" s="49" t="s">
        <v>868</v>
      </c>
      <c r="J585" s="49" t="s">
        <v>754</v>
      </c>
      <c r="K585" s="49" t="s">
        <v>753</v>
      </c>
      <c r="L585" s="50" t="s">
        <v>721</v>
      </c>
      <c r="M585" s="49">
        <v>35</v>
      </c>
      <c r="N585" s="49">
        <v>1706.7</v>
      </c>
      <c r="O585" s="49" t="s">
        <v>867</v>
      </c>
      <c r="P585" s="49">
        <v>1638</v>
      </c>
      <c r="Q585" s="49">
        <v>35</v>
      </c>
      <c r="R585" s="49">
        <v>46.8</v>
      </c>
      <c r="S585" s="49" t="s">
        <v>866</v>
      </c>
      <c r="T585" s="49"/>
      <c r="U585" s="48"/>
    </row>
    <row r="586" spans="1:255" s="40" customFormat="1" ht="24.95" customHeight="1" x14ac:dyDescent="0.3">
      <c r="A586" s="52">
        <v>2025.1</v>
      </c>
      <c r="B586" s="53" t="s">
        <v>793</v>
      </c>
      <c r="C586" s="50" t="s">
        <v>351</v>
      </c>
      <c r="D586" s="50" t="s">
        <v>725</v>
      </c>
      <c r="E586" s="50"/>
      <c r="F586" s="50" t="s">
        <v>865</v>
      </c>
      <c r="G586" s="50"/>
      <c r="H586" s="50" t="s">
        <v>864</v>
      </c>
      <c r="I586" s="50" t="s">
        <v>863</v>
      </c>
      <c r="J586" s="50" t="s">
        <v>759</v>
      </c>
      <c r="K586" s="50" t="s">
        <v>753</v>
      </c>
      <c r="L586" s="50" t="s">
        <v>721</v>
      </c>
      <c r="M586" s="50">
        <v>1</v>
      </c>
      <c r="N586" s="50">
        <v>130</v>
      </c>
      <c r="O586" s="50"/>
      <c r="P586" s="50"/>
      <c r="Q586" s="50"/>
      <c r="R586" s="50"/>
      <c r="S586" s="50"/>
      <c r="T586" s="50"/>
      <c r="U586" s="54"/>
    </row>
    <row r="587" spans="1:255" s="40" customFormat="1" ht="24.95" customHeight="1" x14ac:dyDescent="0.3">
      <c r="A587" s="123">
        <v>2025.1</v>
      </c>
      <c r="B587" s="123" t="s">
        <v>734</v>
      </c>
      <c r="C587" s="123" t="s">
        <v>156</v>
      </c>
      <c r="D587" s="123" t="s">
        <v>172</v>
      </c>
      <c r="E587" s="123"/>
      <c r="F587" s="123" t="s">
        <v>862</v>
      </c>
      <c r="G587" s="123" t="s">
        <v>861</v>
      </c>
      <c r="H587" s="123" t="s">
        <v>801</v>
      </c>
      <c r="I587" s="123" t="s">
        <v>860</v>
      </c>
      <c r="J587" s="123" t="s">
        <v>728</v>
      </c>
      <c r="K587" s="123"/>
      <c r="L587" s="129">
        <v>8.5</v>
      </c>
      <c r="M587" s="125">
        <v>50</v>
      </c>
      <c r="N587" s="125">
        <v>6000</v>
      </c>
      <c r="O587" s="42" t="s">
        <v>800</v>
      </c>
      <c r="P587" s="42">
        <v>2775</v>
      </c>
      <c r="Q587" s="42">
        <v>25</v>
      </c>
      <c r="R587" s="42">
        <v>111</v>
      </c>
      <c r="S587" s="42"/>
      <c r="T587" s="42"/>
      <c r="U587" s="41"/>
    </row>
    <row r="588" spans="1:255" s="40" customFormat="1" ht="24.95" customHeight="1" x14ac:dyDescent="0.3">
      <c r="A588" s="139"/>
      <c r="B588" s="139"/>
      <c r="C588" s="139"/>
      <c r="D588" s="139"/>
      <c r="E588" s="139"/>
      <c r="F588" s="139"/>
      <c r="G588" s="139"/>
      <c r="H588" s="139"/>
      <c r="I588" s="139"/>
      <c r="J588" s="139"/>
      <c r="K588" s="139"/>
      <c r="L588" s="142"/>
      <c r="M588" s="143"/>
      <c r="N588" s="143"/>
      <c r="O588" s="42" t="s">
        <v>799</v>
      </c>
      <c r="P588" s="42">
        <v>1695</v>
      </c>
      <c r="Q588" s="42">
        <v>15</v>
      </c>
      <c r="R588" s="42">
        <v>113</v>
      </c>
      <c r="S588" s="42"/>
      <c r="T588" s="42"/>
      <c r="U588" s="41"/>
    </row>
    <row r="589" spans="1:255" s="40" customFormat="1" ht="24.95" customHeight="1" x14ac:dyDescent="0.3">
      <c r="A589" s="124"/>
      <c r="B589" s="124"/>
      <c r="C589" s="124"/>
      <c r="D589" s="124"/>
      <c r="E589" s="124"/>
      <c r="F589" s="124"/>
      <c r="G589" s="124"/>
      <c r="H589" s="124"/>
      <c r="I589" s="124"/>
      <c r="J589" s="124"/>
      <c r="K589" s="124"/>
      <c r="L589" s="130"/>
      <c r="M589" s="126"/>
      <c r="N589" s="126"/>
      <c r="O589" s="42" t="s">
        <v>859</v>
      </c>
      <c r="P589" s="42">
        <v>1199.7</v>
      </c>
      <c r="Q589" s="42">
        <v>10</v>
      </c>
      <c r="R589" s="42">
        <v>119.97</v>
      </c>
      <c r="S589" s="42"/>
      <c r="T589" s="42"/>
      <c r="U589" s="41"/>
    </row>
    <row r="590" spans="1:255" s="40" customFormat="1" ht="24.95" customHeight="1" x14ac:dyDescent="0.3">
      <c r="A590" s="43">
        <v>2025.1</v>
      </c>
      <c r="B590" s="42" t="s">
        <v>734</v>
      </c>
      <c r="C590" s="42" t="s">
        <v>156</v>
      </c>
      <c r="D590" s="42" t="s">
        <v>172</v>
      </c>
      <c r="E590" s="42"/>
      <c r="F590" s="42" t="s">
        <v>858</v>
      </c>
      <c r="G590" s="42"/>
      <c r="H590" s="42" t="s">
        <v>857</v>
      </c>
      <c r="I590" s="42" t="s">
        <v>857</v>
      </c>
      <c r="J590" s="42" t="s">
        <v>768</v>
      </c>
      <c r="K590" s="42"/>
      <c r="L590" s="42" t="s">
        <v>721</v>
      </c>
      <c r="M590" s="42">
        <v>1</v>
      </c>
      <c r="N590" s="42" t="s">
        <v>721</v>
      </c>
      <c r="O590" s="42" t="s">
        <v>856</v>
      </c>
      <c r="P590" s="42">
        <v>26.8</v>
      </c>
      <c r="Q590" s="42">
        <v>1</v>
      </c>
      <c r="R590" s="42">
        <v>26.32</v>
      </c>
      <c r="S590" s="42" t="s">
        <v>766</v>
      </c>
      <c r="T590" s="42"/>
      <c r="U590" s="41"/>
    </row>
    <row r="591" spans="1:255" s="40" customFormat="1" ht="24.95" customHeight="1" x14ac:dyDescent="0.3">
      <c r="A591" s="43">
        <v>2025.1</v>
      </c>
      <c r="B591" s="42" t="s">
        <v>734</v>
      </c>
      <c r="C591" s="42" t="s">
        <v>156</v>
      </c>
      <c r="D591" s="42" t="s">
        <v>758</v>
      </c>
      <c r="E591" s="42"/>
      <c r="F591" s="42" t="s">
        <v>855</v>
      </c>
      <c r="G591" s="42" t="s">
        <v>854</v>
      </c>
      <c r="H591" s="42" t="s">
        <v>853</v>
      </c>
      <c r="I591" s="42" t="s">
        <v>852</v>
      </c>
      <c r="J591" s="42" t="s">
        <v>768</v>
      </c>
      <c r="K591" s="42"/>
      <c r="L591" s="42" t="s">
        <v>721</v>
      </c>
      <c r="M591" s="42">
        <v>200</v>
      </c>
      <c r="N591" s="42">
        <v>10800</v>
      </c>
      <c r="O591" s="42" t="s">
        <v>851</v>
      </c>
      <c r="P591" s="42">
        <v>10760</v>
      </c>
      <c r="Q591" s="42">
        <v>200</v>
      </c>
      <c r="R591" s="42">
        <v>53.8</v>
      </c>
      <c r="S591" s="42" t="s">
        <v>850</v>
      </c>
      <c r="T591" s="42"/>
      <c r="U591" s="41" t="s">
        <v>849</v>
      </c>
    </row>
    <row r="592" spans="1:255" s="40" customFormat="1" ht="24.95" customHeight="1" x14ac:dyDescent="0.3">
      <c r="A592" s="47">
        <v>2025.1</v>
      </c>
      <c r="B592" s="42" t="s">
        <v>734</v>
      </c>
      <c r="C592" s="46" t="s">
        <v>122</v>
      </c>
      <c r="D592" s="46" t="s">
        <v>848</v>
      </c>
      <c r="E592" s="46"/>
      <c r="F592" s="46" t="s">
        <v>847</v>
      </c>
      <c r="G592" s="46" t="s">
        <v>846</v>
      </c>
      <c r="H592" s="46" t="s">
        <v>790</v>
      </c>
      <c r="I592" s="46" t="s">
        <v>845</v>
      </c>
      <c r="J592" s="42" t="s">
        <v>768</v>
      </c>
      <c r="K592" s="46"/>
      <c r="L592" s="42" t="s">
        <v>721</v>
      </c>
      <c r="M592" s="42">
        <v>50</v>
      </c>
      <c r="N592" s="42">
        <v>4250</v>
      </c>
      <c r="O592" s="42" t="s">
        <v>736</v>
      </c>
      <c r="P592" s="42">
        <v>4245</v>
      </c>
      <c r="Q592" s="42">
        <v>50</v>
      </c>
      <c r="R592" s="42">
        <v>84.9</v>
      </c>
      <c r="S592" s="42" t="s">
        <v>735</v>
      </c>
      <c r="T592" s="42"/>
      <c r="U592" s="41"/>
    </row>
    <row r="593" spans="1:255" s="40" customFormat="1" ht="24.95" customHeight="1" x14ac:dyDescent="0.3">
      <c r="A593" s="123">
        <v>2025.1</v>
      </c>
      <c r="B593" s="123" t="s">
        <v>734</v>
      </c>
      <c r="C593" s="123" t="s">
        <v>156</v>
      </c>
      <c r="D593" s="123" t="s">
        <v>172</v>
      </c>
      <c r="E593" s="123" t="s">
        <v>844</v>
      </c>
      <c r="F593" s="123" t="s">
        <v>843</v>
      </c>
      <c r="G593" s="123" t="s">
        <v>842</v>
      </c>
      <c r="H593" s="123" t="s">
        <v>769</v>
      </c>
      <c r="I593" s="42" t="s">
        <v>841</v>
      </c>
      <c r="J593" s="42" t="s">
        <v>759</v>
      </c>
      <c r="K593" s="127"/>
      <c r="L593" s="42" t="s">
        <v>721</v>
      </c>
      <c r="M593" s="42">
        <v>3</v>
      </c>
      <c r="N593" s="42">
        <v>393</v>
      </c>
      <c r="O593" s="42" t="s">
        <v>838</v>
      </c>
      <c r="P593" s="42">
        <v>390</v>
      </c>
      <c r="Q593" s="42">
        <v>3</v>
      </c>
      <c r="R593" s="42">
        <v>130</v>
      </c>
      <c r="S593" s="42"/>
      <c r="T593" s="42"/>
      <c r="U593" s="41" t="s">
        <v>840</v>
      </c>
    </row>
    <row r="594" spans="1:255" s="40" customFormat="1" ht="24.95" customHeight="1" x14ac:dyDescent="0.3">
      <c r="A594" s="124"/>
      <c r="B594" s="124"/>
      <c r="C594" s="124"/>
      <c r="D594" s="124"/>
      <c r="E594" s="124"/>
      <c r="F594" s="124"/>
      <c r="G594" s="124"/>
      <c r="H594" s="124"/>
      <c r="I594" s="42" t="s">
        <v>839</v>
      </c>
      <c r="J594" s="42" t="s">
        <v>759</v>
      </c>
      <c r="K594" s="128"/>
      <c r="L594" s="42" t="s">
        <v>721</v>
      </c>
      <c r="M594" s="42">
        <v>4</v>
      </c>
      <c r="N594" s="42">
        <v>606</v>
      </c>
      <c r="O594" s="42" t="s">
        <v>838</v>
      </c>
      <c r="P594" s="42">
        <v>602</v>
      </c>
      <c r="Q594" s="42">
        <v>4</v>
      </c>
      <c r="R594" s="42">
        <v>150.5</v>
      </c>
      <c r="S594" s="42"/>
      <c r="T594" s="42"/>
      <c r="U594" s="41" t="s">
        <v>837</v>
      </c>
    </row>
    <row r="595" spans="1:255" s="40" customFormat="1" ht="24.95" customHeight="1" x14ac:dyDescent="0.3">
      <c r="A595" s="43">
        <v>2025.11</v>
      </c>
      <c r="B595" s="42" t="s">
        <v>734</v>
      </c>
      <c r="C595" s="42" t="s">
        <v>44</v>
      </c>
      <c r="D595" s="42" t="s">
        <v>45</v>
      </c>
      <c r="E595" s="42" t="s">
        <v>836</v>
      </c>
      <c r="F595" s="42" t="s">
        <v>835</v>
      </c>
      <c r="G595" s="42" t="s">
        <v>834</v>
      </c>
      <c r="H595" s="42" t="s">
        <v>833</v>
      </c>
      <c r="I595" s="42" t="s">
        <v>833</v>
      </c>
      <c r="J595" s="42" t="s">
        <v>737</v>
      </c>
      <c r="K595" s="42"/>
      <c r="L595" s="42" t="s">
        <v>721</v>
      </c>
      <c r="M595" s="42">
        <v>20</v>
      </c>
      <c r="N595" s="42">
        <v>1780</v>
      </c>
      <c r="O595" s="42" t="s">
        <v>832</v>
      </c>
      <c r="P595" s="42">
        <v>1684</v>
      </c>
      <c r="Q595" s="42">
        <v>20</v>
      </c>
      <c r="R595" s="42">
        <v>84.2</v>
      </c>
      <c r="S595" s="42" t="s">
        <v>831</v>
      </c>
      <c r="T595" s="42"/>
      <c r="U595" s="41"/>
    </row>
    <row r="596" spans="1:255" s="38" customFormat="1" ht="24.95" customHeight="1" x14ac:dyDescent="0.3">
      <c r="A596" s="56">
        <v>2025.11</v>
      </c>
      <c r="B596" s="53" t="s">
        <v>793</v>
      </c>
      <c r="C596" s="51" t="s">
        <v>156</v>
      </c>
      <c r="D596" s="51" t="s">
        <v>172</v>
      </c>
      <c r="E596" s="51"/>
      <c r="F596" s="51" t="s">
        <v>830</v>
      </c>
      <c r="G596" s="51" t="s">
        <v>829</v>
      </c>
      <c r="H596" s="51" t="s">
        <v>828</v>
      </c>
      <c r="I596" s="51" t="s">
        <v>827</v>
      </c>
      <c r="J596" s="51" t="s">
        <v>754</v>
      </c>
      <c r="K596" s="51" t="s">
        <v>753</v>
      </c>
      <c r="L596" s="51">
        <v>4.2</v>
      </c>
      <c r="M596" s="51">
        <v>10</v>
      </c>
      <c r="N596" s="51" t="s">
        <v>826</v>
      </c>
      <c r="O596" s="51"/>
      <c r="P596" s="51"/>
      <c r="Q596" s="51"/>
      <c r="R596" s="51"/>
      <c r="S596" s="51"/>
      <c r="T596" s="51"/>
      <c r="U596" s="55"/>
    </row>
    <row r="597" spans="1:255" s="40" customFormat="1" ht="24.95" customHeight="1" x14ac:dyDescent="0.3">
      <c r="A597" s="131">
        <v>2025.11</v>
      </c>
      <c r="B597" s="131" t="s">
        <v>734</v>
      </c>
      <c r="C597" s="131" t="s">
        <v>139</v>
      </c>
      <c r="D597" s="131" t="s">
        <v>140</v>
      </c>
      <c r="E597" s="131"/>
      <c r="F597" s="131" t="s">
        <v>825</v>
      </c>
      <c r="G597" s="131" t="s">
        <v>824</v>
      </c>
      <c r="H597" s="131" t="s">
        <v>823</v>
      </c>
      <c r="I597" s="50" t="s">
        <v>822</v>
      </c>
      <c r="J597" s="50" t="s">
        <v>759</v>
      </c>
      <c r="K597" s="137" t="s">
        <v>753</v>
      </c>
      <c r="L597" s="50" t="s">
        <v>721</v>
      </c>
      <c r="M597" s="50">
        <v>5</v>
      </c>
      <c r="N597" s="50"/>
      <c r="O597" s="50"/>
      <c r="P597" s="50"/>
      <c r="Q597" s="50"/>
      <c r="R597" s="50"/>
      <c r="S597" s="50"/>
      <c r="T597" s="50"/>
      <c r="U597" s="54"/>
    </row>
    <row r="598" spans="1:255" s="40" customFormat="1" ht="24.95" customHeight="1" x14ac:dyDescent="0.3">
      <c r="A598" s="133"/>
      <c r="B598" s="133"/>
      <c r="C598" s="133"/>
      <c r="D598" s="133"/>
      <c r="E598" s="133"/>
      <c r="F598" s="133"/>
      <c r="G598" s="133"/>
      <c r="H598" s="133"/>
      <c r="I598" s="50" t="s">
        <v>821</v>
      </c>
      <c r="J598" s="50" t="s">
        <v>759</v>
      </c>
      <c r="K598" s="138" t="s">
        <v>753</v>
      </c>
      <c r="L598" s="50" t="s">
        <v>721</v>
      </c>
      <c r="M598" s="50">
        <v>8</v>
      </c>
      <c r="N598" s="50" t="s">
        <v>721</v>
      </c>
      <c r="O598" s="50" t="s">
        <v>820</v>
      </c>
      <c r="P598" s="50">
        <v>1159.76</v>
      </c>
      <c r="Q598" s="50">
        <v>8</v>
      </c>
      <c r="R598" s="50">
        <v>144.97</v>
      </c>
      <c r="S598" s="50"/>
      <c r="T598" s="50"/>
      <c r="U598" s="54" t="s">
        <v>819</v>
      </c>
    </row>
    <row r="599" spans="1:255" s="40" customFormat="1" ht="24.95" customHeight="1" x14ac:dyDescent="0.3">
      <c r="A599" s="43">
        <v>2025.11</v>
      </c>
      <c r="B599" s="42" t="s">
        <v>734</v>
      </c>
      <c r="C599" s="42" t="s">
        <v>225</v>
      </c>
      <c r="D599" s="42" t="s">
        <v>818</v>
      </c>
      <c r="E599" s="42"/>
      <c r="F599" s="42" t="s">
        <v>817</v>
      </c>
      <c r="G599" s="42" t="s">
        <v>816</v>
      </c>
      <c r="H599" s="42" t="s">
        <v>815</v>
      </c>
      <c r="I599" s="42" t="s">
        <v>814</v>
      </c>
      <c r="J599" s="42" t="s">
        <v>768</v>
      </c>
      <c r="K599" s="42"/>
      <c r="L599" s="42" t="s">
        <v>721</v>
      </c>
      <c r="M599" s="42">
        <v>5</v>
      </c>
      <c r="N599" s="42">
        <v>480</v>
      </c>
      <c r="O599" s="42" t="s">
        <v>813</v>
      </c>
      <c r="P599" s="42">
        <v>5</v>
      </c>
      <c r="Q599" s="42">
        <v>478</v>
      </c>
      <c r="R599" s="42">
        <v>95.6</v>
      </c>
      <c r="S599" s="42"/>
      <c r="T599" s="42"/>
      <c r="U599" s="41"/>
    </row>
    <row r="600" spans="1:255" ht="24.95" customHeight="1" x14ac:dyDescent="0.3">
      <c r="A600" s="123">
        <v>2025.11</v>
      </c>
      <c r="B600" s="123" t="s">
        <v>734</v>
      </c>
      <c r="C600" s="123" t="s">
        <v>156</v>
      </c>
      <c r="D600" s="123" t="s">
        <v>172</v>
      </c>
      <c r="E600" s="123"/>
      <c r="F600" s="123" t="s">
        <v>812</v>
      </c>
      <c r="G600" s="123" t="s">
        <v>811</v>
      </c>
      <c r="H600" s="123" t="s">
        <v>810</v>
      </c>
      <c r="I600" s="42" t="s">
        <v>809</v>
      </c>
      <c r="J600" s="42" t="s">
        <v>768</v>
      </c>
      <c r="K600" s="123"/>
      <c r="L600" s="42" t="s">
        <v>721</v>
      </c>
      <c r="M600" s="42">
        <v>150</v>
      </c>
      <c r="N600" s="42">
        <v>15000</v>
      </c>
      <c r="O600" s="42" t="s">
        <v>806</v>
      </c>
      <c r="P600" s="42">
        <v>14250</v>
      </c>
      <c r="Q600" s="42">
        <v>150</v>
      </c>
      <c r="R600" s="42">
        <v>95</v>
      </c>
      <c r="S600" s="42" t="s">
        <v>805</v>
      </c>
      <c r="T600" s="42"/>
      <c r="U600" s="41"/>
    </row>
    <row r="601" spans="1:255" ht="24.95" customHeight="1" x14ac:dyDescent="0.3">
      <c r="A601" s="139"/>
      <c r="B601" s="139"/>
      <c r="C601" s="139"/>
      <c r="D601" s="139"/>
      <c r="E601" s="139"/>
      <c r="F601" s="139"/>
      <c r="G601" s="139"/>
      <c r="H601" s="139"/>
      <c r="I601" s="42" t="s">
        <v>808</v>
      </c>
      <c r="J601" s="42" t="s">
        <v>768</v>
      </c>
      <c r="K601" s="139"/>
      <c r="L601" s="42" t="s">
        <v>721</v>
      </c>
      <c r="M601" s="42">
        <v>50</v>
      </c>
      <c r="N601" s="42">
        <v>5400</v>
      </c>
      <c r="O601" s="42" t="s">
        <v>806</v>
      </c>
      <c r="P601" s="42">
        <v>5150</v>
      </c>
      <c r="Q601" s="42">
        <v>50</v>
      </c>
      <c r="R601" s="42">
        <v>103</v>
      </c>
      <c r="S601" s="42" t="s">
        <v>805</v>
      </c>
      <c r="T601" s="42"/>
      <c r="U601" s="41"/>
    </row>
    <row r="602" spans="1:255" ht="24.95" customHeight="1" x14ac:dyDescent="0.3">
      <c r="A602" s="124"/>
      <c r="B602" s="124"/>
      <c r="C602" s="124"/>
      <c r="D602" s="124"/>
      <c r="E602" s="124"/>
      <c r="F602" s="124"/>
      <c r="G602" s="124"/>
      <c r="H602" s="124"/>
      <c r="I602" s="42" t="s">
        <v>807</v>
      </c>
      <c r="J602" s="42" t="s">
        <v>768</v>
      </c>
      <c r="K602" s="124"/>
      <c r="L602" s="42" t="s">
        <v>721</v>
      </c>
      <c r="M602" s="42">
        <v>50</v>
      </c>
      <c r="N602" s="42">
        <v>5400</v>
      </c>
      <c r="O602" s="42" t="s">
        <v>806</v>
      </c>
      <c r="P602" s="42">
        <v>5150</v>
      </c>
      <c r="Q602" s="42">
        <v>50</v>
      </c>
      <c r="R602" s="42">
        <v>103</v>
      </c>
      <c r="S602" s="42" t="s">
        <v>805</v>
      </c>
      <c r="T602" s="42"/>
      <c r="U602" s="41"/>
    </row>
    <row r="603" spans="1:255" ht="24.95" customHeight="1" x14ac:dyDescent="0.3">
      <c r="A603" s="123">
        <v>2025.12</v>
      </c>
      <c r="B603" s="123" t="s">
        <v>734</v>
      </c>
      <c r="C603" s="123" t="s">
        <v>156</v>
      </c>
      <c r="D603" s="123" t="s">
        <v>172</v>
      </c>
      <c r="E603" s="123"/>
      <c r="F603" s="123" t="s">
        <v>804</v>
      </c>
      <c r="G603" s="123" t="s">
        <v>803</v>
      </c>
      <c r="H603" s="123" t="s">
        <v>802</v>
      </c>
      <c r="I603" s="123" t="s">
        <v>801</v>
      </c>
      <c r="J603" s="123" t="s">
        <v>728</v>
      </c>
      <c r="K603" s="123"/>
      <c r="L603" s="129">
        <v>8.5</v>
      </c>
      <c r="M603" s="42">
        <v>250</v>
      </c>
      <c r="N603" s="42"/>
      <c r="O603" s="42" t="s">
        <v>800</v>
      </c>
      <c r="P603" s="42">
        <v>26872.5</v>
      </c>
      <c r="Q603" s="42">
        <v>250</v>
      </c>
      <c r="R603" s="42">
        <v>107.49</v>
      </c>
      <c r="S603" s="42" t="s">
        <v>766</v>
      </c>
      <c r="T603" s="42"/>
      <c r="U603" s="41"/>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c r="CT603"/>
      <c r="CU603"/>
      <c r="CV603"/>
      <c r="CW603"/>
      <c r="CX603"/>
      <c r="CY603"/>
      <c r="CZ603"/>
      <c r="DA603"/>
      <c r="DB603"/>
      <c r="DC603"/>
      <c r="DD603"/>
      <c r="DE603"/>
      <c r="DF603"/>
      <c r="DG603"/>
      <c r="DH603"/>
      <c r="DI603"/>
      <c r="DJ603"/>
      <c r="DK603"/>
      <c r="DL603"/>
      <c r="DM603"/>
      <c r="DN603"/>
      <c r="DO603"/>
      <c r="DP603"/>
      <c r="DQ603"/>
      <c r="DR603"/>
      <c r="DS603"/>
      <c r="DT603"/>
      <c r="DU603"/>
      <c r="DV603"/>
      <c r="DW603"/>
      <c r="DX603"/>
      <c r="DY603"/>
      <c r="DZ603"/>
      <c r="EA603"/>
      <c r="EB603"/>
      <c r="EC603"/>
      <c r="ED603"/>
      <c r="EE603"/>
      <c r="EF603"/>
      <c r="EG603"/>
      <c r="EH603"/>
      <c r="EI603"/>
      <c r="EJ603"/>
      <c r="EK603"/>
      <c r="EL603"/>
      <c r="EM603"/>
      <c r="EN603"/>
      <c r="EO603"/>
      <c r="EP603"/>
      <c r="EQ603"/>
      <c r="ER603"/>
      <c r="ES603"/>
      <c r="ET603"/>
      <c r="EU603"/>
      <c r="EV603"/>
      <c r="EW603"/>
      <c r="EX603"/>
      <c r="EY603"/>
      <c r="EZ603"/>
      <c r="FA603"/>
      <c r="FB603"/>
      <c r="FC603"/>
      <c r="FD603"/>
      <c r="FE603"/>
      <c r="FF603"/>
      <c r="FG603"/>
      <c r="FH603"/>
      <c r="FI603"/>
      <c r="FJ603"/>
      <c r="FK603"/>
      <c r="FL603"/>
      <c r="FM603"/>
      <c r="FN603"/>
      <c r="FO603"/>
      <c r="FP603"/>
      <c r="FQ603"/>
      <c r="FR603"/>
      <c r="FS603"/>
      <c r="FT603"/>
      <c r="FU603"/>
      <c r="FV603"/>
      <c r="FW603"/>
      <c r="FX603"/>
      <c r="FY603"/>
      <c r="FZ603"/>
      <c r="GA603"/>
      <c r="GB603"/>
      <c r="GC603"/>
      <c r="GD603"/>
      <c r="GE603"/>
      <c r="GF603"/>
      <c r="GG603"/>
      <c r="GH603"/>
      <c r="GI603"/>
      <c r="GJ603"/>
      <c r="GK603"/>
      <c r="GL603"/>
      <c r="GM603"/>
      <c r="GN603"/>
      <c r="GO603"/>
      <c r="GP603"/>
      <c r="GQ603"/>
      <c r="GR603"/>
      <c r="GS603"/>
      <c r="GT603"/>
      <c r="GU603"/>
      <c r="GV603"/>
      <c r="GW603"/>
      <c r="GX603"/>
      <c r="GY603"/>
      <c r="GZ603"/>
      <c r="HA603"/>
      <c r="HB603"/>
      <c r="HC603"/>
      <c r="HD603"/>
      <c r="HE603"/>
      <c r="HF603"/>
      <c r="HG603"/>
      <c r="HH603"/>
      <c r="HI603"/>
      <c r="HJ603"/>
      <c r="HK603"/>
      <c r="HL603"/>
      <c r="HM603"/>
      <c r="HN603"/>
      <c r="HO603"/>
      <c r="HP603"/>
      <c r="HQ603"/>
      <c r="HR603"/>
      <c r="HS603"/>
      <c r="HT603"/>
      <c r="HU603"/>
      <c r="HV603"/>
      <c r="HW603"/>
      <c r="HX603"/>
      <c r="HY603"/>
      <c r="HZ603"/>
      <c r="IA603"/>
      <c r="IB603"/>
      <c r="IC603"/>
      <c r="ID603"/>
      <c r="IE603"/>
      <c r="IF603"/>
      <c r="IG603"/>
      <c r="IH603"/>
      <c r="II603"/>
      <c r="IJ603"/>
      <c r="IK603"/>
      <c r="IL603"/>
      <c r="IM603"/>
      <c r="IN603"/>
      <c r="IO603"/>
      <c r="IP603"/>
      <c r="IQ603"/>
      <c r="IR603"/>
      <c r="IS603"/>
      <c r="IT603"/>
      <c r="IU603"/>
    </row>
    <row r="604" spans="1:255" ht="24.95" customHeight="1" x14ac:dyDescent="0.3">
      <c r="A604" s="124"/>
      <c r="B604" s="124"/>
      <c r="C604" s="124"/>
      <c r="D604" s="124"/>
      <c r="E604" s="124"/>
      <c r="F604" s="124"/>
      <c r="G604" s="124"/>
      <c r="H604" s="124"/>
      <c r="I604" s="124"/>
      <c r="J604" s="124"/>
      <c r="K604" s="124"/>
      <c r="L604" s="130"/>
      <c r="M604" s="42">
        <v>200</v>
      </c>
      <c r="N604" s="42"/>
      <c r="O604" s="42" t="s">
        <v>799</v>
      </c>
      <c r="P604" s="42">
        <v>21460</v>
      </c>
      <c r="Q604" s="42">
        <v>200</v>
      </c>
      <c r="R604" s="42">
        <v>107.3</v>
      </c>
      <c r="S604" s="42"/>
      <c r="T604" s="42"/>
      <c r="U604" s="41"/>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c r="CW604"/>
      <c r="CX604"/>
      <c r="CY604"/>
      <c r="CZ604"/>
      <c r="DA604"/>
      <c r="DB604"/>
      <c r="DC604"/>
      <c r="DD604"/>
      <c r="DE604"/>
      <c r="DF604"/>
      <c r="DG604"/>
      <c r="DH604"/>
      <c r="DI604"/>
      <c r="DJ604"/>
      <c r="DK604"/>
      <c r="DL604"/>
      <c r="DM604"/>
      <c r="DN604"/>
      <c r="DO604"/>
      <c r="DP604"/>
      <c r="DQ604"/>
      <c r="DR604"/>
      <c r="DS604"/>
      <c r="DT604"/>
      <c r="DU604"/>
      <c r="DV604"/>
      <c r="DW604"/>
      <c r="DX604"/>
      <c r="DY604"/>
      <c r="DZ604"/>
      <c r="EA604"/>
      <c r="EB604"/>
      <c r="EC604"/>
      <c r="ED604"/>
      <c r="EE604"/>
      <c r="EF604"/>
      <c r="EG604"/>
      <c r="EH604"/>
      <c r="EI604"/>
      <c r="EJ604"/>
      <c r="EK604"/>
      <c r="EL604"/>
      <c r="EM604"/>
      <c r="EN604"/>
      <c r="EO604"/>
      <c r="EP604"/>
      <c r="EQ604"/>
      <c r="ER604"/>
      <c r="ES604"/>
      <c r="ET604"/>
      <c r="EU604"/>
      <c r="EV604"/>
      <c r="EW604"/>
      <c r="EX604"/>
      <c r="EY604"/>
      <c r="EZ604"/>
      <c r="FA604"/>
      <c r="FB604"/>
      <c r="FC604"/>
      <c r="FD604"/>
      <c r="FE604"/>
      <c r="FF604"/>
      <c r="FG604"/>
      <c r="FH604"/>
      <c r="FI604"/>
      <c r="FJ604"/>
      <c r="FK604"/>
      <c r="FL604"/>
      <c r="FM604"/>
      <c r="FN604"/>
      <c r="FO604"/>
      <c r="FP604"/>
      <c r="FQ604"/>
      <c r="FR604"/>
      <c r="FS604"/>
      <c r="FT604"/>
      <c r="FU604"/>
      <c r="FV604"/>
      <c r="FW604"/>
      <c r="FX604"/>
      <c r="FY604"/>
      <c r="FZ604"/>
      <c r="GA604"/>
      <c r="GB604"/>
      <c r="GC604"/>
      <c r="GD604"/>
      <c r="GE604"/>
      <c r="GF604"/>
      <c r="GG604"/>
      <c r="GH604"/>
      <c r="GI604"/>
      <c r="GJ604"/>
      <c r="GK604"/>
      <c r="GL604"/>
      <c r="GM604"/>
      <c r="GN604"/>
      <c r="GO604"/>
      <c r="GP604"/>
      <c r="GQ604"/>
      <c r="GR604"/>
      <c r="GS604"/>
      <c r="GT604"/>
      <c r="GU604"/>
      <c r="GV604"/>
      <c r="GW604"/>
      <c r="GX604"/>
      <c r="GY604"/>
      <c r="GZ604"/>
      <c r="HA604"/>
      <c r="HB604"/>
      <c r="HC604"/>
      <c r="HD604"/>
      <c r="HE604"/>
      <c r="HF604"/>
      <c r="HG604"/>
      <c r="HH604"/>
      <c r="HI604"/>
      <c r="HJ604"/>
      <c r="HK604"/>
      <c r="HL604"/>
      <c r="HM604"/>
      <c r="HN604"/>
      <c r="HO604"/>
      <c r="HP604"/>
      <c r="HQ604"/>
      <c r="HR604"/>
      <c r="HS604"/>
      <c r="HT604"/>
      <c r="HU604"/>
      <c r="HV604"/>
      <c r="HW604"/>
      <c r="HX604"/>
      <c r="HY604"/>
      <c r="HZ604"/>
      <c r="IA604"/>
      <c r="IB604"/>
      <c r="IC604"/>
      <c r="ID604"/>
      <c r="IE604"/>
      <c r="IF604"/>
      <c r="IG604"/>
      <c r="IH604"/>
      <c r="II604"/>
      <c r="IJ604"/>
      <c r="IK604"/>
      <c r="IL604"/>
      <c r="IM604"/>
      <c r="IN604"/>
      <c r="IO604"/>
      <c r="IP604"/>
      <c r="IQ604"/>
      <c r="IR604"/>
      <c r="IS604"/>
      <c r="IT604"/>
      <c r="IU604"/>
    </row>
    <row r="605" spans="1:255" s="40" customFormat="1" ht="24.95" customHeight="1" x14ac:dyDescent="0.3">
      <c r="A605" s="52">
        <v>2025.12</v>
      </c>
      <c r="B605" s="49" t="s">
        <v>734</v>
      </c>
      <c r="C605" s="49" t="s">
        <v>25</v>
      </c>
      <c r="D605" s="49" t="s">
        <v>481</v>
      </c>
      <c r="E605" s="49" t="s">
        <v>798</v>
      </c>
      <c r="F605" s="49" t="s">
        <v>797</v>
      </c>
      <c r="G605" s="49"/>
      <c r="H605" s="49" t="s">
        <v>796</v>
      </c>
      <c r="I605" s="49" t="s">
        <v>795</v>
      </c>
      <c r="J605" s="49" t="s">
        <v>768</v>
      </c>
      <c r="K605" s="49" t="s">
        <v>753</v>
      </c>
      <c r="L605" s="50">
        <v>4.2</v>
      </c>
      <c r="M605" s="49">
        <v>100</v>
      </c>
      <c r="N605" s="50" t="s">
        <v>721</v>
      </c>
      <c r="O605" s="49" t="s">
        <v>794</v>
      </c>
      <c r="P605" s="49">
        <v>2500</v>
      </c>
      <c r="Q605" s="49">
        <v>100</v>
      </c>
      <c r="R605" s="49">
        <v>25</v>
      </c>
      <c r="S605" s="49"/>
      <c r="T605" s="49"/>
      <c r="U605" s="48"/>
    </row>
    <row r="606" spans="1:255" s="40" customFormat="1" ht="24.95" customHeight="1" x14ac:dyDescent="0.3">
      <c r="A606" s="52">
        <v>2025.12</v>
      </c>
      <c r="B606" s="53" t="s">
        <v>793</v>
      </c>
      <c r="C606" s="49" t="s">
        <v>351</v>
      </c>
      <c r="D606" s="49"/>
      <c r="E606" s="49"/>
      <c r="F606" s="49" t="s">
        <v>792</v>
      </c>
      <c r="G606" s="49"/>
      <c r="H606" s="49" t="s">
        <v>791</v>
      </c>
      <c r="I606" s="49" t="s">
        <v>790</v>
      </c>
      <c r="J606" s="49" t="s">
        <v>768</v>
      </c>
      <c r="K606" s="49" t="s">
        <v>753</v>
      </c>
      <c r="L606" s="50" t="s">
        <v>721</v>
      </c>
      <c r="M606" s="49" t="s">
        <v>721</v>
      </c>
      <c r="N606" s="50">
        <v>1400</v>
      </c>
      <c r="O606" s="49"/>
      <c r="P606" s="49"/>
      <c r="Q606" s="49"/>
      <c r="R606" s="49"/>
      <c r="S606" s="49"/>
      <c r="T606" s="49"/>
      <c r="U606" s="48"/>
    </row>
    <row r="607" spans="1:255" s="40" customFormat="1" ht="24.95" customHeight="1" x14ac:dyDescent="0.3">
      <c r="A607" s="52">
        <v>2025.12</v>
      </c>
      <c r="B607" s="49" t="s">
        <v>789</v>
      </c>
      <c r="C607" s="49" t="s">
        <v>156</v>
      </c>
      <c r="D607" s="49" t="s">
        <v>172</v>
      </c>
      <c r="E607" s="49"/>
      <c r="F607" s="49" t="s">
        <v>788</v>
      </c>
      <c r="G607" s="49"/>
      <c r="H607" s="49" t="s">
        <v>787</v>
      </c>
      <c r="I607" s="49" t="s">
        <v>787</v>
      </c>
      <c r="J607" s="49" t="s">
        <v>743</v>
      </c>
      <c r="K607" s="49" t="s">
        <v>753</v>
      </c>
      <c r="L607" s="50" t="s">
        <v>721</v>
      </c>
      <c r="M607" s="49">
        <v>1</v>
      </c>
      <c r="N607" s="50" t="s">
        <v>721</v>
      </c>
      <c r="O607" s="49" t="s">
        <v>786</v>
      </c>
      <c r="P607" s="50" t="s">
        <v>721</v>
      </c>
      <c r="Q607" s="49">
        <v>1</v>
      </c>
      <c r="R607" s="50" t="s">
        <v>721</v>
      </c>
      <c r="S607" s="49"/>
      <c r="T607" s="49"/>
      <c r="U607" s="48"/>
    </row>
    <row r="608" spans="1:255" s="40" customFormat="1" ht="24.95" customHeight="1" x14ac:dyDescent="0.3">
      <c r="A608" s="52">
        <v>2025.12</v>
      </c>
      <c r="B608" s="49" t="s">
        <v>734</v>
      </c>
      <c r="C608" s="49" t="s">
        <v>351</v>
      </c>
      <c r="D608" s="49" t="s">
        <v>725</v>
      </c>
      <c r="E608" s="49"/>
      <c r="F608" s="49" t="s">
        <v>785</v>
      </c>
      <c r="G608" s="49" t="s">
        <v>784</v>
      </c>
      <c r="H608" s="49" t="s">
        <v>783</v>
      </c>
      <c r="I608" s="49" t="s">
        <v>783</v>
      </c>
      <c r="J608" s="49" t="s">
        <v>517</v>
      </c>
      <c r="K608" s="49" t="s">
        <v>753</v>
      </c>
      <c r="L608" s="50" t="s">
        <v>721</v>
      </c>
      <c r="M608" s="49" t="s">
        <v>782</v>
      </c>
      <c r="N608" s="50">
        <v>400</v>
      </c>
      <c r="O608" s="49" t="s">
        <v>781</v>
      </c>
      <c r="P608" s="49"/>
      <c r="Q608" s="49"/>
      <c r="R608" s="49"/>
      <c r="S608" s="49"/>
      <c r="T608" s="49"/>
      <c r="U608" s="48"/>
    </row>
    <row r="609" spans="1:21" ht="24.95" customHeight="1" x14ac:dyDescent="0.3">
      <c r="A609" s="131">
        <v>2025.12</v>
      </c>
      <c r="B609" s="131" t="s">
        <v>734</v>
      </c>
      <c r="C609" s="131" t="s">
        <v>25</v>
      </c>
      <c r="D609" s="131" t="s">
        <v>641</v>
      </c>
      <c r="E609" s="131"/>
      <c r="F609" s="131" t="s">
        <v>780</v>
      </c>
      <c r="G609" s="131" t="s">
        <v>779</v>
      </c>
      <c r="H609" s="131" t="s">
        <v>778</v>
      </c>
      <c r="I609" s="50" t="s">
        <v>777</v>
      </c>
      <c r="J609" s="50" t="s">
        <v>768</v>
      </c>
      <c r="K609" s="51" t="s">
        <v>753</v>
      </c>
      <c r="L609" s="50" t="s">
        <v>721</v>
      </c>
      <c r="M609" s="50">
        <v>50</v>
      </c>
      <c r="N609" s="134">
        <v>9515</v>
      </c>
      <c r="O609" s="131" t="s">
        <v>776</v>
      </c>
      <c r="P609" s="131">
        <v>9070</v>
      </c>
      <c r="Q609" s="50">
        <v>50</v>
      </c>
      <c r="R609" s="131" t="s">
        <v>721</v>
      </c>
      <c r="S609" s="49"/>
      <c r="T609" s="49"/>
      <c r="U609" s="49"/>
    </row>
    <row r="610" spans="1:21" ht="24.95" customHeight="1" x14ac:dyDescent="0.3">
      <c r="A610" s="132"/>
      <c r="B610" s="132"/>
      <c r="C610" s="132"/>
      <c r="D610" s="132"/>
      <c r="E610" s="132"/>
      <c r="F610" s="132"/>
      <c r="G610" s="132"/>
      <c r="H610" s="132"/>
      <c r="I610" s="50" t="s">
        <v>775</v>
      </c>
      <c r="J610" s="50" t="s">
        <v>768</v>
      </c>
      <c r="K610" s="51" t="s">
        <v>753</v>
      </c>
      <c r="L610" s="50" t="s">
        <v>721</v>
      </c>
      <c r="M610" s="50">
        <v>5</v>
      </c>
      <c r="N610" s="135"/>
      <c r="O610" s="132"/>
      <c r="P610" s="132"/>
      <c r="Q610" s="50">
        <v>5</v>
      </c>
      <c r="R610" s="132"/>
      <c r="S610" s="49"/>
      <c r="T610" s="49"/>
      <c r="U610" s="49"/>
    </row>
    <row r="611" spans="1:21" ht="24.95" customHeight="1" x14ac:dyDescent="0.3">
      <c r="A611" s="133"/>
      <c r="B611" s="133"/>
      <c r="C611" s="133"/>
      <c r="D611" s="133"/>
      <c r="E611" s="133"/>
      <c r="F611" s="133"/>
      <c r="G611" s="133"/>
      <c r="H611" s="133"/>
      <c r="I611" s="50" t="s">
        <v>774</v>
      </c>
      <c r="J611" s="50" t="s">
        <v>768</v>
      </c>
      <c r="K611" s="51" t="s">
        <v>753</v>
      </c>
      <c r="L611" s="50" t="s">
        <v>721</v>
      </c>
      <c r="M611" s="50">
        <v>5</v>
      </c>
      <c r="N611" s="136"/>
      <c r="O611" s="133"/>
      <c r="P611" s="133"/>
      <c r="Q611" s="50">
        <v>5</v>
      </c>
      <c r="R611" s="133"/>
      <c r="S611" s="49"/>
      <c r="T611" s="49"/>
      <c r="U611" s="49"/>
    </row>
    <row r="612" spans="1:21" s="40" customFormat="1" ht="24.95" customHeight="1" x14ac:dyDescent="0.3">
      <c r="A612" s="52">
        <v>2026.01</v>
      </c>
      <c r="B612" s="49" t="s">
        <v>734</v>
      </c>
      <c r="C612" s="49" t="s">
        <v>156</v>
      </c>
      <c r="D612" s="49" t="s">
        <v>172</v>
      </c>
      <c r="E612" s="49" t="s">
        <v>773</v>
      </c>
      <c r="F612" s="49" t="s">
        <v>772</v>
      </c>
      <c r="G612" s="49" t="s">
        <v>771</v>
      </c>
      <c r="H612" s="49" t="s">
        <v>770</v>
      </c>
      <c r="I612" s="49" t="s">
        <v>769</v>
      </c>
      <c r="J612" s="49" t="s">
        <v>768</v>
      </c>
      <c r="K612" s="51" t="s">
        <v>753</v>
      </c>
      <c r="L612" s="50" t="s">
        <v>721</v>
      </c>
      <c r="M612" s="49">
        <v>50</v>
      </c>
      <c r="N612" s="50">
        <v>2400</v>
      </c>
      <c r="O612" s="49" t="s">
        <v>767</v>
      </c>
      <c r="P612" s="49">
        <v>2391</v>
      </c>
      <c r="Q612" s="49">
        <v>50</v>
      </c>
      <c r="R612" s="49">
        <v>47.82</v>
      </c>
      <c r="S612" s="49" t="s">
        <v>766</v>
      </c>
      <c r="T612" s="49">
        <v>90</v>
      </c>
      <c r="U612" s="48"/>
    </row>
    <row r="613" spans="1:21" ht="24.95" customHeight="1" x14ac:dyDescent="0.3">
      <c r="A613" s="123">
        <v>2026.01</v>
      </c>
      <c r="B613" s="123" t="s">
        <v>734</v>
      </c>
      <c r="C613" s="123" t="s">
        <v>25</v>
      </c>
      <c r="D613" s="123" t="s">
        <v>90</v>
      </c>
      <c r="E613" s="123"/>
      <c r="F613" s="123" t="s">
        <v>765</v>
      </c>
      <c r="G613" s="123" t="s">
        <v>764</v>
      </c>
      <c r="H613" s="123" t="s">
        <v>763</v>
      </c>
      <c r="I613" s="42" t="s">
        <v>762</v>
      </c>
      <c r="J613" s="42" t="s">
        <v>759</v>
      </c>
      <c r="K613" s="42"/>
      <c r="L613" s="42" t="s">
        <v>721</v>
      </c>
      <c r="M613" s="42">
        <v>16</v>
      </c>
      <c r="N613" s="125">
        <v>3770</v>
      </c>
      <c r="O613" s="127" t="s">
        <v>761</v>
      </c>
      <c r="P613" s="127">
        <v>30</v>
      </c>
      <c r="Q613" s="127">
        <v>3768.5</v>
      </c>
      <c r="R613" s="42"/>
      <c r="S613" s="42"/>
      <c r="T613" s="42"/>
      <c r="U613" s="42"/>
    </row>
    <row r="614" spans="1:21" ht="24.95" customHeight="1" x14ac:dyDescent="0.3">
      <c r="A614" s="124"/>
      <c r="B614" s="124"/>
      <c r="C614" s="124"/>
      <c r="D614" s="124"/>
      <c r="E614" s="124"/>
      <c r="F614" s="124"/>
      <c r="G614" s="124"/>
      <c r="H614" s="124"/>
      <c r="I614" s="42" t="s">
        <v>760</v>
      </c>
      <c r="J614" s="42" t="s">
        <v>759</v>
      </c>
      <c r="K614" s="42"/>
      <c r="L614" s="42" t="s">
        <v>721</v>
      </c>
      <c r="M614" s="42">
        <v>14</v>
      </c>
      <c r="N614" s="126"/>
      <c r="O614" s="128"/>
      <c r="P614" s="128"/>
      <c r="Q614" s="128"/>
      <c r="R614" s="42"/>
      <c r="S614" s="42"/>
      <c r="T614" s="42"/>
      <c r="U614" s="42"/>
    </row>
    <row r="615" spans="1:21" s="40" customFormat="1" ht="24.95" customHeight="1" x14ac:dyDescent="0.3">
      <c r="A615" s="52">
        <v>2026.01</v>
      </c>
      <c r="B615" s="49"/>
      <c r="C615" s="49" t="s">
        <v>156</v>
      </c>
      <c r="D615" s="49" t="s">
        <v>758</v>
      </c>
      <c r="E615" s="49" t="s">
        <v>757</v>
      </c>
      <c r="F615" s="49" t="s">
        <v>756</v>
      </c>
      <c r="G615" s="49"/>
      <c r="H615" s="49" t="s">
        <v>755</v>
      </c>
      <c r="I615" s="49" t="s">
        <v>755</v>
      </c>
      <c r="J615" s="49" t="s">
        <v>754</v>
      </c>
      <c r="K615" s="51" t="s">
        <v>753</v>
      </c>
      <c r="L615" s="50" t="s">
        <v>721</v>
      </c>
      <c r="M615" s="49">
        <v>8</v>
      </c>
      <c r="N615" s="50">
        <v>7.2</v>
      </c>
      <c r="O615" s="49"/>
      <c r="P615" s="49"/>
      <c r="Q615" s="49"/>
      <c r="R615" s="49"/>
      <c r="S615" s="49"/>
      <c r="T615" s="49"/>
      <c r="U615" s="48"/>
    </row>
    <row r="616" spans="1:21" ht="24.95" customHeight="1" x14ac:dyDescent="0.3">
      <c r="A616" s="123">
        <v>2026.03</v>
      </c>
      <c r="B616" s="123" t="s">
        <v>734</v>
      </c>
      <c r="C616" s="123" t="s">
        <v>156</v>
      </c>
      <c r="D616" s="123" t="s">
        <v>172</v>
      </c>
      <c r="E616" s="123" t="s">
        <v>752</v>
      </c>
      <c r="F616" s="123" t="s">
        <v>751</v>
      </c>
      <c r="G616" s="123" t="s">
        <v>750</v>
      </c>
      <c r="H616" s="42" t="s">
        <v>749</v>
      </c>
      <c r="I616" s="42" t="s">
        <v>748</v>
      </c>
      <c r="J616" s="42" t="s">
        <v>743</v>
      </c>
      <c r="K616" s="42"/>
      <c r="L616" s="42" t="s">
        <v>721</v>
      </c>
      <c r="M616" s="42">
        <v>5</v>
      </c>
      <c r="N616" s="42">
        <v>300</v>
      </c>
      <c r="O616" s="127" t="s">
        <v>747</v>
      </c>
      <c r="P616" s="42">
        <v>299</v>
      </c>
      <c r="Q616" s="42">
        <v>5</v>
      </c>
      <c r="R616" s="42">
        <v>59.8</v>
      </c>
      <c r="S616" s="42"/>
      <c r="T616" s="42"/>
      <c r="U616" s="42" t="s">
        <v>746</v>
      </c>
    </row>
    <row r="617" spans="1:21" ht="24.95" customHeight="1" x14ac:dyDescent="0.3">
      <c r="A617" s="124"/>
      <c r="B617" s="124"/>
      <c r="C617" s="124"/>
      <c r="D617" s="124"/>
      <c r="E617" s="124"/>
      <c r="F617" s="124"/>
      <c r="G617" s="124"/>
      <c r="H617" s="42" t="s">
        <v>745</v>
      </c>
      <c r="I617" s="42" t="s">
        <v>744</v>
      </c>
      <c r="J617" s="42" t="s">
        <v>743</v>
      </c>
      <c r="K617" s="42"/>
      <c r="L617" s="42" t="s">
        <v>721</v>
      </c>
      <c r="M617" s="42">
        <v>5</v>
      </c>
      <c r="N617" s="42">
        <v>350</v>
      </c>
      <c r="O617" s="128"/>
      <c r="P617" s="42">
        <v>349</v>
      </c>
      <c r="Q617" s="42">
        <v>5</v>
      </c>
      <c r="R617" s="42">
        <v>69.8</v>
      </c>
      <c r="S617" s="42"/>
      <c r="T617" s="42"/>
      <c r="U617" s="42" t="s">
        <v>742</v>
      </c>
    </row>
    <row r="618" spans="1:21" s="40" customFormat="1" ht="24.95" customHeight="1" x14ac:dyDescent="0.3">
      <c r="A618" s="43">
        <v>2026.04</v>
      </c>
      <c r="B618" s="42" t="s">
        <v>734</v>
      </c>
      <c r="C618" s="42" t="s">
        <v>122</v>
      </c>
      <c r="D618" s="42" t="s">
        <v>533</v>
      </c>
      <c r="E618" s="42" t="s">
        <v>741</v>
      </c>
      <c r="F618" s="42" t="s">
        <v>740</v>
      </c>
      <c r="G618" s="42" t="s">
        <v>739</v>
      </c>
      <c r="H618" s="42" t="s">
        <v>738</v>
      </c>
      <c r="I618" s="42" t="s">
        <v>738</v>
      </c>
      <c r="J618" s="42" t="s">
        <v>737</v>
      </c>
      <c r="K618" s="42"/>
      <c r="L618" s="42" t="s">
        <v>721</v>
      </c>
      <c r="M618" s="42">
        <v>20</v>
      </c>
      <c r="N618" s="42">
        <v>2100</v>
      </c>
      <c r="O618" s="42" t="s">
        <v>736</v>
      </c>
      <c r="P618" s="42">
        <v>1998</v>
      </c>
      <c r="Q618" s="42">
        <v>20</v>
      </c>
      <c r="R618" s="42">
        <v>99.9</v>
      </c>
      <c r="S618" s="42" t="s">
        <v>735</v>
      </c>
      <c r="T618" s="42"/>
      <c r="U618" s="41"/>
    </row>
    <row r="619" spans="1:21" s="40" customFormat="1" ht="24.95" customHeight="1" x14ac:dyDescent="0.3">
      <c r="A619" s="43">
        <v>2026.04</v>
      </c>
      <c r="B619" s="42" t="s">
        <v>734</v>
      </c>
      <c r="C619" s="42" t="s">
        <v>156</v>
      </c>
      <c r="D619" s="42" t="s">
        <v>733</v>
      </c>
      <c r="E619" s="42"/>
      <c r="F619" s="42" t="s">
        <v>732</v>
      </c>
      <c r="G619" s="42" t="s">
        <v>731</v>
      </c>
      <c r="H619" s="42" t="s">
        <v>730</v>
      </c>
      <c r="I619" s="42" t="s">
        <v>729</v>
      </c>
      <c r="J619" s="42" t="s">
        <v>728</v>
      </c>
      <c r="K619" s="42"/>
      <c r="L619" s="42" t="s">
        <v>727</v>
      </c>
      <c r="M619" s="42">
        <v>6</v>
      </c>
      <c r="N619" s="42">
        <v>858</v>
      </c>
      <c r="O619" s="42" t="s">
        <v>726</v>
      </c>
      <c r="P619" s="42">
        <v>865.8</v>
      </c>
      <c r="Q619" s="42">
        <v>6</v>
      </c>
      <c r="R619" s="42">
        <v>144.30000000000001</v>
      </c>
      <c r="S619" s="42"/>
      <c r="T619" s="42"/>
      <c r="U619" s="41"/>
    </row>
    <row r="620" spans="1:21" s="40" customFormat="1" ht="24.95" customHeight="1" x14ac:dyDescent="0.3">
      <c r="A620" s="43">
        <v>2026.05</v>
      </c>
      <c r="B620" s="42"/>
      <c r="C620" s="42" t="s">
        <v>351</v>
      </c>
      <c r="D620" s="42" t="s">
        <v>725</v>
      </c>
      <c r="E620" s="42"/>
      <c r="F620" s="42" t="s">
        <v>724</v>
      </c>
      <c r="G620" s="42"/>
      <c r="H620" s="42" t="s">
        <v>723</v>
      </c>
      <c r="I620" s="42" t="s">
        <v>723</v>
      </c>
      <c r="J620" s="42" t="s">
        <v>722</v>
      </c>
      <c r="K620" s="42"/>
      <c r="L620" s="42" t="s">
        <v>721</v>
      </c>
      <c r="M620" s="42">
        <v>10</v>
      </c>
      <c r="N620" s="42">
        <v>755</v>
      </c>
      <c r="O620" s="42"/>
      <c r="P620" s="42"/>
      <c r="Q620" s="42"/>
      <c r="R620" s="42"/>
      <c r="S620" s="42"/>
      <c r="T620" s="42"/>
      <c r="U620" s="41"/>
    </row>
  </sheetData>
  <autoFilter ref="A1:U620" xr:uid="{00000000-0009-0000-0000-000037000000}"/>
  <mergeCells count="1005">
    <mergeCell ref="C1:E1"/>
    <mergeCell ref="A7:A8"/>
    <mergeCell ref="B7:B8"/>
    <mergeCell ref="C7:C8"/>
    <mergeCell ref="D7:D8"/>
    <mergeCell ref="E7:E8"/>
    <mergeCell ref="F7:F8"/>
    <mergeCell ref="G7:G8"/>
    <mergeCell ref="N7:N8"/>
    <mergeCell ref="A14:A16"/>
    <mergeCell ref="B14:B16"/>
    <mergeCell ref="C14:C16"/>
    <mergeCell ref="D14:D16"/>
    <mergeCell ref="E14:E16"/>
    <mergeCell ref="F14:F16"/>
    <mergeCell ref="G14:G16"/>
    <mergeCell ref="N14:N16"/>
    <mergeCell ref="A26:A28"/>
    <mergeCell ref="B26:B28"/>
    <mergeCell ref="C26:C28"/>
    <mergeCell ref="D26:D28"/>
    <mergeCell ref="E26:E28"/>
    <mergeCell ref="F26:F28"/>
    <mergeCell ref="G26:G28"/>
    <mergeCell ref="H26:H28"/>
    <mergeCell ref="I26:I28"/>
    <mergeCell ref="N26:N28"/>
    <mergeCell ref="O26:O28"/>
    <mergeCell ref="A29:A31"/>
    <mergeCell ref="B29:B31"/>
    <mergeCell ref="C29:C31"/>
    <mergeCell ref="D29:D31"/>
    <mergeCell ref="E29:E31"/>
    <mergeCell ref="F29:F31"/>
    <mergeCell ref="G29:G31"/>
    <mergeCell ref="H29:H31"/>
    <mergeCell ref="A50:A51"/>
    <mergeCell ref="B50:B51"/>
    <mergeCell ref="C50:C51"/>
    <mergeCell ref="D50:D51"/>
    <mergeCell ref="E50:E51"/>
    <mergeCell ref="F50:F51"/>
    <mergeCell ref="G50:G51"/>
    <mergeCell ref="H50:H51"/>
    <mergeCell ref="I29:I31"/>
    <mergeCell ref="K29:K31"/>
    <mergeCell ref="N29:N31"/>
    <mergeCell ref="O29:O31"/>
    <mergeCell ref="P29:P31"/>
    <mergeCell ref="A38:A41"/>
    <mergeCell ref="B38:B41"/>
    <mergeCell ref="C38:C41"/>
    <mergeCell ref="D38:D41"/>
    <mergeCell ref="E38:E41"/>
    <mergeCell ref="F38:F41"/>
    <mergeCell ref="A45:A46"/>
    <mergeCell ref="B45:B46"/>
    <mergeCell ref="C45:C46"/>
    <mergeCell ref="D45:D46"/>
    <mergeCell ref="E45:E46"/>
    <mergeCell ref="F45:F46"/>
    <mergeCell ref="G45:G46"/>
    <mergeCell ref="H45:H46"/>
    <mergeCell ref="I45:I46"/>
    <mergeCell ref="K45:K46"/>
    <mergeCell ref="M45:M46"/>
    <mergeCell ref="N45:N46"/>
    <mergeCell ref="O45:O46"/>
    <mergeCell ref="U45:U46"/>
    <mergeCell ref="A47:A48"/>
    <mergeCell ref="B47:B48"/>
    <mergeCell ref="C47:C48"/>
    <mergeCell ref="D47:D48"/>
    <mergeCell ref="E47:E48"/>
    <mergeCell ref="F47:F48"/>
    <mergeCell ref="G47:G48"/>
    <mergeCell ref="H47:H48"/>
    <mergeCell ref="N47:N48"/>
    <mergeCell ref="C52:C53"/>
    <mergeCell ref="D52:D53"/>
    <mergeCell ref="E52:E53"/>
    <mergeCell ref="F52:F53"/>
    <mergeCell ref="O70:O71"/>
    <mergeCell ref="S70:S72"/>
    <mergeCell ref="H70:H71"/>
    <mergeCell ref="I70:I72"/>
    <mergeCell ref="G52:G53"/>
    <mergeCell ref="A55:A57"/>
    <mergeCell ref="B55:B57"/>
    <mergeCell ref="C55:C57"/>
    <mergeCell ref="D55:D57"/>
    <mergeCell ref="E55:E57"/>
    <mergeCell ref="F55:F57"/>
    <mergeCell ref="G55:G57"/>
    <mergeCell ref="A52:A53"/>
    <mergeCell ref="B52:B53"/>
    <mergeCell ref="H55:H57"/>
    <mergeCell ref="A62:A63"/>
    <mergeCell ref="B62:B63"/>
    <mergeCell ref="C62:C63"/>
    <mergeCell ref="D62:D63"/>
    <mergeCell ref="E62:E63"/>
    <mergeCell ref="F62:F63"/>
    <mergeCell ref="G62:G63"/>
    <mergeCell ref="H62:H63"/>
    <mergeCell ref="K109:K111"/>
    <mergeCell ref="N109:N111"/>
    <mergeCell ref="O109:O111"/>
    <mergeCell ref="P109:P111"/>
    <mergeCell ref="S109:S111"/>
    <mergeCell ref="A117:A119"/>
    <mergeCell ref="B117:B119"/>
    <mergeCell ref="C117:C119"/>
    <mergeCell ref="D117:D119"/>
    <mergeCell ref="E117:E119"/>
    <mergeCell ref="G75:G76"/>
    <mergeCell ref="H75:H76"/>
    <mergeCell ref="I62:I63"/>
    <mergeCell ref="A70:A72"/>
    <mergeCell ref="B70:B72"/>
    <mergeCell ref="C70:C72"/>
    <mergeCell ref="D70:D72"/>
    <mergeCell ref="E70:E72"/>
    <mergeCell ref="F70:F72"/>
    <mergeCell ref="G70:G72"/>
    <mergeCell ref="A75:A76"/>
    <mergeCell ref="B75:B76"/>
    <mergeCell ref="C75:C76"/>
    <mergeCell ref="D75:D76"/>
    <mergeCell ref="E75:E76"/>
    <mergeCell ref="F75:F76"/>
    <mergeCell ref="A124:A125"/>
    <mergeCell ref="B124:B125"/>
    <mergeCell ref="C124:C125"/>
    <mergeCell ref="D124:D125"/>
    <mergeCell ref="E124:E125"/>
    <mergeCell ref="F124:F125"/>
    <mergeCell ref="G124:G125"/>
    <mergeCell ref="H124:H125"/>
    <mergeCell ref="N124:N125"/>
    <mergeCell ref="A136:A138"/>
    <mergeCell ref="B136:B138"/>
    <mergeCell ref="C136:C138"/>
    <mergeCell ref="D136:D138"/>
    <mergeCell ref="E136:E138"/>
    <mergeCell ref="F136:F138"/>
    <mergeCell ref="G136:G138"/>
    <mergeCell ref="A87:A90"/>
    <mergeCell ref="B87:B90"/>
    <mergeCell ref="C87:C90"/>
    <mergeCell ref="D87:D90"/>
    <mergeCell ref="E87:E90"/>
    <mergeCell ref="F87:F90"/>
    <mergeCell ref="G87:G90"/>
    <mergeCell ref="H87:H90"/>
    <mergeCell ref="A109:A111"/>
    <mergeCell ref="B109:B111"/>
    <mergeCell ref="C109:C111"/>
    <mergeCell ref="D109:D111"/>
    <mergeCell ref="E109:E111"/>
    <mergeCell ref="F109:F111"/>
    <mergeCell ref="G109:G111"/>
    <mergeCell ref="H109:H111"/>
    <mergeCell ref="U141:U142"/>
    <mergeCell ref="A144:A147"/>
    <mergeCell ref="B144:B147"/>
    <mergeCell ref="C144:C147"/>
    <mergeCell ref="D144:D147"/>
    <mergeCell ref="E144:E147"/>
    <mergeCell ref="F144:F147"/>
    <mergeCell ref="G144:G147"/>
    <mergeCell ref="H144:H145"/>
    <mergeCell ref="M144:M145"/>
    <mergeCell ref="N144:N145"/>
    <mergeCell ref="O144:O145"/>
    <mergeCell ref="H146:H147"/>
    <mergeCell ref="M146:M147"/>
    <mergeCell ref="N146:N147"/>
    <mergeCell ref="O146:O147"/>
    <mergeCell ref="F117:F119"/>
    <mergeCell ref="G117:G119"/>
    <mergeCell ref="H117:H119"/>
    <mergeCell ref="K117:K119"/>
    <mergeCell ref="N117:N118"/>
    <mergeCell ref="O117:O118"/>
    <mergeCell ref="U117:U119"/>
    <mergeCell ref="A120:A121"/>
    <mergeCell ref="B120:B121"/>
    <mergeCell ref="C120:C121"/>
    <mergeCell ref="D120:D121"/>
    <mergeCell ref="E120:E121"/>
    <mergeCell ref="F120:F121"/>
    <mergeCell ref="G120:G121"/>
    <mergeCell ref="H120:H121"/>
    <mergeCell ref="N120:N121"/>
    <mergeCell ref="A169:A170"/>
    <mergeCell ref="B169:B170"/>
    <mergeCell ref="C169:C170"/>
    <mergeCell ref="D169:D170"/>
    <mergeCell ref="E169:E170"/>
    <mergeCell ref="F169:F170"/>
    <mergeCell ref="G169:G170"/>
    <mergeCell ref="H169:H170"/>
    <mergeCell ref="K169:K170"/>
    <mergeCell ref="N169:N170"/>
    <mergeCell ref="O169:O170"/>
    <mergeCell ref="P169:P170"/>
    <mergeCell ref="S169:S170"/>
    <mergeCell ref="A141:A142"/>
    <mergeCell ref="B141:B142"/>
    <mergeCell ref="C141:C142"/>
    <mergeCell ref="D141:D142"/>
    <mergeCell ref="E141:E142"/>
    <mergeCell ref="F141:F142"/>
    <mergeCell ref="G141:G142"/>
    <mergeCell ref="H141:H142"/>
    <mergeCell ref="A151:A152"/>
    <mergeCell ref="C151:C152"/>
    <mergeCell ref="D151:D152"/>
    <mergeCell ref="E151:E152"/>
    <mergeCell ref="F151:F152"/>
    <mergeCell ref="G151:G152"/>
    <mergeCell ref="H151:H152"/>
    <mergeCell ref="I151:I152"/>
    <mergeCell ref="K151:K152"/>
    <mergeCell ref="O151:O152"/>
    <mergeCell ref="P151:P152"/>
    <mergeCell ref="A162:A164"/>
    <mergeCell ref="B162:B164"/>
    <mergeCell ref="C162:C164"/>
    <mergeCell ref="D162:D164"/>
    <mergeCell ref="E162:E164"/>
    <mergeCell ref="F162:F164"/>
    <mergeCell ref="G162:G164"/>
    <mergeCell ref="H162:H164"/>
    <mergeCell ref="A172:A173"/>
    <mergeCell ref="B172:B173"/>
    <mergeCell ref="C172:C173"/>
    <mergeCell ref="D172:D173"/>
    <mergeCell ref="E172:E173"/>
    <mergeCell ref="F172:F173"/>
    <mergeCell ref="G172:G173"/>
    <mergeCell ref="H172:H173"/>
    <mergeCell ref="K172:K173"/>
    <mergeCell ref="N172:N173"/>
    <mergeCell ref="O172:O173"/>
    <mergeCell ref="P172:P173"/>
    <mergeCell ref="S172:S173"/>
    <mergeCell ref="A176:A179"/>
    <mergeCell ref="B176:B179"/>
    <mergeCell ref="C176:C179"/>
    <mergeCell ref="D176:D179"/>
    <mergeCell ref="E176:E179"/>
    <mergeCell ref="F176:F179"/>
    <mergeCell ref="G176:G179"/>
    <mergeCell ref="H176:H179"/>
    <mergeCell ref="K176:K179"/>
    <mergeCell ref="N176:N179"/>
    <mergeCell ref="O176:O179"/>
    <mergeCell ref="P176:P179"/>
    <mergeCell ref="H180:H191"/>
    <mergeCell ref="K180:K191"/>
    <mergeCell ref="N180:N191"/>
    <mergeCell ref="O180:O191"/>
    <mergeCell ref="P180:P191"/>
    <mergeCell ref="U180:U191"/>
    <mergeCell ref="A192:A193"/>
    <mergeCell ref="B192:B193"/>
    <mergeCell ref="C192:C193"/>
    <mergeCell ref="D192:D193"/>
    <mergeCell ref="E192:E193"/>
    <mergeCell ref="F192:F193"/>
    <mergeCell ref="G192:G193"/>
    <mergeCell ref="U192:U193"/>
    <mergeCell ref="A196:A197"/>
    <mergeCell ref="B196:B197"/>
    <mergeCell ref="C196:C197"/>
    <mergeCell ref="D196:D197"/>
    <mergeCell ref="E196:E197"/>
    <mergeCell ref="F196:F197"/>
    <mergeCell ref="G196:G197"/>
    <mergeCell ref="H196:H197"/>
    <mergeCell ref="A180:A191"/>
    <mergeCell ref="B180:B191"/>
    <mergeCell ref="C180:C191"/>
    <mergeCell ref="D180:D191"/>
    <mergeCell ref="E180:E191"/>
    <mergeCell ref="F180:F191"/>
    <mergeCell ref="G180:G191"/>
    <mergeCell ref="P211:P212"/>
    <mergeCell ref="R211:R212"/>
    <mergeCell ref="A215:A216"/>
    <mergeCell ref="B215:B216"/>
    <mergeCell ref="C215:C216"/>
    <mergeCell ref="D215:D216"/>
    <mergeCell ref="E215:E216"/>
    <mergeCell ref="I196:I197"/>
    <mergeCell ref="K196:K197"/>
    <mergeCell ref="L196:L197"/>
    <mergeCell ref="M196:M197"/>
    <mergeCell ref="O196:O197"/>
    <mergeCell ref="Q196:Q197"/>
    <mergeCell ref="R196:R197"/>
    <mergeCell ref="T196:T197"/>
    <mergeCell ref="A201:A202"/>
    <mergeCell ref="B201:B202"/>
    <mergeCell ref="C201:C202"/>
    <mergeCell ref="D201:D202"/>
    <mergeCell ref="E201:E202"/>
    <mergeCell ref="F201:F202"/>
    <mergeCell ref="G201:G202"/>
    <mergeCell ref="H201:H202"/>
    <mergeCell ref="N201:N202"/>
    <mergeCell ref="O201:O202"/>
    <mergeCell ref="P201:P202"/>
    <mergeCell ref="R201:R202"/>
    <mergeCell ref="A205:A206"/>
    <mergeCell ref="B205:B206"/>
    <mergeCell ref="C205:C206"/>
    <mergeCell ref="D205:D206"/>
    <mergeCell ref="E205:E206"/>
    <mergeCell ref="A220:A221"/>
    <mergeCell ref="B220:B221"/>
    <mergeCell ref="C220:C221"/>
    <mergeCell ref="D220:D221"/>
    <mergeCell ref="E220:E221"/>
    <mergeCell ref="F220:F221"/>
    <mergeCell ref="G220:G221"/>
    <mergeCell ref="G218:G219"/>
    <mergeCell ref="G205:G206"/>
    <mergeCell ref="H205:H206"/>
    <mergeCell ref="N205:N206"/>
    <mergeCell ref="A211:A212"/>
    <mergeCell ref="B211:B212"/>
    <mergeCell ref="C211:C212"/>
    <mergeCell ref="D211:D212"/>
    <mergeCell ref="E211:E212"/>
    <mergeCell ref="F211:F212"/>
    <mergeCell ref="G211:G212"/>
    <mergeCell ref="H211:H212"/>
    <mergeCell ref="L211:L212"/>
    <mergeCell ref="N211:N212"/>
    <mergeCell ref="F205:F206"/>
    <mergeCell ref="A218:A219"/>
    <mergeCell ref="B218:B219"/>
    <mergeCell ref="C218:C219"/>
    <mergeCell ref="D218:D219"/>
    <mergeCell ref="E218:E219"/>
    <mergeCell ref="F218:F219"/>
    <mergeCell ref="H218:H219"/>
    <mergeCell ref="I218:I219"/>
    <mergeCell ref="K218:K219"/>
    <mergeCell ref="L218:L219"/>
    <mergeCell ref="M218:M219"/>
    <mergeCell ref="F215:F216"/>
    <mergeCell ref="G215:G216"/>
    <mergeCell ref="H215:H216"/>
    <mergeCell ref="I215:I216"/>
    <mergeCell ref="O218:O219"/>
    <mergeCell ref="Q218:Q219"/>
    <mergeCell ref="A229:A230"/>
    <mergeCell ref="B229:B230"/>
    <mergeCell ref="C229:C230"/>
    <mergeCell ref="D229:D230"/>
    <mergeCell ref="E229:E230"/>
    <mergeCell ref="F229:F230"/>
    <mergeCell ref="G229:G230"/>
    <mergeCell ref="H229:H230"/>
    <mergeCell ref="N229:N230"/>
    <mergeCell ref="O229:O230"/>
    <mergeCell ref="P229:P230"/>
    <mergeCell ref="Q229:Q230"/>
    <mergeCell ref="R229:R230"/>
    <mergeCell ref="T229:T230"/>
    <mergeCell ref="U229:U230"/>
    <mergeCell ref="A232:A233"/>
    <mergeCell ref="B232:B233"/>
    <mergeCell ref="C232:C233"/>
    <mergeCell ref="D232:D233"/>
    <mergeCell ref="E232:E233"/>
    <mergeCell ref="F232:F233"/>
    <mergeCell ref="G232:G233"/>
    <mergeCell ref="F258:F259"/>
    <mergeCell ref="G258:G259"/>
    <mergeCell ref="A238:A241"/>
    <mergeCell ref="B238:B241"/>
    <mergeCell ref="C238:C241"/>
    <mergeCell ref="D238:D241"/>
    <mergeCell ref="E238:E241"/>
    <mergeCell ref="F238:F241"/>
    <mergeCell ref="G238:G241"/>
    <mergeCell ref="H238:H241"/>
    <mergeCell ref="K238:K241"/>
    <mergeCell ref="N238:N241"/>
    <mergeCell ref="O238:O241"/>
    <mergeCell ref="P238:P241"/>
    <mergeCell ref="U238:U241"/>
    <mergeCell ref="A242:A243"/>
    <mergeCell ref="B242:B243"/>
    <mergeCell ref="C242:C243"/>
    <mergeCell ref="D242:D243"/>
    <mergeCell ref="E242:E243"/>
    <mergeCell ref="F242:F243"/>
    <mergeCell ref="G242:G243"/>
    <mergeCell ref="H242:H243"/>
    <mergeCell ref="N242:N243"/>
    <mergeCell ref="U268:U270"/>
    <mergeCell ref="A271:A272"/>
    <mergeCell ref="B271:B272"/>
    <mergeCell ref="C271:C272"/>
    <mergeCell ref="D271:D272"/>
    <mergeCell ref="E271:E272"/>
    <mergeCell ref="F271:F272"/>
    <mergeCell ref="G271:G272"/>
    <mergeCell ref="O242:O243"/>
    <mergeCell ref="P242:P243"/>
    <mergeCell ref="Q242:Q243"/>
    <mergeCell ref="R242:R243"/>
    <mergeCell ref="S242:S243"/>
    <mergeCell ref="T242:T243"/>
    <mergeCell ref="U242:U243"/>
    <mergeCell ref="A252:A253"/>
    <mergeCell ref="B252:B253"/>
    <mergeCell ref="C252:C253"/>
    <mergeCell ref="D252:D253"/>
    <mergeCell ref="E252:E253"/>
    <mergeCell ref="F252:F253"/>
    <mergeCell ref="G252:G253"/>
    <mergeCell ref="H252:H253"/>
    <mergeCell ref="K252:K253"/>
    <mergeCell ref="N252:N253"/>
    <mergeCell ref="O252:O253"/>
    <mergeCell ref="P252:P253"/>
    <mergeCell ref="A258:A259"/>
    <mergeCell ref="B258:B259"/>
    <mergeCell ref="C258:C259"/>
    <mergeCell ref="D258:D259"/>
    <mergeCell ref="E258:E259"/>
    <mergeCell ref="A265:A267"/>
    <mergeCell ref="B265:B267"/>
    <mergeCell ref="C265:C267"/>
    <mergeCell ref="D265:D267"/>
    <mergeCell ref="E265:E267"/>
    <mergeCell ref="F265:F267"/>
    <mergeCell ref="G265:G267"/>
    <mergeCell ref="H265:H267"/>
    <mergeCell ref="K265:K267"/>
    <mergeCell ref="A268:A270"/>
    <mergeCell ref="B268:B270"/>
    <mergeCell ref="C268:C270"/>
    <mergeCell ref="D268:D270"/>
    <mergeCell ref="E268:E270"/>
    <mergeCell ref="F268:F270"/>
    <mergeCell ref="G268:G270"/>
    <mergeCell ref="H268:H270"/>
    <mergeCell ref="I268:I270"/>
    <mergeCell ref="U307:U310"/>
    <mergeCell ref="A312:A315"/>
    <mergeCell ref="B312:B315"/>
    <mergeCell ref="C312:C315"/>
    <mergeCell ref="D312:D315"/>
    <mergeCell ref="E312:E315"/>
    <mergeCell ref="R313:R314"/>
    <mergeCell ref="N312:N315"/>
    <mergeCell ref="O313:O314"/>
    <mergeCell ref="P313:P314"/>
    <mergeCell ref="H271:H272"/>
    <mergeCell ref="I271:I272"/>
    <mergeCell ref="K271:K272"/>
    <mergeCell ref="A273:A274"/>
    <mergeCell ref="B273:B274"/>
    <mergeCell ref="C273:C274"/>
    <mergeCell ref="D273:D274"/>
    <mergeCell ref="E273:E274"/>
    <mergeCell ref="F273:F274"/>
    <mergeCell ref="G273:G274"/>
    <mergeCell ref="A284:A285"/>
    <mergeCell ref="B284:B285"/>
    <mergeCell ref="C284:C285"/>
    <mergeCell ref="D284:D285"/>
    <mergeCell ref="E284:E285"/>
    <mergeCell ref="F284:F285"/>
    <mergeCell ref="G284:G285"/>
    <mergeCell ref="H284:H285"/>
    <mergeCell ref="I284:I285"/>
    <mergeCell ref="K284:K285"/>
    <mergeCell ref="A286:A289"/>
    <mergeCell ref="B286:B289"/>
    <mergeCell ref="G286:G289"/>
    <mergeCell ref="K286:K289"/>
    <mergeCell ref="O286:O289"/>
    <mergeCell ref="P286:P289"/>
    <mergeCell ref="R286:R289"/>
    <mergeCell ref="A302:A303"/>
    <mergeCell ref="B302:B303"/>
    <mergeCell ref="C302:C303"/>
    <mergeCell ref="D302:D303"/>
    <mergeCell ref="E302:E303"/>
    <mergeCell ref="F302:F303"/>
    <mergeCell ref="G302:G303"/>
    <mergeCell ref="I302:I303"/>
    <mergeCell ref="A307:A310"/>
    <mergeCell ref="B307:B310"/>
    <mergeCell ref="C307:C310"/>
    <mergeCell ref="D307:D310"/>
    <mergeCell ref="E307:E310"/>
    <mergeCell ref="F307:F310"/>
    <mergeCell ref="G307:G310"/>
    <mergeCell ref="C286:C289"/>
    <mergeCell ref="D286:D289"/>
    <mergeCell ref="E286:E289"/>
    <mergeCell ref="F286:F289"/>
    <mergeCell ref="K307:K310"/>
    <mergeCell ref="N307:N310"/>
    <mergeCell ref="O307:O310"/>
    <mergeCell ref="P307:P310"/>
    <mergeCell ref="R326:R327"/>
    <mergeCell ref="S326:S327"/>
    <mergeCell ref="O326:O327"/>
    <mergeCell ref="Q326:Q327"/>
    <mergeCell ref="G323:G324"/>
    <mergeCell ref="H323:H324"/>
    <mergeCell ref="K323:K324"/>
    <mergeCell ref="F312:F315"/>
    <mergeCell ref="G312:G315"/>
    <mergeCell ref="H312:H315"/>
    <mergeCell ref="A323:A324"/>
    <mergeCell ref="B323:B324"/>
    <mergeCell ref="C323:C324"/>
    <mergeCell ref="D323:D324"/>
    <mergeCell ref="E323:E324"/>
    <mergeCell ref="F323:F324"/>
    <mergeCell ref="A326:A327"/>
    <mergeCell ref="B326:B327"/>
    <mergeCell ref="C326:C327"/>
    <mergeCell ref="D326:D327"/>
    <mergeCell ref="E326:E327"/>
    <mergeCell ref="F326:F327"/>
    <mergeCell ref="G342:G343"/>
    <mergeCell ref="H342:H343"/>
    <mergeCell ref="G326:G327"/>
    <mergeCell ref="H326:H327"/>
    <mergeCell ref="K326:K327"/>
    <mergeCell ref="N326:N327"/>
    <mergeCell ref="K342:K343"/>
    <mergeCell ref="A342:A343"/>
    <mergeCell ref="B342:B343"/>
    <mergeCell ref="C342:C343"/>
    <mergeCell ref="D342:D343"/>
    <mergeCell ref="E342:E343"/>
    <mergeCell ref="F342:F343"/>
    <mergeCell ref="O342:O343"/>
    <mergeCell ref="P342:P343"/>
    <mergeCell ref="R342:R343"/>
    <mergeCell ref="A344:A346"/>
    <mergeCell ref="B344:B346"/>
    <mergeCell ref="C344:C346"/>
    <mergeCell ref="D344:D346"/>
    <mergeCell ref="E344:E346"/>
    <mergeCell ref="F344:F346"/>
    <mergeCell ref="G344:G346"/>
    <mergeCell ref="H344:H346"/>
    <mergeCell ref="K344:K352"/>
    <mergeCell ref="A347:A352"/>
    <mergeCell ref="B347:B352"/>
    <mergeCell ref="C347:C352"/>
    <mergeCell ref="D347:D352"/>
    <mergeCell ref="E347:E352"/>
    <mergeCell ref="F347:F352"/>
    <mergeCell ref="G347:G352"/>
    <mergeCell ref="H347:H352"/>
    <mergeCell ref="A354:A355"/>
    <mergeCell ref="B354:B355"/>
    <mergeCell ref="C354:C355"/>
    <mergeCell ref="D354:D355"/>
    <mergeCell ref="E354:E355"/>
    <mergeCell ref="F354:F355"/>
    <mergeCell ref="G354:G355"/>
    <mergeCell ref="H354:H355"/>
    <mergeCell ref="I354:I355"/>
    <mergeCell ref="A358:A359"/>
    <mergeCell ref="B358:B359"/>
    <mergeCell ref="C358:C359"/>
    <mergeCell ref="D358:D359"/>
    <mergeCell ref="E358:E359"/>
    <mergeCell ref="F358:F359"/>
    <mergeCell ref="G358:G359"/>
    <mergeCell ref="K358:K359"/>
    <mergeCell ref="A360:A361"/>
    <mergeCell ref="B360:B361"/>
    <mergeCell ref="C360:C361"/>
    <mergeCell ref="D360:D361"/>
    <mergeCell ref="E360:E361"/>
    <mergeCell ref="F360:F361"/>
    <mergeCell ref="G360:G361"/>
    <mergeCell ref="H360:H361"/>
    <mergeCell ref="K360:K361"/>
    <mergeCell ref="P360:P361"/>
    <mergeCell ref="A363:A364"/>
    <mergeCell ref="B363:B364"/>
    <mergeCell ref="C363:C364"/>
    <mergeCell ref="D363:D364"/>
    <mergeCell ref="E363:E364"/>
    <mergeCell ref="F363:F364"/>
    <mergeCell ref="G363:G364"/>
    <mergeCell ref="H363:H364"/>
    <mergeCell ref="I363:I364"/>
    <mergeCell ref="A368:A369"/>
    <mergeCell ref="B368:B369"/>
    <mergeCell ref="C368:C369"/>
    <mergeCell ref="D368:D369"/>
    <mergeCell ref="E368:E369"/>
    <mergeCell ref="F368:F369"/>
    <mergeCell ref="G368:G369"/>
    <mergeCell ref="N368:N369"/>
    <mergeCell ref="A371:A372"/>
    <mergeCell ref="B371:B372"/>
    <mergeCell ref="C371:C372"/>
    <mergeCell ref="D371:D372"/>
    <mergeCell ref="E371:E372"/>
    <mergeCell ref="F371:F372"/>
    <mergeCell ref="G371:G372"/>
    <mergeCell ref="H371:H372"/>
    <mergeCell ref="I371:I372"/>
    <mergeCell ref="K374:K377"/>
    <mergeCell ref="O374:O377"/>
    <mergeCell ref="P374:P377"/>
    <mergeCell ref="A390:A391"/>
    <mergeCell ref="B390:B391"/>
    <mergeCell ref="C390:C391"/>
    <mergeCell ref="D390:D391"/>
    <mergeCell ref="E390:E391"/>
    <mergeCell ref="F390:F391"/>
    <mergeCell ref="G390:G391"/>
    <mergeCell ref="H390:H391"/>
    <mergeCell ref="N390:N391"/>
    <mergeCell ref="O390:O391"/>
    <mergeCell ref="A392:A393"/>
    <mergeCell ref="B392:B393"/>
    <mergeCell ref="C392:C393"/>
    <mergeCell ref="D392:D393"/>
    <mergeCell ref="E392:E393"/>
    <mergeCell ref="F392:F393"/>
    <mergeCell ref="G392:G393"/>
    <mergeCell ref="A374:A377"/>
    <mergeCell ref="B374:B377"/>
    <mergeCell ref="C374:C377"/>
    <mergeCell ref="D374:D377"/>
    <mergeCell ref="E374:E377"/>
    <mergeCell ref="F374:F377"/>
    <mergeCell ref="G374:G377"/>
    <mergeCell ref="H374:H377"/>
    <mergeCell ref="H392:H393"/>
    <mergeCell ref="N392:N393"/>
    <mergeCell ref="O392:O393"/>
    <mergeCell ref="A407:A408"/>
    <mergeCell ref="B407:B408"/>
    <mergeCell ref="C407:C408"/>
    <mergeCell ref="D407:D408"/>
    <mergeCell ref="E407:E408"/>
    <mergeCell ref="F407:F408"/>
    <mergeCell ref="G407:G408"/>
    <mergeCell ref="H407:H408"/>
    <mergeCell ref="U407:U408"/>
    <mergeCell ref="A410:A411"/>
    <mergeCell ref="B410:B411"/>
    <mergeCell ref="C410:C411"/>
    <mergeCell ref="D410:D411"/>
    <mergeCell ref="E410:E411"/>
    <mergeCell ref="F410:F411"/>
    <mergeCell ref="G410:G411"/>
    <mergeCell ref="H410:H411"/>
    <mergeCell ref="A464:A465"/>
    <mergeCell ref="B464:B465"/>
    <mergeCell ref="C464:C465"/>
    <mergeCell ref="D464:D465"/>
    <mergeCell ref="E464:E465"/>
    <mergeCell ref="F464:F465"/>
    <mergeCell ref="G464:G465"/>
    <mergeCell ref="K410:K411"/>
    <mergeCell ref="O410:O411"/>
    <mergeCell ref="Q410:Q411"/>
    <mergeCell ref="S410:S411"/>
    <mergeCell ref="A415:A418"/>
    <mergeCell ref="B415:B418"/>
    <mergeCell ref="C415:C418"/>
    <mergeCell ref="D415:D418"/>
    <mergeCell ref="E415:E418"/>
    <mergeCell ref="F415:F418"/>
    <mergeCell ref="G415:G418"/>
    <mergeCell ref="H415:H418"/>
    <mergeCell ref="I415:I418"/>
    <mergeCell ref="L415:L418"/>
    <mergeCell ref="A419:A420"/>
    <mergeCell ref="B419:B420"/>
    <mergeCell ref="C419:C420"/>
    <mergeCell ref="D419:D420"/>
    <mergeCell ref="E419:E420"/>
    <mergeCell ref="F419:F420"/>
    <mergeCell ref="G419:G420"/>
    <mergeCell ref="H419:H420"/>
    <mergeCell ref="K419:K420"/>
    <mergeCell ref="N419:N420"/>
    <mergeCell ref="O419:O420"/>
    <mergeCell ref="P419:P420"/>
    <mergeCell ref="R419:R420"/>
    <mergeCell ref="A425:A428"/>
    <mergeCell ref="B425:B428"/>
    <mergeCell ref="C425:C428"/>
    <mergeCell ref="D425:D428"/>
    <mergeCell ref="E425:E428"/>
    <mergeCell ref="F425:F428"/>
    <mergeCell ref="G425:G428"/>
    <mergeCell ref="H425:H428"/>
    <mergeCell ref="I425:I428"/>
    <mergeCell ref="K425:K428"/>
    <mergeCell ref="L425:L428"/>
    <mergeCell ref="U494:U497"/>
    <mergeCell ref="A500:A503"/>
    <mergeCell ref="B500:B503"/>
    <mergeCell ref="C500:C503"/>
    <mergeCell ref="D500:D503"/>
    <mergeCell ref="E500:E503"/>
    <mergeCell ref="F500:F503"/>
    <mergeCell ref="A468:A469"/>
    <mergeCell ref="B468:B469"/>
    <mergeCell ref="C468:C469"/>
    <mergeCell ref="D468:D469"/>
    <mergeCell ref="E468:E469"/>
    <mergeCell ref="F468:F469"/>
    <mergeCell ref="G468:G469"/>
    <mergeCell ref="H468:H469"/>
    <mergeCell ref="K468:K469"/>
    <mergeCell ref="O468:O469"/>
    <mergeCell ref="P468:P469"/>
    <mergeCell ref="A472:A473"/>
    <mergeCell ref="B472:B473"/>
    <mergeCell ref="C472:C473"/>
    <mergeCell ref="D472:D473"/>
    <mergeCell ref="E472:E473"/>
    <mergeCell ref="F472:F473"/>
    <mergeCell ref="G472:G473"/>
    <mergeCell ref="K472:K473"/>
    <mergeCell ref="O472:O473"/>
    <mergeCell ref="P472:P473"/>
    <mergeCell ref="R472:R473"/>
    <mergeCell ref="A489:A491"/>
    <mergeCell ref="B489:B491"/>
    <mergeCell ref="C489:C491"/>
    <mergeCell ref="D489:D491"/>
    <mergeCell ref="E489:E491"/>
    <mergeCell ref="F489:F491"/>
    <mergeCell ref="G489:G491"/>
    <mergeCell ref="H489:H491"/>
    <mergeCell ref="K489:K491"/>
    <mergeCell ref="N489:N491"/>
    <mergeCell ref="O489:O491"/>
    <mergeCell ref="P489:P491"/>
    <mergeCell ref="A494:A497"/>
    <mergeCell ref="B494:B497"/>
    <mergeCell ref="C494:C497"/>
    <mergeCell ref="D494:D497"/>
    <mergeCell ref="E494:E497"/>
    <mergeCell ref="F494:F497"/>
    <mergeCell ref="G494:G497"/>
    <mergeCell ref="H494:H497"/>
    <mergeCell ref="N494:N497"/>
    <mergeCell ref="G500:G503"/>
    <mergeCell ref="H500:H503"/>
    <mergeCell ref="K500:K503"/>
    <mergeCell ref="N500:N503"/>
    <mergeCell ref="O500:O503"/>
    <mergeCell ref="P500:P503"/>
    <mergeCell ref="U500:U503"/>
    <mergeCell ref="A504:A507"/>
    <mergeCell ref="B504:B507"/>
    <mergeCell ref="C504:C507"/>
    <mergeCell ref="D504:D507"/>
    <mergeCell ref="E504:E507"/>
    <mergeCell ref="F504:F507"/>
    <mergeCell ref="G504:G507"/>
    <mergeCell ref="H504:H506"/>
    <mergeCell ref="K504:K507"/>
    <mergeCell ref="N504:N506"/>
    <mergeCell ref="O504:O506"/>
    <mergeCell ref="P504:P507"/>
    <mergeCell ref="S504:S507"/>
    <mergeCell ref="G510:G513"/>
    <mergeCell ref="H510:H513"/>
    <mergeCell ref="N510:N513"/>
    <mergeCell ref="O510:O513"/>
    <mergeCell ref="P510:P513"/>
    <mergeCell ref="A525:A527"/>
    <mergeCell ref="B525:B527"/>
    <mergeCell ref="C525:C527"/>
    <mergeCell ref="D525:D527"/>
    <mergeCell ref="E525:E527"/>
    <mergeCell ref="F525:F527"/>
    <mergeCell ref="G525:G527"/>
    <mergeCell ref="H525:H527"/>
    <mergeCell ref="A534:A535"/>
    <mergeCell ref="B534:B535"/>
    <mergeCell ref="C534:C535"/>
    <mergeCell ref="D534:D535"/>
    <mergeCell ref="E534:E535"/>
    <mergeCell ref="F534:F535"/>
    <mergeCell ref="G534:G535"/>
    <mergeCell ref="A510:A513"/>
    <mergeCell ref="B510:B513"/>
    <mergeCell ref="C510:C513"/>
    <mergeCell ref="D510:D513"/>
    <mergeCell ref="E510:E513"/>
    <mergeCell ref="F510:F513"/>
    <mergeCell ref="N534:N535"/>
    <mergeCell ref="O534:O535"/>
    <mergeCell ref="A537:A539"/>
    <mergeCell ref="B537:B539"/>
    <mergeCell ref="C537:C539"/>
    <mergeCell ref="D537:D539"/>
    <mergeCell ref="E537:E539"/>
    <mergeCell ref="F537:F539"/>
    <mergeCell ref="G537:G539"/>
    <mergeCell ref="H537:H539"/>
    <mergeCell ref="U537:U539"/>
    <mergeCell ref="A542:A545"/>
    <mergeCell ref="B542:B545"/>
    <mergeCell ref="C542:C545"/>
    <mergeCell ref="D542:D545"/>
    <mergeCell ref="E542:E545"/>
    <mergeCell ref="F542:F545"/>
    <mergeCell ref="G542:G545"/>
    <mergeCell ref="H542:H545"/>
    <mergeCell ref="K542:K545"/>
    <mergeCell ref="O549:O550"/>
    <mergeCell ref="P549:P550"/>
    <mergeCell ref="N542:N545"/>
    <mergeCell ref="O542:O545"/>
    <mergeCell ref="P542:P545"/>
    <mergeCell ref="A549:A550"/>
    <mergeCell ref="B549:B550"/>
    <mergeCell ref="C549:C550"/>
    <mergeCell ref="D549:D550"/>
    <mergeCell ref="E549:E550"/>
    <mergeCell ref="E553:E556"/>
    <mergeCell ref="F553:F556"/>
    <mergeCell ref="H549:H550"/>
    <mergeCell ref="I549:I550"/>
    <mergeCell ref="K549:K550"/>
    <mergeCell ref="N549:N550"/>
    <mergeCell ref="F549:F550"/>
    <mergeCell ref="G549:G550"/>
    <mergeCell ref="G553:G556"/>
    <mergeCell ref="H553:H554"/>
    <mergeCell ref="K553:K556"/>
    <mergeCell ref="N553:N554"/>
    <mergeCell ref="O553:O554"/>
    <mergeCell ref="A558:A561"/>
    <mergeCell ref="B558:B561"/>
    <mergeCell ref="C558:C561"/>
    <mergeCell ref="D558:D561"/>
    <mergeCell ref="E558:E561"/>
    <mergeCell ref="F558:F561"/>
    <mergeCell ref="G558:G561"/>
    <mergeCell ref="N558:N561"/>
    <mergeCell ref="U558:U561"/>
    <mergeCell ref="A567:A568"/>
    <mergeCell ref="B567:B568"/>
    <mergeCell ref="C567:C568"/>
    <mergeCell ref="D567:D568"/>
    <mergeCell ref="E567:E568"/>
    <mergeCell ref="F567:F568"/>
    <mergeCell ref="G567:G568"/>
    <mergeCell ref="O575:O578"/>
    <mergeCell ref="A583:A584"/>
    <mergeCell ref="B583:B584"/>
    <mergeCell ref="C583:C584"/>
    <mergeCell ref="D583:D584"/>
    <mergeCell ref="E583:E584"/>
    <mergeCell ref="U569:U570"/>
    <mergeCell ref="A571:A572"/>
    <mergeCell ref="B571:B572"/>
    <mergeCell ref="C571:C572"/>
    <mergeCell ref="D571:D572"/>
    <mergeCell ref="E571:E572"/>
    <mergeCell ref="F571:F572"/>
    <mergeCell ref="G571:G572"/>
    <mergeCell ref="H571:H572"/>
    <mergeCell ref="A569:A570"/>
    <mergeCell ref="P553:P554"/>
    <mergeCell ref="A553:A556"/>
    <mergeCell ref="B553:B556"/>
    <mergeCell ref="C553:C556"/>
    <mergeCell ref="D553:D556"/>
    <mergeCell ref="I569:I570"/>
    <mergeCell ref="H567:H568"/>
    <mergeCell ref="B569:B570"/>
    <mergeCell ref="C569:C570"/>
    <mergeCell ref="D569:D570"/>
    <mergeCell ref="R553:R554"/>
    <mergeCell ref="H555:H556"/>
    <mergeCell ref="N555:N556"/>
    <mergeCell ref="O555:O556"/>
    <mergeCell ref="P555:P556"/>
    <mergeCell ref="R555:R556"/>
    <mergeCell ref="G575:G578"/>
    <mergeCell ref="J587:J589"/>
    <mergeCell ref="K587:K589"/>
    <mergeCell ref="L587:L589"/>
    <mergeCell ref="M587:M589"/>
    <mergeCell ref="N587:N589"/>
    <mergeCell ref="F583:F584"/>
    <mergeCell ref="G583:G584"/>
    <mergeCell ref="H583:H584"/>
    <mergeCell ref="I571:I572"/>
    <mergeCell ref="A575:A578"/>
    <mergeCell ref="B575:B578"/>
    <mergeCell ref="C575:C578"/>
    <mergeCell ref="D575:D578"/>
    <mergeCell ref="E575:E578"/>
    <mergeCell ref="F575:F578"/>
    <mergeCell ref="E569:E570"/>
    <mergeCell ref="F569:F570"/>
    <mergeCell ref="G569:G570"/>
    <mergeCell ref="H569:H570"/>
    <mergeCell ref="E587:E589"/>
    <mergeCell ref="F587:F589"/>
    <mergeCell ref="G587:G589"/>
    <mergeCell ref="H587:H589"/>
    <mergeCell ref="I587:I589"/>
    <mergeCell ref="G597:G598"/>
    <mergeCell ref="H597:H598"/>
    <mergeCell ref="F593:F594"/>
    <mergeCell ref="G593:G594"/>
    <mergeCell ref="H593:H594"/>
    <mergeCell ref="A593:A594"/>
    <mergeCell ref="B593:B594"/>
    <mergeCell ref="C593:C594"/>
    <mergeCell ref="D593:D594"/>
    <mergeCell ref="E593:E594"/>
    <mergeCell ref="U583:U584"/>
    <mergeCell ref="A587:A589"/>
    <mergeCell ref="B587:B589"/>
    <mergeCell ref="C587:C589"/>
    <mergeCell ref="D587:D589"/>
    <mergeCell ref="A609:A611"/>
    <mergeCell ref="B609:B611"/>
    <mergeCell ref="C609:C611"/>
    <mergeCell ref="D609:D611"/>
    <mergeCell ref="E609:E611"/>
    <mergeCell ref="F609:F611"/>
    <mergeCell ref="G609:G611"/>
    <mergeCell ref="H609:H611"/>
    <mergeCell ref="N609:N611"/>
    <mergeCell ref="O609:O611"/>
    <mergeCell ref="P609:P611"/>
    <mergeCell ref="R609:R611"/>
    <mergeCell ref="K593:K594"/>
    <mergeCell ref="A597:A598"/>
    <mergeCell ref="B597:B598"/>
    <mergeCell ref="C597:C598"/>
    <mergeCell ref="D597:D598"/>
    <mergeCell ref="E597:E598"/>
    <mergeCell ref="F597:F598"/>
    <mergeCell ref="K597:K598"/>
    <mergeCell ref="A600:A602"/>
    <mergeCell ref="B600:B602"/>
    <mergeCell ref="C600:C602"/>
    <mergeCell ref="D600:D602"/>
    <mergeCell ref="E600:E602"/>
    <mergeCell ref="F600:F602"/>
    <mergeCell ref="G600:G602"/>
    <mergeCell ref="H600:H602"/>
    <mergeCell ref="K600:K602"/>
    <mergeCell ref="A613:A614"/>
    <mergeCell ref="B613:B614"/>
    <mergeCell ref="C613:C614"/>
    <mergeCell ref="D613:D614"/>
    <mergeCell ref="E613:E614"/>
    <mergeCell ref="F613:F614"/>
    <mergeCell ref="G613:G614"/>
    <mergeCell ref="H613:H614"/>
    <mergeCell ref="N613:N614"/>
    <mergeCell ref="O613:O614"/>
    <mergeCell ref="P613:P614"/>
    <mergeCell ref="Q613:Q614"/>
    <mergeCell ref="G603:G604"/>
    <mergeCell ref="H603:H604"/>
    <mergeCell ref="G616:G617"/>
    <mergeCell ref="O616:O617"/>
    <mergeCell ref="A616:A617"/>
    <mergeCell ref="B616:B617"/>
    <mergeCell ref="C616:C617"/>
    <mergeCell ref="D616:D617"/>
    <mergeCell ref="E616:E617"/>
    <mergeCell ref="F616:F617"/>
    <mergeCell ref="A603:A604"/>
    <mergeCell ref="B603:B604"/>
    <mergeCell ref="C603:C604"/>
    <mergeCell ref="D603:D604"/>
    <mergeCell ref="E603:E604"/>
    <mergeCell ref="F603:F604"/>
    <mergeCell ref="I603:I604"/>
    <mergeCell ref="J603:J604"/>
    <mergeCell ref="K603:K604"/>
    <mergeCell ref="L603:L604"/>
  </mergeCells>
  <phoneticPr fontId="2" type="noConversion"/>
  <hyperlinks>
    <hyperlink ref="U421" r:id="rId1" xr:uid="{933419C4-4786-4E54-B7DB-09E48D0D8B66}"/>
  </hyperlinks>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制-电解槽招标</vt:lpstr>
      <vt:lpstr>用-车辆招投标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Liu [cn19xl]</dc:creator>
  <cp:lastModifiedBy>Xiao Liu [cn19xl]</cp:lastModifiedBy>
  <dcterms:created xsi:type="dcterms:W3CDTF">2026-05-25T09:15:02Z</dcterms:created>
  <dcterms:modified xsi:type="dcterms:W3CDTF">2026-05-26T08:26:14Z</dcterms:modified>
</cp:coreProperties>
</file>