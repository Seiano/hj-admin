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4.其他数据表\招投标数据\"/>
    </mc:Choice>
  </mc:AlternateContent>
  <xr:revisionPtr revIDLastSave="0" documentId="13_ncr:1_{B831FB7B-06CC-45C2-B112-489DB302253D}" xr6:coauthVersionLast="47" xr6:coauthVersionMax="47" xr10:uidLastSave="{00000000-0000-0000-0000-000000000000}"/>
  <bookViews>
    <workbookView xWindow="29890" yWindow="-110" windowWidth="38620" windowHeight="21100" xr2:uid="{65D97646-BC4D-4E50-B11B-3475272935BA}"/>
  </bookViews>
  <sheets>
    <sheet name="标准-团体标准" sheetId="1" r:id="rId1"/>
    <sheet name="标准-地方标准" sheetId="2" r:id="rId2"/>
    <sheet name="标准-行业标准" sheetId="3" r:id="rId3"/>
    <sheet name="标准-国家标准" sheetId="4" r:id="rId4"/>
  </sheets>
  <externalReferences>
    <externalReference r:id="rId5"/>
  </externalReferences>
  <definedNames>
    <definedName name="_xlnm._FilterDatabase" localSheetId="1" hidden="1">'标准-地方标准'!$A$1:$AE$87</definedName>
    <definedName name="_xlnm._FilterDatabase" localSheetId="3" hidden="1">'标准-国家标准'!$A$1:$AB$183</definedName>
    <definedName name="_xlnm._FilterDatabase" localSheetId="0" hidden="1">'标准-团体标准'!$A$1:$U$822</definedName>
    <definedName name="_xlnm._FilterDatabase" localSheetId="2" hidden="1">'标准-行业标准'!$A$1:$AC$74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4" i="4" l="1"/>
  <c r="L154" i="4"/>
  <c r="I154" i="4"/>
  <c r="O153" i="4"/>
  <c r="L153" i="4"/>
  <c r="I153" i="4"/>
  <c r="O152" i="4"/>
  <c r="L152" i="4"/>
  <c r="I152" i="4"/>
  <c r="O151" i="4"/>
  <c r="L151" i="4"/>
  <c r="I151" i="4"/>
  <c r="O150" i="4"/>
  <c r="L150" i="4"/>
  <c r="I150" i="4"/>
  <c r="O149" i="4"/>
  <c r="L149" i="4"/>
  <c r="I149" i="4"/>
  <c r="O148" i="4"/>
  <c r="L148" i="4"/>
  <c r="I148" i="4"/>
  <c r="O147" i="4"/>
  <c r="L147" i="4"/>
  <c r="I147" i="4"/>
  <c r="O146" i="4"/>
  <c r="L146" i="4"/>
  <c r="I146" i="4"/>
  <c r="D146" i="4"/>
  <c r="O145" i="4"/>
  <c r="L145" i="4"/>
  <c r="I145" i="4"/>
  <c r="D145" i="4"/>
  <c r="O144" i="4"/>
  <c r="L144" i="4"/>
  <c r="I144" i="4"/>
  <c r="D144" i="4"/>
  <c r="O143" i="4"/>
  <c r="L143" i="4"/>
  <c r="I143" i="4"/>
  <c r="D143" i="4"/>
  <c r="O142" i="4"/>
  <c r="L142" i="4"/>
  <c r="I142" i="4"/>
  <c r="D142" i="4"/>
  <c r="O141" i="4"/>
  <c r="L141" i="4"/>
  <c r="I141" i="4"/>
  <c r="D141" i="4"/>
  <c r="O140" i="4"/>
  <c r="L140" i="4"/>
  <c r="I140" i="4"/>
  <c r="D140" i="4"/>
  <c r="O139" i="4"/>
  <c r="L139" i="4"/>
  <c r="I139" i="4"/>
  <c r="D139" i="4"/>
  <c r="O138" i="4"/>
  <c r="L138" i="4"/>
  <c r="I138" i="4"/>
  <c r="D138" i="4"/>
  <c r="O137" i="4"/>
  <c r="L137" i="4"/>
  <c r="I137" i="4"/>
  <c r="D137" i="4"/>
  <c r="O136" i="4"/>
  <c r="L136" i="4"/>
  <c r="I136" i="4"/>
  <c r="D136" i="4"/>
  <c r="O135" i="4"/>
  <c r="L135" i="4"/>
  <c r="I135" i="4"/>
  <c r="D135" i="4"/>
  <c r="O134" i="4"/>
  <c r="L134" i="4"/>
  <c r="I134" i="4"/>
  <c r="D134" i="4"/>
  <c r="O133" i="4"/>
  <c r="L133" i="4"/>
  <c r="I133" i="4"/>
  <c r="D133" i="4"/>
  <c r="O132" i="4"/>
  <c r="L132" i="4"/>
  <c r="I132" i="4"/>
  <c r="D132" i="4"/>
  <c r="O131" i="4"/>
  <c r="L131" i="4"/>
  <c r="I131" i="4"/>
  <c r="D131" i="4"/>
  <c r="O130" i="4"/>
  <c r="L130" i="4"/>
  <c r="I130" i="4"/>
  <c r="D130" i="4"/>
  <c r="O129" i="4"/>
  <c r="L129" i="4"/>
  <c r="I129" i="4"/>
  <c r="D129" i="4"/>
  <c r="O128" i="4"/>
  <c r="L128" i="4"/>
  <c r="I128" i="4"/>
  <c r="D128" i="4"/>
  <c r="O127" i="4"/>
  <c r="L127" i="4"/>
  <c r="I127" i="4"/>
  <c r="D127" i="4"/>
  <c r="O126" i="4"/>
  <c r="L126" i="4"/>
  <c r="I126" i="4"/>
  <c r="D126" i="4"/>
  <c r="O125" i="4"/>
  <c r="L125" i="4"/>
  <c r="I125" i="4"/>
  <c r="D125" i="4"/>
  <c r="O124" i="4"/>
  <c r="L124" i="4"/>
  <c r="I124" i="4"/>
  <c r="D124" i="4"/>
  <c r="O123" i="4"/>
  <c r="L123" i="4"/>
  <c r="I123" i="4"/>
  <c r="D123" i="4"/>
  <c r="O122" i="4"/>
  <c r="L122" i="4"/>
  <c r="I122" i="4"/>
  <c r="D122" i="4"/>
  <c r="O121" i="4"/>
  <c r="L121" i="4"/>
  <c r="I121" i="4"/>
  <c r="D121" i="4"/>
  <c r="O120" i="4"/>
  <c r="L120" i="4"/>
  <c r="I120" i="4"/>
  <c r="D120" i="4"/>
  <c r="O119" i="4"/>
  <c r="L119" i="4"/>
  <c r="I119" i="4"/>
  <c r="D119" i="4"/>
  <c r="O118" i="4"/>
  <c r="L118" i="4"/>
  <c r="I118" i="4"/>
  <c r="D118" i="4"/>
  <c r="O117" i="4"/>
  <c r="L117" i="4"/>
  <c r="I117" i="4"/>
  <c r="D117" i="4"/>
  <c r="O116" i="4"/>
  <c r="L116" i="4"/>
  <c r="I116" i="4"/>
  <c r="D116" i="4"/>
  <c r="O115" i="4"/>
  <c r="L115" i="4"/>
  <c r="I115" i="4"/>
  <c r="D115" i="4"/>
  <c r="O114" i="4"/>
  <c r="L114" i="4"/>
  <c r="I114" i="4"/>
  <c r="D114" i="4"/>
  <c r="O113" i="4"/>
  <c r="L113" i="4"/>
  <c r="I113" i="4"/>
  <c r="D113" i="4"/>
  <c r="O112" i="4"/>
  <c r="L112" i="4"/>
  <c r="I112" i="4"/>
  <c r="D112" i="4"/>
  <c r="O111" i="4"/>
  <c r="L111" i="4"/>
  <c r="I111" i="4"/>
  <c r="D111" i="4"/>
  <c r="O110" i="4"/>
  <c r="L110" i="4"/>
  <c r="I110" i="4"/>
  <c r="D110" i="4"/>
  <c r="O109" i="4"/>
  <c r="L109" i="4"/>
  <c r="I109" i="4"/>
  <c r="D109" i="4"/>
  <c r="O108" i="4"/>
  <c r="L108" i="4"/>
  <c r="I108" i="4"/>
  <c r="D108" i="4"/>
  <c r="O107" i="4"/>
  <c r="L107" i="4"/>
  <c r="I107" i="4"/>
  <c r="D107" i="4"/>
  <c r="O106" i="4"/>
  <c r="L106" i="4"/>
  <c r="I106" i="4"/>
  <c r="D106" i="4"/>
  <c r="O105" i="4"/>
  <c r="L105" i="4"/>
  <c r="I105" i="4"/>
  <c r="D105" i="4"/>
  <c r="O104" i="4"/>
  <c r="L104" i="4"/>
  <c r="I104" i="4"/>
  <c r="D104" i="4"/>
  <c r="O103" i="4"/>
  <c r="L103" i="4"/>
  <c r="I103" i="4"/>
  <c r="D103" i="4"/>
  <c r="O102" i="4"/>
  <c r="L102" i="4"/>
  <c r="I102" i="4"/>
  <c r="D102" i="4"/>
  <c r="O101" i="4"/>
  <c r="L101" i="4"/>
  <c r="I101" i="4"/>
  <c r="D101" i="4"/>
  <c r="O100" i="4"/>
  <c r="L100" i="4"/>
  <c r="I100" i="4"/>
  <c r="D100" i="4"/>
  <c r="O99" i="4"/>
  <c r="L99" i="4"/>
  <c r="I99" i="4"/>
  <c r="D99" i="4"/>
  <c r="O98" i="4"/>
  <c r="L98" i="4"/>
  <c r="I98" i="4"/>
  <c r="D98" i="4"/>
  <c r="O97" i="4"/>
  <c r="L97" i="4"/>
  <c r="I97" i="4"/>
  <c r="D97" i="4"/>
  <c r="O96" i="4"/>
  <c r="L96" i="4"/>
  <c r="I96" i="4"/>
  <c r="D96" i="4"/>
  <c r="O95" i="4"/>
  <c r="L95" i="4"/>
  <c r="I95" i="4"/>
  <c r="D95" i="4"/>
  <c r="O94" i="4"/>
  <c r="L94" i="4"/>
  <c r="I94" i="4"/>
  <c r="D94" i="4"/>
  <c r="O93" i="4"/>
  <c r="L93" i="4"/>
  <c r="I93" i="4"/>
  <c r="D93" i="4"/>
  <c r="O92" i="4"/>
  <c r="L92" i="4"/>
  <c r="I92" i="4"/>
  <c r="D92" i="4"/>
  <c r="O91" i="4"/>
  <c r="L91" i="4"/>
  <c r="I91" i="4"/>
  <c r="D91" i="4"/>
  <c r="O90" i="4"/>
  <c r="L90" i="4"/>
  <c r="I90" i="4"/>
  <c r="D90" i="4"/>
  <c r="O89" i="4"/>
  <c r="L89" i="4"/>
  <c r="I89" i="4"/>
  <c r="D89" i="4"/>
  <c r="O88" i="4"/>
  <c r="L88" i="4"/>
  <c r="I88" i="4"/>
  <c r="D88" i="4"/>
  <c r="O87" i="4"/>
  <c r="L87" i="4"/>
  <c r="I87" i="4"/>
  <c r="D87" i="4"/>
  <c r="O86" i="4"/>
  <c r="L86" i="4"/>
  <c r="I86" i="4"/>
  <c r="D86" i="4"/>
  <c r="O85" i="4"/>
  <c r="L85" i="4"/>
  <c r="I85" i="4"/>
  <c r="D85" i="4"/>
  <c r="O84" i="4"/>
  <c r="L84" i="4"/>
  <c r="I84" i="4"/>
  <c r="D84" i="4"/>
  <c r="O83" i="4"/>
  <c r="L83" i="4"/>
  <c r="I83" i="4"/>
  <c r="D83" i="4"/>
  <c r="O82" i="4"/>
  <c r="L82" i="4"/>
  <c r="I82" i="4"/>
  <c r="D82" i="4"/>
  <c r="O81" i="4"/>
  <c r="L81" i="4"/>
  <c r="I81" i="4"/>
  <c r="D81" i="4"/>
  <c r="O80" i="4"/>
  <c r="L80" i="4"/>
  <c r="I80" i="4"/>
  <c r="D80" i="4"/>
  <c r="O79" i="4"/>
  <c r="L79" i="4"/>
  <c r="I79" i="4"/>
  <c r="D79" i="4"/>
  <c r="O78" i="4"/>
  <c r="L78" i="4"/>
  <c r="I78" i="4"/>
  <c r="D78" i="4"/>
  <c r="O77" i="4"/>
  <c r="L77" i="4"/>
  <c r="I77" i="4"/>
  <c r="D77" i="4"/>
  <c r="O76" i="4"/>
  <c r="L76" i="4"/>
  <c r="I76" i="4"/>
  <c r="D76" i="4"/>
  <c r="O75" i="4"/>
  <c r="L75" i="4"/>
  <c r="I75" i="4"/>
  <c r="D75" i="4"/>
  <c r="O74" i="4"/>
  <c r="L74" i="4"/>
  <c r="I74" i="4"/>
  <c r="D74" i="4"/>
  <c r="O73" i="4"/>
  <c r="L73" i="4"/>
  <c r="I73" i="4"/>
  <c r="D73" i="4"/>
  <c r="O72" i="4"/>
  <c r="L72" i="4"/>
  <c r="I72" i="4"/>
  <c r="D72" i="4"/>
  <c r="O71" i="4"/>
  <c r="L71" i="4"/>
  <c r="I71" i="4"/>
  <c r="D71" i="4"/>
  <c r="O70" i="4"/>
  <c r="L70" i="4"/>
  <c r="I70" i="4"/>
  <c r="D70" i="4"/>
  <c r="O69" i="4"/>
  <c r="L69" i="4"/>
  <c r="I69" i="4"/>
  <c r="D69" i="4"/>
  <c r="O68" i="4"/>
  <c r="L68" i="4"/>
  <c r="I68" i="4"/>
  <c r="D68" i="4"/>
  <c r="O67" i="4"/>
  <c r="L67" i="4"/>
  <c r="I67" i="4"/>
  <c r="D67" i="4"/>
  <c r="O66" i="4"/>
  <c r="L66" i="4"/>
  <c r="I66" i="4"/>
  <c r="D66" i="4"/>
  <c r="O65" i="4"/>
  <c r="L65" i="4"/>
  <c r="I65" i="4"/>
  <c r="D65" i="4"/>
  <c r="O64" i="4"/>
  <c r="L64" i="4"/>
  <c r="I64" i="4"/>
  <c r="D64" i="4"/>
  <c r="O63" i="4"/>
  <c r="L63" i="4"/>
  <c r="I63" i="4"/>
  <c r="D63" i="4"/>
  <c r="O62" i="4"/>
  <c r="L62" i="4"/>
  <c r="I62" i="4"/>
  <c r="D62" i="4"/>
  <c r="O61" i="4"/>
  <c r="L61" i="4"/>
  <c r="I61" i="4"/>
  <c r="D61" i="4"/>
  <c r="O60" i="4"/>
  <c r="L60" i="4"/>
  <c r="I60" i="4"/>
  <c r="D60" i="4"/>
  <c r="O59" i="4"/>
  <c r="L59" i="4"/>
  <c r="I59" i="4"/>
  <c r="D59" i="4"/>
  <c r="O58" i="4"/>
  <c r="L58" i="4"/>
  <c r="I58" i="4"/>
  <c r="D58" i="4"/>
  <c r="O57" i="4"/>
  <c r="L57" i="4"/>
  <c r="I57" i="4"/>
  <c r="D57" i="4"/>
  <c r="O56" i="4"/>
  <c r="L56" i="4"/>
  <c r="I56" i="4"/>
  <c r="D56" i="4"/>
  <c r="O55" i="4"/>
  <c r="L55" i="4"/>
  <c r="I55" i="4"/>
  <c r="D55" i="4"/>
  <c r="O54" i="4"/>
  <c r="L54" i="4"/>
  <c r="I54" i="4"/>
  <c r="D54" i="4"/>
  <c r="O53" i="4"/>
  <c r="L53" i="4"/>
  <c r="I53" i="4"/>
  <c r="D53" i="4"/>
  <c r="O52" i="4"/>
  <c r="L52" i="4"/>
  <c r="I52" i="4"/>
  <c r="D52" i="4"/>
  <c r="O51" i="4"/>
  <c r="L51" i="4"/>
  <c r="I51" i="4"/>
  <c r="D51" i="4"/>
  <c r="O50" i="4"/>
  <c r="L50" i="4"/>
  <c r="I50" i="4"/>
  <c r="D50" i="4"/>
  <c r="O49" i="4"/>
  <c r="L49" i="4"/>
  <c r="I49" i="4"/>
  <c r="D49" i="4"/>
  <c r="O48" i="4"/>
  <c r="L48" i="4"/>
  <c r="I48" i="4"/>
  <c r="D48" i="4"/>
  <c r="O47" i="4"/>
  <c r="L47" i="4"/>
  <c r="I47" i="4"/>
  <c r="D47" i="4"/>
  <c r="O46" i="4"/>
  <c r="L46" i="4"/>
  <c r="I46" i="4"/>
  <c r="D46" i="4"/>
  <c r="O45" i="4"/>
  <c r="L45" i="4"/>
  <c r="I45" i="4"/>
  <c r="D45" i="4"/>
  <c r="O44" i="4"/>
  <c r="L44" i="4"/>
  <c r="I44" i="4"/>
  <c r="D44" i="4"/>
  <c r="O43" i="4"/>
  <c r="L43" i="4"/>
  <c r="I43" i="4"/>
  <c r="D43" i="4"/>
  <c r="O42" i="4"/>
  <c r="L42" i="4"/>
  <c r="I42" i="4"/>
  <c r="D42" i="4"/>
  <c r="O41" i="4"/>
  <c r="L41" i="4"/>
  <c r="I41" i="4"/>
  <c r="D41" i="4"/>
  <c r="O40" i="4"/>
  <c r="L40" i="4"/>
  <c r="I40" i="4"/>
  <c r="D40" i="4"/>
  <c r="O39" i="4"/>
  <c r="L39" i="4"/>
  <c r="I39" i="4"/>
  <c r="D39" i="4"/>
  <c r="O38" i="4"/>
  <c r="L38" i="4"/>
  <c r="I38" i="4"/>
  <c r="D38" i="4"/>
  <c r="O37" i="4"/>
  <c r="L37" i="4"/>
  <c r="I37" i="4"/>
  <c r="D37" i="4"/>
  <c r="O36" i="4"/>
  <c r="L36" i="4"/>
  <c r="I36" i="4"/>
  <c r="D36" i="4"/>
  <c r="O35" i="4"/>
  <c r="L35" i="4"/>
  <c r="I35" i="4"/>
  <c r="D35" i="4"/>
  <c r="O34" i="4"/>
  <c r="L34" i="4"/>
  <c r="I34" i="4"/>
  <c r="D34" i="4"/>
  <c r="O33" i="4"/>
  <c r="L33" i="4"/>
  <c r="I33" i="4"/>
  <c r="D33" i="4"/>
  <c r="O32" i="4"/>
  <c r="L32" i="4"/>
  <c r="I32" i="4"/>
  <c r="D32" i="4"/>
  <c r="O31" i="4"/>
  <c r="L31" i="4"/>
  <c r="I31" i="4"/>
  <c r="D31" i="4"/>
  <c r="O30" i="4"/>
  <c r="L30" i="4"/>
  <c r="I30" i="4"/>
  <c r="D30" i="4"/>
  <c r="O29" i="4"/>
  <c r="L29" i="4"/>
  <c r="I29" i="4"/>
  <c r="D29" i="4"/>
  <c r="O28" i="4"/>
  <c r="L28" i="4"/>
  <c r="I28" i="4"/>
  <c r="D28" i="4"/>
  <c r="O27" i="4"/>
  <c r="L27" i="4"/>
  <c r="I27" i="4"/>
  <c r="D27" i="4"/>
  <c r="O26" i="4"/>
  <c r="L26" i="4"/>
  <c r="I26" i="4"/>
  <c r="D26" i="4"/>
  <c r="O25" i="4"/>
  <c r="L25" i="4"/>
  <c r="I25" i="4"/>
  <c r="D25" i="4"/>
  <c r="O24" i="4"/>
  <c r="L24" i="4"/>
  <c r="I24" i="4"/>
  <c r="D24" i="4"/>
  <c r="O23" i="4"/>
  <c r="L23" i="4"/>
  <c r="I23" i="4"/>
  <c r="D23" i="4"/>
  <c r="O22" i="4"/>
  <c r="L22" i="4"/>
  <c r="I22" i="4"/>
  <c r="D22" i="4"/>
  <c r="O21" i="4"/>
  <c r="L21" i="4"/>
  <c r="I21" i="4"/>
  <c r="D21" i="4"/>
  <c r="O20" i="4"/>
  <c r="L20" i="4"/>
  <c r="I20" i="4"/>
  <c r="D20" i="4"/>
  <c r="O19" i="4"/>
  <c r="L19" i="4"/>
  <c r="I19" i="4"/>
  <c r="D19" i="4"/>
  <c r="O18" i="4"/>
  <c r="L18" i="4"/>
  <c r="I18" i="4"/>
  <c r="D18" i="4"/>
  <c r="O17" i="4"/>
  <c r="L17" i="4"/>
  <c r="I17" i="4"/>
  <c r="D17" i="4"/>
  <c r="O16" i="4"/>
  <c r="L16" i="4"/>
  <c r="I16" i="4"/>
  <c r="D16" i="4"/>
  <c r="O15" i="4"/>
  <c r="L15" i="4"/>
  <c r="I15" i="4"/>
  <c r="D15" i="4"/>
  <c r="O14" i="4"/>
  <c r="L14" i="4"/>
  <c r="I14" i="4"/>
  <c r="D14" i="4"/>
  <c r="O13" i="4"/>
  <c r="L13" i="4"/>
  <c r="I13" i="4"/>
  <c r="D13" i="4"/>
  <c r="O12" i="4"/>
  <c r="L12" i="4"/>
  <c r="I12" i="4"/>
  <c r="D12" i="4"/>
  <c r="O11" i="4"/>
  <c r="L11" i="4"/>
  <c r="I11" i="4"/>
  <c r="D11" i="4"/>
  <c r="O10" i="4"/>
  <c r="L10" i="4"/>
  <c r="I10" i="4"/>
  <c r="D10" i="4"/>
  <c r="O9" i="4"/>
  <c r="L9" i="4"/>
  <c r="I9" i="4"/>
  <c r="D9" i="4"/>
  <c r="O8" i="4"/>
  <c r="L8" i="4"/>
  <c r="I8" i="4"/>
  <c r="D8" i="4"/>
  <c r="O7" i="4"/>
  <c r="L7" i="4"/>
  <c r="I7" i="4"/>
  <c r="D7" i="4"/>
  <c r="B7" i="4"/>
  <c r="O6" i="4"/>
  <c r="L6" i="4"/>
  <c r="I6" i="4"/>
  <c r="D6" i="4"/>
  <c r="B6" i="4"/>
  <c r="O5" i="4"/>
  <c r="L5" i="4"/>
  <c r="I5" i="4"/>
  <c r="D5" i="4"/>
  <c r="B5" i="4"/>
  <c r="O4" i="4"/>
  <c r="L4" i="4"/>
  <c r="I4" i="4"/>
  <c r="D4" i="4"/>
  <c r="B4" i="4"/>
  <c r="O3" i="4"/>
  <c r="L3" i="4"/>
  <c r="I3" i="4"/>
  <c r="D3" i="4"/>
  <c r="B3" i="4"/>
  <c r="O2" i="4"/>
  <c r="L2" i="4"/>
  <c r="I2" i="4"/>
  <c r="D2" i="4"/>
  <c r="O72" i="3"/>
  <c r="L72" i="3"/>
  <c r="I72" i="3"/>
  <c r="D72" i="3"/>
  <c r="D71" i="3"/>
  <c r="D70" i="3"/>
  <c r="D69" i="3"/>
  <c r="O68" i="3"/>
  <c r="L68" i="3"/>
  <c r="I68" i="3"/>
  <c r="D68" i="3"/>
  <c r="O67" i="3"/>
  <c r="L67" i="3"/>
  <c r="I67" i="3"/>
  <c r="D67" i="3"/>
  <c r="D66" i="3"/>
  <c r="D65" i="3"/>
  <c r="O64" i="3"/>
  <c r="L64" i="3"/>
  <c r="I64" i="3"/>
  <c r="D64" i="3"/>
  <c r="O63" i="3"/>
  <c r="L63" i="3"/>
  <c r="I63" i="3"/>
  <c r="D63" i="3"/>
  <c r="O62" i="3"/>
  <c r="L62" i="3"/>
  <c r="I62" i="3"/>
  <c r="D62" i="3"/>
  <c r="O61" i="3"/>
  <c r="L61" i="3"/>
  <c r="I61" i="3"/>
  <c r="D61" i="3"/>
  <c r="O60" i="3"/>
  <c r="L60" i="3"/>
  <c r="I60" i="3"/>
  <c r="D60" i="3"/>
  <c r="O59" i="3"/>
  <c r="L59" i="3"/>
  <c r="I59" i="3"/>
  <c r="D59" i="3"/>
  <c r="O58" i="3"/>
  <c r="L58" i="3"/>
  <c r="I58" i="3"/>
  <c r="D58" i="3"/>
  <c r="O57" i="3"/>
  <c r="L57" i="3"/>
  <c r="I57" i="3"/>
  <c r="D57" i="3"/>
  <c r="O56" i="3"/>
  <c r="L56" i="3"/>
  <c r="I56" i="3"/>
  <c r="D56" i="3"/>
  <c r="O55" i="3"/>
  <c r="L55" i="3"/>
  <c r="I55" i="3"/>
  <c r="D55" i="3"/>
  <c r="O54" i="3"/>
  <c r="L54" i="3"/>
  <c r="I54" i="3"/>
  <c r="D54" i="3"/>
  <c r="O53" i="3"/>
  <c r="L53" i="3"/>
  <c r="I53" i="3"/>
  <c r="D53" i="3"/>
  <c r="O52" i="3"/>
  <c r="L52" i="3"/>
  <c r="I52" i="3"/>
  <c r="D52" i="3"/>
  <c r="O51" i="3"/>
  <c r="L51" i="3"/>
  <c r="I51" i="3"/>
  <c r="D51" i="3"/>
  <c r="O50" i="3"/>
  <c r="L50" i="3"/>
  <c r="I50" i="3"/>
  <c r="D50" i="3"/>
  <c r="O49" i="3"/>
  <c r="L49" i="3"/>
  <c r="I49" i="3"/>
  <c r="D49" i="3"/>
  <c r="O48" i="3"/>
  <c r="L48" i="3"/>
  <c r="I48" i="3"/>
  <c r="D48" i="3"/>
  <c r="O47" i="3"/>
  <c r="L47" i="3"/>
  <c r="I47" i="3"/>
  <c r="D47" i="3"/>
  <c r="O46" i="3"/>
  <c r="L46" i="3"/>
  <c r="I46" i="3"/>
  <c r="D46" i="3"/>
  <c r="O45" i="3"/>
  <c r="L45" i="3"/>
  <c r="I45" i="3"/>
  <c r="D45" i="3"/>
  <c r="O44" i="3"/>
  <c r="L44" i="3"/>
  <c r="I44" i="3"/>
  <c r="D44" i="3"/>
  <c r="O43" i="3"/>
  <c r="L43" i="3"/>
  <c r="I43" i="3"/>
  <c r="D43" i="3"/>
  <c r="O42" i="3"/>
  <c r="L42" i="3"/>
  <c r="I42" i="3"/>
  <c r="D42" i="3"/>
  <c r="O41" i="3"/>
  <c r="L41" i="3"/>
  <c r="I41" i="3"/>
  <c r="D41" i="3"/>
  <c r="O40" i="3"/>
  <c r="L40" i="3"/>
  <c r="I40" i="3"/>
  <c r="D40" i="3"/>
  <c r="O39" i="3"/>
  <c r="L39" i="3"/>
  <c r="I39" i="3"/>
  <c r="D39" i="3"/>
  <c r="O38" i="3"/>
  <c r="L38" i="3"/>
  <c r="I38" i="3"/>
  <c r="D38" i="3"/>
  <c r="O37" i="3"/>
  <c r="L37" i="3"/>
  <c r="I37" i="3"/>
  <c r="D37" i="3"/>
  <c r="O36" i="3"/>
  <c r="L36" i="3"/>
  <c r="I36" i="3"/>
  <c r="D36" i="3"/>
  <c r="O35" i="3"/>
  <c r="L35" i="3"/>
  <c r="I35" i="3"/>
  <c r="D35" i="3"/>
  <c r="O34" i="3"/>
  <c r="L34" i="3"/>
  <c r="I34" i="3"/>
  <c r="D34" i="3"/>
  <c r="O33" i="3"/>
  <c r="L33" i="3"/>
  <c r="I33" i="3"/>
  <c r="D33" i="3"/>
  <c r="O32" i="3"/>
  <c r="L32" i="3"/>
  <c r="I32" i="3"/>
  <c r="D32" i="3"/>
  <c r="O31" i="3"/>
  <c r="L31" i="3"/>
  <c r="I31" i="3"/>
  <c r="D31" i="3"/>
  <c r="O30" i="3"/>
  <c r="L30" i="3"/>
  <c r="I30" i="3"/>
  <c r="D30" i="3"/>
  <c r="O29" i="3"/>
  <c r="L29" i="3"/>
  <c r="I29" i="3"/>
  <c r="D29" i="3"/>
  <c r="O28" i="3"/>
  <c r="L28" i="3"/>
  <c r="I28" i="3"/>
  <c r="D28" i="3"/>
  <c r="O27" i="3"/>
  <c r="L27" i="3"/>
  <c r="I27" i="3"/>
  <c r="D27" i="3"/>
  <c r="O26" i="3"/>
  <c r="L26" i="3"/>
  <c r="I26" i="3"/>
  <c r="D26" i="3"/>
  <c r="O25" i="3"/>
  <c r="L25" i="3"/>
  <c r="I25" i="3"/>
  <c r="D25" i="3"/>
  <c r="O24" i="3"/>
  <c r="L24" i="3"/>
  <c r="I24" i="3"/>
  <c r="D24" i="3"/>
  <c r="O23" i="3"/>
  <c r="L23" i="3"/>
  <c r="I23" i="3"/>
  <c r="D23" i="3"/>
  <c r="O22" i="3"/>
  <c r="L22" i="3"/>
  <c r="I22" i="3"/>
  <c r="D22" i="3"/>
  <c r="O21" i="3"/>
  <c r="L21" i="3"/>
  <c r="I21" i="3"/>
  <c r="D21" i="3"/>
  <c r="O20" i="3"/>
  <c r="L20" i="3"/>
  <c r="I20" i="3"/>
  <c r="D20" i="3"/>
  <c r="O19" i="3"/>
  <c r="L19" i="3"/>
  <c r="I19" i="3"/>
  <c r="D19" i="3"/>
  <c r="O18" i="3"/>
  <c r="L18" i="3"/>
  <c r="I18" i="3"/>
  <c r="D18" i="3"/>
  <c r="O17" i="3"/>
  <c r="L17" i="3"/>
  <c r="I17" i="3"/>
  <c r="D17" i="3"/>
  <c r="O16" i="3"/>
  <c r="L16" i="3"/>
  <c r="I16" i="3"/>
  <c r="D16" i="3"/>
  <c r="O15" i="3"/>
  <c r="L15" i="3"/>
  <c r="I15" i="3"/>
  <c r="D15" i="3"/>
  <c r="O14" i="3"/>
  <c r="L14" i="3"/>
  <c r="I14" i="3"/>
  <c r="D14" i="3"/>
  <c r="O13" i="3"/>
  <c r="L13" i="3"/>
  <c r="I13" i="3"/>
  <c r="D13" i="3"/>
  <c r="O12" i="3"/>
  <c r="L12" i="3"/>
  <c r="I12" i="3"/>
  <c r="D12" i="3"/>
  <c r="O11" i="3"/>
  <c r="L11" i="3"/>
  <c r="I11" i="3"/>
  <c r="D11" i="3"/>
  <c r="O10" i="3"/>
  <c r="L10" i="3"/>
  <c r="I10" i="3"/>
  <c r="D10" i="3"/>
  <c r="O9" i="3"/>
  <c r="L9" i="3"/>
  <c r="I9" i="3"/>
  <c r="D9" i="3"/>
  <c r="O8" i="3"/>
  <c r="L8" i="3"/>
  <c r="I8" i="3"/>
  <c r="D8" i="3"/>
  <c r="O7" i="3"/>
  <c r="L7" i="3"/>
  <c r="I7" i="3"/>
  <c r="D7" i="3"/>
  <c r="B7" i="3"/>
  <c r="O6" i="3"/>
  <c r="L6" i="3"/>
  <c r="I6" i="3"/>
  <c r="D6" i="3"/>
  <c r="B6" i="3"/>
  <c r="O5" i="3"/>
  <c r="L5" i="3"/>
  <c r="I5" i="3"/>
  <c r="D5" i="3"/>
  <c r="B5" i="3"/>
  <c r="O4" i="3"/>
  <c r="L4" i="3"/>
  <c r="I4" i="3"/>
  <c r="D4" i="3"/>
  <c r="B4" i="3"/>
  <c r="O3" i="3"/>
  <c r="L3" i="3"/>
  <c r="I3" i="3"/>
  <c r="D3" i="3"/>
  <c r="B3" i="3"/>
  <c r="O2" i="3"/>
  <c r="L2" i="3"/>
  <c r="I2" i="3"/>
  <c r="D2" i="3"/>
  <c r="O64" i="2"/>
  <c r="L64" i="2"/>
  <c r="I64" i="2"/>
  <c r="O63" i="2"/>
  <c r="L63" i="2"/>
  <c r="I63" i="2"/>
  <c r="D63" i="2"/>
  <c r="O62" i="2"/>
  <c r="L62" i="2"/>
  <c r="I62" i="2"/>
  <c r="D62" i="2"/>
  <c r="L61" i="2"/>
  <c r="I61" i="2"/>
  <c r="D61" i="2"/>
  <c r="O60" i="2"/>
  <c r="L60" i="2"/>
  <c r="I60" i="2"/>
  <c r="D60" i="2"/>
  <c r="O59" i="2"/>
  <c r="L59" i="2"/>
  <c r="I59" i="2"/>
  <c r="D59" i="2"/>
  <c r="O58" i="2"/>
  <c r="L58" i="2"/>
  <c r="I58" i="2"/>
  <c r="D58" i="2"/>
  <c r="O57" i="2"/>
  <c r="L57" i="2"/>
  <c r="I57" i="2"/>
  <c r="D57" i="2"/>
  <c r="O56" i="2"/>
  <c r="L56" i="2"/>
  <c r="I56" i="2"/>
  <c r="D56" i="2"/>
  <c r="O55" i="2"/>
  <c r="L55" i="2"/>
  <c r="I55" i="2"/>
  <c r="D55" i="2"/>
  <c r="O54" i="2"/>
  <c r="L54" i="2"/>
  <c r="I54" i="2"/>
  <c r="D54" i="2"/>
  <c r="O53" i="2"/>
  <c r="L53" i="2"/>
  <c r="I53" i="2"/>
  <c r="D53" i="2"/>
  <c r="O52" i="2"/>
  <c r="L52" i="2"/>
  <c r="I52" i="2"/>
  <c r="D52" i="2"/>
  <c r="O51" i="2"/>
  <c r="L51" i="2"/>
  <c r="I51" i="2"/>
  <c r="D51" i="2"/>
  <c r="O50" i="2"/>
  <c r="L50" i="2"/>
  <c r="I50" i="2"/>
  <c r="D50" i="2"/>
  <c r="O49" i="2"/>
  <c r="L49" i="2"/>
  <c r="I49" i="2"/>
  <c r="D49" i="2"/>
  <c r="O48" i="2"/>
  <c r="L48" i="2"/>
  <c r="I48" i="2"/>
  <c r="D48" i="2"/>
  <c r="O47" i="2"/>
  <c r="L47" i="2"/>
  <c r="I47" i="2"/>
  <c r="D47" i="2"/>
  <c r="O46" i="2"/>
  <c r="L46" i="2"/>
  <c r="I46" i="2"/>
  <c r="D46" i="2"/>
  <c r="O45" i="2"/>
  <c r="L45" i="2"/>
  <c r="I45" i="2"/>
  <c r="D45" i="2"/>
  <c r="O44" i="2"/>
  <c r="L44" i="2"/>
  <c r="I44" i="2"/>
  <c r="D44" i="2"/>
  <c r="O43" i="2"/>
  <c r="L43" i="2"/>
  <c r="I43" i="2"/>
  <c r="D43" i="2"/>
  <c r="O42" i="2"/>
  <c r="L42" i="2"/>
  <c r="I42" i="2"/>
  <c r="D42" i="2"/>
  <c r="O41" i="2"/>
  <c r="L41" i="2"/>
  <c r="I41" i="2"/>
  <c r="D41" i="2"/>
  <c r="O40" i="2"/>
  <c r="L40" i="2"/>
  <c r="I40" i="2"/>
  <c r="D40" i="2"/>
  <c r="O39" i="2"/>
  <c r="L39" i="2"/>
  <c r="I39" i="2"/>
  <c r="D39" i="2"/>
  <c r="O38" i="2"/>
  <c r="L38" i="2"/>
  <c r="I38" i="2"/>
  <c r="D38" i="2"/>
  <c r="O37" i="2"/>
  <c r="L37" i="2"/>
  <c r="I37" i="2"/>
  <c r="D37" i="2"/>
  <c r="O36" i="2"/>
  <c r="L36" i="2"/>
  <c r="I36" i="2"/>
  <c r="D36" i="2"/>
  <c r="O35" i="2"/>
  <c r="L35" i="2"/>
  <c r="I35" i="2"/>
  <c r="D35" i="2"/>
  <c r="O34" i="2"/>
  <c r="L34" i="2"/>
  <c r="I34" i="2"/>
  <c r="D34" i="2"/>
  <c r="O33" i="2"/>
  <c r="L33" i="2"/>
  <c r="I33" i="2"/>
  <c r="D33" i="2"/>
  <c r="O32" i="2"/>
  <c r="L32" i="2"/>
  <c r="I32" i="2"/>
  <c r="D32" i="2"/>
  <c r="O31" i="2"/>
  <c r="L31" i="2"/>
  <c r="I31" i="2"/>
  <c r="D31" i="2"/>
  <c r="O30" i="2"/>
  <c r="L30" i="2"/>
  <c r="I30" i="2"/>
  <c r="D30" i="2"/>
  <c r="O29" i="2"/>
  <c r="L29" i="2"/>
  <c r="I29" i="2"/>
  <c r="D29" i="2"/>
  <c r="O28" i="2"/>
  <c r="L28" i="2"/>
  <c r="I28" i="2"/>
  <c r="D28" i="2"/>
  <c r="O27" i="2"/>
  <c r="L27" i="2"/>
  <c r="I27" i="2"/>
  <c r="D27" i="2"/>
  <c r="O26" i="2"/>
  <c r="L26" i="2"/>
  <c r="I26" i="2"/>
  <c r="D26" i="2"/>
  <c r="O25" i="2"/>
  <c r="L25" i="2"/>
  <c r="I25" i="2"/>
  <c r="D25" i="2"/>
  <c r="O24" i="2"/>
  <c r="L24" i="2"/>
  <c r="I24" i="2"/>
  <c r="D24" i="2"/>
  <c r="O23" i="2"/>
  <c r="L23" i="2"/>
  <c r="I23" i="2"/>
  <c r="D23" i="2"/>
  <c r="O22" i="2"/>
  <c r="L22" i="2"/>
  <c r="I22" i="2"/>
  <c r="D22" i="2"/>
  <c r="O21" i="2"/>
  <c r="L21" i="2"/>
  <c r="I21" i="2"/>
  <c r="D21" i="2"/>
  <c r="O20" i="2"/>
  <c r="L20" i="2"/>
  <c r="I20" i="2"/>
  <c r="D20" i="2"/>
  <c r="O19" i="2"/>
  <c r="L19" i="2"/>
  <c r="I19" i="2"/>
  <c r="D19" i="2"/>
  <c r="O18" i="2"/>
  <c r="L18" i="2"/>
  <c r="I18" i="2"/>
  <c r="D18" i="2"/>
  <c r="O17" i="2"/>
  <c r="L17" i="2"/>
  <c r="I17" i="2"/>
  <c r="D17" i="2"/>
  <c r="O16" i="2"/>
  <c r="L16" i="2"/>
  <c r="I16" i="2"/>
  <c r="D16" i="2"/>
  <c r="O15" i="2"/>
  <c r="L15" i="2"/>
  <c r="I15" i="2"/>
  <c r="D15" i="2"/>
  <c r="O14" i="2"/>
  <c r="L14" i="2"/>
  <c r="I14" i="2"/>
  <c r="D14" i="2"/>
  <c r="O13" i="2"/>
  <c r="L13" i="2"/>
  <c r="I13" i="2"/>
  <c r="D13" i="2"/>
  <c r="O12" i="2"/>
  <c r="L12" i="2"/>
  <c r="I12" i="2"/>
  <c r="D12" i="2"/>
  <c r="O11" i="2"/>
  <c r="L11" i="2"/>
  <c r="I11" i="2"/>
  <c r="D11" i="2"/>
  <c r="O10" i="2"/>
  <c r="L10" i="2"/>
  <c r="I10" i="2"/>
  <c r="D10" i="2"/>
  <c r="O9" i="2"/>
  <c r="L9" i="2"/>
  <c r="I9" i="2"/>
  <c r="D9" i="2"/>
  <c r="O8" i="2"/>
  <c r="L8" i="2"/>
  <c r="I8" i="2"/>
  <c r="D8" i="2"/>
  <c r="O7" i="2"/>
  <c r="L7" i="2"/>
  <c r="I7" i="2"/>
  <c r="D7" i="2"/>
  <c r="B7" i="2"/>
  <c r="O6" i="2"/>
  <c r="L6" i="2"/>
  <c r="I6" i="2"/>
  <c r="D6" i="2"/>
  <c r="B6" i="2"/>
  <c r="O5" i="2"/>
  <c r="L5" i="2"/>
  <c r="I5" i="2"/>
  <c r="D5" i="2"/>
  <c r="B5" i="2"/>
  <c r="O4" i="2"/>
  <c r="L4" i="2"/>
  <c r="I4" i="2"/>
  <c r="D4" i="2"/>
  <c r="B4" i="2"/>
  <c r="O3" i="2"/>
  <c r="L3" i="2"/>
  <c r="I3" i="2"/>
  <c r="D3" i="2"/>
  <c r="B3" i="2"/>
  <c r="O2" i="2"/>
  <c r="L2" i="2"/>
  <c r="I2" i="2"/>
  <c r="D2" i="2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B7" i="1"/>
  <c r="D6" i="1"/>
  <c r="B6" i="1"/>
  <c r="D5" i="1"/>
  <c r="B5" i="1"/>
  <c r="D4" i="1"/>
  <c r="B4" i="1"/>
  <c r="D3" i="1"/>
  <c r="B3" i="1"/>
  <c r="D2" i="1"/>
</calcChain>
</file>

<file path=xl/sharedStrings.xml><?xml version="1.0" encoding="utf-8"?>
<sst xmlns="http://schemas.openxmlformats.org/spreadsheetml/2006/main" count="7995" uniqueCount="2808">
  <si>
    <t>氢能产业标准体系</t>
  </si>
  <si>
    <t>序号</t>
  </si>
  <si>
    <t>团体名称</t>
  </si>
  <si>
    <t>标准编号</t>
  </si>
  <si>
    <t>标准名称</t>
  </si>
  <si>
    <t>基础与安全</t>
  </si>
  <si>
    <t>氢制备</t>
  </si>
  <si>
    <t>氢储存与运输</t>
  </si>
  <si>
    <t>氢加注</t>
  </si>
  <si>
    <t>氢能应用</t>
  </si>
  <si>
    <t>公布日期</t>
  </si>
  <si>
    <t>状态</t>
  </si>
  <si>
    <t>详细</t>
  </si>
  <si>
    <t>中国电器工业协会</t>
  </si>
  <si>
    <t>T/CEEIA 264-2017</t>
  </si>
  <si>
    <t>无人机燃料电池发电系统技术规范</t>
  </si>
  <si>
    <t>交通</t>
  </si>
  <si>
    <t>现行</t>
  </si>
  <si>
    <t>中国节能协会</t>
  </si>
  <si>
    <t>T/CECA-G 0015—2017</t>
  </si>
  <si>
    <t>质子交换膜燃料电池汽车用燃料 氢气</t>
  </si>
  <si>
    <t>氢品质</t>
  </si>
  <si>
    <t>深圳市标准化协会</t>
  </si>
  <si>
    <t>T/SZAS 8—2019</t>
  </si>
  <si>
    <t>车用甲醇制氢发电系统 技术要求</t>
  </si>
  <si>
    <t>发电</t>
  </si>
  <si>
    <t>吉林省汽车电子协会</t>
  </si>
  <si>
    <t>T/GHDQ 47—2019</t>
  </si>
  <si>
    <t>高寒地区车用氢燃料电池电堆低温寿命测试技术条件</t>
  </si>
  <si>
    <t>T/GHDQ 38—2019</t>
  </si>
  <si>
    <t>高寒地区燃料电池电动汽车车载氢系统试验方法</t>
  </si>
  <si>
    <t>T/GHDQ 37—2019</t>
  </si>
  <si>
    <t>高寒地区燃料电池电动汽车车载氢系统技术条件</t>
  </si>
  <si>
    <t>T/GHDQ 46—2019</t>
  </si>
  <si>
    <t>高寒地区质子交换膜燃料电池发电系统性能技术条件</t>
  </si>
  <si>
    <t>T/GHDQ 45—2019</t>
  </si>
  <si>
    <t>高寒地区质子交换膜燃料电池电堆低温特性通用技术条件</t>
  </si>
  <si>
    <t>T/GHDQ 44—2019</t>
  </si>
  <si>
    <t>高寒地区车用质子交换膜燃料电池电堆低温冷起动通用技术条件</t>
  </si>
  <si>
    <t>T/GHDQ 39—2019</t>
  </si>
  <si>
    <t>高寒地区车用燃料电池发动机低温起动技术条件</t>
  </si>
  <si>
    <t>T/GHDQ 36—2019</t>
  </si>
  <si>
    <t>高寒地区燃料电池电动乘用车性能 综合评价指数</t>
  </si>
  <si>
    <t>T/GHDQ 35—2019</t>
  </si>
  <si>
    <t>高寒地区燃料电池电动乘用车技术条件</t>
  </si>
  <si>
    <t>中国工业气体工业协会</t>
  </si>
  <si>
    <t>T/CCGA 40002—2019</t>
  </si>
  <si>
    <t>氢能汽车气瓶电子标签应用管理规范</t>
  </si>
  <si>
    <t>氢储运设备</t>
  </si>
  <si>
    <t>T/CCGA 40001—2019</t>
  </si>
  <si>
    <t>液氢</t>
  </si>
  <si>
    <t>中国技术监督情报协会</t>
  </si>
  <si>
    <t>T/CATSI 05003—2020</t>
  </si>
  <si>
    <t>加氢站储氢压力容器专项技术要求</t>
  </si>
  <si>
    <t>加氢站设备</t>
  </si>
  <si>
    <t>中国汽车工程学会</t>
  </si>
  <si>
    <t>T/CSAE 123—2019</t>
  </si>
  <si>
    <t>燃料电池电动汽车 密闭空间内氢泄漏 及氢排放试验方法和安全要求</t>
  </si>
  <si>
    <t>氢能应用基础</t>
  </si>
  <si>
    <t>T/CSAE 122—2019</t>
  </si>
  <si>
    <t>燃料电池电动汽车低温冷起动性能 试验方法</t>
  </si>
  <si>
    <t>中国产学研合作促进会</t>
  </si>
  <si>
    <t>T/CAB 1038—2020</t>
  </si>
  <si>
    <t>氢化液体有机储氢载体储氢密度测量方法 排水法</t>
  </si>
  <si>
    <t>氢储运基本要求</t>
  </si>
  <si>
    <t>中国汽车工业协会</t>
  </si>
  <si>
    <t>T/CAAMTB 14—2020</t>
  </si>
  <si>
    <t>燃料电池电动汽车用DC/DC变换器</t>
  </si>
  <si>
    <t>T/CAAMTB 13—2020</t>
  </si>
  <si>
    <t>燃料电池电动汽车用空气压缩机试验方法</t>
  </si>
  <si>
    <t>T/CAAMTB 12—2020</t>
  </si>
  <si>
    <t>质子交换膜燃料电池膜电极测试方法</t>
  </si>
  <si>
    <t>中国技术经济学会</t>
  </si>
  <si>
    <t>T/CSTE 0007—2020</t>
  </si>
  <si>
    <t>质子交换膜燃料电池（PEMFC）汽车用燃料氢气中痕量一氧化碳的测定 中红外激光光谱法</t>
  </si>
  <si>
    <t>T/CSTE 0006—2020</t>
  </si>
  <si>
    <t>加氢站安全评价报告的标准格式</t>
  </si>
  <si>
    <t>加氢站管理</t>
  </si>
  <si>
    <t>T/CSTE 0005—2020</t>
  </si>
  <si>
    <t>焦炉煤气制氢技术规范</t>
  </si>
  <si>
    <t>氢分离与提纯</t>
  </si>
  <si>
    <t>T/CSTE 0078—2020</t>
  </si>
  <si>
    <t>加氢站站控系统技术要求</t>
  </si>
  <si>
    <t>T/CSTE 0077—2020</t>
  </si>
  <si>
    <t>加氢站视频安防监控系统技术要求</t>
  </si>
  <si>
    <t>T/CSTE 0076—2020</t>
  </si>
  <si>
    <t>氢燃料电池用离心式空压机</t>
  </si>
  <si>
    <t>T/CAB 0064—2020</t>
  </si>
  <si>
    <t>加氢站远程服务与管理信息系统技术规范</t>
  </si>
  <si>
    <t>广东省特种设备行业协会</t>
  </si>
  <si>
    <t>T/GDASE 0017—2020</t>
  </si>
  <si>
    <t>车用压缩氢气铝内胆 碳纤维全缠绕气瓶定期检验与评定</t>
  </si>
  <si>
    <t>氢储运系统</t>
  </si>
  <si>
    <t>T/CEEIA 265-2017</t>
  </si>
  <si>
    <t>无人机燃料电池燃料系统技术规范</t>
  </si>
  <si>
    <t>T/CSTE 0017—2020</t>
  </si>
  <si>
    <t>氢燃料电池物流车运营管理规范</t>
  </si>
  <si>
    <t>T/CSTE 0016—2020</t>
  </si>
  <si>
    <t>氢燃料电池公交车运营管理规范</t>
  </si>
  <si>
    <t>T/CSTE 0015—2020</t>
  </si>
  <si>
    <t>氢燃料电池公交车维保技术规范</t>
  </si>
  <si>
    <t>大连市石油和化工行业协会</t>
  </si>
  <si>
    <t>T/DLSHXH 003—2020</t>
  </si>
  <si>
    <t>加氢站现场运行安全管理规范</t>
  </si>
  <si>
    <t>T/DLSHXH 002—2020</t>
  </si>
  <si>
    <t>加氢站运营服务规范</t>
  </si>
  <si>
    <t>T/DLSHXH 001—2020</t>
  </si>
  <si>
    <t>加氢站技术验收指南</t>
  </si>
  <si>
    <t>加氢站系统</t>
  </si>
  <si>
    <t>T/CATSI 02007—2020</t>
  </si>
  <si>
    <t>车用压缩氢气塑料内胆碳纤维全缠绕气瓶</t>
  </si>
  <si>
    <t>山东标准化协会</t>
  </si>
  <si>
    <t>T/SDAS 188—2020</t>
  </si>
  <si>
    <t>氢能源有轨电车通用技术条件</t>
  </si>
  <si>
    <t>T/SDAS 185—2020</t>
  </si>
  <si>
    <t>燃料电池轨道车辆 车载氢系统安全要求</t>
  </si>
  <si>
    <t>T/SDAS 184—2020</t>
  </si>
  <si>
    <t>燃料电池轨道车辆 车载氢系统技术条件</t>
  </si>
  <si>
    <t>T/SDAS 182—2020</t>
  </si>
  <si>
    <t>燃料电池轨道车辆 车载氢系统试验方法</t>
  </si>
  <si>
    <t>T/SDAS 187—2020</t>
  </si>
  <si>
    <t>燃料电池轨道车辆 燃料电池电堆测试方法</t>
  </si>
  <si>
    <t>T/SDAS 186—2020</t>
  </si>
  <si>
    <t>燃料电池轨道车辆 燃料电池冷却系统技术条件</t>
  </si>
  <si>
    <t>T/SDAS 183—2020</t>
  </si>
  <si>
    <t>燃料电池轨道车辆 安全要求</t>
  </si>
  <si>
    <t>T/CAB 0078—2020</t>
  </si>
  <si>
    <t>低碳氢、清洁氢与可再生氢的标准与评价</t>
  </si>
  <si>
    <t>T/CAB 0084—2021</t>
  </si>
  <si>
    <t>小型质子交换膜水电解制氢系统</t>
  </si>
  <si>
    <t>水电解制氢</t>
  </si>
  <si>
    <t>T/CAAMTB 21—2020</t>
  </si>
  <si>
    <t>燃料电池电动汽车车载供氢系统振动试验技术要求</t>
  </si>
  <si>
    <t>四川省清洁能源汽车产业协会</t>
  </si>
  <si>
    <t>T/SCQJNY 0003—2020</t>
  </si>
  <si>
    <t>车用加氢站成套设备技术要求</t>
  </si>
  <si>
    <t>T/CATSI 02013—2021</t>
  </si>
  <si>
    <t>加氢站用高压储氢气瓶安全技术要求</t>
  </si>
  <si>
    <t>T/CATSI 02011—2021</t>
  </si>
  <si>
    <t>储氢系统气体循环试验方法</t>
  </si>
  <si>
    <t>T/CSAE 149—2020</t>
  </si>
  <si>
    <t>燃料电池发动机电磁兼容性能试验方法</t>
  </si>
  <si>
    <t>T/CEEIA 502—2021</t>
  </si>
  <si>
    <t>直接甲醇燃料电池特定环境条件下性能试验方法</t>
  </si>
  <si>
    <t>广东省能源研究会</t>
  </si>
  <si>
    <t>T/GERS 0006—2021</t>
  </si>
  <si>
    <t>燃料电池电动汽车车载供氢系统气密性检测和置换技术要求</t>
  </si>
  <si>
    <t>T/GERS 0004—2021</t>
  </si>
  <si>
    <t>加氢站运营管理规范</t>
  </si>
  <si>
    <t>T/GERS 0003—2021</t>
  </si>
  <si>
    <t>氢燃料电池电动汽车运行规范</t>
  </si>
  <si>
    <t>T/GERS 0005—2021</t>
  </si>
  <si>
    <t>燃料电池电动汽车车载供氢系统安装技术规范</t>
  </si>
  <si>
    <t>上海钢管行业协会</t>
  </si>
  <si>
    <t>T/SSTA 101—2021</t>
  </si>
  <si>
    <t>氢能源汽车管路用不锈钢无缝管</t>
  </si>
  <si>
    <t>中国机械工程学会</t>
  </si>
  <si>
    <t>T/CMES 16003—2021</t>
  </si>
  <si>
    <t>车用高压储氢系统氢气压力循环测试与 泄漏/渗透测试方法</t>
  </si>
  <si>
    <t>佛山市氢能产业协会</t>
  </si>
  <si>
    <t>T/FSQX 002—2021</t>
  </si>
  <si>
    <t>液压往复式氢气压缩机</t>
  </si>
  <si>
    <t>T/FSQX 001—2021</t>
  </si>
  <si>
    <t>质子交换膜燃料电池用氢气循环泵</t>
  </si>
  <si>
    <t>T/CAB 0109—2021</t>
  </si>
  <si>
    <t>氢燃料电池车辆用加注技术规范</t>
  </si>
  <si>
    <t>上海市节能协会</t>
  </si>
  <si>
    <t>T/SHJNXH 0008—2021</t>
  </si>
  <si>
    <t>镁基氢化物固态储运氢系统技术要求</t>
  </si>
  <si>
    <t>山东省膜学会</t>
  </si>
  <si>
    <t>T/SDMS 005—2021</t>
  </si>
  <si>
    <t>氢燃料电池质子交换膜用聚四氟乙烯基膜</t>
  </si>
  <si>
    <t>T/FSQX 003—2021</t>
  </si>
  <si>
    <t>车用压缩氢气瓶充装安全管理规范</t>
  </si>
  <si>
    <t>T/CSTE 0121—2021</t>
  </si>
  <si>
    <t>“领跑者”标准评价要求 车用燃料电池发动机</t>
  </si>
  <si>
    <t>T/CSTE 0120—2021</t>
  </si>
  <si>
    <t>“领跑者”标准评价要求 燃料电池城市客车</t>
  </si>
  <si>
    <t>T/CATSI 05006—2021</t>
  </si>
  <si>
    <t>固定式真空绝热液氢压力容器专项技术要求</t>
  </si>
  <si>
    <t>中关村标准化协会</t>
  </si>
  <si>
    <t>T/ZSA 103—2021</t>
  </si>
  <si>
    <t>燃料电池商用车 车载氢系统 技术要求</t>
  </si>
  <si>
    <t>T/FSQX 004—2021</t>
  </si>
  <si>
    <t>氢能源有轨电车运营管理规范</t>
  </si>
  <si>
    <t>中国标准化协会</t>
  </si>
  <si>
    <t>T/CAS 548—2021</t>
  </si>
  <si>
    <t>氢燃料电池冷却液</t>
  </si>
  <si>
    <t>T/CATSI 02016—2022</t>
  </si>
  <si>
    <t>集装用压缩氢气铝内胆碳纤维全缠绕气瓶</t>
  </si>
  <si>
    <t>T/CATSI 02008—2022</t>
  </si>
  <si>
    <t>车用压缩氢气铝内胆碳纤维全缠绕气瓶 定期检验与评定</t>
  </si>
  <si>
    <t>四川省汽车工程学会</t>
  </si>
  <si>
    <t>T/SCSAE 002—2022</t>
  </si>
  <si>
    <t>燃料电池客车双动力源系统性能台架试验方法</t>
  </si>
  <si>
    <t>T/SCSAE 001—2022</t>
  </si>
  <si>
    <t>燃料电池客车动力系统能量消耗量台架试验方法</t>
  </si>
  <si>
    <t>T/CSTE 0001—2022</t>
  </si>
  <si>
    <t>氢燃料电池汽车出行项目温室气体减排量评估技术规范</t>
  </si>
  <si>
    <t>广东省产品认证服务协会</t>
  </si>
  <si>
    <t>T/GDC 150—2022</t>
  </si>
  <si>
    <t>站内甲醇制氢安全技术规范</t>
  </si>
  <si>
    <t>T/GDC 149—2022</t>
  </si>
  <si>
    <t>站内制氢设计技术规范</t>
  </si>
  <si>
    <t>T/FSQX 001—2022</t>
  </si>
  <si>
    <t>氢能源有轨电车运营技术规范</t>
  </si>
  <si>
    <t>T/FSQX 003—2022</t>
  </si>
  <si>
    <t>加氢站经济运行指标及计算方法</t>
  </si>
  <si>
    <t>T/FSQX 002—2022</t>
  </si>
  <si>
    <t>氢气运输车辆运营管理规范</t>
  </si>
  <si>
    <t>中国石油和化学工业联合会</t>
  </si>
  <si>
    <t>T/CPCIF 0196—2022</t>
  </si>
  <si>
    <t>燃料电池汽车氢气加注装置防爆技术规范</t>
  </si>
  <si>
    <t>T/CCGA 70001—2021</t>
  </si>
  <si>
    <t>锅炉用氢气天然气混合燃气</t>
  </si>
  <si>
    <t>T/CCGA 40011—2021</t>
  </si>
  <si>
    <t>液氢杜瓦安全技术规范</t>
  </si>
  <si>
    <t>T/CCGA 40010—2021</t>
  </si>
  <si>
    <t>液氢加注机安全使用技术规范</t>
  </si>
  <si>
    <t>T/CCGA 40009—2021</t>
  </si>
  <si>
    <t>车载液氢系统安全技术规范</t>
  </si>
  <si>
    <t>T/CCGA 40008—2021</t>
  </si>
  <si>
    <t>车载氢系统安全技术规范</t>
  </si>
  <si>
    <t>T/CCGA 40007—2021</t>
  </si>
  <si>
    <t>车用压缩氢气塑料内胆碳纤维全缠绕气瓶安全使用技术规范</t>
  </si>
  <si>
    <t>T/CCGA 40006—2021</t>
  </si>
  <si>
    <t>加氢机安全使用技术规范</t>
  </si>
  <si>
    <t>T/CCGA 40005—2021</t>
  </si>
  <si>
    <t>加氢站用液驱活塞氢气压缩机安全使用技术规范</t>
  </si>
  <si>
    <t>T/CCGA 40004—2021</t>
  </si>
  <si>
    <t>加氢站用隔膜压缩机安全使用技术规范</t>
  </si>
  <si>
    <t>T/CCGA 40003—2021</t>
  </si>
  <si>
    <t>氢气长管拖车安全使用技术规范</t>
  </si>
  <si>
    <t>中国电力企业联合会</t>
  </si>
  <si>
    <t>T/CEC 260—2019</t>
  </si>
  <si>
    <t>电力储能用固定式金属氢化物储氢装置充放氢性能试验方法</t>
  </si>
  <si>
    <t>河北省质量信息协会</t>
  </si>
  <si>
    <t>T/HEBQIA 078—2022</t>
  </si>
  <si>
    <t>氢氧汽车积碳清洗机</t>
  </si>
  <si>
    <t>T/CEC 372—2020</t>
  </si>
  <si>
    <t>电力储能用有机液体氢储存系统</t>
  </si>
  <si>
    <t>T/CSAE 187—2021</t>
  </si>
  <si>
    <t>氢燃料电池发动机用离心式空气压缩机 性能试验方法</t>
  </si>
  <si>
    <t>T/CSAE 183—2021</t>
  </si>
  <si>
    <t>燃料电池堆及系统基本性能试验方法</t>
  </si>
  <si>
    <t>T/CSAE 236—2021</t>
  </si>
  <si>
    <t>质子交换膜燃料电池发动机 台架可靠性试验方法</t>
  </si>
  <si>
    <t>T/CAB 0151—2022</t>
  </si>
  <si>
    <t>电动两轮车用燃料电池动力系统技术要求</t>
  </si>
  <si>
    <t>T/CEC 463—2021</t>
  </si>
  <si>
    <t>氢燃料电池移动应急电源技术条件</t>
  </si>
  <si>
    <t>T/SSTA 202—2022</t>
  </si>
  <si>
    <t>加氢站高压管路用不锈钢无缝管</t>
  </si>
  <si>
    <t>中国工程建设标准化协会</t>
  </si>
  <si>
    <t>T/CECS 1108—2022</t>
  </si>
  <si>
    <t>加氢站消防系统技术规程</t>
  </si>
  <si>
    <t>T/SDMS 006—2022</t>
  </si>
  <si>
    <t>水电解制氢用质子交换膜</t>
  </si>
  <si>
    <t>青岛市标准化协会</t>
  </si>
  <si>
    <t>T/QDAS 095—2022</t>
  </si>
  <si>
    <t>模块化甲醇制氢加氢系统（平台）</t>
  </si>
  <si>
    <t>中国电子节能技术协会</t>
  </si>
  <si>
    <t>T/DZJN 99—2022</t>
  </si>
  <si>
    <t>质子交换膜燃料电池行业绿色工厂评价要求</t>
  </si>
  <si>
    <t>T/DZJN 98—2022</t>
  </si>
  <si>
    <t>质子交换膜燃料电池产品碳足迹评价导则</t>
  </si>
  <si>
    <t>浙江省特种设备安全与节能协会</t>
  </si>
  <si>
    <t>T/ZJASE 001—2019</t>
  </si>
  <si>
    <t>固定式高压储氢用钢带错绕式容器定期检验与评定</t>
  </si>
  <si>
    <t>中国特钢企业协会</t>
  </si>
  <si>
    <t>T/SSEA 0219—2022</t>
  </si>
  <si>
    <t>高炉风口喷吹富氢气体技术要求</t>
  </si>
  <si>
    <t>工业</t>
  </si>
  <si>
    <t>T/CAAMTB 53—2021</t>
  </si>
  <si>
    <t>燃料电池系统工厂设计规范</t>
  </si>
  <si>
    <t>T/CAB 0166—2022</t>
  </si>
  <si>
    <t>碱性水电解制氢系统“领跑者行动”性能评价导则</t>
  </si>
  <si>
    <t>氢能综合评价</t>
  </si>
  <si>
    <t>中国通用机械工业协会</t>
  </si>
  <si>
    <t>T/CGMA 0407—2022</t>
  </si>
  <si>
    <t>氢用低温阀门 通用技术规范</t>
  </si>
  <si>
    <t>通用件</t>
  </si>
  <si>
    <t>T/CGMA 0406—2022</t>
  </si>
  <si>
    <t>高压氢气阀门安全要求与测试方法</t>
  </si>
  <si>
    <t>T/CGMA 0405—2022</t>
  </si>
  <si>
    <t>氢用低温阀门 通用试验方法</t>
  </si>
  <si>
    <t>上海市特种设备管理协会</t>
  </si>
  <si>
    <t>T/SHTX 0001—2022</t>
  </si>
  <si>
    <t>车用高压储氢气瓶在线检验与评价方法</t>
  </si>
  <si>
    <t>T/CAB 0184—2022</t>
  </si>
  <si>
    <t>轨道车辆车载氢系统通用要求</t>
  </si>
  <si>
    <t>T/CAB 0183—2022</t>
  </si>
  <si>
    <t>轨道车辆加氢技术规范及加注协议</t>
  </si>
  <si>
    <t>T/CAB 0182—2022</t>
  </si>
  <si>
    <t>轨道车辆加氢站设计、安装及运行管理规范</t>
  </si>
  <si>
    <t>T/CAB 0185—2022</t>
  </si>
  <si>
    <t>氢气探测器技术要求</t>
  </si>
  <si>
    <t>嘉兴市长三角氢能产业促进会</t>
  </si>
  <si>
    <t>T/JXQN 2002—2022</t>
  </si>
  <si>
    <t>沿海地区燃料电池发动机系统盐雾腐蚀测试与等级评价</t>
  </si>
  <si>
    <t>T/JXQN 2001—2022</t>
  </si>
  <si>
    <t>分布式氢燃料电池发电系统</t>
  </si>
  <si>
    <t>T/SSEA 0223—2022</t>
  </si>
  <si>
    <t>氢气输送管线用热轧宽钢带</t>
  </si>
  <si>
    <t>T/SSEA 0222—2022</t>
  </si>
  <si>
    <t>氢气输送管线用宽厚钢板</t>
  </si>
  <si>
    <t>东营质量协会</t>
  </si>
  <si>
    <t>T/DYZL 028—2022</t>
  </si>
  <si>
    <t>加氢站量化风险评估导则</t>
  </si>
  <si>
    <t>T/CSTE 0209—2022</t>
  </si>
  <si>
    <t>氢冶金 高炉喷吹氢气工程设计规范</t>
  </si>
  <si>
    <t>T/CSTE 0208—2022</t>
  </si>
  <si>
    <t>氢冶金 高炉喷氢技术规范</t>
  </si>
  <si>
    <t>T/GDASE 0033.2—2022</t>
  </si>
  <si>
    <t>液氢气瓶——第2部分：操作要求</t>
  </si>
  <si>
    <t>T/GDASE 0033.1—2022</t>
  </si>
  <si>
    <t>液氢气瓶——第1部分：设计、制造、检验、试验</t>
  </si>
  <si>
    <t>中关村不锈及特种合金新材料产业技术创新联盟</t>
  </si>
  <si>
    <t>T/CSTA 0019—2022</t>
  </si>
  <si>
    <t>氢能源汽车加氢站管路用不锈钢无缝钢管</t>
  </si>
  <si>
    <t>T/CSTA 0018—2022</t>
  </si>
  <si>
    <t>氢能源汽车管路用不锈钢无缝钢管</t>
  </si>
  <si>
    <t>T/CSTA 0017—2022</t>
  </si>
  <si>
    <t>储氢装置用不锈钢无缝钢管</t>
  </si>
  <si>
    <t>T/SSEA 0248—2022</t>
  </si>
  <si>
    <t>T/SSEA 0247—2022</t>
  </si>
  <si>
    <t>T/SSEA 0246—2022</t>
  </si>
  <si>
    <t>中国国际科技促进会</t>
  </si>
  <si>
    <t>T/CI 140—2022</t>
  </si>
  <si>
    <t>中温变压吸附法提氢系统技术要求</t>
  </si>
  <si>
    <t>T/ZJASE 017—2022</t>
  </si>
  <si>
    <t>车用压缩氢气铝内胆碳纤维全缠绕气瓶工业计算机层析成像（CT）检测方法</t>
  </si>
  <si>
    <t>T/DLSHXH 009—2022</t>
  </si>
  <si>
    <t>燃料电池用氢中痕量氨的测定 离子迁移谱法</t>
  </si>
  <si>
    <t>上海市汽车零部件行业协会</t>
  </si>
  <si>
    <t>T/SAPIA 001—2023</t>
  </si>
  <si>
    <t>燃料电池发动机用氢气引射器</t>
  </si>
  <si>
    <t>T/SAPIA 002—2023</t>
  </si>
  <si>
    <t>燃料电池发动机高压线束及连接器技术要求</t>
  </si>
  <si>
    <t>T/CATSI 05007—2023</t>
  </si>
  <si>
    <t>移动式真空绝热液氢压力容器专项技术要求</t>
  </si>
  <si>
    <t>T/CAS 590—2022</t>
  </si>
  <si>
    <t>天然气掺氢混气站技术规程</t>
  </si>
  <si>
    <t>中国化学品安全协会</t>
  </si>
  <si>
    <t>T/CCSAS 018—2022</t>
  </si>
  <si>
    <t>加氢站氢运输及配送安全技术规范</t>
  </si>
  <si>
    <t>T/CCSAS 019—2022</t>
  </si>
  <si>
    <t>加氢站、油气氢合建站安全规范</t>
  </si>
  <si>
    <t>T/GHDQ 118—2023</t>
  </si>
  <si>
    <t>燃料电池电催化剂电化学活性面积和加速老化测试规范</t>
  </si>
  <si>
    <t>T/CATSI 05008—2023</t>
  </si>
  <si>
    <t>压缩氢气铝内胆碳纤维全缠绕瓶式集装箱 专项技术要求</t>
  </si>
  <si>
    <t>浙江省企业技术创新协会</t>
  </si>
  <si>
    <t>T/ZJCX 0034—2023</t>
  </si>
  <si>
    <t>质子交换膜燃料电池石墨双极板特性测试标准</t>
  </si>
  <si>
    <t>T/SSEA 0287—2023</t>
  </si>
  <si>
    <t>固体氧化物燃料电池连接体用不锈钢冷轧钢板及钢带</t>
  </si>
  <si>
    <t>T/CSTA 0036—2023</t>
  </si>
  <si>
    <t>中国电工技术学会</t>
  </si>
  <si>
    <t>T/CES 176—2022</t>
  </si>
  <si>
    <t>固定式质子交换膜燃料电池堆使用寿命测试评价方法</t>
  </si>
  <si>
    <t>T/CES 175—2022</t>
  </si>
  <si>
    <t>质子交换膜水电解制氢系统性能试验方法</t>
  </si>
  <si>
    <t>T/CCGA 40013—2022</t>
  </si>
  <si>
    <t>加氢站风险评估指南</t>
  </si>
  <si>
    <t>浙江省品牌建设联合会</t>
  </si>
  <si>
    <t>T/ZZB 2939—2022</t>
  </si>
  <si>
    <t>高压储氢钢瓶</t>
  </si>
  <si>
    <t>广东省标准化协会</t>
  </si>
  <si>
    <t>T/GDBX 070—2023</t>
  </si>
  <si>
    <t>氢燃料电池汽车用氢运行里程数据统计分析方法</t>
  </si>
  <si>
    <t>中国钢结构协会</t>
  </si>
  <si>
    <t>T/CSCS 034—2023</t>
  </si>
  <si>
    <t>氢输送管道和储氢钢瓶用不锈钢无缝管</t>
  </si>
  <si>
    <t>T/CAB 0245—2023</t>
  </si>
  <si>
    <t>碱性水电解制氢系统碳足迹 评价方法及要求</t>
  </si>
  <si>
    <t>T/CAB 0246—2023</t>
  </si>
  <si>
    <t>移动实验室质子交换膜燃料电池用氢气品质检测通用技术规范</t>
  </si>
  <si>
    <t>中国铁道学会</t>
  </si>
  <si>
    <t>T/CRS P1302—2022</t>
  </si>
  <si>
    <t>城市轨道交通车辆用燃料电池发电系统</t>
  </si>
  <si>
    <t>浙江省产品与工程标准化协会</t>
  </si>
  <si>
    <t>T/ZS 0484—2023</t>
  </si>
  <si>
    <t>氢能应急电源车技术规范</t>
  </si>
  <si>
    <t>中国国际经济技术合作促进会</t>
  </si>
  <si>
    <t>T/CIET 063—2023</t>
  </si>
  <si>
    <t>氢燃料电池行业绿色工厂评价规范</t>
  </si>
  <si>
    <t>T/CIET 070—2023</t>
  </si>
  <si>
    <t>氢能源行业绿色企业评价规范</t>
  </si>
  <si>
    <t>T/CEEIA 670—2023</t>
  </si>
  <si>
    <t>燃料电池用低电导率冷却液 技术要求</t>
  </si>
  <si>
    <t>上海都市型工业协会</t>
  </si>
  <si>
    <t>T/SHDSGY 136—2023</t>
  </si>
  <si>
    <t>新能源氢燃料电池材料技术</t>
  </si>
  <si>
    <t>T/CSAE 276—2022</t>
  </si>
  <si>
    <t>燃料电池堆振动测试技术规范</t>
  </si>
  <si>
    <t>T/CSAE 270—2022</t>
  </si>
  <si>
    <t>燃料电池电动汽车运行安全监管规范</t>
  </si>
  <si>
    <t>T/GERS 0021—2023</t>
  </si>
  <si>
    <t>加氢站氢气取样规范</t>
  </si>
  <si>
    <t>T/CAB 0260—2023</t>
  </si>
  <si>
    <t>氢燃料电池发电系统 安装</t>
  </si>
  <si>
    <t>T/CI 090—2023</t>
  </si>
  <si>
    <t>燃料电池系统用引射器性能测试方法</t>
  </si>
  <si>
    <t>中国交通运输协会</t>
  </si>
  <si>
    <t>T/CCTAS 51—2023</t>
  </si>
  <si>
    <t>商用车燃料电池耐久试验工况提取和拟合方法</t>
  </si>
  <si>
    <t>T/CCTAS 52—2023</t>
  </si>
  <si>
    <t>质子交换膜燃料电池冷却液</t>
  </si>
  <si>
    <t>中国中小商业企业协会</t>
  </si>
  <si>
    <t>T/CASME 520—2023</t>
  </si>
  <si>
    <t>质子交换膜燃料电池涂层金属极板测试方法</t>
  </si>
  <si>
    <t>中关村氢能与燃料电池技术创新产业联盟</t>
  </si>
  <si>
    <t>T/ZHFCA 1001—2023</t>
  </si>
  <si>
    <t>质子交换膜燃料电池用金属单极板</t>
  </si>
  <si>
    <t>T/CSTE 0356—2023</t>
  </si>
  <si>
    <t>质量分级及“领跑者”评价要求 碱性水电解制氢装备</t>
  </si>
  <si>
    <t>全国城市工业品贸易中心联合会</t>
  </si>
  <si>
    <t>T/QGCML 1060—2023</t>
  </si>
  <si>
    <t>高纯绿氢纯化装置</t>
  </si>
  <si>
    <t>中国电机工程学会</t>
  </si>
  <si>
    <t>T/CSEE 0283—2022</t>
  </si>
  <si>
    <t>氢冷发电机氢气提纯净化装置技术条件</t>
  </si>
  <si>
    <t>T/CASME 674—2023</t>
  </si>
  <si>
    <t>燃料电池系统电压巡检器性能测试规范</t>
  </si>
  <si>
    <t>T/CIET 199—2023</t>
  </si>
  <si>
    <t>氢燃料电池产品碳足迹评价导则</t>
  </si>
  <si>
    <t>T/CAS ES350399001—2022</t>
  </si>
  <si>
    <t>工业品质量分级评价规则 压缩氢气加气机</t>
  </si>
  <si>
    <t>T/SHJNXH T/SHJNXH0011—2023</t>
  </si>
  <si>
    <t>移动式大容量镁基固体储氢装置的安全技术要求</t>
  </si>
  <si>
    <t>淄博市氢能产业商会</t>
  </si>
  <si>
    <t>T/ZBSQN 002—2023</t>
  </si>
  <si>
    <t>LaNi5氢化物固态储氢系统设备</t>
  </si>
  <si>
    <t>T/ZBSQN 001—2023</t>
  </si>
  <si>
    <t>天然气掺氢管道技术规范</t>
  </si>
  <si>
    <t>T/QGCML 1486—2023</t>
  </si>
  <si>
    <t>新能源氢燃料作业车技术要求</t>
  </si>
  <si>
    <t>T/QGCML 1498—2023</t>
  </si>
  <si>
    <t>燃料电池系统用空压机性能试验技术规范</t>
  </si>
  <si>
    <t>T/QGCML 1497—2023</t>
  </si>
  <si>
    <t>燃料电池系统用加湿器性能试验技术规范</t>
  </si>
  <si>
    <t>T/QGCML 1496—2023</t>
  </si>
  <si>
    <t>燃料电池系统用水泵性能试验技术规范</t>
  </si>
  <si>
    <t>中国科技产业化促进会</t>
  </si>
  <si>
    <t>T/CSPSTC 103—2022</t>
  </si>
  <si>
    <t>氢气管道工程设计规范</t>
  </si>
  <si>
    <t>福建省标准化协会</t>
  </si>
  <si>
    <t>T/FJAS 024—2023</t>
  </si>
  <si>
    <t>燃料电池电动汽车 燃料电池热平衡试验方法</t>
  </si>
  <si>
    <t>T/CAB 0289—2023</t>
  </si>
  <si>
    <t>氢能轨道车辆涉氢基础设施安全要求</t>
  </si>
  <si>
    <t>T/CIET 240—2023</t>
  </si>
  <si>
    <t>加氢站数据采集通用技术规范</t>
  </si>
  <si>
    <t>苏州市新能源汽车产业商会</t>
  </si>
  <si>
    <t>T/SXS 018—2023</t>
  </si>
  <si>
    <t>制氢电解槽自动化技术</t>
  </si>
  <si>
    <t>T/SXS 019—2023</t>
  </si>
  <si>
    <t>燃料电池双极板技术</t>
  </si>
  <si>
    <t>T/CIET 260—2023</t>
  </si>
  <si>
    <t>T/CES 201—2023</t>
  </si>
  <si>
    <t>PEM 电解水制氢系统安全作业规范</t>
  </si>
  <si>
    <t>T/CES 202—2023</t>
  </si>
  <si>
    <t>车用质子交换膜燃料电池堆性能测试方法</t>
  </si>
  <si>
    <t>T/ZSA 161—2023</t>
  </si>
  <si>
    <t>T/CI 186—2023</t>
  </si>
  <si>
    <t>掺氢站场工艺与安全适用性测试及评估规范</t>
  </si>
  <si>
    <t>湖北省电动汽车流通协会</t>
  </si>
  <si>
    <t>T/HBEACA 010—2023</t>
  </si>
  <si>
    <t>电化学分解氨制氢技术规程</t>
  </si>
  <si>
    <t>T/HBEACA 008—2023</t>
  </si>
  <si>
    <t>T/HBEACA 003—2023</t>
  </si>
  <si>
    <t>氢燃料电池系统空压机匹配选型测试方法</t>
  </si>
  <si>
    <t>T/HBEACA 009—2023</t>
  </si>
  <si>
    <t>车用燃料电池系统快速活化技术规范</t>
  </si>
  <si>
    <t>T/HBEACA 007—2023</t>
  </si>
  <si>
    <t>车用燃料电池系统分水器设计通则</t>
  </si>
  <si>
    <t>T/HBEACA 006—2023</t>
  </si>
  <si>
    <t>车用燃料电池电堆在低温条件下储存及快速启动技术要求</t>
  </si>
  <si>
    <t>T/HBEACA 005—2023</t>
  </si>
  <si>
    <t>T/HBEACA 004—2023</t>
  </si>
  <si>
    <t>基于环境温度和冷却液温度的燃料电池系统开机测试方法</t>
  </si>
  <si>
    <t>T/SDAS 756—2023</t>
  </si>
  <si>
    <t>氯碱工业氢气</t>
  </si>
  <si>
    <t>T/QGCML 2378—2023</t>
  </si>
  <si>
    <t>碱性电解水制氢复合隔膜</t>
  </si>
  <si>
    <t>T/SSEA 0326—2023</t>
  </si>
  <si>
    <t>新能源汽车燃料电池空压机电机用冷轧无取向电工钢带（片）</t>
  </si>
  <si>
    <t>T/CSTA 0051—2023</t>
  </si>
  <si>
    <t>T/CIET 305—2023</t>
  </si>
  <si>
    <t>氢气隔膜压缩机技术条件</t>
  </si>
  <si>
    <t>T/CIET 306—2023</t>
  </si>
  <si>
    <t>氢气隔膜压缩机安全养护技术规范</t>
  </si>
  <si>
    <t>中国工程机械工业协会</t>
  </si>
  <si>
    <t>T/CCMA 0151—2023</t>
  </si>
  <si>
    <t>氢燃料电池工业车辆</t>
  </si>
  <si>
    <t>T/CCMA 0150—2023</t>
  </si>
  <si>
    <t>工业车辆用氢燃料电池动力系统技术规范</t>
  </si>
  <si>
    <t>T/CASME 1065—2023</t>
  </si>
  <si>
    <t>氢燃料电池发动机系统</t>
  </si>
  <si>
    <t>T/ZSA 170—2023</t>
  </si>
  <si>
    <t>商用车燃料电池发动机技术条件</t>
  </si>
  <si>
    <t>T/ZSA 197—2023</t>
  </si>
  <si>
    <t>液氢燃料电池电动商用车 安全要求</t>
  </si>
  <si>
    <t>T/ZSA 196—2023</t>
  </si>
  <si>
    <t>液氢燃料电池电动商用车 技术条件</t>
  </si>
  <si>
    <t>T/CSTE 0502—2023</t>
  </si>
  <si>
    <t>燃料电池电动汽车 车载液氢储供系统安全技术规范</t>
  </si>
  <si>
    <t>T/CSTE 0501—2023</t>
  </si>
  <si>
    <t>燃料电池电动汽车 车载液氢储供系统设计规范</t>
  </si>
  <si>
    <t>T/CSTE 0477—2023</t>
  </si>
  <si>
    <t>质量分级及“领跑者”评价要求 加氢站性能</t>
  </si>
  <si>
    <t>中关村绿色冷链物流产业联盟</t>
  </si>
  <si>
    <t>T/CCCA 0007—2023</t>
  </si>
  <si>
    <t>氢燃料电池电动冷藏车技术要求</t>
  </si>
  <si>
    <t>中国内燃机工业协会</t>
  </si>
  <si>
    <t>T/CICEIA /CAMS72—2023</t>
  </si>
  <si>
    <t>氢燃料汽车用氢气传感器</t>
  </si>
  <si>
    <t>T/CICEIA /CAMS71—2023</t>
  </si>
  <si>
    <t>氢燃料内燃机试验台架 技术规范</t>
  </si>
  <si>
    <t>T/CI 229—2023</t>
  </si>
  <si>
    <t>氢燃料电池单片电压巡检器</t>
  </si>
  <si>
    <t>T/CES 226—2023</t>
  </si>
  <si>
    <t>水电解制氢整流电源技术规范</t>
  </si>
  <si>
    <t>T/CES 223—2023</t>
  </si>
  <si>
    <t>氢电耦合微电网效能评价导则</t>
  </si>
  <si>
    <t>T/CSPSTC 112—2023</t>
  </si>
  <si>
    <t>氢气管道工程施工技术规范</t>
  </si>
  <si>
    <t>T/CES 225—2023</t>
  </si>
  <si>
    <t>质子交换膜燃料电池热电联产系统能效测算方法</t>
  </si>
  <si>
    <t>浙江省可持续发展研究会</t>
  </si>
  <si>
    <t>T/ZSSD 0003—2023</t>
  </si>
  <si>
    <t>氢能利用全生命周期（LCA）碳足迹 评价指南</t>
  </si>
  <si>
    <t>T/CECA-G 0267—2023</t>
  </si>
  <si>
    <t>质量分级及“领跑者”评价要求 车用燃料电池电堆</t>
  </si>
  <si>
    <t>T/CECA-G 0268—2023</t>
  </si>
  <si>
    <t>质量分级及“领跑者”评价要求 燃料电池发动机用空压机</t>
  </si>
  <si>
    <t>T/CAB 0318—2023</t>
  </si>
  <si>
    <t>商用车燃料电池系统“领跑者”性能评价导则</t>
  </si>
  <si>
    <t>T/CAB 0319—2023</t>
  </si>
  <si>
    <t>氢基绿色燃料评价方法及要求</t>
  </si>
  <si>
    <t>T/CIET 338—2023</t>
  </si>
  <si>
    <t>AEM水电解制氢系统技术要求</t>
  </si>
  <si>
    <t>T/CIET 334—2023</t>
  </si>
  <si>
    <t>加氢站用隔膜压缩机性能要求</t>
  </si>
  <si>
    <t>T/CIET 333—2023</t>
  </si>
  <si>
    <t>焦炉煤气制高纯氢转化工艺安全技术要求</t>
  </si>
  <si>
    <t>T/CIET 332—2023</t>
  </si>
  <si>
    <t>焦炉煤气转化制高纯氢单位产品能耗限额及计算方法</t>
  </si>
  <si>
    <t>T/CIET 342—2023</t>
  </si>
  <si>
    <t>撬装式氢气隔膜压缩机组技术条件</t>
  </si>
  <si>
    <t>T/CIET 337—2023</t>
  </si>
  <si>
    <t>氢气纯化系统技术要求</t>
  </si>
  <si>
    <t>T/CIET 339—2023</t>
  </si>
  <si>
    <t>氢燃料电池模块检漏方法</t>
  </si>
  <si>
    <t>T/CIET 336—2023</t>
  </si>
  <si>
    <t>质子交换膜水电解制氢系统技术要求</t>
  </si>
  <si>
    <t>中国中小企业协会</t>
  </si>
  <si>
    <t>T/CASMES 284—2023</t>
  </si>
  <si>
    <t>水电解制氢系统运行和维护规范</t>
  </si>
  <si>
    <t>北京汽车行业协会</t>
  </si>
  <si>
    <t>T/BJQC 202302—2023</t>
  </si>
  <si>
    <t>燃料电池电动客车维护技术规范</t>
  </si>
  <si>
    <t>T/CIET 364—2024</t>
  </si>
  <si>
    <t>金属裂解水蒸汽制氢技术规范</t>
  </si>
  <si>
    <t>中关村材料试验技术联盟</t>
  </si>
  <si>
    <t>T/CSTM 00576—2024</t>
  </si>
  <si>
    <t>掺氢输送用管线钢氢脆敏感性评价方法</t>
  </si>
  <si>
    <t>T/CI 279—2024</t>
  </si>
  <si>
    <t>70MPaIV型储氢瓶压力容器用高性能 碳纤维</t>
  </si>
  <si>
    <t>T/DZJN 220—2023</t>
  </si>
  <si>
    <t>质子交换膜燃料电池用电催化剂技术要求</t>
  </si>
  <si>
    <t>T/DZJN 221—2023</t>
  </si>
  <si>
    <t>质子交换膜燃料电池用气体扩散层技术要求</t>
  </si>
  <si>
    <t>T/DZJN 222—2023</t>
  </si>
  <si>
    <t>质子交换膜燃料电池用双极板技术要求</t>
  </si>
  <si>
    <t>T/DZJN 223—2023</t>
  </si>
  <si>
    <t>重载卡车用质子交换膜燃料电池技术要求</t>
  </si>
  <si>
    <t>浙江省安全生产协会</t>
  </si>
  <si>
    <t>T/ZAWS 001—2024</t>
  </si>
  <si>
    <t>加氢站用高压氢气管道安装及检测规范</t>
  </si>
  <si>
    <t>浙江省质量协会</t>
  </si>
  <si>
    <t>T/ZZB 3320—2023</t>
  </si>
  <si>
    <t>汽车用金属双极板氢燃料电池发动机</t>
  </si>
  <si>
    <t>中国道路运输协会</t>
  </si>
  <si>
    <t>T/CRTAS 2.5—2023</t>
  </si>
  <si>
    <t>城市公共汽电车车辆CAN 总线数据采集规范 第 5 部分：燃料电池车辆</t>
  </si>
  <si>
    <t>T/CCTAS 95—2023</t>
  </si>
  <si>
    <t>氢燃料电池混合动力机车通用技术条件</t>
  </si>
  <si>
    <t>江苏省能源研究会</t>
  </si>
  <si>
    <t>T/JSERS 2—2024</t>
  </si>
  <si>
    <t>生物质热化学制氢系统技术要求</t>
  </si>
  <si>
    <t>T/SSEA 0223—2024</t>
  </si>
  <si>
    <t>T/CIET 374—2024</t>
  </si>
  <si>
    <t>焦炉煤气制高纯氢制备工艺技术条件</t>
  </si>
  <si>
    <t>T/CASMES 286—2024</t>
  </si>
  <si>
    <t>水电解制氢系统安装技术规范</t>
  </si>
  <si>
    <t>T/CAB 0328—2024</t>
  </si>
  <si>
    <t>液氢用蝶阀</t>
  </si>
  <si>
    <t>T/CAB 0329—2024</t>
  </si>
  <si>
    <t>液氢用球阀</t>
  </si>
  <si>
    <t>T/CAB 0330—2024</t>
  </si>
  <si>
    <t>液氢用紧急切断阀</t>
  </si>
  <si>
    <t>T/CAB 0331—2024</t>
  </si>
  <si>
    <t>液氢用气动控制阀</t>
  </si>
  <si>
    <t>T/ZHFCA 1003—2023</t>
  </si>
  <si>
    <t>全控型水电解制氢电源</t>
  </si>
  <si>
    <t>T/ZHFCA 1004—2023</t>
  </si>
  <si>
    <t>撬装一体式水电解制氢储氢加氢装置安全技术规范</t>
  </si>
  <si>
    <t>氢安全通用要求</t>
  </si>
  <si>
    <t>T/ZHFCA 1002—2023</t>
  </si>
  <si>
    <t>质子交换膜燃料电池阻抗测量方法</t>
  </si>
  <si>
    <t>T/ZHFCA 1005—2023</t>
  </si>
  <si>
    <t>固体氧化物燃料电池 单电池工厂设计规范</t>
  </si>
  <si>
    <t>T/ZHFCA 1006—2023</t>
  </si>
  <si>
    <t>民用建筑用固体氧化物燃料电池热电联供系统 安装设计与工程安全技术规范</t>
  </si>
  <si>
    <t>T/CIET 428—2024</t>
  </si>
  <si>
    <t>氢燃料燃烧装置技术要求</t>
  </si>
  <si>
    <t>T/CIET 457—2024</t>
  </si>
  <si>
    <t>氢冶金 氢基竖炉直接还原技术规范</t>
  </si>
  <si>
    <t>T/CIET 462—2024</t>
  </si>
  <si>
    <t>固态储氢净化技术规范</t>
  </si>
  <si>
    <t>T/CIET 463—2024</t>
  </si>
  <si>
    <t>固态储氢一体化设备技术要求</t>
  </si>
  <si>
    <t>T/CIET 460—2024</t>
  </si>
  <si>
    <t>燃料电池用氢气循环泵</t>
  </si>
  <si>
    <t>T/CSTM 00967—2024</t>
  </si>
  <si>
    <t>稀土系储氢合金 交流阻抗和氢扩散系数测试 电化学法</t>
  </si>
  <si>
    <t>T/CSTM 00969—2024</t>
  </si>
  <si>
    <t>稀土系储氢合金 吸放氢反应热力学性能测试 范德霍夫法</t>
  </si>
  <si>
    <t>T/CSTM 00968—2024</t>
  </si>
  <si>
    <t>稀土系储氢合金 吸放氢容量保持率测试 体积法</t>
  </si>
  <si>
    <t>T/CI 343—2024</t>
  </si>
  <si>
    <t>氢燃料电池发电系统通用技术要求</t>
  </si>
  <si>
    <t>T/CSTE 0593—2024</t>
  </si>
  <si>
    <t>金属氢化物可逆储放氢系统装卸、运输安全技术规范</t>
  </si>
  <si>
    <t>T/CSTE 0594—2024</t>
  </si>
  <si>
    <t>金属氢化物可逆储放氢系统使用安全技术规范</t>
  </si>
  <si>
    <t>T/CGMA 0501—2023</t>
  </si>
  <si>
    <t>电机制动氢气透平膨胀机</t>
  </si>
  <si>
    <t>T/HEBQIA 254—2024</t>
  </si>
  <si>
    <t>制氢加氢一体站技术规范</t>
  </si>
  <si>
    <t>广东省电源行业协会</t>
  </si>
  <si>
    <t>T/GDDY 010—2024</t>
  </si>
  <si>
    <t>车用燃料电池DC/DC变换器</t>
  </si>
  <si>
    <t>中国电子工业标准化技术协会</t>
  </si>
  <si>
    <t>T/CESA 1328—2024</t>
  </si>
  <si>
    <t>绿色设计产品评价技术规范 质子交换膜燃料电池</t>
  </si>
  <si>
    <t>T/CIET 493—2024</t>
  </si>
  <si>
    <t>氢气引射模块</t>
  </si>
  <si>
    <t>T/CSAE 311—2023</t>
  </si>
  <si>
    <t>质子交换膜燃料电池气体扩散层测试方法</t>
  </si>
  <si>
    <t>T/CSAE 314—2023</t>
  </si>
  <si>
    <t>多工况下燃料电池汽车动力系统效率 台架试验方法</t>
  </si>
  <si>
    <t>广东省汽车智能网联发展促进会</t>
  </si>
  <si>
    <t>T/GAEPA 002—2024</t>
  </si>
  <si>
    <t>燃料电池电动汽车 安全要求</t>
  </si>
  <si>
    <t>T/CI 367—2024</t>
  </si>
  <si>
    <t>氢动力市域列车通用技术条件</t>
  </si>
  <si>
    <t>T/CIET 514—2024</t>
  </si>
  <si>
    <t>基于IGBT的水电解制氢电源技术规范</t>
  </si>
  <si>
    <t>T/CPCIF 0337—2024</t>
  </si>
  <si>
    <t>丙烷脱氢副产氢气</t>
  </si>
  <si>
    <t>T/CIET 519—2024</t>
  </si>
  <si>
    <t>氢气储存运输技术规范</t>
  </si>
  <si>
    <t>中国航海学会</t>
  </si>
  <si>
    <t>T/CIN 033—2024</t>
  </si>
  <si>
    <t>燃料电池船舶安全航行技术要求</t>
  </si>
  <si>
    <t>T/CAAMTB 80—2022</t>
  </si>
  <si>
    <t>燃料电池汽车高压氢气加注技术规范</t>
  </si>
  <si>
    <t>T/CAAMTB 81—2022</t>
  </si>
  <si>
    <t>燃料电池系统振动试验规范</t>
  </si>
  <si>
    <t>T/ZHFCA 1007—2024</t>
  </si>
  <si>
    <t>氢燃料电池叉车用发电系统安全及技术要求</t>
  </si>
  <si>
    <t>T/ZHFCA 1008—2024</t>
  </si>
  <si>
    <t>氢燃料电池叉车用电堆安全及性能要求</t>
  </si>
  <si>
    <t>T/CAAMTB 83—2022</t>
  </si>
  <si>
    <t>燃料电池系统用氢气循环泵性能测试规范</t>
  </si>
  <si>
    <t>T/CAAMTB 144.1—2023</t>
  </si>
  <si>
    <t>甲醇在线制氢装置 第1部分：总则</t>
  </si>
  <si>
    <t>T/CAAMTB 144.2—2023</t>
  </si>
  <si>
    <t>甲醇在线制氢装置 第2部分：性能</t>
  </si>
  <si>
    <t>T/CAAMTB 144.3—2023</t>
  </si>
  <si>
    <t>甲醇在线制氢装置 第3部分：控制系统</t>
  </si>
  <si>
    <t>T/CAAMTB 144.4—2023</t>
  </si>
  <si>
    <t>甲醇在线制氢装置 第4部分：氢气提纯单元</t>
  </si>
  <si>
    <t>广东省机械工业质量管理协会</t>
  </si>
  <si>
    <t>T/GMIQMA 005—2024</t>
  </si>
  <si>
    <t>氢气制造储存运输用球阀</t>
  </si>
  <si>
    <t>T/CAAMTB 39—2021</t>
  </si>
  <si>
    <t>T/CAAMTB 40—2021</t>
  </si>
  <si>
    <t>T/CAAMTB 82—2022</t>
  </si>
  <si>
    <t>燃料电池系统增湿器性能测试规范</t>
  </si>
  <si>
    <t>T/CAB 0351—2024</t>
  </si>
  <si>
    <t>反应气中杂质对固体氧化物燃料电池性能影响的测试方法</t>
  </si>
  <si>
    <t>T/CAAMTB 148—2023</t>
  </si>
  <si>
    <t>质量分级及"领跑者"评价要求 燃料电池发动机用空压机</t>
  </si>
  <si>
    <t>T/CAAMTB 149—2023</t>
  </si>
  <si>
    <t>质量分级及"领跑者"评价要求 燃料电池重型商用车</t>
  </si>
  <si>
    <t>T/CAAMTB 150—2023</t>
  </si>
  <si>
    <t>质量分级及"领跑者"评价要求 车用燃料电池电堆</t>
  </si>
  <si>
    <t>武汉市氢能产业促进会</t>
  </si>
  <si>
    <t>T/WHQX 1—2024</t>
  </si>
  <si>
    <t>武汉市示范运行燃料电池电动汽车技术规范</t>
  </si>
  <si>
    <t>T/WHQX 2—2024</t>
  </si>
  <si>
    <t>燃料电池电动城市客车技术规范</t>
  </si>
  <si>
    <t>T/WHQX 3—2024</t>
  </si>
  <si>
    <t>燃料电池电动汽车低温冷起动试验方法</t>
  </si>
  <si>
    <t>T/WHQX 4—2024</t>
  </si>
  <si>
    <t>燃料电池电动汽车车载氢系统气体置换技术规范</t>
  </si>
  <si>
    <t>T/WHQX 5—2024</t>
  </si>
  <si>
    <t>燃料电池电动汽车燃料电池系统技术规范</t>
  </si>
  <si>
    <t>T/WHQX 6—2024</t>
  </si>
  <si>
    <t>汽车用质子交换膜燃料电池膜电极技术要求及测试方法</t>
  </si>
  <si>
    <t>T/CIET 549—2024</t>
  </si>
  <si>
    <t>氢冶金 高炉富氢冶炼技术规范</t>
  </si>
  <si>
    <t>T/CIET 556—2024</t>
  </si>
  <si>
    <t>甲醇重整制氢设备气密性测试方法</t>
  </si>
  <si>
    <t>T/CAAMTB 191—2024</t>
  </si>
  <si>
    <t>车用70MPa加氢口性能试验方法</t>
  </si>
  <si>
    <t>T/CIET 555—2024</t>
  </si>
  <si>
    <t>甲醇重整制氢系统安全运行维护规范</t>
  </si>
  <si>
    <t>中国工业节能与清洁生产协会</t>
  </si>
  <si>
    <t>T/CIECCPA 025—2024</t>
  </si>
  <si>
    <t>绿氢产品碳足迹量化与评价方法</t>
  </si>
  <si>
    <t>T/CAB 0350—2024</t>
  </si>
  <si>
    <t>加氢站用氢气压缩机性能 测试评价方法</t>
  </si>
  <si>
    <t>T/CIET 533—2024</t>
  </si>
  <si>
    <t>低压固态储氢技术要求</t>
  </si>
  <si>
    <t>T/DZJN 269—2024</t>
  </si>
  <si>
    <t>工业叉车用质子交换膜燃料电池系统技术要求</t>
  </si>
  <si>
    <t>T/DZJN 277—2024</t>
  </si>
  <si>
    <t>质子交换膜燃料电池模压石墨极板用碳粉技术要求</t>
  </si>
  <si>
    <t>T/DZJN 278—2024</t>
  </si>
  <si>
    <t>质子交换膜燃料电池用空气压缩机技术要求</t>
  </si>
  <si>
    <t>T/DZJN 279—2024</t>
  </si>
  <si>
    <t>质子交换膜燃料电池用膜电极技术要求</t>
  </si>
  <si>
    <t>T/DZJN 280—2024</t>
  </si>
  <si>
    <t>质子交换膜燃料电池用质子交换膜技术要求</t>
  </si>
  <si>
    <t>T/CCGA 40016—2024</t>
  </si>
  <si>
    <t>氢能源品质检测车技术要求</t>
  </si>
  <si>
    <t>T/CIET 569—2024</t>
  </si>
  <si>
    <t>纯氢冶金直热式电加热氢气系统设计技术规范</t>
  </si>
  <si>
    <t>T/CIET 563—2024</t>
  </si>
  <si>
    <t>燃料电池用碳纸</t>
  </si>
  <si>
    <t>T/CSTE 0615—2024</t>
  </si>
  <si>
    <t>“领跑者”评价要求 加氢站运营管理服务</t>
  </si>
  <si>
    <t>广东省石油和化学工业协会</t>
  </si>
  <si>
    <t>T/GPCIA 0010—2024</t>
  </si>
  <si>
    <t>丙烷脱氢装置单位产品能源消耗限额</t>
  </si>
  <si>
    <t>武汉互联网产业商会</t>
  </si>
  <si>
    <t>T/WHHLW 148—2024</t>
  </si>
  <si>
    <t>电化学氢气传感器</t>
  </si>
  <si>
    <t>T/CASME 1569—2024</t>
  </si>
  <si>
    <t>PEM电解水制氢膜电极技术规范</t>
  </si>
  <si>
    <t>T/CIET 576—2024</t>
  </si>
  <si>
    <t>高压氢气科里奥利质量流量计技术要求</t>
  </si>
  <si>
    <t>T/CI 422—2024</t>
  </si>
  <si>
    <t>氢储能系统通用技术要求</t>
  </si>
  <si>
    <t>储能</t>
  </si>
  <si>
    <t>上海市交通运输行业协会</t>
  </si>
  <si>
    <t>T/SHJX 063—2024</t>
  </si>
  <si>
    <t>氢燃料电池公交客车维护技术要求</t>
  </si>
  <si>
    <t>T/CASMES 360—2024</t>
  </si>
  <si>
    <t>PEM 制氢电解槽设计与自动化技术要求</t>
  </si>
  <si>
    <t>中国检验检测学会</t>
  </si>
  <si>
    <t>T/CITS 122—2024</t>
  </si>
  <si>
    <t>碳纤维缠绕储氢气瓶无损失效检测方法</t>
  </si>
  <si>
    <t>T/CI 423—2024</t>
  </si>
  <si>
    <t>氢燃料电池汽车运行评价指标体系</t>
  </si>
  <si>
    <t>T/CICEIA /CAMS86—2024</t>
  </si>
  <si>
    <t>重型汽车用氢燃料内燃机 污染物排放测量方法</t>
  </si>
  <si>
    <t>T/CICEIA /CAMS87—2024</t>
  </si>
  <si>
    <t>车用氢燃料内燃机 定型试验方法</t>
  </si>
  <si>
    <t>T/CICEIA /CAMS88—2024</t>
  </si>
  <si>
    <t>车用氢燃料内燃机 冷启动试验及评定方法</t>
  </si>
  <si>
    <t>T/CICEIA /CAMS89—2024</t>
  </si>
  <si>
    <t>重型氢燃料内燃机汽车 污染物排放测量方法</t>
  </si>
  <si>
    <t>T/CICEIA /CAMS90—2024</t>
  </si>
  <si>
    <t>氢燃料内燃机汽车 燃料消耗量试验方法</t>
  </si>
  <si>
    <t>T/CICEIA /CAMS91—2024</t>
  </si>
  <si>
    <t>重型氢燃料内燃机汽车 续驶里程试验方法</t>
  </si>
  <si>
    <t>T/CSTE 0637—2024</t>
  </si>
  <si>
    <t>质量分级及“领跑者”评价要求 碱性水电解制氢系统</t>
  </si>
  <si>
    <t>T/CIET 601—2024</t>
  </si>
  <si>
    <t>氢气变压吸附提纯技术规范</t>
  </si>
  <si>
    <t>中国产业发展促进会</t>
  </si>
  <si>
    <t>T/CAPID 010—2024</t>
  </si>
  <si>
    <t>碱性水电解制氢编织网电极技术规范</t>
  </si>
  <si>
    <t>T/CECA-G 0310—2024</t>
  </si>
  <si>
    <t>离网制氢灵活消纳与柔性化工系统开发规范</t>
  </si>
  <si>
    <t>T/CAPID 001—2024</t>
  </si>
  <si>
    <t>水电解制氢合成可再生氨评价技术规范</t>
  </si>
  <si>
    <t>T/ZHFCA 1009—2024</t>
  </si>
  <si>
    <t>氢燃料电池电动自行车通用技术要求</t>
  </si>
  <si>
    <t>T/CIET 618—2024</t>
  </si>
  <si>
    <t>水电解制氢气体分离系统</t>
  </si>
  <si>
    <t>浙江省电力学会</t>
  </si>
  <si>
    <t>T/ZJSEE 0027—2024</t>
  </si>
  <si>
    <t>氢储能电站运行维护安全导则</t>
  </si>
  <si>
    <t>T/CIET 526—2024</t>
  </si>
  <si>
    <t>碱性电解水制氢系统技术规范</t>
  </si>
  <si>
    <t>济南计量测试学会</t>
  </si>
  <si>
    <t>T/JNM 0003—2024</t>
  </si>
  <si>
    <t>氢中氧（氧中氢）分析仪校准方法</t>
  </si>
  <si>
    <t>T/JNM 0004—2024</t>
  </si>
  <si>
    <t>加氢站用氢气卸气柱校准方法</t>
  </si>
  <si>
    <t>T/JNM 0006—2024</t>
  </si>
  <si>
    <t>微量氢气检测报警仪校准方法</t>
  </si>
  <si>
    <t>T/QGCML 4685—2024</t>
  </si>
  <si>
    <t>氢气制备储存稳压罐体</t>
  </si>
  <si>
    <t>T/SHJNXH 0013—2024</t>
  </si>
  <si>
    <t>固态可逆储氢材料通用要求</t>
  </si>
  <si>
    <t>T/CIET 623—2024</t>
  </si>
  <si>
    <t>氨分解制氢技术规范</t>
  </si>
  <si>
    <t>T/CIET 626—2024</t>
  </si>
  <si>
    <t>基于晶闸管的水电解制氢电源技术规范</t>
  </si>
  <si>
    <t>T/CIET 650—2024</t>
  </si>
  <si>
    <t>光伏、风电制氢用晶闸管制氢电源安全技术要求</t>
  </si>
  <si>
    <t>T/CIET 651—2024</t>
  </si>
  <si>
    <t>固体氧化物燃料电池发电系统技术要求</t>
  </si>
  <si>
    <t>T/CITS 137—2024</t>
  </si>
  <si>
    <t>氢气储罐区气体检测仪</t>
  </si>
  <si>
    <t>T/CITS 140—2024</t>
  </si>
  <si>
    <t>基于氢电耦合可再生能源消纳系统技术规范</t>
  </si>
  <si>
    <t>T/GDDY 011—2024</t>
  </si>
  <si>
    <t>车用氢燃料电池加氢站制氢电源</t>
  </si>
  <si>
    <t>T/CITS 131—2024</t>
  </si>
  <si>
    <t>风光氢储氨醇一体化 二氧化碳制绿色甲醇技术导则</t>
  </si>
  <si>
    <t>T/CITS 133—2024</t>
  </si>
  <si>
    <t>风光氢储氨醇一体化 多稳态柔性合成氨技术要求</t>
  </si>
  <si>
    <t>T/CIET 670—2024</t>
  </si>
  <si>
    <t>氢分离提纯技术规范 变压吸附提纯</t>
  </si>
  <si>
    <t>T/CIET 673—2024</t>
  </si>
  <si>
    <t>氨氢燃料电池系统技术规范</t>
  </si>
  <si>
    <t>T/CIET 674—2024</t>
  </si>
  <si>
    <t>氨现场制氢加氢一体站建设指南</t>
  </si>
  <si>
    <t>上海市塑料工程技术学会</t>
  </si>
  <si>
    <t>T/SHPTA 099—2024</t>
  </si>
  <si>
    <t>水电解制氢隔膜用全氟磺酸树脂</t>
  </si>
  <si>
    <t>T/ZHFCA 1010—2024</t>
  </si>
  <si>
    <t>液氢燃料电池电动商用车 动力性能试验方法</t>
  </si>
  <si>
    <t>T/ZHFCA 1011—2024</t>
  </si>
  <si>
    <t>液氢燃料电池电动商用车 低温冷起动性能试验方法</t>
  </si>
  <si>
    <t>T/ZHFCA 1012—2024</t>
  </si>
  <si>
    <t>液氢燃料电池电动商用车 能量消耗量及续驶里程测试方法</t>
  </si>
  <si>
    <t>T/ZHFCA 1013—2024</t>
  </si>
  <si>
    <t>液氢燃料电池电动商用车 定型试验规程</t>
  </si>
  <si>
    <t>T/ZHFCA 1014.1—2024</t>
  </si>
  <si>
    <t>磷酸型聚合物膜燃料电池 第1部分：电堆通用技术要求</t>
  </si>
  <si>
    <t>T/ZHFCA 1014.2—2024</t>
  </si>
  <si>
    <t>磷酸型聚合物膜燃料电池 第2部分：电堆测试方法</t>
  </si>
  <si>
    <t>T/ZHFCA 1014.3—2024</t>
  </si>
  <si>
    <t>磷酸型聚合物膜燃料电池 第3部分：膜电极测试方法</t>
  </si>
  <si>
    <t>T/ZHFCA 1014.4—2024</t>
  </si>
  <si>
    <t>磷酸型聚合物膜燃料电池 第4部分：膜的测试方法</t>
  </si>
  <si>
    <t>中国钢铁工业协会</t>
  </si>
  <si>
    <t>T/CISA 404—2024</t>
  </si>
  <si>
    <t>氢能源汽车电堆极板用不锈钢精密钢带</t>
  </si>
  <si>
    <t>T/CCGA 20018—2024</t>
  </si>
  <si>
    <t>液氢、液氦空温式气化器技术要求</t>
  </si>
  <si>
    <t>T/SHPTA 101—2024</t>
  </si>
  <si>
    <t>车用压缩氢气塑料内胆碳纤维全缠绕气瓶湿法缠绕用环氧树脂</t>
  </si>
  <si>
    <t>T/DZJN 357—2024</t>
  </si>
  <si>
    <t>液氢加氢站工程技术要求</t>
  </si>
  <si>
    <t>T/DZJN 343—2024</t>
  </si>
  <si>
    <t>集装箱式水电解制氢系统技术要求</t>
  </si>
  <si>
    <t>T/DZJN 358—2024</t>
  </si>
  <si>
    <t>质子交换膜燃料电池产品碳足迹评价导则 第2部分：质子交换膜</t>
  </si>
  <si>
    <t>T/DZJN 359—2024</t>
  </si>
  <si>
    <t>质子交换膜燃料电池产品碳足迹评价导则 第3部分：电催化剂</t>
  </si>
  <si>
    <t>T/DZJN 360—2024</t>
  </si>
  <si>
    <t>质子交换膜燃料电池产品碳足迹评价导则 第4部分：炭纸</t>
  </si>
  <si>
    <t>T/DZJN 361—2024</t>
  </si>
  <si>
    <t>质子交换膜燃料电池产品碳足迹评价导则 第5部分：双极板</t>
  </si>
  <si>
    <t>T/DZJN 362—2024</t>
  </si>
  <si>
    <t>质子交换膜燃料电池用碳毡检测方法</t>
  </si>
  <si>
    <t>T/CITS 152—2024</t>
  </si>
  <si>
    <t>氢燃料电池电堆的活化试验方法</t>
  </si>
  <si>
    <t>T/CITS 153—2024</t>
  </si>
  <si>
    <t>氢气传感器性能测试方法</t>
  </si>
  <si>
    <t>T/CITS 154—2024</t>
  </si>
  <si>
    <t>氢气传感器安全性能测试方法</t>
  </si>
  <si>
    <t>T/CITS 156—2024</t>
  </si>
  <si>
    <t>固体氧化物燃料电池低碳发电系统技术要求</t>
  </si>
  <si>
    <t>T/CITS 157—2024</t>
  </si>
  <si>
    <t>高温固体氧化物燃料电池性能水平测试方法</t>
  </si>
  <si>
    <t>T/CITS 158—2024</t>
  </si>
  <si>
    <t>分布式质子交换膜燃料电池发电系统</t>
  </si>
  <si>
    <t>T/CIET 734—2024</t>
  </si>
  <si>
    <t>金属氢化物固态储氢设备技术要求</t>
  </si>
  <si>
    <t>T/CIET 735—2024</t>
  </si>
  <si>
    <t>固体氧化物燃料电池系统技术要求</t>
  </si>
  <si>
    <t>T/CIET 736—2024</t>
  </si>
  <si>
    <t>固体氧化物燃料电池 电堆测试系统技术规范</t>
  </si>
  <si>
    <t>湖北省标准化学会</t>
  </si>
  <si>
    <t>T/HBAS 073—2024</t>
  </si>
  <si>
    <t>氢燃料电池应急电源车系统技术要求</t>
  </si>
  <si>
    <t>中国商业企业管理协会</t>
  </si>
  <si>
    <t>T/ACCEM 168—2024</t>
  </si>
  <si>
    <t>氢能源商用车动力总成硅胶管</t>
  </si>
  <si>
    <t>T/CASME 1705—2024</t>
  </si>
  <si>
    <t>氢燃料电池用全氟型质子交换膜</t>
  </si>
  <si>
    <t>T/CIET 749—2024</t>
  </si>
  <si>
    <t>制氢加氢一体机安全技术规范</t>
  </si>
  <si>
    <t>中国商业经济学会</t>
  </si>
  <si>
    <t>T/CEAC 061—2024</t>
  </si>
  <si>
    <t>氢基竖炉炉顶气回收利用技术规范</t>
  </si>
  <si>
    <t>T/CIECCPA 047—2024</t>
  </si>
  <si>
    <t>绿色甲醇产品碳足迹量化与评价方法</t>
  </si>
  <si>
    <t>T/CES 280—2024</t>
  </si>
  <si>
    <t>车载氢燃料电池应急电源系统技术要求</t>
  </si>
  <si>
    <t>T/CASMES 400—2024</t>
  </si>
  <si>
    <t>质子交换膜水电解制氢阳极催化剂 测试方法</t>
  </si>
  <si>
    <t>T/CASMES 401—2024</t>
  </si>
  <si>
    <t>质子交换膜水电解制氢膜电极测试方法</t>
  </si>
  <si>
    <t>T/CASMES 402—2024</t>
  </si>
  <si>
    <t>制氢现场氢安全管理规范</t>
  </si>
  <si>
    <t>T/CASMES 403—2024</t>
  </si>
  <si>
    <t>撬装加氢设备设计规范</t>
  </si>
  <si>
    <t>T/CASMES 422—2024</t>
  </si>
  <si>
    <t>水电解制氢行业零碳工厂评价通用要求</t>
  </si>
  <si>
    <t>T/CASME 1732—2024</t>
  </si>
  <si>
    <t>电解水制氢催化剂耐腐蚀性测试方法</t>
  </si>
  <si>
    <t>T/CIET 769—2024</t>
  </si>
  <si>
    <t>氢气浓度检测设备技术规范</t>
  </si>
  <si>
    <t>T/CIET 772—2024</t>
  </si>
  <si>
    <t>固体氧化物电解水（SOEC）制氢技术要求</t>
  </si>
  <si>
    <t>T/CECS 1585—2024</t>
  </si>
  <si>
    <t>城镇民用氢气输配工程技术规程</t>
  </si>
  <si>
    <t>中国联合国采购促进会</t>
  </si>
  <si>
    <t>T/UNP 278—2024</t>
  </si>
  <si>
    <t>固态储氢系统设备技术规范</t>
  </si>
  <si>
    <t>T/UNP 279—2024</t>
  </si>
  <si>
    <t>广东陶瓷协会</t>
  </si>
  <si>
    <t>T/GDTC 004—2024</t>
  </si>
  <si>
    <t>陶瓷行业氨燃料应用规范</t>
  </si>
  <si>
    <t>T/CIET 803—2024</t>
  </si>
  <si>
    <t>移动式固态储释氢系统安全技术规范</t>
  </si>
  <si>
    <t>T/CIET 809—2024</t>
  </si>
  <si>
    <t>绿氢耦合二氧化碳制绿甲醇技术规范</t>
  </si>
  <si>
    <t>T/CIET 810—2024</t>
  </si>
  <si>
    <t>金属氢化物石墨烯复合固态储氢材料技术要求</t>
  </si>
  <si>
    <t>T/CIET 835—2024</t>
  </si>
  <si>
    <t>甲醇重整制氢机</t>
  </si>
  <si>
    <t>T/CITS 169—2024</t>
  </si>
  <si>
    <t>高温质子交换膜(HT-PEM)氢燃料电池系统</t>
  </si>
  <si>
    <t>中国有色金属工业协会</t>
  </si>
  <si>
    <t>T/CNIA 0256—2024</t>
  </si>
  <si>
    <t>绿色设计产品评价技术规范 稀土系储氢合金粉</t>
  </si>
  <si>
    <t>T/ZHFCA 1016—2024</t>
  </si>
  <si>
    <t>质子交换膜燃料电池用激光焊接金属双极板技术要求</t>
  </si>
  <si>
    <t>T/CSTE 0673—2024</t>
  </si>
  <si>
    <t>工业储氢用固定式金属氢化物储氢装置技术规范</t>
  </si>
  <si>
    <t>T/CIET 839—2024</t>
  </si>
  <si>
    <t>固定式固态储释氢系统技术规范</t>
  </si>
  <si>
    <t>T/CIET 841—2024</t>
  </si>
  <si>
    <t>水电解制氢气体分离系统安装与维护</t>
  </si>
  <si>
    <t>T/SHPTA 108—2024</t>
  </si>
  <si>
    <t>氢气输送用增强热塑性塑料复合管</t>
  </si>
  <si>
    <t>T/CMES 20015—2024</t>
  </si>
  <si>
    <t>车载储供氢系统用限流阀技术规范</t>
  </si>
  <si>
    <t>T/CI 588—2024</t>
  </si>
  <si>
    <t>中低压纯氢/掺氢燃气多源多用户管输数值模拟技术指南</t>
  </si>
  <si>
    <t>中国稀土学会</t>
  </si>
  <si>
    <t>T/CSRE 20002—2024</t>
  </si>
  <si>
    <t>环境产品声明 产品种类规则 稀土储氢合金</t>
  </si>
  <si>
    <t>T/CITS 182—2024</t>
  </si>
  <si>
    <t>氢气泄漏报警探测器</t>
  </si>
  <si>
    <t>T/CITS 190—2024</t>
  </si>
  <si>
    <t>碳纤维全缠绕储氢气瓶内胆检测方法</t>
  </si>
  <si>
    <t>T/CITS 184—2024</t>
  </si>
  <si>
    <t>质子交换膜 燃料电池性能衰减测试要求</t>
  </si>
  <si>
    <t>T/CITS 189—2024</t>
  </si>
  <si>
    <t>固体氧化物燃料电池系统失效分析方法</t>
  </si>
  <si>
    <t>T/CITS 191—2024</t>
  </si>
  <si>
    <t>质子交换膜燃料电池用催化剂性能衰减检测规范</t>
  </si>
  <si>
    <t>T/CI 568—2024</t>
  </si>
  <si>
    <t>船舶用氢燃料电池发电系统控制技术要求</t>
  </si>
  <si>
    <t>T/CI 567—2024</t>
  </si>
  <si>
    <t>车用燃料电池发动机系统控制技术要求</t>
  </si>
  <si>
    <t>T/CICEIA /CAMS99—2024</t>
  </si>
  <si>
    <t>氢燃料内燃机 涂 覆式 SCR催化剂</t>
  </si>
  <si>
    <t>T/GDASE 0051—2024</t>
  </si>
  <si>
    <t>工业及商业用途氢气探测器 性能测试方法</t>
  </si>
  <si>
    <t>T/SAPIA 001—2024</t>
  </si>
  <si>
    <t>重卡用燃料电池发动机技术条件</t>
  </si>
  <si>
    <t>中国氮肥工业协会</t>
  </si>
  <si>
    <t>T/CNFAGS 16—2024</t>
  </si>
  <si>
    <t>绿色甲醇分级标准（试行）</t>
  </si>
  <si>
    <t>T/CNFAGS 15—2024</t>
  </si>
  <si>
    <t>绿色合成氨分级标准（试行）</t>
  </si>
  <si>
    <t>T/CIET 837—2024</t>
  </si>
  <si>
    <t>有机固废制氢技术规范</t>
  </si>
  <si>
    <t>T/ZSA 235—2024</t>
  </si>
  <si>
    <t>T/ZSA 257—2024</t>
  </si>
  <si>
    <t>T/CSTE 0687—2024</t>
  </si>
  <si>
    <t>制氢加氢一体站建设管理指南</t>
  </si>
  <si>
    <t>上海市青浦区稻米协会</t>
  </si>
  <si>
    <t>T/QPDMXH 002—2024</t>
  </si>
  <si>
    <t>水稻富氢水灌溉种植技术规程</t>
  </si>
  <si>
    <t>上海市节能环保服务业协会</t>
  </si>
  <si>
    <t>T/SEESA 024—2024</t>
  </si>
  <si>
    <t>绿色甲醇评价方法</t>
  </si>
  <si>
    <t>T/CECA-G 0336—2024</t>
  </si>
  <si>
    <t>T/GAEPA 005—2024</t>
  </si>
  <si>
    <t>内蒙古标准发展促进会</t>
  </si>
  <si>
    <t>T/NMSP 4—2023</t>
  </si>
  <si>
    <t>集装格式压缩氢气系统技术要求</t>
  </si>
  <si>
    <t>T/ACCEM 383—2024</t>
  </si>
  <si>
    <t>水电解制氢测试技术规范</t>
  </si>
  <si>
    <t>河南省计量协会</t>
  </si>
  <si>
    <t>T/HNJX 0001—2021</t>
  </si>
  <si>
    <t>压缩氢气加气机检测规范</t>
  </si>
  <si>
    <t>T/HNJX 0002—2021</t>
  </si>
  <si>
    <t>橇装式压缩氢气加注装置检测规范</t>
  </si>
  <si>
    <t>T/HNJX 0005—2023</t>
  </si>
  <si>
    <t>加氢机检定装置</t>
  </si>
  <si>
    <t>甘肃省化学会</t>
  </si>
  <si>
    <t>T/CSG 004—2024</t>
  </si>
  <si>
    <t>分解水制氢光催化剂稳定性测试</t>
  </si>
  <si>
    <t>光解水制氢</t>
  </si>
  <si>
    <t>T/CASMES 496—2024</t>
  </si>
  <si>
    <t>碱性水电解制氢设备气密性测试方法</t>
  </si>
  <si>
    <t>T/CASMES 497—2024</t>
  </si>
  <si>
    <t>碱性水电解制氢电解槽用PPS纤维隔膜技术规范</t>
  </si>
  <si>
    <t>中国氯碱工业协会</t>
  </si>
  <si>
    <t>T/CCASC 0039—2024</t>
  </si>
  <si>
    <t>氯碱企业涉氢安全管理通用要求</t>
  </si>
  <si>
    <t>T/CEEIA 801—2024</t>
  </si>
  <si>
    <t>质子交换膜燃料电池 全氟质子交换膜通用技术条件</t>
  </si>
  <si>
    <t>T/CEEIA 802—2024</t>
  </si>
  <si>
    <t>质子交换膜燃料电池 车用质子交换膜测试方法</t>
  </si>
  <si>
    <t>T/CITS 197—2024</t>
  </si>
  <si>
    <t>质子交换膜燃料电池用电催化剂安全技术要求</t>
  </si>
  <si>
    <t>T/CITS 205—2024</t>
  </si>
  <si>
    <t>燃料电池用铂基催化剂技术要求</t>
  </si>
  <si>
    <t>大连市氢能产业发展促进协会</t>
  </si>
  <si>
    <t>T/DHFCA 1—2024</t>
  </si>
  <si>
    <t>燃料电池分布式发电（热电联供）系统性能 测试方法</t>
  </si>
  <si>
    <t>T/DHFCA 2—2024</t>
  </si>
  <si>
    <t>燃料电池电堆测试台技术规范</t>
  </si>
  <si>
    <t>T/CAS 963—2024</t>
  </si>
  <si>
    <t>氢燃料电池商用车运行阶段碳减排量 核算方法</t>
  </si>
  <si>
    <t>广州市氢能和综合智慧能源产业发展联合会</t>
  </si>
  <si>
    <t>T/GZHE 0001—2024</t>
  </si>
  <si>
    <t>制氢加氢一体站建设和运营规范</t>
  </si>
  <si>
    <t>T/GZHE 0002—2024</t>
  </si>
  <si>
    <t>加氢站运营管理评价指南</t>
  </si>
  <si>
    <t>T/CIET 902—2024</t>
  </si>
  <si>
    <t>储氢合金-碳材料固态储氢复合材料技术规范</t>
  </si>
  <si>
    <t>T/CIET 919—2024</t>
  </si>
  <si>
    <t>车载氢系统检验与测试技术规范</t>
  </si>
  <si>
    <t>上海市安全生产协会</t>
  </si>
  <si>
    <t>T/SWSA 003—2025</t>
  </si>
  <si>
    <t>氢能源公交汽车运行与维护安全技术规范</t>
  </si>
  <si>
    <t>T/CPCIF 0379—2024</t>
  </si>
  <si>
    <t>气体分析 氢气中硫化合物含量的测定 低温富集-硫化学发光气相色谱法</t>
  </si>
  <si>
    <t>T/CPCIF 0380—2024</t>
  </si>
  <si>
    <t>气体分析 质子交换膜燃料电池用氢气中氨气的测定 光腔衰荡光谱法</t>
  </si>
  <si>
    <t>T/CPCIF 0381—2024</t>
  </si>
  <si>
    <t>气体分析 质子交换膜燃料电池用氢气中二氧化碳、一氧化碳、甲烷、氮、氩(氧)、氦和总烃含量的测定 气相色谱法</t>
  </si>
  <si>
    <t>T/CPCIF 0382—2024</t>
  </si>
  <si>
    <t>气体分析 质子交换膜燃料电池用氢气中甲烷、二氧化碳、一氧化碳、甲醛、甲酸、氨和氯化氢含量的测定 傅立叶变换红外光谱法</t>
  </si>
  <si>
    <t>T/CIET 936—2024</t>
  </si>
  <si>
    <t>光伏制氢耦合燃料电池能源系统通用技术要求</t>
  </si>
  <si>
    <t>T/CIET 956—2024</t>
  </si>
  <si>
    <t>太阳能光催化制氢/光解水制氢系统技术规范</t>
  </si>
  <si>
    <t>T/CITS 228—2025</t>
  </si>
  <si>
    <t>电解水制氢气体纯化系统技术要求</t>
  </si>
  <si>
    <t>T/CITS 227—2025</t>
  </si>
  <si>
    <t>电解水制氢装置能耗分析方法</t>
  </si>
  <si>
    <t>T/CITS 229—2025</t>
  </si>
  <si>
    <t>光伏发电耦合小型PEM电解水制氢装备</t>
  </si>
  <si>
    <t>中国工业环保促进会</t>
  </si>
  <si>
    <t>T/CIEP 0203—2024</t>
  </si>
  <si>
    <t>高压氢气车载输送系统技术要求</t>
  </si>
  <si>
    <t>T/HNJX 0016—2025</t>
  </si>
  <si>
    <t>T/CIEP 0204—2024</t>
  </si>
  <si>
    <t>固定式高压氢气存储设备技术条件规范</t>
  </si>
  <si>
    <t>T/CIEP 0202—2024</t>
  </si>
  <si>
    <t>氢气输送管道系统技术规范</t>
  </si>
  <si>
    <t>T/CIEP 0201—2024</t>
  </si>
  <si>
    <t>液氢储存输送一体化运行规范</t>
  </si>
  <si>
    <t>T/GDC 321—2025</t>
  </si>
  <si>
    <t>进口燃料电池电动汽车能量消耗量试验方法</t>
  </si>
  <si>
    <t>T/CIECCPA 059—2025</t>
  </si>
  <si>
    <t>液态金属催化热裂解天然气制氢装置</t>
  </si>
  <si>
    <t>T/CAAMTB 235—2024</t>
  </si>
  <si>
    <t>内燃机用气道喷射氢燃料喷射器技术条件及试验方法</t>
  </si>
  <si>
    <t>广东省低碳发展促进会</t>
  </si>
  <si>
    <t>T/GDLC 024—2025</t>
  </si>
  <si>
    <t>温室气体 产品碳足迹 量化方法与要求 生物质热化学气化制氢</t>
  </si>
  <si>
    <t>T/GDC 322—2025</t>
  </si>
  <si>
    <t>进口电动汽车用燃料电池产品规格</t>
  </si>
  <si>
    <t>T/GDC 323—2025</t>
  </si>
  <si>
    <t>进口燃料电池电动大型车技术评价要求</t>
  </si>
  <si>
    <t>T/CATSI 02020—2025</t>
  </si>
  <si>
    <t>汽车用液氢气瓶</t>
  </si>
  <si>
    <t>T/CATSI 02021—2025</t>
  </si>
  <si>
    <t>液氢气瓶用截止阀</t>
  </si>
  <si>
    <t>T/CIET 978—2025</t>
  </si>
  <si>
    <t>燃料电池用钛双极板技术要求</t>
  </si>
  <si>
    <t>T/CIET 1021—2025</t>
  </si>
  <si>
    <t>氨燃料船舶加注站设计规范</t>
  </si>
  <si>
    <t>T/CITS 251—2025</t>
  </si>
  <si>
    <t>常温常压甲醇储氢技术要求</t>
  </si>
  <si>
    <t>T/CITS 244—2025</t>
  </si>
  <si>
    <t>电解制氢用氢气流量计的安全规范</t>
  </si>
  <si>
    <t>T/CITS 245—2025</t>
  </si>
  <si>
    <t>风光储氢一体化技术通则</t>
  </si>
  <si>
    <t>T/CITS 249—2025</t>
  </si>
  <si>
    <t>氢透平膨胀机</t>
  </si>
  <si>
    <t>T/CASMES 513—2025</t>
  </si>
  <si>
    <t>氢燃料电池用密封胶</t>
  </si>
  <si>
    <t>T/CASMES 514—2025</t>
  </si>
  <si>
    <t>水电解制氢电解槽用密封胶</t>
  </si>
  <si>
    <t>T/CITS 250—2025</t>
  </si>
  <si>
    <t>绿色船舶 甲醇燃料动力船舶能量管理系统技术规范</t>
  </si>
  <si>
    <t>T/SSEA 0435—2024</t>
  </si>
  <si>
    <t>液氢压力容器用奥氏体不锈钢无缝钢管</t>
  </si>
  <si>
    <t>T/CSTA 0119—2024</t>
  </si>
  <si>
    <t>T/CITS 238—2025</t>
  </si>
  <si>
    <t>低温液态储氢容器日蒸发率测试方法</t>
  </si>
  <si>
    <t>T/CITS 239—2025</t>
  </si>
  <si>
    <t>航运用生物质耦合绿氢制甲醇技术规范</t>
  </si>
  <si>
    <t>T/CITS 241—2025</t>
  </si>
  <si>
    <t>电解水制氢气液分离系统技术要求</t>
  </si>
  <si>
    <t>T/CITS 242—2025</t>
  </si>
  <si>
    <t>基于高温热解气化的垃圾制氢技术要求</t>
  </si>
  <si>
    <t>T/CITS 243—2025</t>
  </si>
  <si>
    <t>储氢瓶内胆用环氧树脂胶</t>
  </si>
  <si>
    <t>T/CITS 259—2025</t>
  </si>
  <si>
    <t>液氢增压泵性能试验方法</t>
  </si>
  <si>
    <t>T/CITS 264—2025</t>
  </si>
  <si>
    <t>天然气掺氢输送管道施工技术规范</t>
  </si>
  <si>
    <t>T/CCASC 0051—2024</t>
  </si>
  <si>
    <t>氯碱副产氢纯化技术规范</t>
  </si>
  <si>
    <t>T/CIEP 0411—2025</t>
  </si>
  <si>
    <t>低温液氢用管线阀门技术规范</t>
  </si>
  <si>
    <t>T/CIEP 0410—2025</t>
  </si>
  <si>
    <t>高压氢气用管线阀门技术规范</t>
  </si>
  <si>
    <t>T/CAPID 011—2025</t>
  </si>
  <si>
    <t>可再生甲醇</t>
  </si>
  <si>
    <t>T/CASME 1929—2025</t>
  </si>
  <si>
    <t>氢能燃料电池用复合石墨双极板性能测试方法</t>
  </si>
  <si>
    <t>T/CASME 1930—2025</t>
  </si>
  <si>
    <t>燃料电池用复合石墨双极板技术规范</t>
  </si>
  <si>
    <t>山东认证协会</t>
  </si>
  <si>
    <t>T/SDCA 2025—070</t>
  </si>
  <si>
    <t>泰山品质 氢气循环泵</t>
  </si>
  <si>
    <t>重庆市汽车摩托车运动协会</t>
  </si>
  <si>
    <t>T/CQAMSA 0008—2025</t>
  </si>
  <si>
    <t>氢能源汽车储氢系统安全性能评估与检测规范</t>
  </si>
  <si>
    <t>T/CI 853—2024</t>
  </si>
  <si>
    <t>车用高功率密度质子交换膜燃料电池堆技术规范</t>
  </si>
  <si>
    <t>T/CITS 291—2025</t>
  </si>
  <si>
    <t>通信基站用燃料电池</t>
  </si>
  <si>
    <t>T/CITS 310—2025</t>
  </si>
  <si>
    <t>质子交换膜燃料电池 气体扩散层</t>
  </si>
  <si>
    <t>T/CITS 309—2025</t>
  </si>
  <si>
    <t>风光储氢氨醇一体化碳排放集中供热技术要求</t>
  </si>
  <si>
    <t>T/CITS 277—2025</t>
  </si>
  <si>
    <t>低温液态储氢系统技术规范</t>
  </si>
  <si>
    <t>T/CITS 293—2025</t>
  </si>
  <si>
    <t>绿色船舶 氢燃料动力船舶能量管理系统技术规范</t>
  </si>
  <si>
    <t>T/CITS 278—2025</t>
  </si>
  <si>
    <t>船运绿色甲醇储存和运输技术规范</t>
  </si>
  <si>
    <t>T/CITS 279—2025</t>
  </si>
  <si>
    <t>船用绿色甲醇燃料加注设施技术规范</t>
  </si>
  <si>
    <t>T/CITS 282—2025</t>
  </si>
  <si>
    <t>船舶用氨燃料供应系统技术要求</t>
  </si>
  <si>
    <t>T/CITS 320—2025</t>
  </si>
  <si>
    <t>船用液态氨燃料加注操作规程</t>
  </si>
  <si>
    <t>T/CITS 295—2025</t>
  </si>
  <si>
    <t>海上直接电解制氢系统技术要求</t>
  </si>
  <si>
    <t>T/CITS 296—2025</t>
  </si>
  <si>
    <t>海上可再生能源无淡化海水直接制氢技术规范</t>
  </si>
  <si>
    <t>T/CITS 305—2025</t>
  </si>
  <si>
    <t>质子交换膜纯水电解制氢发生器</t>
  </si>
  <si>
    <t>T/CITS 311—2025</t>
  </si>
  <si>
    <t>氢燃料电池用柔性石墨双极板</t>
  </si>
  <si>
    <t>T/CITS 312—2025</t>
  </si>
  <si>
    <t>氢燃料电池用柔性石墨双极板特性测试方法</t>
  </si>
  <si>
    <t>T/ZHFCA 1017—2025</t>
  </si>
  <si>
    <t>汽车用液氢加氢口</t>
  </si>
  <si>
    <t>T/CI 907—2025</t>
  </si>
  <si>
    <t>重型卡车用燃料电池系统安全要求</t>
  </si>
  <si>
    <t>中国可再生能源学会</t>
  </si>
  <si>
    <t>T/CRES 0027—2025</t>
  </si>
  <si>
    <t>离网型风氢储系统通用要求</t>
  </si>
  <si>
    <t>T/CRES 0030—2025</t>
  </si>
  <si>
    <t>T/CRES 0031—2025</t>
  </si>
  <si>
    <t>水电解制氢装置用拉紧螺杆组件</t>
  </si>
  <si>
    <t>T/DZJN 406—2025</t>
  </si>
  <si>
    <t>加氢站</t>
  </si>
  <si>
    <t>T/DZJN 407—2025</t>
  </si>
  <si>
    <t>加氢站“领跑者行动”氢气压缩机性能评价规范</t>
  </si>
  <si>
    <t>T/CRES 0028—2025</t>
  </si>
  <si>
    <t>阴离子交换膜燃料电池 第一部分 阴离子交换膜性能测试方法</t>
  </si>
  <si>
    <t>T/CRES 0029—2025</t>
  </si>
  <si>
    <t>阴离子交换膜燃料电池 第三部分 膜电极性能测试方法</t>
  </si>
  <si>
    <t>T/ZHFCA 1018—2025</t>
  </si>
  <si>
    <t>车用燃料电池发动机倾斜及摇摆测试方法</t>
  </si>
  <si>
    <t>中国技术市场协会</t>
  </si>
  <si>
    <t>T/TMAC 132—2025</t>
  </si>
  <si>
    <t>水电解制氢阴离子交换膜</t>
  </si>
  <si>
    <t>T/SEESA 025—2025</t>
  </si>
  <si>
    <t>工业副产氢碳排放核算方法</t>
  </si>
  <si>
    <t>T/CASMES 517—2025</t>
  </si>
  <si>
    <t>碱性水电解制氢电解槽设计与自动化 技术要求</t>
  </si>
  <si>
    <t>T/CAB 0403—2025</t>
  </si>
  <si>
    <t>温室气体 产品碳足迹量化方法与评价 氢</t>
  </si>
  <si>
    <t>T/CQAMSA 0059—2025</t>
  </si>
  <si>
    <t>汽车氢燃料电池全时域服务、控制及大数据管理规范</t>
  </si>
  <si>
    <t>广东省测量控制技术与装备应用促进会</t>
  </si>
  <si>
    <t>T/GDCKCJH 109—2025</t>
  </si>
  <si>
    <t>氢燃料电池摩托车及轻便摩托车通用技术要求</t>
  </si>
  <si>
    <t>T/CIET 1116—2025</t>
  </si>
  <si>
    <t>氢冶金设备通用技术要求</t>
  </si>
  <si>
    <t>T/CIET 1159—2025</t>
  </si>
  <si>
    <t>氢能无人机飞行控制系统通用技术要求</t>
  </si>
  <si>
    <t>T/CI 959—2025</t>
  </si>
  <si>
    <t>储氢用钒合金</t>
  </si>
  <si>
    <t>T/CASME 1974—2025</t>
  </si>
  <si>
    <t>碱性电解水制氢用电极网产品性能测试方法</t>
  </si>
  <si>
    <t>水电解制氢膜用全氟磺酸树脂</t>
  </si>
  <si>
    <t>中国生产力学会</t>
  </si>
  <si>
    <t>T/CAPS 013—2025</t>
  </si>
  <si>
    <t>纯氢冶金直接还原用原料通用技术要求</t>
  </si>
  <si>
    <t>T/CAPS 014—2025</t>
  </si>
  <si>
    <t>氢基竖炉用氧化球团制备工艺技术规范</t>
  </si>
  <si>
    <t>中国特种设备安全与节能促进会</t>
  </si>
  <si>
    <t>T/CPASE G042—2025</t>
  </si>
  <si>
    <t>加氢站经济性评价导则</t>
  </si>
  <si>
    <t>T/CASME 1975—2025</t>
  </si>
  <si>
    <t>碱性电解水制氢用镍编织涂覆网技术要求</t>
  </si>
  <si>
    <t>T/CIET 1190—2025</t>
  </si>
  <si>
    <t>质子交换膜燃料电池 膜电极组件技术要求</t>
  </si>
  <si>
    <t>T/CIEP 0262—2025</t>
  </si>
  <si>
    <t>绿氢耦合煤化工减碳技术要求</t>
  </si>
  <si>
    <t>T/CIEP 0264—2025</t>
  </si>
  <si>
    <t>氢气压缩机产品技术规范</t>
  </si>
  <si>
    <t>T/DHFCA 4—2025</t>
  </si>
  <si>
    <t>氢燃料电池电动商用车运行规范</t>
  </si>
  <si>
    <t>T/DHFCA 3—2025</t>
  </si>
  <si>
    <t>机车用氢燃料电池系统安全应用指南</t>
  </si>
  <si>
    <t>T/DHFCA 5—2025</t>
  </si>
  <si>
    <t>船载氢气加注设施安全要求</t>
  </si>
  <si>
    <t>T/CITS 345—2025</t>
  </si>
  <si>
    <t>有机液体储氢系统技术规范</t>
  </si>
  <si>
    <t>T/CITS 346—2025</t>
  </si>
  <si>
    <t>一氧化碳/二氧化碳加氢合成绿色航煤组分技术要求</t>
  </si>
  <si>
    <t>T/CITS 339—2025</t>
  </si>
  <si>
    <t>有机液体储氢安全性能测试方法</t>
  </si>
  <si>
    <t>T/CITS 340—2025</t>
  </si>
  <si>
    <t>柔性输氢复合管道技术要求</t>
  </si>
  <si>
    <t>T/CIET 1243—2025</t>
  </si>
  <si>
    <t>无人机用氢燃料电池散热系统技术规范</t>
  </si>
  <si>
    <t>T/CIET 1244—2025</t>
  </si>
  <si>
    <t>氢能无人机用液氢储供系统技术规范</t>
  </si>
  <si>
    <t>T/CIET 1264—2025</t>
  </si>
  <si>
    <t>IGBT整流制氢电源技术规范</t>
  </si>
  <si>
    <t>T/CITS 365—2025</t>
  </si>
  <si>
    <t>车载液氢气瓶及其供氢系统技术规范</t>
  </si>
  <si>
    <t>T/CIET 1276—2025</t>
  </si>
  <si>
    <t>陶瓷行业氢燃料燃烧应用规范</t>
  </si>
  <si>
    <t>T/CIET 1300—2025</t>
  </si>
  <si>
    <t>氢燃料电池用催化剂活性检测规范</t>
  </si>
  <si>
    <t>山东省新能源产业协会</t>
  </si>
  <si>
    <t>T/SNEIA 11—2024</t>
  </si>
  <si>
    <t>橇装式液氢储氢加注系统技术规范</t>
  </si>
  <si>
    <t>T/CAS 851—2024</t>
  </si>
  <si>
    <t>氢气输送工业管道技术规程</t>
  </si>
  <si>
    <t>T/CAPS 022—2025</t>
  </si>
  <si>
    <t>固态储氢钛基合金粉体</t>
  </si>
  <si>
    <t>T/CAPS 026—2025</t>
  </si>
  <si>
    <t>绿色低碳产品评价规范 氢燃料电池</t>
  </si>
  <si>
    <t>T/DZJN 415—2025</t>
  </si>
  <si>
    <t>耦合可再生能源水电解制氢系统技术要求</t>
  </si>
  <si>
    <t>T/CITS 395—2025</t>
  </si>
  <si>
    <t>丙烷脱氢制丙烯单位产品能耗限额及计算方法</t>
  </si>
  <si>
    <t>T/CITS 398—2025</t>
  </si>
  <si>
    <t>车载液氢系统性能要求及测试规范</t>
  </si>
  <si>
    <t>T/CITS 408—2025</t>
  </si>
  <si>
    <t>丙烷脱氢工艺规范</t>
  </si>
  <si>
    <t>T/CITS 424—2025</t>
  </si>
  <si>
    <t>液态氨燃料运输安全管理规范</t>
  </si>
  <si>
    <t>T/CGMA 0413—2024</t>
  </si>
  <si>
    <t>氢气输送调节阀</t>
  </si>
  <si>
    <t>T/CAS 847—2024</t>
  </si>
  <si>
    <t>氢气输送管道完整性管理规范</t>
  </si>
  <si>
    <t>T/UNP 746—2025</t>
  </si>
  <si>
    <t>氢空燃料电池 燃料供给循环系统技术要求</t>
  </si>
  <si>
    <t>T/CCTAS 225—2025</t>
  </si>
  <si>
    <t>燃料电池汽车维修通用技术要求</t>
  </si>
  <si>
    <t>T/CPCIF 0412—2025</t>
  </si>
  <si>
    <t>丙烷脱氢行业绿色工厂评价要求</t>
  </si>
  <si>
    <t>T/DZJN 445—2025</t>
  </si>
  <si>
    <t>碱性水电解制氢电解槽关键零部件技术要求</t>
  </si>
  <si>
    <t>T/DZJN 447—2025</t>
  </si>
  <si>
    <t>水电解制氢碱性电解槽稳定性与寿命加速测试方法</t>
  </si>
  <si>
    <t>T/CITS 439—2025</t>
  </si>
  <si>
    <t>绿电制绿氢再制甲醇制备工艺及方法</t>
  </si>
  <si>
    <t>T/CITS 441—2025</t>
  </si>
  <si>
    <t>光解水制氢用二氧化钛催化剂</t>
  </si>
  <si>
    <t>T/CITS 446—2025</t>
  </si>
  <si>
    <t>水电解制氢电源安全要求</t>
  </si>
  <si>
    <t>T/CITS 458—2025</t>
  </si>
  <si>
    <t>天然气掺氢输送管道系统安全技术规范</t>
  </si>
  <si>
    <t>T/CITS 459—2025</t>
  </si>
  <si>
    <t>二氧化碳加氢合成可持续航空燃料技术规范</t>
  </si>
  <si>
    <t>T/CITS 457—2025</t>
  </si>
  <si>
    <t>氨燃气轮机技术要求</t>
  </si>
  <si>
    <t>T/CITS 468—2025</t>
  </si>
  <si>
    <t>燃煤机组掺氨燃烧技术导则</t>
  </si>
  <si>
    <t>T/CITS 469—2025</t>
  </si>
  <si>
    <t>燃煤机组掺烧绿氨安全操作规程</t>
  </si>
  <si>
    <t>T/CITS 470—2025</t>
  </si>
  <si>
    <t>燃煤机组掺烧绿氨发电技术规范</t>
  </si>
  <si>
    <t>T/CITS 440—2025</t>
  </si>
  <si>
    <t>生物质制甲醇技术规范</t>
  </si>
  <si>
    <t>T/CITS 460—2025</t>
  </si>
  <si>
    <t>生物基醇制可持续航空燃料技术指南</t>
  </si>
  <si>
    <t>T/CIEP 0268—2025</t>
  </si>
  <si>
    <t>甲醇氢能发电机组设备要求及技术规范</t>
  </si>
  <si>
    <t>T/CIEP 0266—2025</t>
  </si>
  <si>
    <t>绿氢耦合煤制甲醇技术规范</t>
  </si>
  <si>
    <t>T/CIEP 0267—2025</t>
  </si>
  <si>
    <t>生物质气化制绿色甲醇技术规范</t>
  </si>
  <si>
    <t>T/CRES 0037—2025</t>
  </si>
  <si>
    <t>平板式固体氧化物燃料电池 电池堆运行性能评价规范</t>
  </si>
  <si>
    <t>T/CRES 0039—2025</t>
  </si>
  <si>
    <t>质子交换膜燃料电池催化剂碳载体测试方法</t>
  </si>
  <si>
    <t>T/CRES 0038—2025</t>
  </si>
  <si>
    <t>平板式固体氧化物燃料电池电池堆通用技术要求与试验方法</t>
  </si>
  <si>
    <t>T/CRES 0040—2025</t>
  </si>
  <si>
    <t>碱性电解槽制氢电极性能测试方法</t>
  </si>
  <si>
    <t>T/CIET 1372—2025</t>
  </si>
  <si>
    <t>镁基储氢材料制备工艺技术要求</t>
  </si>
  <si>
    <t>T/CIET 1370—2025</t>
  </si>
  <si>
    <t>质子交换膜燃料电池用气体扩散层</t>
  </si>
  <si>
    <t>T/CI 876—2025</t>
  </si>
  <si>
    <t>质子交换膜燃料电池用炭纸</t>
  </si>
  <si>
    <t>T/ZHFCA 1020—2025</t>
  </si>
  <si>
    <t>固体氧化物电解池 电解水制氢系统性能测试方法</t>
  </si>
  <si>
    <t>T/SHJNXH 0022—2025</t>
  </si>
  <si>
    <t>金属储氢材料吸放氢循环稳定性试验方法</t>
  </si>
  <si>
    <t>国产学研合作促进会</t>
  </si>
  <si>
    <t>T/CAB 0416—2025</t>
  </si>
  <si>
    <t>企业温室气体排放核算与报告指南 制氢行业</t>
  </si>
  <si>
    <t>T/CAB 0417—2025</t>
  </si>
  <si>
    <t>低碳氢、清洁氢、可再生氢产销监管链指南</t>
  </si>
  <si>
    <t>中国商品学会</t>
  </si>
  <si>
    <t>T/CS 013—2025</t>
  </si>
  <si>
    <t>氢能燃烧系统燃烧器</t>
  </si>
  <si>
    <t>T/CAS 1026—2025</t>
  </si>
  <si>
    <t>制氢加氢一体站技术要求</t>
  </si>
  <si>
    <t>T/CIET 1421—2025</t>
  </si>
  <si>
    <t>氢气液化系统技术规范</t>
  </si>
  <si>
    <t>T/CIET 1424—2025</t>
  </si>
  <si>
    <t>固定式燃料电池热电联供系统</t>
  </si>
  <si>
    <t>T/CIET 1528—2025</t>
  </si>
  <si>
    <t>轨道交通 氢燃料电池混合动力系统安全要求</t>
  </si>
  <si>
    <t>T/CIET 1529—2025</t>
  </si>
  <si>
    <t>轨道交通 氢燃料电池混合动力系统低温性能测试评价方法</t>
  </si>
  <si>
    <t>T/CASME 2028—2025</t>
  </si>
  <si>
    <t>水电解制氢电解槽通用安全要求和试验方法</t>
  </si>
  <si>
    <t>T/CIET 1409—2025</t>
  </si>
  <si>
    <t>中重卡用氢燃料电池控制系统技术规范</t>
  </si>
  <si>
    <t>T/CIET 1425—2025</t>
  </si>
  <si>
    <t>风光电解水制氢智能调控系统技术规范</t>
  </si>
  <si>
    <t>T/TMAC 213—2025</t>
  </si>
  <si>
    <t>电解制氢隔膜用聚苯硫醚(PPS)纤维技术要求</t>
  </si>
  <si>
    <t>废止</t>
  </si>
  <si>
    <t>T/CIET 1408—2025</t>
  </si>
  <si>
    <t>温室气体 产品碳足迹量化方法与要求 合成氨</t>
  </si>
  <si>
    <t>T/CIET 1551—2025</t>
  </si>
  <si>
    <t>甲醇制氢加氢一体站技术规范</t>
  </si>
  <si>
    <t>T/CIET 1552—2025</t>
  </si>
  <si>
    <t>有机液态载体氢储运安全性要求</t>
  </si>
  <si>
    <t>T/CIET 1553—2025</t>
  </si>
  <si>
    <t>有机液态载体 储放氢技术规范</t>
  </si>
  <si>
    <t>T/CIET 1531—2025</t>
  </si>
  <si>
    <t>加氢站关键部件安全性能测试方法</t>
  </si>
  <si>
    <t>T/CIET 1566—2025</t>
  </si>
  <si>
    <t>固态储氢及氢电热联供一体化系统集成技术规范</t>
  </si>
  <si>
    <t>北京能源协会</t>
  </si>
  <si>
    <t>T/BJEA 0002—2025</t>
  </si>
  <si>
    <t>绿色甲醇</t>
  </si>
  <si>
    <t>中国机电产品流通协会</t>
  </si>
  <si>
    <t>T/CMEPCA 100—2025</t>
  </si>
  <si>
    <t>氢储运用特殊阀门技术要求</t>
  </si>
  <si>
    <t>T/CMEPCA 101—2025</t>
  </si>
  <si>
    <t>氢用低温阀门设计与制造导则</t>
  </si>
  <si>
    <t>T/CIET 1599—2025</t>
  </si>
  <si>
    <t>加氢站用氢气压缩机可靠性评价方法</t>
  </si>
  <si>
    <t>T/CIET 1621—2025</t>
  </si>
  <si>
    <t>甲醇制氢加氢一体站建设指南</t>
  </si>
  <si>
    <t>T/CIET 1634—2025</t>
  </si>
  <si>
    <t>掺氢天然气输送用钢制（L360）感应加热弯管</t>
  </si>
  <si>
    <t>T/CIET 1635—2025</t>
  </si>
  <si>
    <t>掺氢天然气输送用钢制（L360）对焊管件技术规范</t>
  </si>
  <si>
    <t>T/CIET 1636—2025</t>
  </si>
  <si>
    <t>输氢管线钢的断裂韧性评价方法</t>
  </si>
  <si>
    <t>中国石油学会</t>
  </si>
  <si>
    <t>T/CPSI 01307.2—2025</t>
  </si>
  <si>
    <t>输氢用非金属复合管 第2部分：玻璃钢复合管</t>
  </si>
  <si>
    <t>T/CPSI 01307.1—2025</t>
  </si>
  <si>
    <t>输氢用非金属复合管 第1部分：柔性复合管</t>
  </si>
  <si>
    <t>T/CES 323—2024</t>
  </si>
  <si>
    <t>氢电耦合综合能源站设备验收规范</t>
  </si>
  <si>
    <t>T/CES 324—2024</t>
  </si>
  <si>
    <t>氢电耦合综合能源站运行维护安全操作导则</t>
  </si>
  <si>
    <t>T/SAPIA 001—2025</t>
  </si>
  <si>
    <t>燃料电池石墨双极板特性测试方法</t>
  </si>
  <si>
    <t>T/SHJX 063—2025</t>
  </si>
  <si>
    <t>T/CIET 1667—2025</t>
  </si>
  <si>
    <t>轨道交通车载燃料电池堆寿命测试评价方法</t>
  </si>
  <si>
    <t>T/CIET 1666—2025</t>
  </si>
  <si>
    <t>轨道交通 液态储氢系统技术条件</t>
  </si>
  <si>
    <t>辽宁省环境监测协会</t>
  </si>
  <si>
    <t>T/LNEMA 032—2025</t>
  </si>
  <si>
    <t>温室气体 产品碳足迹量化方法与要求 典型工艺制氢</t>
  </si>
  <si>
    <t>T/CIEP 0272—2025</t>
  </si>
  <si>
    <t>风光储绿电耦合电解槽制氢技术规范</t>
  </si>
  <si>
    <t>T/CIEP 0269—2025</t>
  </si>
  <si>
    <t>风光制绿氢合成氨一体化技术规范</t>
  </si>
  <si>
    <t>T/CPCIF 0450—2025</t>
  </si>
  <si>
    <t>整体多层包扎储氢容器</t>
  </si>
  <si>
    <t>T/BJQC 202401—2025</t>
  </si>
  <si>
    <t>液氢燃料电池电动商用车 车载液氢系统</t>
  </si>
  <si>
    <t>T/CI 1151—2025</t>
  </si>
  <si>
    <t>燃料电池发动机用氢气共轨系统</t>
  </si>
  <si>
    <t>T/CAPS 045—2025</t>
  </si>
  <si>
    <t>氢基竖炉用焦炉煤气净化改质工艺技术规范</t>
  </si>
  <si>
    <t>T/CAPS 046—2025</t>
  </si>
  <si>
    <t>氢基竖炉用原料气技术要求及使用规范</t>
  </si>
  <si>
    <t>T/CAPID 012—2025</t>
  </si>
  <si>
    <t>水电解制氢的电力电子系统 通用技术条件</t>
  </si>
  <si>
    <t>T/CAPID 013—2025</t>
  </si>
  <si>
    <t>水电解制氢用多脉波晶闸管整流器</t>
  </si>
  <si>
    <t>中国质量检验协会</t>
  </si>
  <si>
    <t>T/CAQI 438—2025</t>
  </si>
  <si>
    <t>水电解制氢系统能效等级评价</t>
  </si>
  <si>
    <t>T/CAQI 439—2025</t>
  </si>
  <si>
    <t>水电解制氢站氢气储存和运输安全规范</t>
  </si>
  <si>
    <t>T/CES 346—2025</t>
  </si>
  <si>
    <t>质子交换膜燃料电池双极板耐久性试验方法</t>
  </si>
  <si>
    <t>T/CES 351—2025</t>
  </si>
  <si>
    <t>分布式制储发氢储能综合能源站集控系统监控与通信技术要求</t>
  </si>
  <si>
    <t>中国国际贸易促进委员会商业行业委员会</t>
  </si>
  <si>
    <t>T/CCPITCSC 178—2025</t>
  </si>
  <si>
    <t>面向碳足迹的氢能源成本核算指南</t>
  </si>
  <si>
    <t>T/CI 933—2025</t>
  </si>
  <si>
    <t>氢气长输管道线路用管设计技术规范</t>
  </si>
  <si>
    <t>T/CECA-G 0365—2025</t>
  </si>
  <si>
    <t>氢液化装置能效评价技术规范</t>
  </si>
  <si>
    <t>T/CECA-G 0366—2025</t>
  </si>
  <si>
    <t>碱性水电解制氢复合隔膜技术规范</t>
  </si>
  <si>
    <t>T/CITS 509—2025</t>
  </si>
  <si>
    <t>燃煤机组掺烧绿氨发电经济性评估指南</t>
  </si>
  <si>
    <t>T/CITS 576—2025</t>
  </si>
  <si>
    <t>燃煤锅炉氨煤混燃技术要求</t>
  </si>
  <si>
    <t>T/CEC 1204—2025</t>
  </si>
  <si>
    <t>有机液体储氢载体</t>
  </si>
  <si>
    <t>中国制冷学会</t>
  </si>
  <si>
    <t>T/CAR 25—2025</t>
  </si>
  <si>
    <t>质子交换膜燃料电池余热回收系统性能试验方法</t>
  </si>
  <si>
    <t>T/CCTAS 258—2025</t>
  </si>
  <si>
    <t>氢燃料电池混合动力机车整备技术要求</t>
  </si>
  <si>
    <t>T/CCTAS 259—2025</t>
  </si>
  <si>
    <t>氢燃料电池混合动力机车运用技术要求</t>
  </si>
  <si>
    <t>T/CCTAS 260—2025</t>
  </si>
  <si>
    <t>氢燃料电池混合动力机车检修技术要求</t>
  </si>
  <si>
    <t>T/CAPID 014—2025</t>
  </si>
  <si>
    <t>水电解制氢工程联合调试方案编制规程</t>
  </si>
  <si>
    <t>T/ZHFCA 1021—2025</t>
  </si>
  <si>
    <t>电-氢-氨系统风险评估与故障诊断方法</t>
  </si>
  <si>
    <t>T/CAPID 015—2025</t>
  </si>
  <si>
    <t>新能源水电解制氢工程设计规范</t>
  </si>
  <si>
    <t>T/CIEP 0277—2025</t>
  </si>
  <si>
    <t>氢燃料电池发动机技术规范</t>
  </si>
  <si>
    <t>中国化学与物理电源行业协会</t>
  </si>
  <si>
    <t>T/CIAPS 0045—2025</t>
  </si>
  <si>
    <t>氢泄漏可视化试验方法</t>
  </si>
  <si>
    <t>T/CIEP 0275—2025</t>
  </si>
  <si>
    <t>生物质合成气制绿氢技术规范</t>
  </si>
  <si>
    <t>T/CIEP 0276—2025</t>
  </si>
  <si>
    <t>新能源制氢耦合煤化工项目制氢站运行管理规范</t>
  </si>
  <si>
    <t>T/ZSA 313—2025</t>
  </si>
  <si>
    <t>氢气充装用往复活塞式压缩机</t>
  </si>
  <si>
    <t>T/CISA 540—2025</t>
  </si>
  <si>
    <t>烧结料面喷吹富氢燃气技术设计规范</t>
  </si>
  <si>
    <t>T/CISA 482—2024</t>
  </si>
  <si>
    <t>高炉喷吹富氢燃气技术设计规范</t>
  </si>
  <si>
    <t>T/CASME 2043—2025</t>
  </si>
  <si>
    <t>质子交换膜燃料电池堆气密性测试方法</t>
  </si>
  <si>
    <t>T/CASME 2044—2025</t>
  </si>
  <si>
    <t>质子交换膜燃料电池堆气密性检测仪</t>
  </si>
  <si>
    <t>中关村新兴科技服务业产业联盟</t>
  </si>
  <si>
    <t>T/STSI 56—2025</t>
  </si>
  <si>
    <t>PEM电解水制氢用催化剂选型规范</t>
  </si>
  <si>
    <t>中国长城绿化促进会</t>
  </si>
  <si>
    <t>T/LCH 072—2025</t>
  </si>
  <si>
    <t>《海岛加氢站绿色运营管理规范》</t>
  </si>
  <si>
    <t>T/CI 1063—2025</t>
  </si>
  <si>
    <t>氢气长输管道管材评价规程</t>
  </si>
  <si>
    <t>T/CI 1159—2025</t>
  </si>
  <si>
    <t>燃料电池金属双极板表面涂层技术测试</t>
  </si>
  <si>
    <t>T/SHPTA 151—2025</t>
  </si>
  <si>
    <t>输氢用非金属柔性管道材料适用性评价方法</t>
  </si>
  <si>
    <t>T/ZHFCA 1022—2025</t>
  </si>
  <si>
    <t>加氢站安全风险评估方法</t>
  </si>
  <si>
    <t>T/CSTA 0159—2025</t>
  </si>
  <si>
    <t>液氢压力容器用不锈钢钢板和钢带</t>
  </si>
  <si>
    <t>T/ZZB 3881—2024</t>
  </si>
  <si>
    <t>质子交换膜燃料电池备用电源系统</t>
  </si>
  <si>
    <t>T/CASME 2083—2025</t>
  </si>
  <si>
    <t>AEM水电解制氢系统能效评价指标及试验方法</t>
  </si>
  <si>
    <t>常州市工业互联网产业协会</t>
  </si>
  <si>
    <t>T/CZII 100—2025</t>
  </si>
  <si>
    <t>高密度液氢储运用低温容器技术要求</t>
  </si>
  <si>
    <t>中国汽车改装用品协会</t>
  </si>
  <si>
    <t>T/CAMAA 037—2025</t>
  </si>
  <si>
    <t>燃料电池重卡 车载液氢储供系统改装安全技术规范</t>
  </si>
  <si>
    <t>T/CAMAA 038—2025</t>
  </si>
  <si>
    <t>燃料电池重卡 车载液氢储供系统设计、改装技术规范</t>
  </si>
  <si>
    <t>T/CI 1064—2025</t>
  </si>
  <si>
    <t>输氢管道完整性与寿命评估技术规范</t>
  </si>
  <si>
    <t>T/CI 1035—2025</t>
  </si>
  <si>
    <t>氢气/掺氢管道计量系统技术要求</t>
  </si>
  <si>
    <t>T/CCGA 40018—2025</t>
  </si>
  <si>
    <t>液氢运输应急处置导则</t>
  </si>
  <si>
    <t>T/CCGA 40014—2025</t>
  </si>
  <si>
    <t>氢燃料电池工业车辆用可拆卸式储氢系统技术条件</t>
  </si>
  <si>
    <t>T/CCGA 40015—2025</t>
  </si>
  <si>
    <t>可拆卸式储氢瓶加注技术要求</t>
  </si>
  <si>
    <t>T/CCGA 40017—2025</t>
  </si>
  <si>
    <t>液氢装卸安全技术要求</t>
  </si>
  <si>
    <t>江苏省储能行业协会</t>
  </si>
  <si>
    <t>T/JSCN 004—2025</t>
  </si>
  <si>
    <t>氢-热-电协同的零能耗建筑供能系统设计规范</t>
  </si>
  <si>
    <t>T/CASME 2103—2025</t>
  </si>
  <si>
    <t>质子交换膜燃料电池膜电极跨温区测试方法</t>
  </si>
  <si>
    <t>T/DHFCA 9—2025</t>
  </si>
  <si>
    <t>输氢管道安全技术规范</t>
  </si>
  <si>
    <t>T/CI 1305—2025</t>
  </si>
  <si>
    <t>涉氢防护方法技术规程</t>
  </si>
  <si>
    <t>T/DHFCA 8—2025</t>
  </si>
  <si>
    <t>氢燃料电池车辆高速公路运行管理规范</t>
  </si>
  <si>
    <t>T/DHFCA 10—2025</t>
  </si>
  <si>
    <t>氢气发动机出厂试验技术要求</t>
  </si>
  <si>
    <t>T/DHFCA 7—2025</t>
  </si>
  <si>
    <t>氢能船舶加氢过程安全管理规范</t>
  </si>
  <si>
    <t>T/GZHE 0003—2025</t>
  </si>
  <si>
    <t>燃料电池电动汽车可移动式压缩氢气储供氢系统技术要求</t>
  </si>
  <si>
    <t>T/GZHE 0004—2025</t>
  </si>
  <si>
    <t>燃料电池动力船舶可移动式储供氢系统技术要求</t>
  </si>
  <si>
    <t>T/CSRE 9001—2025</t>
  </si>
  <si>
    <t>氢能叉车安全技术规范</t>
  </si>
  <si>
    <t>T/CSRE 9002—2025</t>
  </si>
  <si>
    <t>低压固态储氢瓶加注系统</t>
  </si>
  <si>
    <t>T/CSRE 9003—2025</t>
  </si>
  <si>
    <t>低压固态储氢瓶测试方法</t>
  </si>
  <si>
    <t>T/DHFCA 11—2025</t>
  </si>
  <si>
    <t>燃料电池电流密度分布特性测试方法</t>
  </si>
  <si>
    <t>T/CES 377—2025</t>
  </si>
  <si>
    <t>新能源场站碱性电解水制氢系统技术规范</t>
  </si>
  <si>
    <t>T/CES 382—2025</t>
  </si>
  <si>
    <t>高比例新能源电网中质子交换膜水电解制氢典型工况</t>
  </si>
  <si>
    <t>北京市工业合作协会</t>
  </si>
  <si>
    <t>T/BICA 037—2025</t>
  </si>
  <si>
    <t>氢燃料船舶储氢供氢系统技术要求</t>
  </si>
  <si>
    <t>T/BJQC 202303—2025</t>
  </si>
  <si>
    <t>燃料电池发动机用消声器技术条件</t>
  </si>
  <si>
    <t>T/BJQC 202304—2025</t>
  </si>
  <si>
    <t>燃料电池电动汽车用高压电子风扇技术条件</t>
  </si>
  <si>
    <t>T/HNJX 0021—2025</t>
  </si>
  <si>
    <t>T/CSTM 01174—2026</t>
  </si>
  <si>
    <t>土壤腐蚀和氢耦合作用下管线钢慢应变速率拉伸试验</t>
  </si>
  <si>
    <t>T/ZHFCA 1023—2025</t>
  </si>
  <si>
    <t>燃料电池电动汽车氢传感器布置试验方法</t>
  </si>
  <si>
    <t>T/ZHFCA 1024—2025</t>
  </si>
  <si>
    <t>加氢站泄漏风险评估导则</t>
  </si>
  <si>
    <t>T/NMSP 38—2025</t>
  </si>
  <si>
    <t>低碳产品评价方法与要求 质子交换膜氢燃料电池</t>
  </si>
  <si>
    <t>T/NMSP 39—2025</t>
  </si>
  <si>
    <t>温室气体排放核算和报告要求 质子交换膜氢燃料电池生产企业</t>
  </si>
  <si>
    <t>T/NMSP 40—2025</t>
  </si>
  <si>
    <t>温室气体 产品碳足迹量化方法与要求 质子交换膜氢燃料电池</t>
  </si>
  <si>
    <t>T/CASME 2116—2025</t>
  </si>
  <si>
    <t>常压型水电解制氢系统技术规范</t>
  </si>
  <si>
    <t>T/ZS 0793—2026</t>
  </si>
  <si>
    <t>氢燃料电池中重型货车运营管理规范</t>
  </si>
  <si>
    <t>T/CSEE 0473—2024</t>
  </si>
  <si>
    <t>波动运行碱性水电解制氢系统技术要求</t>
  </si>
  <si>
    <t>T/CSEE 0474—2024</t>
  </si>
  <si>
    <t>电解水制氢系统运行维护规程</t>
  </si>
  <si>
    <t>国电机工程学会</t>
  </si>
  <si>
    <t>T/CSEE 0478—2024</t>
  </si>
  <si>
    <t>多旋翼氢能电力巡检无人机使用导则</t>
  </si>
  <si>
    <t>T/CI 1304—2025</t>
  </si>
  <si>
    <t>氢气泄漏监测预警和应急处置技术规程</t>
  </si>
  <si>
    <t>T/TMAC 324—2026</t>
  </si>
  <si>
    <t>无人机用氢燃料电池电堆技术规范</t>
  </si>
  <si>
    <t>T/CPCIF 0455—2025</t>
  </si>
  <si>
    <t>氢气管束车道路运输与充卸作业规程</t>
  </si>
  <si>
    <t>T/TMAC 318—2026</t>
  </si>
  <si>
    <t>氢燃料电池无人机低温冷启动性能测试方法</t>
  </si>
  <si>
    <t>T/TMAC 317—2026</t>
  </si>
  <si>
    <t>氢能无人机用燃料电池系统技术规范</t>
  </si>
  <si>
    <t>T/CAAMTB 312—2025</t>
  </si>
  <si>
    <t>《车用氢喷射器》</t>
  </si>
  <si>
    <t>T/CAAMTB 313—2025</t>
  </si>
  <si>
    <t>《车用燃料电池氢气循环泵》</t>
  </si>
  <si>
    <t>T/CAAMTB 314—2025</t>
  </si>
  <si>
    <t>《车用燃料电池氢气流量控制阀组》</t>
  </si>
  <si>
    <t>T/CAAMTB 306—2025</t>
  </si>
  <si>
    <t>《燃料电池电动汽车灾害事故应急救援指南》</t>
  </si>
  <si>
    <t>山东电子商会</t>
  </si>
  <si>
    <t>T/SDECC 004—2025</t>
  </si>
  <si>
    <t>氢能数据智能管控平台 参考架构</t>
  </si>
  <si>
    <t>T/SDECC 005—2025</t>
  </si>
  <si>
    <t>氢能产业链数据应用与管理 数据结构</t>
  </si>
  <si>
    <t>T/SDECC 006—2025</t>
  </si>
  <si>
    <t>氢能服务区数据采集规范</t>
  </si>
  <si>
    <t>T/CI 1020—2025</t>
  </si>
  <si>
    <t>输氢管道泄漏检测导则</t>
  </si>
  <si>
    <t>T/CAS 1157—2025</t>
  </si>
  <si>
    <t>氢能电动自行车</t>
  </si>
  <si>
    <t>中国船舶工业行业协会</t>
  </si>
  <si>
    <t>T/CANSI 12004—2026</t>
  </si>
  <si>
    <t>船用柴油氨双燃料发动机通用技术条件</t>
  </si>
  <si>
    <t>浙江省船舶行业协会</t>
  </si>
  <si>
    <t>T/ZJSHIP 013—2026</t>
  </si>
  <si>
    <t>船用甲醇燃料管路氮气清扫作业技术规范</t>
  </si>
  <si>
    <t>T/HBAS 257—2025</t>
  </si>
  <si>
    <t>长时发电用质子交换膜燃料电池系统寿命测试方法</t>
  </si>
  <si>
    <t>T/HBAS 256—2025</t>
  </si>
  <si>
    <t>长时发电用质子交换膜燃料电池堆寿命测试方法</t>
  </si>
  <si>
    <t>中国造船工程学会</t>
  </si>
  <si>
    <t>T/CSNAME 168—2026</t>
  </si>
  <si>
    <t>氨燃料船氨燃料供应及辅助系统运维技术要求</t>
  </si>
  <si>
    <t>T/CICEIA /CAMS131—2026</t>
  </si>
  <si>
    <t>低碳产品评价技术规范 甲醇燃料内燃机</t>
  </si>
  <si>
    <t>T/CICEIA /CAMS130—2026</t>
  </si>
  <si>
    <t>低碳产品评价技术规范 氢燃料内燃机</t>
  </si>
  <si>
    <t>T/BICA 074—2026</t>
  </si>
  <si>
    <t>大容积高压气态储氢球罐</t>
  </si>
  <si>
    <t>T/CSTM 01175—2026</t>
  </si>
  <si>
    <t>充氢管道材料断裂韧性 慢应变速率加载法</t>
  </si>
  <si>
    <t>T/CI 1088—2025</t>
  </si>
  <si>
    <t>输氢管道仪表及计算机控制系统设计规范</t>
  </si>
  <si>
    <t>T/DHFCA 6—2026</t>
  </si>
  <si>
    <t>分布式燃料电池电站运行技术要求</t>
  </si>
  <si>
    <t>宁夏机械工程学会</t>
  </si>
  <si>
    <t>T/NXJX 086—2025</t>
  </si>
  <si>
    <t>天然气掺氢管道定期检验规则</t>
  </si>
  <si>
    <t>T/CMEPCA 149—2026</t>
  </si>
  <si>
    <t>氢燃料分布式发电系统建设要求</t>
  </si>
  <si>
    <t>T/CIEP 0214—2026</t>
  </si>
  <si>
    <t>瓶组式集装箱运氢装备设计制造规范</t>
  </si>
  <si>
    <t>T/CAS 1176—2026</t>
  </si>
  <si>
    <t>塑料及橡胶材料氢气渗透性试验方法压差法</t>
  </si>
  <si>
    <t>T/CIEP 0200—2026</t>
  </si>
  <si>
    <t>氢氦两用储运装备技术要求</t>
  </si>
  <si>
    <t>术语</t>
  </si>
  <si>
    <t>T/CIEP 0220—2026</t>
  </si>
  <si>
    <t>氢能大数据分级分类指南</t>
  </si>
  <si>
    <t>图形符号</t>
  </si>
  <si>
    <t>T/CIEP 0221—2026</t>
  </si>
  <si>
    <t>氢能数据安全可信管理规范</t>
  </si>
  <si>
    <t>T/JNM 0002—2026</t>
  </si>
  <si>
    <t>宽范围电解水制氢系统现场测试方法</t>
  </si>
  <si>
    <t>T/JNM 0003—2026</t>
  </si>
  <si>
    <t>氢气中氨气、甲醛的测定 氦离子化气相色谱法</t>
  </si>
  <si>
    <t>T/DHFCA 4—2026</t>
  </si>
  <si>
    <t>河南省仪器仪表行业协会</t>
  </si>
  <si>
    <t>T/HNIA 008—2025</t>
  </si>
  <si>
    <t>燃料电池堆气体痕量泄漏测试方法</t>
  </si>
  <si>
    <t>T/CEEIA 894—2025</t>
  </si>
  <si>
    <t>乘用车用燃料电池系统耐久性试验方法</t>
  </si>
  <si>
    <t>中国电力规划设计协会</t>
  </si>
  <si>
    <t>T/CEPPEA 5086—2025</t>
  </si>
  <si>
    <t>分布式氢燃料电池储能电站设计规范</t>
  </si>
  <si>
    <t>T/CEPPEA 5087—2025</t>
  </si>
  <si>
    <t>分布式氢燃料电池储能电站接入电网技术规范</t>
  </si>
  <si>
    <t>T/CEPPEA 5067—2025</t>
  </si>
  <si>
    <t>可再生能源水电解制氢一体化工程 可行性研究报告内容深度规定</t>
  </si>
  <si>
    <t>T/TMAC 345—2026</t>
  </si>
  <si>
    <t>电动垂直起降(eVTOL)无人机用氢燃料电池技术要求</t>
  </si>
  <si>
    <t>T/CAPS 087—2026</t>
  </si>
  <si>
    <t>钒钛磁铁矿纯氢直接还原技术规范</t>
  </si>
  <si>
    <t>T/CAPS 088—2026</t>
  </si>
  <si>
    <t>氧化铝赤泥纯氢还原法提取有价金属铁技术规范</t>
  </si>
  <si>
    <t>T/CAPS 092—2026</t>
  </si>
  <si>
    <t>红土镍矿纯氢直接还原技术规范</t>
  </si>
  <si>
    <t>T/CAPS 093—2026</t>
  </si>
  <si>
    <t>铜冶炼渣纯氢还原法提取有价金属铁技术规范</t>
  </si>
  <si>
    <t>T/CEPPEA 5088—2026</t>
  </si>
  <si>
    <t>加氢站可行性研究报告内容深度规定</t>
  </si>
  <si>
    <t>T/CEPPEA 5089—2026</t>
  </si>
  <si>
    <t>加氢加油充电综合加能站设计规范</t>
  </si>
  <si>
    <t>T/CSRE 9004—2026</t>
  </si>
  <si>
    <t>氢能叉车技术要求</t>
  </si>
  <si>
    <t>T/CSRE 9005—2026</t>
  </si>
  <si>
    <t>固态储氢加氢站安全技术规范</t>
  </si>
  <si>
    <t>T/CSRE 9006—2026</t>
  </si>
  <si>
    <t>低压固态储氢瓶技术规范</t>
  </si>
  <si>
    <t>T/CSRE 9007—2026</t>
  </si>
  <si>
    <t>低压固态储氢瓶加注技术规范</t>
  </si>
  <si>
    <t>T/CSRE 9008—2026</t>
  </si>
  <si>
    <t>两轮车用低压固态储氢瓶</t>
  </si>
  <si>
    <t>T/CSRE 9009—2026</t>
  </si>
  <si>
    <t>稀土储氢合金安全生产规范</t>
  </si>
  <si>
    <t>T/BICA 120—2026</t>
  </si>
  <si>
    <t>柔性输氢管道用热塑性复合管(TCP)材料技术规范</t>
  </si>
  <si>
    <t>河北省经济技术协作促进会</t>
  </si>
  <si>
    <t>T/HBECP 0010—2026</t>
  </si>
  <si>
    <t>燃氢燃气轮机技术要求</t>
  </si>
  <si>
    <t>T/BICA 138—2026</t>
  </si>
  <si>
    <t>氢能叉车控制系统</t>
  </si>
  <si>
    <t>T/CIEP 0223—2026</t>
  </si>
  <si>
    <t>天然氢勘查大地电磁测深法应用技术指南</t>
  </si>
  <si>
    <t>T/CIEP 0222—2026</t>
  </si>
  <si>
    <t>天然氢勘查重力方法应用技术指南</t>
  </si>
  <si>
    <t>中国欧洲经济技术合作协会</t>
  </si>
  <si>
    <t>T/CEATEC 181—2026</t>
  </si>
  <si>
    <t>碳钢复合输氢管道抗氢渗透技术规范</t>
  </si>
  <si>
    <t>T/CEATEC 180—2026</t>
  </si>
  <si>
    <t>高压碳钢复合输氢管道材料技术规范</t>
  </si>
  <si>
    <t>T/CIEP 0237—2026</t>
  </si>
  <si>
    <t>氢能两轮车设计与检测技术规范</t>
  </si>
  <si>
    <t>T/TMAC 403—2026</t>
  </si>
  <si>
    <t>无人机用氢燃料电池能效等级评价</t>
  </si>
  <si>
    <t>全国团体标准信息平台 - 标准详情</t>
  </si>
  <si>
    <t>T/CIEP 0234—2026</t>
  </si>
  <si>
    <t>分布式制氢装备技术要求</t>
  </si>
  <si>
    <t>标准号</t>
  </si>
  <si>
    <t>第一单位</t>
  </si>
  <si>
    <t>注册地</t>
  </si>
  <si>
    <t>第二单位</t>
  </si>
  <si>
    <t>第三单位</t>
  </si>
  <si>
    <t>省市区</t>
  </si>
  <si>
    <t>批准日期</t>
  </si>
  <si>
    <t>实施日期</t>
  </si>
  <si>
    <t>备案号</t>
  </si>
  <si>
    <t>备案日期</t>
  </si>
  <si>
    <t>DB35/T 944-2009</t>
  </si>
  <si>
    <t>纯氢、高纯氢、超纯氢中杂质含量的测定 氦放电离子化气相色谱法</t>
  </si>
  <si>
    <t>福建省燃气具质量监督检验站</t>
  </si>
  <si>
    <t>福建</t>
  </si>
  <si>
    <t>福建省</t>
  </si>
  <si>
    <t>26464-2010</t>
  </si>
  <si>
    <t>DB44/T 1485-2014</t>
  </si>
  <si>
    <t>燃料电池电动汽车能量消耗量试验方法</t>
  </si>
  <si>
    <t>广州汽车集团客车有限公司</t>
  </si>
  <si>
    <t>广东</t>
  </si>
  <si>
    <t>清华大学</t>
  </si>
  <si>
    <t>北京</t>
  </si>
  <si>
    <t>北京亿华通科技有限公司</t>
  </si>
  <si>
    <t>广东省</t>
  </si>
  <si>
    <t>46789-2015</t>
  </si>
  <si>
    <t>DB13/T 5156-2019</t>
  </si>
  <si>
    <t>氢燃料电池混合动力100%低地板有轨电车设计规范</t>
  </si>
  <si>
    <t>中车唐山机车车辆有限公司</t>
  </si>
  <si>
    <t>河北</t>
  </si>
  <si>
    <t>唐山学院</t>
  </si>
  <si>
    <t>河北省</t>
  </si>
  <si>
    <t>70709-2020</t>
  </si>
  <si>
    <t>DB37/T 4060-2020</t>
  </si>
  <si>
    <t>潍柴动力股份有限公司</t>
  </si>
  <si>
    <t>山东</t>
  </si>
  <si>
    <t>齐鲁交通发展集团有限公司</t>
  </si>
  <si>
    <t>中国重型汽车集团有限公司</t>
  </si>
  <si>
    <t>山东省</t>
  </si>
  <si>
    <t>73646-2020</t>
  </si>
  <si>
    <t>DB37/T 4073-2020</t>
  </si>
  <si>
    <t>车用加氢站运营管理规范</t>
  </si>
  <si>
    <t>兖矿集团有限公司</t>
  </si>
  <si>
    <t>山东国惠投资有限公司</t>
  </si>
  <si>
    <t>73900-2020</t>
  </si>
  <si>
    <t>DB37/T 4096-2020</t>
  </si>
  <si>
    <t>车载氢系统气密性检测和置换技术要求</t>
  </si>
  <si>
    <t>山东省特种设备检验研究院有限公司</t>
  </si>
  <si>
    <t>74057-2020</t>
  </si>
  <si>
    <t>DB37/T 4095-2020</t>
  </si>
  <si>
    <t>车载氢系统安装技术要求</t>
  </si>
  <si>
    <t>中通客车控股股份有限公司</t>
  </si>
  <si>
    <t>74056-2020</t>
  </si>
  <si>
    <t>DB37/T 4100-2020</t>
  </si>
  <si>
    <t>质子交换膜燃料电池冷却液技术要求</t>
  </si>
  <si>
    <t>74061-2020</t>
  </si>
  <si>
    <t>DB37/T 4099-2020</t>
  </si>
  <si>
    <t>质子交换膜燃料电池发动机故障分类、远程诊断及处理方法</t>
  </si>
  <si>
    <t>中国汽车技术研究中心有限公司</t>
  </si>
  <si>
    <t>天津</t>
  </si>
  <si>
    <t>74060-2020</t>
  </si>
  <si>
    <t>DB37/T 4098-2020</t>
  </si>
  <si>
    <t>质子交换膜燃料电池发动机安全性技术要求</t>
  </si>
  <si>
    <t>74059-2020</t>
  </si>
  <si>
    <t>DB37/T 4097-2020</t>
  </si>
  <si>
    <t>商用车用质子交换膜燃料电池堆耐久性测评方法</t>
  </si>
  <si>
    <t>潍柴（潍坊）新能源科技有限公司</t>
  </si>
  <si>
    <t>74058-2020</t>
  </si>
  <si>
    <t>DB31/T 1282-2021</t>
  </si>
  <si>
    <t>车用气瓶氢气充装安全技术条件</t>
  </si>
  <si>
    <t>上海市气体工业协会</t>
  </si>
  <si>
    <t>上海</t>
  </si>
  <si>
    <t>液化空气（中国）投资有限公司</t>
  </si>
  <si>
    <t>空气化工产品气体生产（上海）有限公司</t>
  </si>
  <si>
    <t>上海市</t>
  </si>
  <si>
    <t>80707-2021</t>
  </si>
  <si>
    <t>DB31/T 1313-2021</t>
  </si>
  <si>
    <t>燃料电池汽车及加氢站公共数据采集规范</t>
  </si>
  <si>
    <t>上海机动车检测认证技术研究中心有限公司</t>
  </si>
  <si>
    <t>上海市新能源汽车公共数据采集与监测研究中心</t>
  </si>
  <si>
    <t>上海捷氢科技有限公司</t>
  </si>
  <si>
    <t>84231-2021</t>
  </si>
  <si>
    <t>DB37/T 4449-2021</t>
  </si>
  <si>
    <t>加氢站氢气取样安全技术规范</t>
  </si>
  <si>
    <t>85391-2021</t>
  </si>
  <si>
    <t>DB21/T 3637-2022</t>
  </si>
  <si>
    <t>车用压缩氢气铝内胆碳纤维全缠绕气瓶定期检验与评定</t>
  </si>
  <si>
    <t>大连锅炉压力容器检验检测研究院有限公司</t>
  </si>
  <si>
    <t>辽宁</t>
  </si>
  <si>
    <t>佛吉亚斯林达安全科技（沈阳）有限公司</t>
  </si>
  <si>
    <t>大连理工大学</t>
  </si>
  <si>
    <t>辽宁省</t>
  </si>
  <si>
    <t>93152-2022</t>
  </si>
  <si>
    <t>DB41/T 2347-2022</t>
  </si>
  <si>
    <t>汽车加氢站承压特种设备安全运行规范</t>
  </si>
  <si>
    <t>河南省锅炉压力容器安全检测研究院</t>
  </si>
  <si>
    <t>河南</t>
  </si>
  <si>
    <t>河南省</t>
  </si>
  <si>
    <t>92852-2022</t>
  </si>
  <si>
    <t>DB1307/T405-2023</t>
  </si>
  <si>
    <t>水电解制氢装置 工业、商业和住宅应用技术标准</t>
  </si>
  <si>
    <t>张家口市氢能与可再生能源研究院</t>
  </si>
  <si>
    <t>北京京能科技有限公司</t>
  </si>
  <si>
    <t>天津市大陆制氢设备有限公司</t>
  </si>
  <si>
    <t>张家口市</t>
  </si>
  <si>
    <t>95810-2023</t>
  </si>
  <si>
    <t>DB44/T 2427-2023</t>
  </si>
  <si>
    <t>广州能源检测研究院</t>
  </si>
  <si>
    <t>广东省特种设备检测研究院</t>
  </si>
  <si>
    <t>华南理工大学</t>
  </si>
  <si>
    <t>99307-2023</t>
  </si>
  <si>
    <t>DB13/T 5756-2023</t>
  </si>
  <si>
    <t>涉氢实验室安全管理规范</t>
  </si>
  <si>
    <t>特嗨氢能检测（保定）有限公司</t>
  </si>
  <si>
    <t>河北省消防救援总队</t>
  </si>
  <si>
    <t>保定市消防救援支队</t>
  </si>
  <si>
    <t>101564-2023</t>
  </si>
  <si>
    <t>DB13/T 5755-2023</t>
  </si>
  <si>
    <t>加氢站运行管理规范</t>
  </si>
  <si>
    <t>河北省工业和信息化发展研究院</t>
  </si>
  <si>
    <t>中国质量认证中心</t>
  </si>
  <si>
    <t>101563-2023</t>
  </si>
  <si>
    <t>DB13/T 5754-2023</t>
  </si>
  <si>
    <t>加氢站贮存设备技术要求</t>
  </si>
  <si>
    <t>安瑞科（廊坊）能源装备集成有限公司</t>
  </si>
  <si>
    <t>中溶科技股份有限公司</t>
  </si>
  <si>
    <t>101562-2023</t>
  </si>
  <si>
    <t>DB13/T 5753-2023</t>
  </si>
  <si>
    <t>长管拖车氢气运输技术要求</t>
  </si>
  <si>
    <t>101561-2023</t>
  </si>
  <si>
    <t>DB13/T 5752-2023</t>
  </si>
  <si>
    <t>氢燃料电池动力船舶储供氢系统设计要求</t>
  </si>
  <si>
    <t>中船（邯郸）派瑞氢能科技有限公司</t>
  </si>
  <si>
    <t>北京派瑞华氢能源科技有限公司</t>
  </si>
  <si>
    <t>中船动力研究院有限公司</t>
  </si>
  <si>
    <t>101560-2023</t>
  </si>
  <si>
    <t>DB13/T 5751-2023</t>
  </si>
  <si>
    <t>撬装式水电解制氢系统通用技术要求</t>
  </si>
  <si>
    <t>101559-2023</t>
  </si>
  <si>
    <t>DB42/T 2048-2023</t>
  </si>
  <si>
    <t>车用压缩氢气加氢站运营管理规范</t>
  </si>
  <si>
    <t>武汉市度量衡管理所</t>
  </si>
  <si>
    <t>湖北</t>
  </si>
  <si>
    <t>湖北省标准化与质量研究院</t>
  </si>
  <si>
    <t>武汉雄众氢能有限公司</t>
  </si>
  <si>
    <t>湖北省</t>
  </si>
  <si>
    <t>99798-2023</t>
  </si>
  <si>
    <t>DB44/T 2440-2023</t>
  </si>
  <si>
    <t>制氢加氢一体站安全技术规范</t>
  </si>
  <si>
    <t>深圳市凯豪达氢能源有限公司</t>
  </si>
  <si>
    <t>广东省安全生产技术中心有限公司</t>
  </si>
  <si>
    <t>深圳市氢能与燃料电池协会</t>
  </si>
  <si>
    <t>101427-2023</t>
  </si>
  <si>
    <t>DB50/T 1478-2023</t>
  </si>
  <si>
    <t>氢燃料电池车辆示范运行公共数据采集规范</t>
  </si>
  <si>
    <t>中汽院新能源科技有限公司</t>
  </si>
  <si>
    <t>重庆</t>
  </si>
  <si>
    <t>中国汽车工程研究院股份有限公司</t>
  </si>
  <si>
    <t>重庆大学</t>
  </si>
  <si>
    <t>重庆市</t>
  </si>
  <si>
    <t>103335-2023</t>
  </si>
  <si>
    <t>DB32/T 4564-2023</t>
  </si>
  <si>
    <t>氢能助力自行车通用技术要求</t>
  </si>
  <si>
    <t>永安行科技股份有限公司</t>
  </si>
  <si>
    <t>江苏</t>
  </si>
  <si>
    <t>九号智能（常州）科技有限公司</t>
  </si>
  <si>
    <t>上海攀业氢能源科技股份有限公司</t>
  </si>
  <si>
    <t>江苏省</t>
  </si>
  <si>
    <t>102562-2023</t>
  </si>
  <si>
    <t>DB13/T 5875-2023</t>
  </si>
  <si>
    <t>氢燃料电池冷却液通用技术要求</t>
  </si>
  <si>
    <t>中国船舶集团有限公司第七一八研究所</t>
  </si>
  <si>
    <t>北京亿华通科技股份有限公司</t>
  </si>
  <si>
    <t>中国船舶集团有限公司第七一二研究所</t>
  </si>
  <si>
    <t>105136-2023</t>
  </si>
  <si>
    <t>DB13/T 5819-2023</t>
  </si>
  <si>
    <t>水电解制氢单位产品能源消耗限额引导性指标</t>
  </si>
  <si>
    <t>张家口市节能监察监测中心</t>
  </si>
  <si>
    <t>张家口中合新能源集团有限公司</t>
  </si>
  <si>
    <t>河北澜清工程咨询服务有限公司</t>
  </si>
  <si>
    <t>105071-2023</t>
  </si>
  <si>
    <t>DB41/T 2541-2023</t>
  </si>
  <si>
    <t>加氢站充装安全技术导则</t>
  </si>
  <si>
    <t>河南省锅炉压力容器检验技术科学研究院</t>
  </si>
  <si>
    <t>103687-2023</t>
  </si>
  <si>
    <t>DB41/T 2545-2023</t>
  </si>
  <si>
    <t>在用钢带错绕储氢容器安全评价导则</t>
  </si>
  <si>
    <t>103691-2023</t>
  </si>
  <si>
    <t>DB41/T 2552-2023</t>
  </si>
  <si>
    <t>车用压缩氢气铝内胆碳纤维全缠绕气瓶安全评估导则</t>
  </si>
  <si>
    <t>103698-2023</t>
  </si>
  <si>
    <t>DB 6505/T 175-2023</t>
  </si>
  <si>
    <t>哈密市工业和信息化局</t>
  </si>
  <si>
    <t>新疆</t>
  </si>
  <si>
    <t>中石化石油化工科学院有限公司</t>
  </si>
  <si>
    <t>中石化北方能源（大连）有限公司</t>
  </si>
  <si>
    <t>哈密市</t>
  </si>
  <si>
    <t>106248-2024</t>
  </si>
  <si>
    <t>DB31/T 1449-2023</t>
  </si>
  <si>
    <t>燃料电池电动汽车运行安全和维护技术要求</t>
  </si>
  <si>
    <t>同济大学</t>
  </si>
  <si>
    <t>上海重塑能源科技有限公司</t>
  </si>
  <si>
    <t>104560-2023</t>
  </si>
  <si>
    <t>DB1307/T440-2023</t>
  </si>
  <si>
    <t>加氢站验收与安全运营 评价导则</t>
  </si>
  <si>
    <t>张家口市城市管理综合行政执法局</t>
  </si>
  <si>
    <t>中国市政工程华北设计研究总院有限公司</t>
  </si>
  <si>
    <t>张家口市燃气热力管理中心</t>
  </si>
  <si>
    <t>104604-2023</t>
  </si>
  <si>
    <t>DB42/T 2143-2023</t>
  </si>
  <si>
    <t>车用压缩氢气铝内胆碳纤维全缠绕气瓶定期检验规则</t>
  </si>
  <si>
    <t>湖北特种设备检验检测研究院</t>
  </si>
  <si>
    <t>武汉市锅炉压力容器检验研究所</t>
  </si>
  <si>
    <t>武汉泰歌氢能汽车有限公司</t>
  </si>
  <si>
    <t>107407-2024</t>
  </si>
  <si>
    <t>DB4406/T 36-2024</t>
  </si>
  <si>
    <t>佛山市轨道交通发展有限公司</t>
  </si>
  <si>
    <t>佛山市地铁运营有限公司</t>
  </si>
  <si>
    <t>佛山市质量和标准化研究院</t>
  </si>
  <si>
    <t>佛山市</t>
  </si>
  <si>
    <t>109702-2024</t>
  </si>
  <si>
    <t>DB13/T 5939-2024</t>
  </si>
  <si>
    <t>煤制甲醇耦合绿氢碳减排技术规范</t>
  </si>
  <si>
    <t>新奥科技发展有限公司</t>
  </si>
  <si>
    <t>109889-2024</t>
  </si>
  <si>
    <t>DB44/T 2478-2024</t>
  </si>
  <si>
    <t>佛山绿色发展创新研究院</t>
  </si>
  <si>
    <t>111258-2024</t>
  </si>
  <si>
    <t>DB11/T 2211-2024</t>
  </si>
  <si>
    <t>北京市城市管理研究院</t>
  </si>
  <si>
    <t>中和新兴（北京）能源科技研究院有限公司</t>
  </si>
  <si>
    <t>北京市</t>
  </si>
  <si>
    <t>110590-2024</t>
  </si>
  <si>
    <t>DB44/T 2510-2024</t>
  </si>
  <si>
    <t>燃料电池电动汽车车载供氢系统气体置换技术规范</t>
  </si>
  <si>
    <t>广州汽车集团股份有限公司</t>
  </si>
  <si>
    <t>112336-2024</t>
  </si>
  <si>
    <t>DB50/T 1620-2024</t>
  </si>
  <si>
    <t>车用燃料电池系统电磁兼容性能要求</t>
  </si>
  <si>
    <t>中汽院（江苏）汽车工程研究院股份有限公司</t>
  </si>
  <si>
    <t>科大讯飞股份有限公司</t>
  </si>
  <si>
    <t>安徽</t>
  </si>
  <si>
    <t>113571-2024</t>
  </si>
  <si>
    <t>DB11/T 2304-2024</t>
  </si>
  <si>
    <t>车载液氢系统整车匹配安全要求</t>
  </si>
  <si>
    <t>北京航天试验技术研究所</t>
  </si>
  <si>
    <t>北京汽车集团有限公司</t>
  </si>
  <si>
    <t>115190-2024</t>
  </si>
  <si>
    <t>DB51/T 3192-2024</t>
  </si>
  <si>
    <t>有轨电车 氢动力系统 技术条件</t>
  </si>
  <si>
    <t>四川荣创新能动力系统有限公司</t>
  </si>
  <si>
    <t>四川</t>
  </si>
  <si>
    <t>成都交投铁路投资集团有限公司</t>
  </si>
  <si>
    <t>中车青岛四方机车车辆股份有限公司</t>
  </si>
  <si>
    <t>四川省</t>
  </si>
  <si>
    <t>115960-2024</t>
  </si>
  <si>
    <t>DB31/T 1520-2024</t>
  </si>
  <si>
    <t>车用氢燃料电池系统运行安全技术规范</t>
  </si>
  <si>
    <t>118773-2024</t>
  </si>
  <si>
    <t>DB44/T 2592-2024</t>
  </si>
  <si>
    <t>压缩氢气车用气瓶充装安全管理规范</t>
  </si>
  <si>
    <t>119779-2025</t>
  </si>
  <si>
    <t>DB44/T 2593.1-2024</t>
  </si>
  <si>
    <t>液氢气瓶 第1部分：材料、设计、制造、检验与试验</t>
  </si>
  <si>
    <t>119780-2025</t>
  </si>
  <si>
    <t>DB44/T 2593.2-2024</t>
  </si>
  <si>
    <t>液氢气瓶 第2部分：操作要求</t>
  </si>
  <si>
    <t>119781-2025</t>
  </si>
  <si>
    <t>DB11/T 2347-2024</t>
  </si>
  <si>
    <t>燃料电池电动汽车 液氢加注规程</t>
  </si>
  <si>
    <t>北京市产品质量监督检验研究院</t>
  </si>
  <si>
    <t>北汽福田汽车股份有限公司</t>
  </si>
  <si>
    <t>119279-2025</t>
  </si>
  <si>
    <t>DB37/T 4819-2025</t>
  </si>
  <si>
    <t>燃料电池用氢气全过程信息追溯技术规范</t>
  </si>
  <si>
    <t>山东国创燃料电池技术创新中心有限公司</t>
  </si>
  <si>
    <t>潍柴新能源动力科技有限公司</t>
  </si>
  <si>
    <t>国家能源集团氢能科技有限责任公司</t>
  </si>
  <si>
    <t>121157-2025</t>
  </si>
  <si>
    <t>DB37/T 4838-2025</t>
  </si>
  <si>
    <t>含氢分布式综合能源系统运行优化指南</t>
  </si>
  <si>
    <t>山东大学</t>
  </si>
  <si>
    <t>121931-2025</t>
  </si>
  <si>
    <t>DB14/T 3349-2025</t>
  </si>
  <si>
    <t>车用氢气（瓶）组安装技术要求</t>
  </si>
  <si>
    <t>山西省检验检测中心（山西省标准计量技术研究院）</t>
  </si>
  <si>
    <t>山西</t>
  </si>
  <si>
    <t>山西省</t>
  </si>
  <si>
    <t>122632-2025</t>
  </si>
  <si>
    <t>DB2102/T 0145-2025</t>
  </si>
  <si>
    <t>氢燃料电池公交车运行管理规范</t>
  </si>
  <si>
    <t>大连标准认证研究院有限公司</t>
  </si>
  <si>
    <t>大连公共交通建设投资集团有限公司</t>
  </si>
  <si>
    <t>洺源科技（大连）有限公司</t>
  </si>
  <si>
    <t>大连市</t>
  </si>
  <si>
    <t>123834-2025</t>
  </si>
  <si>
    <t>DB13/T 6121-2025</t>
  </si>
  <si>
    <t>氢基竖炉直接还原炼铁安全规程</t>
  </si>
  <si>
    <t>河钢集团有限公司</t>
  </si>
  <si>
    <t>河北省应急管理厅</t>
  </si>
  <si>
    <t>河北张宣高科科技有限公司</t>
  </si>
  <si>
    <t>125092-2025</t>
  </si>
  <si>
    <t>DB44/T 2702-2025</t>
  </si>
  <si>
    <t>加氢站综合质量评估方法</t>
  </si>
  <si>
    <t>125990-2025</t>
  </si>
  <si>
    <t>DB15/T 4179-2025</t>
  </si>
  <si>
    <t>输氢管道工程施工规范</t>
  </si>
  <si>
    <t>内蒙古蒙氢管网有限公司</t>
  </si>
  <si>
    <t>内蒙古</t>
  </si>
  <si>
    <t>中国石油天然气管道第二工程有限公司</t>
  </si>
  <si>
    <t>内蒙古自治区质量和标准化研究院</t>
  </si>
  <si>
    <t>内蒙古自治区</t>
  </si>
  <si>
    <t>125818-2025</t>
  </si>
  <si>
    <t>DB44/T 2734—2025</t>
  </si>
  <si>
    <t>液氢储能系统的液氢储存装置技术要求</t>
  </si>
  <si>
    <t>中山先进低温技术研究院</t>
  </si>
  <si>
    <t>126708-2025</t>
  </si>
  <si>
    <t>DB61/T 2120-2025</t>
  </si>
  <si>
    <t>水电解制氢工程设计规范</t>
  </si>
  <si>
    <t>中国电建集团西北勘测设计研究院有限公司</t>
  </si>
  <si>
    <t>陕西</t>
  </si>
  <si>
    <t>西安隆基氢能科技有限公司</t>
  </si>
  <si>
    <t>华陆工程科技有限责任公司</t>
  </si>
  <si>
    <t>陕西省</t>
  </si>
  <si>
    <t>127527-2025</t>
  </si>
  <si>
    <t>DB50/T 1920-2025</t>
  </si>
  <si>
    <t>制氢加氢一体站建设技术规范</t>
  </si>
  <si>
    <t>中国石化销售股份有限公司重庆石油分公司</t>
  </si>
  <si>
    <t>中煤科工重庆设计研究院（集团）有限公司</t>
  </si>
  <si>
    <t>中国市政工程西南设计研究总院有限公司</t>
  </si>
  <si>
    <t>128398-2026</t>
  </si>
  <si>
    <t>DB51/T 3343-2025</t>
  </si>
  <si>
    <t>氢燃料电池汽车运行安全监测系统技术要求</t>
  </si>
  <si>
    <t>中国测试技术研究院</t>
  </si>
  <si>
    <t>成都客车股份有限公司</t>
  </si>
  <si>
    <t>128154-2026</t>
  </si>
  <si>
    <t>DB51/T 3344-2025</t>
  </si>
  <si>
    <t>氢燃料电池汽车安全技术检测线</t>
  </si>
  <si>
    <t>128155-2026</t>
  </si>
  <si>
    <t>DB31/T 1685-2026</t>
  </si>
  <si>
    <t>燃料电池电动货车换氢技术要求</t>
  </si>
  <si>
    <t>宝武清洁能源有限公司</t>
  </si>
  <si>
    <t>上海杰宁新能源科技发展有限公司</t>
  </si>
  <si>
    <t>云动（上海）汽车技术有限公司</t>
  </si>
  <si>
    <t>129882-2026</t>
  </si>
  <si>
    <t>发布日期</t>
  </si>
  <si>
    <t>行业领域</t>
  </si>
  <si>
    <t>SJ/T 10273-1991</t>
  </si>
  <si>
    <t>催化吸附型氢气纯化装置通用技术条件</t>
  </si>
  <si>
    <t>/</t>
  </si>
  <si>
    <t>电子</t>
  </si>
  <si>
    <t>JB/T 5903-1996</t>
  </si>
  <si>
    <t>水电解制氢设备</t>
  </si>
  <si>
    <t>哈尔滨环保制氢设备工业公司</t>
  </si>
  <si>
    <t>黑龙江</t>
  </si>
  <si>
    <t>杭州制氧机研究所</t>
  </si>
  <si>
    <t>浙江</t>
  </si>
  <si>
    <t>苏州水电解制氢设备公司</t>
  </si>
  <si>
    <t>机械</t>
  </si>
  <si>
    <t>JB/T 9082-1999</t>
  </si>
  <si>
    <t>水电解制氢设备 术语</t>
  </si>
  <si>
    <t>QX/T 9-2002</t>
  </si>
  <si>
    <t>GX-2型水电解制氢设备</t>
  </si>
  <si>
    <t>广西壮族自治区气象技术装备中心</t>
  </si>
  <si>
    <t>广西</t>
  </si>
  <si>
    <t>气象</t>
  </si>
  <si>
    <t>QX/T 33-2005</t>
  </si>
  <si>
    <t>气象业务氢气作业安全技术规范</t>
  </si>
  <si>
    <t>河北省气象技术装备中心</t>
  </si>
  <si>
    <t>QC/T 816-2009</t>
  </si>
  <si>
    <t>加氢车技术条件</t>
  </si>
  <si>
    <t>中国汽车技术研究中心</t>
  </si>
  <si>
    <t>上海舜华新能源系统有限公司</t>
  </si>
  <si>
    <t>汽车</t>
  </si>
  <si>
    <t>QX/T 248-2014</t>
  </si>
  <si>
    <t>固定式水电解制氢设备监测系统技术要求</t>
  </si>
  <si>
    <t>中国船舶重工集团公司第七一八研究所</t>
  </si>
  <si>
    <t>SN/T 4210-2015</t>
  </si>
  <si>
    <t>进出口危险化学品检验规程 氢</t>
  </si>
  <si>
    <t>中华人民共和国北京出入境检验检疫局</t>
  </si>
  <si>
    <t>出入境检验检疫</t>
  </si>
  <si>
    <t>YS/T 416-2016</t>
  </si>
  <si>
    <t>氢气净化用钯合金管材</t>
  </si>
  <si>
    <t>西北有色金属研究院</t>
  </si>
  <si>
    <t>西安瑞鑫科金属材料有限责任公司</t>
  </si>
  <si>
    <t>有色金属技术经济研究院</t>
  </si>
  <si>
    <t>有色金属</t>
  </si>
  <si>
    <t>SN/T 4444-2016</t>
  </si>
  <si>
    <t>进出口燃料电池的检验技术要求 便携式燃料电池发电系统的安全</t>
  </si>
  <si>
    <t>中华人民共和国天津出入境检验检疫局</t>
  </si>
  <si>
    <t>YB/T 4594-2017</t>
  </si>
  <si>
    <t>焦炉煤气制氢站安全运行规范</t>
  </si>
  <si>
    <t>马钢（集团）控股有限公司</t>
  </si>
  <si>
    <t>冶金工业信息标准研究院</t>
  </si>
  <si>
    <t>张家港市顺佳隔热技术有限公司</t>
  </si>
  <si>
    <t>黑色冶金</t>
  </si>
  <si>
    <t>HG/T 5193-2017</t>
  </si>
  <si>
    <t>甲醇制氢催化剂化学成分分析方法</t>
  </si>
  <si>
    <t>南化集团研究院</t>
  </si>
  <si>
    <t>四川天一科技股份有限公司</t>
  </si>
  <si>
    <t>山东齐鲁科力化工研究院有限公司</t>
  </si>
  <si>
    <t>化工</t>
  </si>
  <si>
    <t>QX/T 420-2018</t>
  </si>
  <si>
    <t>气象用固定式水电解制氢系统</t>
  </si>
  <si>
    <t>HG/T 5316-2018</t>
  </si>
  <si>
    <t>氨裂解制氢催化剂活性试验方法</t>
  </si>
  <si>
    <t>福州大学化肥催化剂国家工程研究中心</t>
  </si>
  <si>
    <t>湖北双雄催化剂有限公司</t>
  </si>
  <si>
    <t>YD/T 3425-2018</t>
  </si>
  <si>
    <t>通信用氢燃料电池供电系统维护技术要求</t>
  </si>
  <si>
    <t>弗尔赛（上海）能源科技有限公司</t>
  </si>
  <si>
    <t>中国联合网络通信集团有限公司</t>
  </si>
  <si>
    <t>中国信息通信研究院</t>
  </si>
  <si>
    <t>通信</t>
  </si>
  <si>
    <t>DL/T 1928-2018</t>
  </si>
  <si>
    <t>火力发电厂氢气系统安全运行技术导则</t>
  </si>
  <si>
    <t>中国大唐集团科学技术研究院有限公司西北分公司</t>
  </si>
  <si>
    <t>西安热工研究院有限公司</t>
  </si>
  <si>
    <t>国网天津市电力公司电力科学研究院</t>
  </si>
  <si>
    <t>电力</t>
  </si>
  <si>
    <t>NB/T 10193-2019</t>
  </si>
  <si>
    <t>固体氧化物燃料电池 术语</t>
  </si>
  <si>
    <t>苏州华清京昆新能源科技有限公司</t>
  </si>
  <si>
    <t>能源</t>
  </si>
  <si>
    <t>HG/T 5529-2019</t>
  </si>
  <si>
    <t>甲醇制氢催化剂</t>
  </si>
  <si>
    <t>中石化南京化工研究院有限公司</t>
  </si>
  <si>
    <t>北京三聚环保新材料股份有限公司</t>
  </si>
  <si>
    <t>JT/T 1342—2020</t>
  </si>
  <si>
    <t>燃料电池客车技术规范</t>
  </si>
  <si>
    <t>中国公路学会客车分会</t>
  </si>
  <si>
    <t>安徽安凯汽车股份有限公司</t>
  </si>
  <si>
    <t>HG/T 5770-2020</t>
  </si>
  <si>
    <t>氨裂解制氢催化剂</t>
  </si>
  <si>
    <t>NB/T 10671-2021</t>
  </si>
  <si>
    <t>固体氧化物燃料电池 模块 通用安全技术导则</t>
  </si>
  <si>
    <t>中国科学技术大学</t>
  </si>
  <si>
    <t>华中科学技术大学</t>
  </si>
  <si>
    <t>NB/T 10670-2021</t>
  </si>
  <si>
    <t>固体氧化物燃料电池电解质膜测试方法 第1部分：自支撑膜</t>
  </si>
  <si>
    <t>潮州三环（集团）股份有限公司</t>
  </si>
  <si>
    <t>佛山索弗克氢能源有限公司</t>
  </si>
  <si>
    <t>NB/T 10617-2021</t>
  </si>
  <si>
    <t>制氢转化炉炉管寿命评估及更换导则</t>
  </si>
  <si>
    <t>中国特种设备检测研究院</t>
  </si>
  <si>
    <t>合肥通用机械研究院有限公司</t>
  </si>
  <si>
    <t>南京工业大学</t>
  </si>
  <si>
    <t>NB/T 10822-2021</t>
  </si>
  <si>
    <t>固体氧化物燃料电池　小型固定式发电系统通用安全技术导则</t>
  </si>
  <si>
    <t>清华四川能源互联网研究院</t>
  </si>
  <si>
    <t>中国矿业大学</t>
  </si>
  <si>
    <t>NB/T 10821-2021</t>
  </si>
  <si>
    <t>固体氧化物燃料电池　电池堆测试方法</t>
  </si>
  <si>
    <t>徐州华清京昆能源有限公司</t>
  </si>
  <si>
    <t>NB/T 10820-2021</t>
  </si>
  <si>
    <t>固体氧化物燃料电池　单电池测试方法</t>
  </si>
  <si>
    <t>QX/T 644—2022</t>
  </si>
  <si>
    <t>气象涉氢业务设施建设要求</t>
  </si>
  <si>
    <t>中国气象局气象探测中心</t>
  </si>
  <si>
    <t>中国气象局上海物资管理处</t>
  </si>
  <si>
    <t>QX/T 643—2022</t>
  </si>
  <si>
    <t>气象用水电解制氢设备操作规范</t>
  </si>
  <si>
    <t>河北华云科技开发服务有限公司</t>
  </si>
  <si>
    <t>YS/T 1515-2021</t>
  </si>
  <si>
    <t>铝-空燃料电池用铝合金电极材料</t>
  </si>
  <si>
    <t>有色金属技术经济研究院有限责任公司</t>
  </si>
  <si>
    <t>中铝东南材料院（福建）科技有限公司</t>
  </si>
  <si>
    <t>宁波烯铝新能源有限公司</t>
  </si>
  <si>
    <t>YS/T 1518-2022</t>
  </si>
  <si>
    <t>氢燃料电池用锆带</t>
  </si>
  <si>
    <t>国核宝钛锆业股份公司</t>
  </si>
  <si>
    <t>宝钛集团有限公司</t>
  </si>
  <si>
    <t>有研资源环境技术研究院（北京）有限公司</t>
  </si>
  <si>
    <t>NB/T 11308-2023</t>
  </si>
  <si>
    <t>固体氧化物燃料电池 小型固定式发电系统 性能测试方法</t>
  </si>
  <si>
    <t>武汉华科福赛新能源有限责任公司</t>
  </si>
  <si>
    <t>华中科技大学</t>
  </si>
  <si>
    <t>NB/T 11384-2023</t>
  </si>
  <si>
    <t>固体氧化物燃料电池 小型固定式发电系统 安装</t>
  </si>
  <si>
    <t>YB/T 6172-2024</t>
  </si>
  <si>
    <t>全氢罩式退火炉尾气回收氢气循环再利用技术规范</t>
  </si>
  <si>
    <t>内蒙古包钢钢联股份有限公司</t>
  </si>
  <si>
    <t>山东泰山钢铁集团有限公司</t>
  </si>
  <si>
    <t>RB/T 227-2023</t>
  </si>
  <si>
    <t>国产化检测仪器设备验证评价指南 氢燃料电池堆测试设备</t>
  </si>
  <si>
    <t>电子科技大学</t>
  </si>
  <si>
    <t>认证认可</t>
  </si>
  <si>
    <t>NB/T 11498-2024</t>
  </si>
  <si>
    <t>加氢站承压设备监测技术要求</t>
  </si>
  <si>
    <t>中特检验集团有限公司</t>
  </si>
  <si>
    <t>天津渤化安创科技有限公司</t>
  </si>
  <si>
    <t>NB/T 11497-2024</t>
  </si>
  <si>
    <t>加氢站承压设备风险评价与检验</t>
  </si>
  <si>
    <t>QC/T 1208-2024</t>
  </si>
  <si>
    <t>燃料电池发动机用氢气循环泵</t>
  </si>
  <si>
    <t>中汽研新能源汽车检验中心（天津）有限公司</t>
  </si>
  <si>
    <t>QC/T 1207-2024</t>
  </si>
  <si>
    <t>燃料电池发动机用空气压缩机</t>
  </si>
  <si>
    <t>NB/T 11661-2024</t>
  </si>
  <si>
    <t>压缩氢气铝内胆碳纤维全缠绕瓶式集装箱</t>
  </si>
  <si>
    <t>石家庄安瑞科气体机械有限公司</t>
  </si>
  <si>
    <t>空气化工产品（中国）投资有限公司</t>
  </si>
  <si>
    <t>NB/T 11657-2024</t>
  </si>
  <si>
    <t>固体氧化物燃料电池 金属连接体材料测试方法</t>
  </si>
  <si>
    <t>徐州华清智能装备有限公司</t>
  </si>
  <si>
    <t>哈尔滨工业大学（深圳）</t>
  </si>
  <si>
    <t>NB/T 11656-2024</t>
  </si>
  <si>
    <t>固体氧化物燃料电池 电池堆气密性测试方法</t>
  </si>
  <si>
    <t>SY/T 7788-2024</t>
  </si>
  <si>
    <t>天然气钢质管道材料掺氢输送适用性评价方法</t>
  </si>
  <si>
    <t>中国石油集团工程材料研究院有限公司</t>
  </si>
  <si>
    <t>中国石油天然气股份有限公司玉门油田分公司</t>
  </si>
  <si>
    <t>甘肃</t>
  </si>
  <si>
    <t>国家管网集团北京管道有限公司</t>
  </si>
  <si>
    <t>石油天然气</t>
  </si>
  <si>
    <t>YS/T 208-2024</t>
  </si>
  <si>
    <t>氢气净化用钯合金箔材</t>
  </si>
  <si>
    <t>YD/T 6200-2024</t>
  </si>
  <si>
    <t>通信用氢燃料电池供电系统</t>
  </si>
  <si>
    <t>上海攀业氢能源科技有限公司</t>
  </si>
  <si>
    <t>中讯邮电咨询设计院有限公司</t>
  </si>
  <si>
    <t>NB/T 11745-2024</t>
  </si>
  <si>
    <t>移动式真空绝热液氢压力容器</t>
  </si>
  <si>
    <t>南通中集能源装备有限公司</t>
  </si>
  <si>
    <t>SY/T 7820-2024</t>
  </si>
  <si>
    <t>输氢管道工程设计规范</t>
  </si>
  <si>
    <t>中国石油天然气管道工程有限公司</t>
  </si>
  <si>
    <t>中国石油天然气股份有限公司规划总院</t>
  </si>
  <si>
    <t>中国石油大学（华东）</t>
  </si>
  <si>
    <t>HG/T 22821-2025</t>
  </si>
  <si>
    <t>氢气管道设计规范</t>
  </si>
  <si>
    <t>中国寰球工程有限公司北京分公司</t>
  </si>
  <si>
    <t>QC/T 1229-2025</t>
  </si>
  <si>
    <t>燃料电池电动汽车 加氢通信协议</t>
  </si>
  <si>
    <t>东风汽车集团股份有限公司</t>
  </si>
  <si>
    <t>JB/T 15151-2025</t>
  </si>
  <si>
    <t>低温法烷烃脱氢分离设备</t>
  </si>
  <si>
    <t>杭氧集团股份有限公司</t>
  </si>
  <si>
    <t>山东齐鲁石化工程有限公司</t>
  </si>
  <si>
    <t>JB/T 15152-2025</t>
  </si>
  <si>
    <t>杭州杭氧膨胀剂有限公司</t>
  </si>
  <si>
    <t>西安交通大学</t>
  </si>
  <si>
    <t>JB/T 14965-2025</t>
  </si>
  <si>
    <t>加氢站用隔膜氢气压缩机</t>
  </si>
  <si>
    <t>广东佛燃天高流体机械设备有限公司</t>
  </si>
  <si>
    <t>丰电金凯威（苏州）压缩机有限公司</t>
  </si>
  <si>
    <t>NB/T 11810-2025</t>
  </si>
  <si>
    <t>可再生能源电力制氢工程规划报告编制规程</t>
  </si>
  <si>
    <t>水电水利规划设计总院</t>
  </si>
  <si>
    <t>DL/T 2915-2025</t>
  </si>
  <si>
    <t>氢储能电站储氢系统运行规程</t>
  </si>
  <si>
    <t>中国电子工程设计院股份有限公司</t>
  </si>
  <si>
    <t>世源科技工程有限公司</t>
  </si>
  <si>
    <t>国网浙江省电力有限公司电力科学研究院</t>
  </si>
  <si>
    <t>JB/T 11484-2025</t>
  </si>
  <si>
    <t>高压加氢装置用阀门技术规范</t>
  </si>
  <si>
    <t>兰州高压阀门有限公司</t>
  </si>
  <si>
    <t>中核苏阀科技实业股份有限公司</t>
  </si>
  <si>
    <t>JT/T 1568-2025</t>
  </si>
  <si>
    <t>氢气（含液氢）道路运输技术规范</t>
  </si>
  <si>
    <t>交通运输部公路科学研究所</t>
  </si>
  <si>
    <t>中科富海科技股份有限公司</t>
  </si>
  <si>
    <t>中国船级社质量认证有限公司</t>
  </si>
  <si>
    <t>NB/T 11882-2025</t>
  </si>
  <si>
    <t>固定式真空绝热液氢压力容器</t>
  </si>
  <si>
    <t>查特深冷工程系统（常州）有限公司</t>
  </si>
  <si>
    <t>张家港中集圣达因低温装备有限公司</t>
  </si>
  <si>
    <t>NB/T 11896-2025</t>
  </si>
  <si>
    <t>可再生能源电力制氢工程可行性研究报告编制规程</t>
  </si>
  <si>
    <t>中国电力工程顾问集团华北电力设计院有限公司</t>
  </si>
  <si>
    <t>中国电建集团华东勘测设计研究院有限公司</t>
  </si>
  <si>
    <t>中海油研究总院有限责任公司</t>
  </si>
  <si>
    <t>DL/T 2972-2025</t>
  </si>
  <si>
    <t>宽范围调节质子交换膜水电解制氢系统技术规范</t>
  </si>
  <si>
    <t>中国电力科学研究院有限公司</t>
  </si>
  <si>
    <t>国网安徽省电力有限公司</t>
  </si>
  <si>
    <t>中电联电力发展研究院</t>
  </si>
  <si>
    <t>DL/T 2973-2025</t>
  </si>
  <si>
    <t>宽范围调节质子交换膜水电解制氢系统性能试验方法</t>
  </si>
  <si>
    <t>QC/T 1238-2025</t>
  </si>
  <si>
    <t>燃料电池发动机用空气滤清器</t>
  </si>
  <si>
    <t>中汽零部件技术（天津）有限公司</t>
  </si>
  <si>
    <t>中国合格评定国家认可中心</t>
  </si>
  <si>
    <t>蚌埠国威滤清器有限公司</t>
  </si>
  <si>
    <t>QC/T 1237-2025</t>
  </si>
  <si>
    <t>燃料电池发动机用氢气喷射器</t>
  </si>
  <si>
    <t>QC/T 1236-2025</t>
  </si>
  <si>
    <t>燃料电池发动机用冷却水泵</t>
  </si>
  <si>
    <t>上海捷氢科技股份有限公司</t>
  </si>
  <si>
    <t>QC/T 1266-2025</t>
  </si>
  <si>
    <t>燃料电池电动汽车车载氢系统在线监测技术规范</t>
  </si>
  <si>
    <t>江苏国富氢能技术装备股份有限公司</t>
  </si>
  <si>
    <t>NB/T 11911-2025</t>
  </si>
  <si>
    <t>质子交换膜燃料电池 膜电极边框材料测试方法</t>
  </si>
  <si>
    <t>NB/T 11913-2025</t>
  </si>
  <si>
    <t>固体氧化物燃料电池 热电联供系统 性能测试方法</t>
  </si>
  <si>
    <t>NB/T 11915-2025</t>
  </si>
  <si>
    <t>加氢站压力设备系统完整性评价方法</t>
  </si>
  <si>
    <t>北京海德利森科技有限公司</t>
  </si>
  <si>
    <t>NB/T 11916-2025</t>
  </si>
  <si>
    <t>加氢站压力设备系统安全运维管理规范</t>
  </si>
  <si>
    <t>NB/T 11967-2025</t>
  </si>
  <si>
    <t>绿色合成氨</t>
  </si>
  <si>
    <t>NB/T 11968-2025</t>
  </si>
  <si>
    <t>DL/T 3015-2025</t>
  </si>
  <si>
    <t>清洁低碳氢评价标准</t>
  </si>
  <si>
    <t>YB/T 4250-2025</t>
  </si>
  <si>
    <t>冶金用全氢罩式退火炉</t>
  </si>
  <si>
    <t>恒源工业炉（靖江）有限公司</t>
  </si>
  <si>
    <t>北京首钢机电有限公司</t>
  </si>
  <si>
    <t>江阴恒源工业炉有限公司</t>
  </si>
  <si>
    <t>HG/T6476—2026</t>
  </si>
  <si>
    <t>氢燃料电池催化剂氧还原性能的测定旋转圆盘电极法</t>
  </si>
  <si>
    <t>YB/T6492—2026</t>
  </si>
  <si>
    <t>金属和合金的腐蚀纯氢/掺氢埋地钢质管道在氢与外腐蚀耦合下的慢应变速率试验方法</t>
  </si>
  <si>
    <t>广东腐蚀科学与技术创新研究院</t>
  </si>
  <si>
    <t>中国科学院金属研究所</t>
  </si>
  <si>
    <t>归口单位</t>
  </si>
  <si>
    <t>GB/T 13322-1991</t>
  </si>
  <si>
    <t>金属覆盖层 低氢脆镉钛电镀层</t>
  </si>
  <si>
    <t>航空航天部621所</t>
  </si>
  <si>
    <t>SAC/TC57 全国金属与非金属覆盖层标准化技术委员会</t>
  </si>
  <si>
    <t>GB/T 3098.17-2000</t>
  </si>
  <si>
    <t>紧固件机械性能 检查氢脆用预载荷试验 平行支承面法</t>
  </si>
  <si>
    <t>机械科学研究院</t>
  </si>
  <si>
    <t>中国航天标准化研究所</t>
  </si>
  <si>
    <t>上海市紧固件和焊接材料技术研究所</t>
  </si>
  <si>
    <t>中国机械工业联合会</t>
  </si>
  <si>
    <t>GB 50177-2005</t>
  </si>
  <si>
    <t>氢气站设计规范</t>
  </si>
  <si>
    <t>西南化工研究设计院</t>
  </si>
  <si>
    <t>武汉钢铁设计研究总院</t>
  </si>
  <si>
    <t>西南电力设计院</t>
  </si>
  <si>
    <t>未查到</t>
  </si>
  <si>
    <t>GB/T 19773-2005</t>
  </si>
  <si>
    <t>变压吸附提纯氢系统技术要求</t>
  </si>
  <si>
    <t>中国标准化研究院</t>
  </si>
  <si>
    <t>清华大学核能与新能源技术研究院</t>
  </si>
  <si>
    <t>SAC/TC309 全国氢能标准化技术委员会</t>
  </si>
  <si>
    <t>GB/T 19774-2005</t>
  </si>
  <si>
    <t>水电解制氢系统技术要求</t>
  </si>
  <si>
    <t>中国电子工程设计院</t>
  </si>
  <si>
    <t>GB/T 3634.1-2025</t>
  </si>
  <si>
    <t>氢气 第1部分：工业氢</t>
  </si>
  <si>
    <t>西南化工研究设计院有限公司</t>
  </si>
  <si>
    <t>宁夏宝廷新材料科技股份有限公司</t>
  </si>
  <si>
    <t>宁夏</t>
  </si>
  <si>
    <t>广东华特气体股份有限公司</t>
  </si>
  <si>
    <t>SAC/TC206 全国气体标准化技术委员会</t>
  </si>
  <si>
    <t>GB/Z 21742-2008</t>
  </si>
  <si>
    <t>便携式质子交换膜燃料电池发电系统</t>
  </si>
  <si>
    <t>大连新源动力股份有限公司</t>
  </si>
  <si>
    <t>中国科学院大连化学物理研究所</t>
  </si>
  <si>
    <t>机械工业北京电工技术经济研究所</t>
  </si>
  <si>
    <t>GB 4962-2008</t>
  </si>
  <si>
    <t>氢气使用安全技术规程</t>
  </si>
  <si>
    <t>上海市安全生产科学研究所</t>
  </si>
  <si>
    <t>上海华林工业气体有限公司</t>
  </si>
  <si>
    <t>林德集团（苏州、宁波、厦门）公司</t>
  </si>
  <si>
    <t>SAC/TC288 全国安全生产标准化技术委员会</t>
  </si>
  <si>
    <t>GB/T 23751.1-2009</t>
  </si>
  <si>
    <t>微型燃料电池发电系统 第1部分：安全</t>
  </si>
  <si>
    <t>北京飞驰绿能电源技术有限责任公司</t>
  </si>
  <si>
    <t>SAC/TC342 全国燃料电池及液流电池标准化技术委员会</t>
  </si>
  <si>
    <t>GB/T 20042.4-2009</t>
  </si>
  <si>
    <t>质子交换膜燃料电池 第4部分：电催化剂测试方法</t>
  </si>
  <si>
    <t>GB/T 20042.5-2024</t>
  </si>
  <si>
    <t>质子交换膜燃料电池 第5部分：膜电极测试方法</t>
  </si>
  <si>
    <t>GB/T 23645-2009</t>
  </si>
  <si>
    <t>乘用车用燃料电池发电系统测试方法</t>
  </si>
  <si>
    <t>GB/T 23606-2009</t>
  </si>
  <si>
    <t>铜氢脆检验方法</t>
  </si>
  <si>
    <t>中铝洛阳铜业有限公司</t>
  </si>
  <si>
    <t>SAC/TC243 全国有色金属标准化技术委员会</t>
  </si>
  <si>
    <t>GB/T 24185-2009</t>
  </si>
  <si>
    <t>逐级加力法测定钢中氢脆临界值试验方法</t>
  </si>
  <si>
    <t>上海材料研究所</t>
  </si>
  <si>
    <t>SAC/TC183 全国钢标准化技术委员会</t>
  </si>
  <si>
    <t>GB/T 24499-2009</t>
  </si>
  <si>
    <t>氢气、氢能与氢能系统术语</t>
  </si>
  <si>
    <t>GB/T 16942-2009</t>
  </si>
  <si>
    <t>电子工业用气体 氢</t>
  </si>
  <si>
    <t>中国计量科学研究院</t>
  </si>
  <si>
    <t>SAC/TC203 全国半导体设备和材料标准化技术委员会</t>
  </si>
  <si>
    <t>GB/T 24548-2009</t>
  </si>
  <si>
    <t>燃料电池电动汽车 术语</t>
  </si>
  <si>
    <t>上海汽车集团股份有限公司</t>
  </si>
  <si>
    <t>SAC/TC114 全国汽车标准化技术委员会</t>
  </si>
  <si>
    <t>GB 50516-2010</t>
  </si>
  <si>
    <t>加氢站技术规范（2021年版）</t>
  </si>
  <si>
    <t>中国电子工程设计院有限公司</t>
  </si>
  <si>
    <t>浙江大学</t>
  </si>
  <si>
    <t>GB/T 25319-2010</t>
  </si>
  <si>
    <t>汽车用燃料电池发电系统 技术条件</t>
  </si>
  <si>
    <t>上海神力科技有限公司</t>
  </si>
  <si>
    <t>GB/T 26107-2010</t>
  </si>
  <si>
    <t>金属与其他无机覆盖层 镀覆和未镀覆金属的外螺纹和螺杆的残余氢脆试验 斜楔法</t>
  </si>
  <si>
    <t>武汉材料保护研究所</t>
  </si>
  <si>
    <t>武汉康捷科技发展有限公司</t>
  </si>
  <si>
    <t>宁波沪雨电力器材股份有限公司</t>
  </si>
  <si>
    <t>GB/T 26466-2011</t>
  </si>
  <si>
    <t>固定式高压储氢用钢带错绕式容器</t>
  </si>
  <si>
    <t>浙江大学化工机械研究所</t>
  </si>
  <si>
    <t>巨化集团公司工程有限公司</t>
  </si>
  <si>
    <t>SAC/TC262 全国锅炉压力容器标准化技术委员会</t>
  </si>
  <si>
    <t>GB/T 26915-2011</t>
  </si>
  <si>
    <t>太阳能光催化分解水制氢体系的能量转化效率与量子产率计算</t>
  </si>
  <si>
    <t>中国电子工程设计研究院</t>
  </si>
  <si>
    <t>GB/T 26916-2011</t>
  </si>
  <si>
    <t>小型氢能综合能源系统性能评价方法</t>
  </si>
  <si>
    <t>深圳市标准技术研究院</t>
  </si>
  <si>
    <t>GB/T 26991-2023</t>
  </si>
  <si>
    <t>燃料电池电动汽车动力性能试验方法</t>
  </si>
  <si>
    <t>上汽大通汽车有限公司</t>
  </si>
  <si>
    <t>襄阳达安汽车检测中心有限公司</t>
  </si>
  <si>
    <t>GB/T 20042.6-2024</t>
  </si>
  <si>
    <t>质子交换膜燃料电池 第6部分：双极板特性测试方法</t>
  </si>
  <si>
    <t>GB/Z 27753-2011</t>
  </si>
  <si>
    <t>质子交换膜燃料电池膜电极工况适应性测试方法</t>
  </si>
  <si>
    <t>武汉理工大学</t>
  </si>
  <si>
    <t>武汉理工新能源有限公司</t>
  </si>
  <si>
    <t>GB/T 28183-2011</t>
  </si>
  <si>
    <t>客车用燃料电池发电系统测试方法</t>
  </si>
  <si>
    <t>GB/T 3634.2-2025</t>
  </si>
  <si>
    <t>氢气 第2部分：纯氢、高纯氢和超纯氢</t>
  </si>
  <si>
    <t>昊华气体有限公司西南分公司</t>
  </si>
  <si>
    <t>GB/T 29123-2012</t>
  </si>
  <si>
    <t>示范运行氢燃料电池电动汽车技术规范</t>
  </si>
  <si>
    <t>GB/T 29124-2012</t>
  </si>
  <si>
    <t>氢燃料电池电动汽车示范运行配套设施规范</t>
  </si>
  <si>
    <t>GB/T 19349-2012</t>
  </si>
  <si>
    <t>金属和其它无机覆盖层 为减少氢脆危险的钢铁预处理</t>
  </si>
  <si>
    <t>武汉材保电镀技术生产力促进中心</t>
  </si>
  <si>
    <t>GB/T 19350-2012</t>
  </si>
  <si>
    <t>金属和其它无机覆盖层 为减少氢脆危险的涂覆后钢铁的处理</t>
  </si>
  <si>
    <t>GB/T 29411-2012</t>
  </si>
  <si>
    <t>水电解氢氧发生器技术要求</t>
  </si>
  <si>
    <t>娄底德胜能源设备发展有限公司</t>
  </si>
  <si>
    <t>湖南</t>
  </si>
  <si>
    <t>中冶建筑研究总院有限公司</t>
  </si>
  <si>
    <t>GB/T 29412-2012</t>
  </si>
  <si>
    <t>变压吸附提纯氢用吸附器</t>
  </si>
  <si>
    <t>四川天一科技有限公司</t>
  </si>
  <si>
    <t>GB/T 23751.3-2024</t>
  </si>
  <si>
    <t>微型燃料电池发电系统 第3部分：燃料容器互换性</t>
  </si>
  <si>
    <t>浙江天能氢能源科技有限公司</t>
  </si>
  <si>
    <t>GB/T 29838-2013</t>
  </si>
  <si>
    <t>燃料电池 模块</t>
  </si>
  <si>
    <t>新源动力股份有限公司</t>
  </si>
  <si>
    <t>GB/T 30084-2013</t>
  </si>
  <si>
    <t>便携式燃料电池发电系统-安全</t>
  </si>
  <si>
    <t>GB/T 30718-2014</t>
  </si>
  <si>
    <t>压缩氢气车辆加注连接装置</t>
  </si>
  <si>
    <t>GB/T 30719-2014</t>
  </si>
  <si>
    <t>液氢车辆燃料加注系统接口</t>
  </si>
  <si>
    <t>GB/T 31139-2014</t>
  </si>
  <si>
    <t>移动式加氢设施安全技术规范</t>
  </si>
  <si>
    <t>GB/T 31036-2014</t>
  </si>
  <si>
    <t>质子交换膜燃料电池备用电源系统 安全</t>
  </si>
  <si>
    <t>GB/T 31037.1-2014</t>
  </si>
  <si>
    <t>工业起升车辆用燃料电池发电系统 第1部分：安全</t>
  </si>
  <si>
    <t>UL美华认证有限公司</t>
  </si>
  <si>
    <t>宁波拜特测控技术有限公司</t>
  </si>
  <si>
    <t>GB/T 31037.2-2014</t>
  </si>
  <si>
    <t>工业起升车辆用燃料电池发电系统 第2部分：技术条件</t>
  </si>
  <si>
    <t>GB/T 20042.7-2024</t>
  </si>
  <si>
    <t>质子交换膜燃料电池 第7部分：炭纸特性测试方法</t>
  </si>
  <si>
    <t>GB/T 31035-2014</t>
  </si>
  <si>
    <t>质子交换膜燃料电池电堆低温特性试验方法</t>
  </si>
  <si>
    <t>GB/T 31886.1-2015</t>
  </si>
  <si>
    <t>反应气中杂质对质子交换膜燃料电池性能影响的测试方法 第1部分：空气中杂质</t>
  </si>
  <si>
    <t>GB/T 31886.2-2015</t>
  </si>
  <si>
    <t>反应气中杂质对质子交换膜燃料电池性能影响的测试方法 第2部分：氢气中杂质</t>
  </si>
  <si>
    <t>GB 32311-2015</t>
  </si>
  <si>
    <t>水电解制氢系统能效限定值及能效等级</t>
  </si>
  <si>
    <t>苏州竞立制氢设备有限公司</t>
  </si>
  <si>
    <t>SAC/TC20 全国能源基础与管理标准化技术委员会</t>
  </si>
  <si>
    <t>GB/T 33292-2016</t>
  </si>
  <si>
    <t>燃料电池备用电源用金属氢化物储氢系统</t>
  </si>
  <si>
    <t>北京有色金属研究总院</t>
  </si>
  <si>
    <t>GB/T 33291-2016</t>
  </si>
  <si>
    <t>氢化物可逆吸放氢压力-组成-等温线（P-C-T）测试方法</t>
  </si>
  <si>
    <t>GB/T 20042.1-2017</t>
  </si>
  <si>
    <t>质子交换膜燃料电池 第1部分：术语</t>
  </si>
  <si>
    <t>武汉众宇动力系统科技有限公司</t>
  </si>
  <si>
    <t>GB/T 27748.1-2017</t>
  </si>
  <si>
    <t>固定式燃料电池发电系统 第1部分：安全</t>
  </si>
  <si>
    <t>GB/T 33983.1-2017</t>
  </si>
  <si>
    <t>直接甲醇燃料电池系统 第1部分：安全</t>
  </si>
  <si>
    <t>大连爱镁瑞电池有限公司</t>
  </si>
  <si>
    <t>GB/T 33978-2017</t>
  </si>
  <si>
    <t>道路车辆用质子交换膜燃料电池模块</t>
  </si>
  <si>
    <t>GB/T 23751.2-2017</t>
  </si>
  <si>
    <t>微型燃料电池发电系统 第2部分: 性能试验方法</t>
  </si>
  <si>
    <t>GB/T 27748.4-2017</t>
  </si>
  <si>
    <t>固定式燃料电池发电系统 第4部分：小型燃料电池发电系统性能试验方法</t>
  </si>
  <si>
    <t>GB/T 33979-2017</t>
  </si>
  <si>
    <t>质子交换膜燃料电池发电系统低温特性测试方法</t>
  </si>
  <si>
    <t>GB/T 33983.2-2017</t>
  </si>
  <si>
    <t>直接甲醇燃料电池系统 第2部分：性能试验方法</t>
  </si>
  <si>
    <t>武汉众宇动力系统
科技有限公司</t>
  </si>
  <si>
    <t>GB/T 27748.3-2017</t>
  </si>
  <si>
    <t>固定式燃料电池发电系统 第3部分：安装</t>
  </si>
  <si>
    <t>GB/T 34582-2017</t>
  </si>
  <si>
    <t>固体氧化物燃料电池单电池和电池堆性能试验方法</t>
  </si>
  <si>
    <t>上海交通大学</t>
  </si>
  <si>
    <t>众宇氢能技术（荆州）有限公司</t>
  </si>
  <si>
    <t>GB/T 34537-2017</t>
  </si>
  <si>
    <t>车用压缩氢气天然气混合燃气</t>
  </si>
  <si>
    <t>山西省国新能源发展集团有限公司</t>
  </si>
  <si>
    <t>GB/T 34539-2017</t>
  </si>
  <si>
    <t>氢氧发生器安全技术要求</t>
  </si>
  <si>
    <t>浙江和利氢能科技股份有限公司</t>
  </si>
  <si>
    <t>GB/Z 34541-2017</t>
  </si>
  <si>
    <t>氢能车辆加氢设施安全运行管理规程</t>
  </si>
  <si>
    <t>GB/T 34583-2017</t>
  </si>
  <si>
    <t>加氢站用储氢装置安全技术要求</t>
  </si>
  <si>
    <t>GB/T 34584-2017</t>
  </si>
  <si>
    <t>加氢站安全技术规范</t>
  </si>
  <si>
    <t>GB/T 34540-2017</t>
  </si>
  <si>
    <t>甲醇转化变压吸附制氢系统技术要求</t>
  </si>
  <si>
    <t>四川亚联高科技股份有限公司</t>
  </si>
  <si>
    <t>GB/T 34425-2023</t>
  </si>
  <si>
    <t>燃料电池电动汽车 加氢枪</t>
  </si>
  <si>
    <t>GB/T 34542.1-2017</t>
  </si>
  <si>
    <t>氢气储存输送系统 第1部分：通用要求</t>
  </si>
  <si>
    <t>GB/T 34872-2017</t>
  </si>
  <si>
    <t>质子交换膜燃料电池供氢系统技术要求</t>
  </si>
  <si>
    <t>GB/T 34544-2017</t>
  </si>
  <si>
    <t>小型燃料电池车用低压储氢装置安全试验方法</t>
  </si>
  <si>
    <t>GB/T 34593-2017</t>
  </si>
  <si>
    <t>燃料电池发动机氢气排放测试方法</t>
  </si>
  <si>
    <t>GB/T 35544-2017</t>
  </si>
  <si>
    <t>车用压缩氢气铝内胆碳纤维全缠绕气瓶</t>
  </si>
  <si>
    <t>大连市锅炉压力容器检验研究院</t>
  </si>
  <si>
    <t>SAC/TC31 全国气瓶标准化技术委员会</t>
  </si>
  <si>
    <t>GB/T 35178-2017</t>
  </si>
  <si>
    <t>燃料电池电动汽车 氢气消耗量 测量方法</t>
  </si>
  <si>
    <t>GB/T 34542.2-2018</t>
  </si>
  <si>
    <t>氢气储存输送系统 第2部分：金属材料与氢环境相容性试验方法</t>
  </si>
  <si>
    <t>GB/T 34542.3-2018</t>
  </si>
  <si>
    <t>氢气储存输送系统 第3部分：金属材料氢脆敏感度试验方法</t>
  </si>
  <si>
    <t>GB/T 36288-2018</t>
  </si>
  <si>
    <t>燃料电池电动汽车 燃料电池堆安全要求</t>
  </si>
  <si>
    <t>GB/T 36544-2018</t>
  </si>
  <si>
    <t>变电站用质子交换膜燃料电池供电系统</t>
  </si>
  <si>
    <t>全球能源互联网研究院有限公司</t>
  </si>
  <si>
    <t>GB/T 37244-2018</t>
  </si>
  <si>
    <t>GB/T 37154-2018</t>
  </si>
  <si>
    <t>燃料电池电动汽车 整车氢气排放测试方法</t>
  </si>
  <si>
    <t>GB/T 37563-2019</t>
  </si>
  <si>
    <t>压力型水电解制氢系统安全要求</t>
  </si>
  <si>
    <t>山东赛克赛斯氢能源有限公司</t>
  </si>
  <si>
    <t>GB/T 37562-2019</t>
  </si>
  <si>
    <t>压力型水电解制氢系统技术条件</t>
  </si>
  <si>
    <t>北京化工大学</t>
  </si>
  <si>
    <t>GB/T 28816-2020</t>
  </si>
  <si>
    <t>燃料电池 术语</t>
  </si>
  <si>
    <t>新研氢能源科技有限公司</t>
  </si>
  <si>
    <t>GB/T 38954-2020</t>
  </si>
  <si>
    <t>无人机用氢燃料电池发电系统</t>
  </si>
  <si>
    <t>首航国翼（武汉）科技有限公司</t>
  </si>
  <si>
    <t>GB/T 38914-2020</t>
  </si>
  <si>
    <t>车用质子交换膜燃料电池堆使用寿命测试评价方法</t>
  </si>
  <si>
    <t>中国科学院大连物理化学研究所</t>
  </si>
  <si>
    <t>GB/T 24549-2020</t>
  </si>
  <si>
    <t>GB/T 39132-2020</t>
  </si>
  <si>
    <t>燃料电池电动汽车定型试验规程</t>
  </si>
  <si>
    <t>GB/T 39359-2020</t>
  </si>
  <si>
    <t>积分球法测量悬浮式液固光催化制氢反应</t>
  </si>
  <si>
    <t>中国科学院兰州化学物理研究所</t>
  </si>
  <si>
    <t>GB/T 26779-2021</t>
  </si>
  <si>
    <t>燃料电池电动汽车加氢口</t>
  </si>
  <si>
    <t>GB/T 40045-2021</t>
  </si>
  <si>
    <t>氢能汽车用燃料 液氢</t>
  </si>
  <si>
    <t>GB/T 40061-2021</t>
  </si>
  <si>
    <t>液氢生产系统技术规范</t>
  </si>
  <si>
    <t>江苏国富氢能技术装备有限公司</t>
  </si>
  <si>
    <t>GB/T 40060-2021</t>
  </si>
  <si>
    <t>液氢贮存和运输技术要求</t>
  </si>
  <si>
    <t>GB/T 41134.1-2021</t>
  </si>
  <si>
    <t>电驱动工业车辆用燃料电池发电系统 第1部分：安全</t>
  </si>
  <si>
    <t>GB/T 20042.3-2022</t>
  </si>
  <si>
    <t>质子交换膜燃料电池 第3部分：质子交换膜测试方法</t>
  </si>
  <si>
    <t>山东东岳未来氢能材料股份有限公司</t>
  </si>
  <si>
    <t>GB/T 27748.2-2022</t>
  </si>
  <si>
    <t>固定式燃料电池发电系统 第2部分：性能试验方法</t>
  </si>
  <si>
    <t>中科院上海硅酸盐研究所</t>
  </si>
  <si>
    <t>GB/T 28817-2022</t>
  </si>
  <si>
    <t>聚合物电解质燃料电池单电池测试方法</t>
  </si>
  <si>
    <t>GB/T 42847.2-2023</t>
  </si>
  <si>
    <t>储能系统用可逆模式燃料电池模块 第2部分：可逆模式质子交换膜单池与电堆性能测试方法</t>
  </si>
  <si>
    <t>北京师范大学</t>
  </si>
  <si>
    <t>GB/T 42847.3-2023</t>
  </si>
  <si>
    <t>储能系统用可逆模式燃料电池模块 第3部分：电能储存系统性能测试方法</t>
  </si>
  <si>
    <t>GB/T 31138-2022</t>
  </si>
  <si>
    <t>加氢机</t>
  </si>
  <si>
    <t>北京低碳清洁能源研究院</t>
  </si>
  <si>
    <t>GB/T 29729-2022</t>
  </si>
  <si>
    <t>氢系统安全的基本要求</t>
  </si>
  <si>
    <t>GB/T 42177-2022</t>
  </si>
  <si>
    <t>加氢站氢气阀门技术要求及试验方法</t>
  </si>
  <si>
    <t>GB/T 24554-2022</t>
  </si>
  <si>
    <t>燃料电池发动机性能试验方法</t>
  </si>
  <si>
    <t>GB/Z 41117-2021</t>
  </si>
  <si>
    <t>紧固件 钢制紧固件氢脆基本原理</t>
  </si>
  <si>
    <t>中机研标准技术研究院（北京）有限公司</t>
  </si>
  <si>
    <t>东风商用车有限公司东风商用车技术中心</t>
  </si>
  <si>
    <t>舟山市7412工厂</t>
  </si>
  <si>
    <t>国家市场监督管理总局</t>
  </si>
  <si>
    <t>GB/T 20042.2-2023</t>
  </si>
  <si>
    <t>质子交换膜燃料电池 第2部分：电池堆通用技术条件</t>
  </si>
  <si>
    <t>GB/T 26990-2023</t>
  </si>
  <si>
    <t>燃料电池电动汽车 车载氢系统 技术条件</t>
  </si>
  <si>
    <t>GB/T 43252-2023</t>
  </si>
  <si>
    <t>燃料电池电动汽车能量消耗及续驶里程试验方法</t>
  </si>
  <si>
    <t>GB/T 43255-2023</t>
  </si>
  <si>
    <t>燃料电池电动汽车低温冷启动性能试验方法</t>
  </si>
  <si>
    <t>GB/T 42857-2023</t>
  </si>
  <si>
    <t>变压吸附提纯氢气系统安全要求</t>
  </si>
  <si>
    <t>GB/T 42855-2023</t>
  </si>
  <si>
    <t>氢燃料电池车辆加注协议技术要求</t>
  </si>
  <si>
    <t>GB/T 42536-2023</t>
  </si>
  <si>
    <t>车用高压储氢气瓶组合阀门</t>
  </si>
  <si>
    <t>GB/T 42610-2023</t>
  </si>
  <si>
    <t>高压氢气瓶塑料内胆和氢气相容性试验方法</t>
  </si>
  <si>
    <t>GB/T 43361-2023</t>
  </si>
  <si>
    <t>气体分析 道路车辆用质子交换膜燃料电池氢燃料分析方法的确认</t>
  </si>
  <si>
    <t>中国测试技术研究院化学研究所</t>
  </si>
  <si>
    <t>国家管网集团联合管道有限责任公司西气东输分公司</t>
  </si>
  <si>
    <t>GB/T 43674-2024</t>
  </si>
  <si>
    <t>加氢站通用要求</t>
  </si>
  <si>
    <t>GB/T 43691.1-2024</t>
  </si>
  <si>
    <t>燃料电池模块 第1部分：安全</t>
  </si>
  <si>
    <t>北京英博捷氢科技有限公司</t>
  </si>
  <si>
    <t>北京神椽科技有限公司</t>
  </si>
  <si>
    <t>GB/T 44007-2024</t>
  </si>
  <si>
    <t>纳米技术 纳米多孔材料储氢量测定 气体吸附法</t>
  </si>
  <si>
    <t>国家纳米科学中心</t>
  </si>
  <si>
    <t>北京国氢中联氢能科技研究院有限公司</t>
  </si>
  <si>
    <t>浙江师范大学</t>
  </si>
  <si>
    <t>SAC/TC279 全国纳米技术标准化技术委员会</t>
  </si>
  <si>
    <t>GB/T 44131-2024</t>
  </si>
  <si>
    <t>燃料电池电动汽车碰撞后安全要求</t>
  </si>
  <si>
    <t>丰田汽车（中国）投资有限公司</t>
  </si>
  <si>
    <t>GB/Z 44116-2024</t>
  </si>
  <si>
    <t>燃料电池发动机及关键部件耐久性试验方法</t>
  </si>
  <si>
    <t>GB/T 44262-2024</t>
  </si>
  <si>
    <t>质子交换膜燃料电池汽车用氢气采样技术要求</t>
  </si>
  <si>
    <t>中石化石油化工科学研究院有限公司</t>
  </si>
  <si>
    <t>GB/T 44242-2024</t>
  </si>
  <si>
    <t>质子交换膜燃料电池汽车用氢气 无机卤化物、甲酸的测定 离子色谱法</t>
  </si>
  <si>
    <t>GB/T 44243-2024</t>
  </si>
  <si>
    <t>质子交换膜燃料电池汽车用氢气 含硫化合物、甲醛和有机卤化物的测定 气相色谱法</t>
  </si>
  <si>
    <t>GB/T 44238-2024</t>
  </si>
  <si>
    <t>质子交换膜燃料电池汽车用氢气 氦、氩、氮和烃类的测定 气相色谱法</t>
  </si>
  <si>
    <t>四川中测标物科技有限公司</t>
  </si>
  <si>
    <t>GB/T 44244-2024</t>
  </si>
  <si>
    <t>质子交换膜燃料电池汽车用氢气 一氧化碳、二氧化碳的测定 气相色谱法</t>
  </si>
  <si>
    <t>GB/T 44457-2024</t>
  </si>
  <si>
    <t>加氢站用储氢压力容器</t>
  </si>
  <si>
    <t>GB/T 44399-2024</t>
  </si>
  <si>
    <t>移动式金属氢化物可逆储放氢系统</t>
  </si>
  <si>
    <t>有研工程技术研究院有限公司</t>
  </si>
  <si>
    <t>有研（广东）新材料技术研究院</t>
  </si>
  <si>
    <t>GB/T 44723-2024</t>
  </si>
  <si>
    <t>氢燃料内燃机 通用技术条件</t>
  </si>
  <si>
    <t>中国第一汽车集团有限公司</t>
  </si>
  <si>
    <t>吉林</t>
  </si>
  <si>
    <t>北京理工大学</t>
  </si>
  <si>
    <t>SAC/TC177全国内燃机标准化技术委员会</t>
  </si>
  <si>
    <t>GB/T 44754-2024</t>
  </si>
  <si>
    <t>固态储氢用稀土系储氢合金</t>
  </si>
  <si>
    <t>安泰环境工程技术有限公司</t>
  </si>
  <si>
    <t>内蒙古稀奥科贮氢合金有限公司</t>
  </si>
  <si>
    <t>包头稀土研究院</t>
  </si>
  <si>
    <t>SAC/TC229全国稀土标准化技术委员会</t>
  </si>
  <si>
    <t>GB/T 45092-2024</t>
  </si>
  <si>
    <t>电解水制氢用电极性能测试与评价</t>
  </si>
  <si>
    <t>国家电投集团科学技术研究院有限公司</t>
  </si>
  <si>
    <t>GB/T 45027-2024</t>
  </si>
  <si>
    <t>液氢阀门 通用规范</t>
  </si>
  <si>
    <t>北京航天动力研究所</t>
  </si>
  <si>
    <t>北京航天石化技术装备工程有限公司</t>
  </si>
  <si>
    <t>北京航化节能环保技术有限公司</t>
  </si>
  <si>
    <t>GB/T 45161-2024</t>
  </si>
  <si>
    <t>液氢容器用安全阀技术规范</t>
  </si>
  <si>
    <t>通用机械关键核心基础件创新中心（安徽）有限公司</t>
  </si>
  <si>
    <t>SAC/TC503 全国安全泄压装置标准化技术委员会</t>
  </si>
  <si>
    <t>GB/T 45332-2025</t>
  </si>
  <si>
    <t>电解水制氢用质子交换膜</t>
  </si>
  <si>
    <t>上海亿氢科技有限公司</t>
  </si>
  <si>
    <t>SAC/TC382全国分离膜标准化技术委员会</t>
  </si>
  <si>
    <t>GB/T 31036-2025</t>
  </si>
  <si>
    <t>GB/T 45331-2025</t>
  </si>
  <si>
    <t>质子交换膜增强用聚四氟乙烯膜</t>
  </si>
  <si>
    <t>宁波昌褀微滤膜科技有限公司</t>
  </si>
  <si>
    <t>山东东岳高分子材料有限公司</t>
  </si>
  <si>
    <t>GB/T 45539-2025</t>
  </si>
  <si>
    <t>PEM电解槽技术要求</t>
  </si>
  <si>
    <t>中国华电科工集团有限公司</t>
  </si>
  <si>
    <t>GB/T 45541-2025</t>
  </si>
  <si>
    <t>PEM电解槽性能测试方法</t>
  </si>
  <si>
    <t>GB/T 45819-2025</t>
  </si>
  <si>
    <t>离心式液氢泵 技术规范</t>
  </si>
  <si>
    <t>合肥新沪屏蔽泵有限公司</t>
  </si>
  <si>
    <t>SAC/TC211 全国泵标准化委员会</t>
  </si>
  <si>
    <t>GB/T 29123-2025</t>
  </si>
  <si>
    <t>燃料电池电动汽车运行和存放技术规范</t>
  </si>
  <si>
    <t>北京工业大学</t>
  </si>
  <si>
    <t>GB/T 19158-2025</t>
  </si>
  <si>
    <t>集装及站用压缩氢气铝内胆碳纤维全缠绕气瓶</t>
  </si>
  <si>
    <t>沈阳欧施盾新材料科技有限公司</t>
  </si>
  <si>
    <t>GB/T 35544-2025</t>
  </si>
  <si>
    <t>GB/T 46104-2025</t>
  </si>
  <si>
    <t>电解水制氢系统功率波动适应性测试方法</t>
  </si>
  <si>
    <t>GB/T 29124-2025</t>
  </si>
  <si>
    <t>燃料电池电动汽车配套设施规范</t>
  </si>
  <si>
    <t>GB 29743.3-2025</t>
  </si>
  <si>
    <t>机动车冷却液 第3部分：燃料电池汽车冷却液</t>
  </si>
  <si>
    <t>348 交通运输部</t>
  </si>
  <si>
    <t>GB/T 20042.4-2025</t>
  </si>
  <si>
    <t>质子交换膜燃料电池 第4部分：电催化剂测试方法</t>
  </si>
  <si>
    <t>GB/T 20801.5-2025</t>
  </si>
  <si>
    <t>压力管道规范 第5部分：氢用管道</t>
  </si>
  <si>
    <t>中石化上海工程有限公司</t>
  </si>
  <si>
    <t>国家石油天然气管网集团有限公司</t>
  </si>
  <si>
    <t>GB/T 46599-2025</t>
  </si>
  <si>
    <t>氢气储输管道用钢管</t>
  </si>
  <si>
    <t>中国石油集团渤海石油装备制造有限公司</t>
  </si>
  <si>
    <t>中国石油工程建设有限公司华北分公司</t>
  </si>
  <si>
    <t>GB/T 46598-2025</t>
  </si>
  <si>
    <t>氢气输送和存储管道用钢板和钢带</t>
  </si>
  <si>
    <t>首钢集团有限公司</t>
  </si>
  <si>
    <t>中国科学院理化技术研究所</t>
  </si>
  <si>
    <t>南京钢铁股份有限公司</t>
  </si>
  <si>
    <t>GB/T 46439-2025</t>
  </si>
  <si>
    <t>马鞍山尊马科技有限公司</t>
  </si>
  <si>
    <t>浙江久立特材科技股份有限公司</t>
  </si>
  <si>
    <t>台州华迪材料科技有限公司</t>
  </si>
  <si>
    <t>GB/T 47039-2026</t>
  </si>
  <si>
    <t>氢冶金 高炉冶炼富氢系统技术要求</t>
  </si>
  <si>
    <t>上海大学</t>
  </si>
  <si>
    <t>昌黎县兴国精密机件有限公司</t>
  </si>
  <si>
    <t>GB/T 47107-2026</t>
  </si>
  <si>
    <t>燃料电池铂碳电催化剂</t>
  </si>
  <si>
    <t>贵研新能源科技（上海）有限公司</t>
  </si>
  <si>
    <t>格林美股份有限公司</t>
  </si>
  <si>
    <t>云南贵金属实验室有限公司</t>
  </si>
  <si>
    <t>云南</t>
  </si>
  <si>
    <t>GB/Z 168-2026</t>
  </si>
  <si>
    <t>大容积塑料内胆碳纤维全缠绕压缩氢气瓶</t>
  </si>
  <si>
    <t>GB/T 47317-2026</t>
  </si>
  <si>
    <t>船用甲醇燃料发动机</t>
  </si>
  <si>
    <t>中国船舶集团有限公司综合技术经济研究院</t>
  </si>
  <si>
    <t>中国船舶集团有限公司第七一一研究所</t>
  </si>
  <si>
    <t>淄柴动力有限公司</t>
  </si>
  <si>
    <t>SAC/TC137 全国船用机械标准化技术委员会</t>
  </si>
  <si>
    <t>GB/T 47487-2026</t>
  </si>
  <si>
    <t>车用氢燃料发动机用喷氢器</t>
  </si>
  <si>
    <t>联合汽车电子有限公司</t>
  </si>
  <si>
    <t>东风汽车集团有限公司</t>
  </si>
  <si>
    <t>博世汽车系统（无锡）有限公司</t>
  </si>
  <si>
    <t>GB/T 41134.3-2026</t>
  </si>
  <si>
    <t>电驱动工业车辆用燃料电池发电系统 第3部分：挖掘机用燃料电池/电池混合系统性能试验方法</t>
  </si>
  <si>
    <t>GB/Z 172-2026</t>
  </si>
  <si>
    <t>燃料电池电动摩托车和燃料电池电动轻便摩托车安全要求指南</t>
  </si>
  <si>
    <t>重庆宗申新能源发展有限公司</t>
  </si>
  <si>
    <t>GB/Z 173-2026</t>
  </si>
  <si>
    <t>燃料电池电动摩托车和燃料电池电动轻便摩托车 能量消耗率及续驶里程测试规范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</si>
</sst>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3"/>
      <charset val="134"/>
      <scheme val="minor"/>
    </font>
    <font>
      <b/>
      <sz val="8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8"/>
      <name val="微软雅黑"/>
      <family val="2"/>
      <charset val="134"/>
    </font>
    <font>
      <b/>
      <sz val="9"/>
      <name val="微软雅黑"/>
      <family val="2"/>
      <charset val="134"/>
    </font>
    <font>
      <b/>
      <sz val="8"/>
      <color indexed="9"/>
      <name val="微软雅黑"/>
      <family val="2"/>
      <charset val="134"/>
    </font>
    <font>
      <sz val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color rgb="FFC0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8"/>
      <color rgb="FFFF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8"/>
      <color rgb="FFBD4FC7"/>
      <name val="微软雅黑"/>
      <family val="2"/>
      <charset val="134"/>
    </font>
    <font>
      <b/>
      <sz val="9"/>
      <color indexed="9"/>
      <name val="微软雅黑"/>
      <family val="2"/>
      <charset val="134"/>
    </font>
    <font>
      <sz val="11"/>
      <color theme="5" tint="-0.499984740745262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11"/>
      <color rgb="FFBD4FC7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4" fontId="6" fillId="4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4" xfId="0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4" fontId="13" fillId="4" borderId="4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4" fontId="12" fillId="0" borderId="4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4" fontId="6" fillId="6" borderId="4" xfId="0" applyNumberFormat="1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4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wei\Downloads\Wasserstoffdaten%20DL%2020260430.xlsx" TargetMode="External"/><Relationship Id="rId1" Type="http://schemas.openxmlformats.org/officeDocument/2006/relationships/externalLinkPath" Target="file:///C:\Users\huawei\Downloads\Wasserstoffdaten%20DL%202026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"/>
      <sheetName val="EEX HYDRIX"/>
      <sheetName val="MIBGAS IBHYX"/>
      <sheetName val="电解槽系统大致构成"/>
      <sheetName val="企业-氢能出海"/>
      <sheetName val="调研记录"/>
      <sheetName val="国际-FC（已停止更新）"/>
      <sheetName val="国际-HRS，FCV"/>
      <sheetName val="国际-国家级氢能政策"/>
      <sheetName val="标准-团体标准"/>
      <sheetName val="标准-地方标准"/>
      <sheetName val="标准-行业标准"/>
      <sheetName val="标准-国家标准"/>
      <sheetName val="企业-投融资"/>
      <sheetName val="企业-（准）上市企业财务数据"/>
      <sheetName val="企业-上市企业氢能领域进展"/>
      <sheetName val="碳市场价格-2021年"/>
      <sheetName val="碳市场价格-2022年"/>
      <sheetName val="碳市场价格-2023年"/>
      <sheetName val="碳市场价格-2024年"/>
      <sheetName val="碳市场价格-2025年"/>
      <sheetName val="碳市场价格-2026年"/>
      <sheetName val="CCER"/>
      <sheetName val="技术-科技部氢能专项"/>
      <sheetName val="电解槽-下线时间"/>
      <sheetName val="电解槽-产能查询"/>
      <sheetName val="Sheet2"/>
      <sheetName val="电解槽参数（尚待修改）"/>
      <sheetName val="电解槽-测试平台"/>
      <sheetName val="政策-政府工作报告"/>
      <sheetName val="政策-示范城市群补贴"/>
      <sheetName val="政策-制氢加氢一体站放开"/>
      <sheetName val="政策-氢能高速"/>
      <sheetName val="政策-加氢站主管部门"/>
      <sheetName val="政策-各地方政府规划"/>
      <sheetName val="政府-各省级政府规划目标"/>
      <sheetName val="制-副产氢供氢中心"/>
      <sheetName val="制-电解槽招标"/>
      <sheetName val="制-可再生能源制氢"/>
      <sheetName val="制-可再生能源制氢（废止与无进展）"/>
      <sheetName val="氢氨醇消纳"/>
      <sheetName val="低碳与绿色甲醇项目"/>
      <sheetName val="SAF"/>
      <sheetName val="制-海水（海上风电）制氢"/>
      <sheetName val="储运-氢气管道项目"/>
      <sheetName val="储运-全球液氢项目"/>
      <sheetName val="加-2020年数据"/>
      <sheetName val="加-2021年数据"/>
      <sheetName val="加-2022年数据"/>
      <sheetName val="加-2023年数据"/>
      <sheetName val="加-2024年数据"/>
      <sheetName val="加-2025年数据"/>
      <sheetName val="加氢站-V"/>
      <sheetName val="加-加氢站总表"/>
      <sheetName val="用-燃料电池发电"/>
      <sheetName val="用-车辆招投标"/>
      <sheetName val="车辆招投标（分析用）"/>
      <sheetName val="用-船舶"/>
      <sheetName val="用-氢内燃机"/>
      <sheetName val="用-氢冶金"/>
      <sheetName val="用-SAF白名单"/>
      <sheetName val="用-工信部公告308-366"/>
      <sheetName val="用-工信部公告367-"/>
      <sheetName val="用-燃料电池系统与电堆参数（不全）"/>
      <sheetName val="用-燃料电池系统产能"/>
      <sheetName val="用-燃料电池电堆产能"/>
      <sheetName val="其他-氢能园区"/>
      <sheetName val="氢能两轮车（待整理）"/>
      <sheetName val="能源局-能源领域首台（套）重大技术装备"/>
      <sheetName val="工信部-国家工业和信息化领域节能降碳技术装备推荐目录"/>
      <sheetName val="发改委-绿色低碳先进技术示范项目清单"/>
      <sheetName val="工信部-工业和信息化部重点培育中试平台"/>
      <sheetName val="甲醇&amp;氨船舶订单跟踪"/>
      <sheetName val="氢教育"/>
      <sheetName val="央企（正在更新）"/>
      <sheetName val="生物质气化炉"/>
      <sheetName val="EHB"/>
      <sheetName val="绿色航运走廊"/>
      <sheetName val="中国人民银行-绿色金融支持项目目录"/>
      <sheetName val="国家能源局-绿色液体燃料技术攻关和产业化试点"/>
      <sheetName val="国家能源局-能源领域氢能试点"/>
      <sheetName val="国内绿色燃料加注与贸易"/>
      <sheetName val="专精特新大赛企业赛前10"/>
      <sheetName val="氢能无人机-待整理"/>
      <sheetName val="氢氨醇招标"/>
      <sheetName val="认证"/>
      <sheetName val="Sheet1"/>
      <sheetName val="bad news"/>
      <sheetName val="海外支持（待更新）"/>
      <sheetName val="火车"/>
      <sheetName val="无人机（待更新）"/>
      <sheetName val="价格"/>
      <sheetName val="全球氢能"/>
    </sheetNames>
    <sheetDataSet>
      <sheetData sheetId="0">
        <row r="2">
          <cell r="A2" t="str">
            <v>重庆</v>
          </cell>
          <cell r="B2" t="str">
            <v>西南</v>
          </cell>
        </row>
        <row r="3">
          <cell r="A3" t="str">
            <v>云南</v>
          </cell>
          <cell r="B3" t="str">
            <v>西南</v>
          </cell>
        </row>
        <row r="4">
          <cell r="A4" t="str">
            <v>四川</v>
          </cell>
          <cell r="B4" t="str">
            <v>西南</v>
          </cell>
        </row>
        <row r="5">
          <cell r="A5" t="str">
            <v>贵州</v>
          </cell>
          <cell r="B5" t="str">
            <v>西南</v>
          </cell>
        </row>
        <row r="6">
          <cell r="A6" t="str">
            <v>西藏</v>
          </cell>
          <cell r="B6" t="str">
            <v>西南</v>
          </cell>
        </row>
        <row r="7">
          <cell r="A7" t="str">
            <v>新疆</v>
          </cell>
          <cell r="B7" t="str">
            <v>西北</v>
          </cell>
        </row>
        <row r="8">
          <cell r="A8" t="str">
            <v>陕西</v>
          </cell>
          <cell r="B8" t="str">
            <v>西北</v>
          </cell>
        </row>
        <row r="9">
          <cell r="A9" t="str">
            <v>青海</v>
          </cell>
          <cell r="B9" t="str">
            <v>西北</v>
          </cell>
        </row>
        <row r="10">
          <cell r="A10" t="str">
            <v>甘肃</v>
          </cell>
          <cell r="B10" t="str">
            <v>西北</v>
          </cell>
        </row>
        <row r="11">
          <cell r="A11" t="str">
            <v>宁夏</v>
          </cell>
          <cell r="B11" t="str">
            <v>西北</v>
          </cell>
        </row>
        <row r="12">
          <cell r="A12" t="str">
            <v>湖南</v>
          </cell>
          <cell r="B12" t="str">
            <v>华中</v>
          </cell>
        </row>
        <row r="13">
          <cell r="A13" t="str">
            <v>湖北</v>
          </cell>
          <cell r="B13" t="str">
            <v>华中</v>
          </cell>
        </row>
        <row r="14">
          <cell r="A14" t="str">
            <v>河南</v>
          </cell>
          <cell r="B14" t="str">
            <v>华中</v>
          </cell>
        </row>
        <row r="15">
          <cell r="A15" t="str">
            <v>广东</v>
          </cell>
          <cell r="B15" t="str">
            <v>华南</v>
          </cell>
        </row>
        <row r="16">
          <cell r="A16" t="str">
            <v>广西</v>
          </cell>
          <cell r="B16" t="str">
            <v>华南</v>
          </cell>
        </row>
        <row r="17">
          <cell r="A17" t="str">
            <v>香港</v>
          </cell>
          <cell r="B17" t="str">
            <v>华南</v>
          </cell>
        </row>
        <row r="18">
          <cell r="A18" t="str">
            <v>澳门</v>
          </cell>
          <cell r="B18" t="str">
            <v>华南</v>
          </cell>
        </row>
        <row r="19">
          <cell r="A19" t="str">
            <v>浙江</v>
          </cell>
          <cell r="B19" t="str">
            <v>华东</v>
          </cell>
        </row>
        <row r="20">
          <cell r="A20" t="str">
            <v>上海</v>
          </cell>
          <cell r="B20" t="str">
            <v>华东</v>
          </cell>
        </row>
        <row r="21">
          <cell r="A21" t="str">
            <v>山东</v>
          </cell>
          <cell r="B21" t="str">
            <v>华东</v>
          </cell>
        </row>
        <row r="22">
          <cell r="A22" t="str">
            <v>江苏</v>
          </cell>
          <cell r="B22" t="str">
            <v>华东</v>
          </cell>
        </row>
        <row r="23">
          <cell r="A23" t="str">
            <v>福建</v>
          </cell>
          <cell r="B23" t="str">
            <v>华东</v>
          </cell>
        </row>
        <row r="24">
          <cell r="A24" t="str">
            <v>安徽</v>
          </cell>
          <cell r="B24" t="str">
            <v>华东</v>
          </cell>
        </row>
        <row r="25">
          <cell r="A25" t="str">
            <v>内蒙古</v>
          </cell>
          <cell r="B25" t="str">
            <v>华北</v>
          </cell>
        </row>
        <row r="26">
          <cell r="A26" t="str">
            <v>天津</v>
          </cell>
          <cell r="B26" t="str">
            <v>华北</v>
          </cell>
        </row>
        <row r="27">
          <cell r="A27" t="str">
            <v>北京</v>
          </cell>
          <cell r="B27" t="str">
            <v>华北</v>
          </cell>
        </row>
        <row r="28">
          <cell r="A28" t="str">
            <v>河北</v>
          </cell>
          <cell r="B28" t="str">
            <v>华北</v>
          </cell>
        </row>
        <row r="29">
          <cell r="A29" t="str">
            <v>山西</v>
          </cell>
          <cell r="B29" t="str">
            <v>华北</v>
          </cell>
        </row>
        <row r="30">
          <cell r="A30" t="str">
            <v>辽宁</v>
          </cell>
          <cell r="B30" t="str">
            <v>东北</v>
          </cell>
        </row>
        <row r="31">
          <cell r="A31" t="str">
            <v>吉林</v>
          </cell>
          <cell r="B31" t="str">
            <v>东北</v>
          </cell>
        </row>
        <row r="32">
          <cell r="A32" t="str">
            <v>黑龙江</v>
          </cell>
          <cell r="B32" t="str">
            <v>东北</v>
          </cell>
        </row>
        <row r="33">
          <cell r="A33" t="str">
            <v>江西</v>
          </cell>
          <cell r="B33" t="str">
            <v>华东</v>
          </cell>
        </row>
        <row r="34">
          <cell r="A34" t="str">
            <v>海南</v>
          </cell>
          <cell r="B34" t="str">
            <v>华南</v>
          </cell>
        </row>
        <row r="35">
          <cell r="A35" t="str">
            <v>台湾</v>
          </cell>
          <cell r="B35" t="str">
            <v>华东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tbz.org.cn/StandardManage/Detail/53730/" TargetMode="External"/><Relationship Id="rId671" Type="http://schemas.openxmlformats.org/officeDocument/2006/relationships/hyperlink" Target="https://www.ttbz.org.cn/StandardManage/Detail/145565/" TargetMode="External"/><Relationship Id="rId769" Type="http://schemas.openxmlformats.org/officeDocument/2006/relationships/hyperlink" Target="https://www.ttbz.org.cn/StandardManage/Detail/163480/" TargetMode="External"/><Relationship Id="rId21" Type="http://schemas.openxmlformats.org/officeDocument/2006/relationships/hyperlink" Target="http://www.ttbz.org.cn/StandardManage/Detail/68798/" TargetMode="External"/><Relationship Id="rId324" Type="http://schemas.openxmlformats.org/officeDocument/2006/relationships/hyperlink" Target="https://www.ttbz.org.cn/StandardManage/Detail/113054/" TargetMode="External"/><Relationship Id="rId531" Type="http://schemas.openxmlformats.org/officeDocument/2006/relationships/hyperlink" Target="https://www.ttbz.org.cn/StandardManage/Detail/134097/" TargetMode="External"/><Relationship Id="rId629" Type="http://schemas.openxmlformats.org/officeDocument/2006/relationships/hyperlink" Target="https://www.ttbz.org.cn/StandardManage/Detail/143295/" TargetMode="External"/><Relationship Id="rId170" Type="http://schemas.openxmlformats.org/officeDocument/2006/relationships/hyperlink" Target="https://www.ttbz.org.cn/StandardManage/Detail/89780/" TargetMode="External"/><Relationship Id="rId268" Type="http://schemas.openxmlformats.org/officeDocument/2006/relationships/hyperlink" Target="https://www.ttbz.org.cn/StandardManage/Detail/108301/" TargetMode="External"/><Relationship Id="rId475" Type="http://schemas.openxmlformats.org/officeDocument/2006/relationships/hyperlink" Target="https://www.ttbz.org.cn/StandardManage/Detail/130960/" TargetMode="External"/><Relationship Id="rId682" Type="http://schemas.openxmlformats.org/officeDocument/2006/relationships/hyperlink" Target="https://www.ttbz.org.cn/StandardManage/Detail/149233/" TargetMode="External"/><Relationship Id="rId32" Type="http://schemas.openxmlformats.org/officeDocument/2006/relationships/hyperlink" Target="http://www.ttbz.org.cn/StandardManage/Detail/63048/" TargetMode="External"/><Relationship Id="rId128" Type="http://schemas.openxmlformats.org/officeDocument/2006/relationships/hyperlink" Target="http://www.ttbz.org.cn/StandardManage/Detail/30748/" TargetMode="External"/><Relationship Id="rId335" Type="http://schemas.openxmlformats.org/officeDocument/2006/relationships/hyperlink" Target="https://www.ttbz.org.cn/StandardManage/Detail/114640/" TargetMode="External"/><Relationship Id="rId542" Type="http://schemas.openxmlformats.org/officeDocument/2006/relationships/hyperlink" Target="https://www.ttbz.org.cn/StandardManage/Detail/107047/" TargetMode="External"/><Relationship Id="rId181" Type="http://schemas.openxmlformats.org/officeDocument/2006/relationships/hyperlink" Target="https://www.ttbz.org.cn/StandardManage/Detail/94293/" TargetMode="External"/><Relationship Id="rId402" Type="http://schemas.openxmlformats.org/officeDocument/2006/relationships/hyperlink" Target="https://www.ttbz.org.cn/StandardManage/Detail/119102/" TargetMode="External"/><Relationship Id="rId279" Type="http://schemas.openxmlformats.org/officeDocument/2006/relationships/hyperlink" Target="https://www.ttbz.org.cn/StandardManage/Detail/109667/" TargetMode="External"/><Relationship Id="rId486" Type="http://schemas.openxmlformats.org/officeDocument/2006/relationships/hyperlink" Target="https://www.ttbz.org.cn/StandardManage/Detail/131961/" TargetMode="External"/><Relationship Id="rId693" Type="http://schemas.openxmlformats.org/officeDocument/2006/relationships/hyperlink" Target="https://www.ttbz.org.cn/StandardManage/Detail/154184/" TargetMode="External"/><Relationship Id="rId707" Type="http://schemas.openxmlformats.org/officeDocument/2006/relationships/hyperlink" Target="https://www.ttbz.org.cn/StandardManage/Detail/156324/" TargetMode="External"/><Relationship Id="rId43" Type="http://schemas.openxmlformats.org/officeDocument/2006/relationships/hyperlink" Target="http://www.ttbz.org.cn/StandardManage/Detail/61068/" TargetMode="External"/><Relationship Id="rId139" Type="http://schemas.openxmlformats.org/officeDocument/2006/relationships/hyperlink" Target="https://www.ttbz.org.cn/StandardManage/Detail/76135/" TargetMode="External"/><Relationship Id="rId290" Type="http://schemas.openxmlformats.org/officeDocument/2006/relationships/hyperlink" Target="https://www.ttbz.org.cn/StandardManage/Detail/110748/" TargetMode="External"/><Relationship Id="rId304" Type="http://schemas.openxmlformats.org/officeDocument/2006/relationships/hyperlink" Target="https://www.ttbz.org.cn/StandardManage/Detail/65840/" TargetMode="External"/><Relationship Id="rId346" Type="http://schemas.openxmlformats.org/officeDocument/2006/relationships/hyperlink" Target="https://www.ttbz.org.cn/StandardManage/Detail/115809/" TargetMode="External"/><Relationship Id="rId388" Type="http://schemas.openxmlformats.org/officeDocument/2006/relationships/hyperlink" Target="https://www.ttbz.org.cn/StandardManage/Detail/121271/" TargetMode="External"/><Relationship Id="rId511" Type="http://schemas.openxmlformats.org/officeDocument/2006/relationships/hyperlink" Target="https://www.ttbz.org.cn/StandardManage/Detail/133334/" TargetMode="External"/><Relationship Id="rId553" Type="http://schemas.openxmlformats.org/officeDocument/2006/relationships/hyperlink" Target="https://www.ttbz.org.cn/StandardManage/Detail/136374/" TargetMode="External"/><Relationship Id="rId609" Type="http://schemas.openxmlformats.org/officeDocument/2006/relationships/hyperlink" Target="https://www.ttbz.org.cn/StandardManage/Detail/140707/" TargetMode="External"/><Relationship Id="rId760" Type="http://schemas.openxmlformats.org/officeDocument/2006/relationships/hyperlink" Target="https://www.ttbz.org.cn/StandardManage/Detail/161670/" TargetMode="External"/><Relationship Id="rId85" Type="http://schemas.openxmlformats.org/officeDocument/2006/relationships/hyperlink" Target="http://www.ttbz.org.cn/StandardManage/Detail/39029/" TargetMode="External"/><Relationship Id="rId150" Type="http://schemas.openxmlformats.org/officeDocument/2006/relationships/hyperlink" Target="https://www.ttbz.org.cn/StandardManage/Detail/81684/" TargetMode="External"/><Relationship Id="rId192" Type="http://schemas.openxmlformats.org/officeDocument/2006/relationships/hyperlink" Target="https://www.ttbz.org.cn/StandardManage/Detail/95028/" TargetMode="External"/><Relationship Id="rId206" Type="http://schemas.openxmlformats.org/officeDocument/2006/relationships/hyperlink" Target="https://www.ttbz.org.cn/StandardManage/Detail/98080/" TargetMode="External"/><Relationship Id="rId413" Type="http://schemas.openxmlformats.org/officeDocument/2006/relationships/hyperlink" Target="https://www.ttbz.org.cn/StandardManage/Detail/123153/" TargetMode="External"/><Relationship Id="rId595" Type="http://schemas.openxmlformats.org/officeDocument/2006/relationships/hyperlink" Target="https://www.ttbz.org.cn/StandardManage/Detail/140347/" TargetMode="External"/><Relationship Id="rId248" Type="http://schemas.openxmlformats.org/officeDocument/2006/relationships/hyperlink" Target="https://www.ttbz.org.cn/StandardManage/Detail/104110/" TargetMode="External"/><Relationship Id="rId455" Type="http://schemas.openxmlformats.org/officeDocument/2006/relationships/hyperlink" Target="https://www.ttbz.org.cn/StandardManage/Detail/130093/" TargetMode="External"/><Relationship Id="rId497" Type="http://schemas.openxmlformats.org/officeDocument/2006/relationships/hyperlink" Target="https://www.ttbz.org.cn/StandardManage/Detail/132444/" TargetMode="External"/><Relationship Id="rId620" Type="http://schemas.openxmlformats.org/officeDocument/2006/relationships/hyperlink" Target="https://www.ttbz.org.cn/StandardManage/Detail/141684/" TargetMode="External"/><Relationship Id="rId662" Type="http://schemas.openxmlformats.org/officeDocument/2006/relationships/hyperlink" Target="https://www.ttbz.org.cn/StandardManage/Detail/147244/" TargetMode="External"/><Relationship Id="rId718" Type="http://schemas.openxmlformats.org/officeDocument/2006/relationships/hyperlink" Target="https://www.ttbz.org.cn/StandardManage/Detail/157871/" TargetMode="External"/><Relationship Id="rId12" Type="http://schemas.openxmlformats.org/officeDocument/2006/relationships/hyperlink" Target="http://www.ttbz.org.cn/StandardManage/Detail/70776/" TargetMode="External"/><Relationship Id="rId108" Type="http://schemas.openxmlformats.org/officeDocument/2006/relationships/hyperlink" Target="http://www.ttbz.org.cn/StandardManage/Detail/65934/" TargetMode="External"/><Relationship Id="rId315" Type="http://schemas.openxmlformats.org/officeDocument/2006/relationships/hyperlink" Target="https://www.ttbz.org.cn/StandardManage/Detail/111753/" TargetMode="External"/><Relationship Id="rId357" Type="http://schemas.openxmlformats.org/officeDocument/2006/relationships/hyperlink" Target="https://www.ttbz.org.cn/StandardManage/Detail/116960/" TargetMode="External"/><Relationship Id="rId522" Type="http://schemas.openxmlformats.org/officeDocument/2006/relationships/hyperlink" Target="https://www.ttbz.org.cn/StandardManage/Detail/134502/" TargetMode="External"/><Relationship Id="rId54" Type="http://schemas.openxmlformats.org/officeDocument/2006/relationships/hyperlink" Target="http://www.ttbz.org.cn/StandardManage/Detail/57945/" TargetMode="External"/><Relationship Id="rId96" Type="http://schemas.openxmlformats.org/officeDocument/2006/relationships/hyperlink" Target="http://www.ttbz.org.cn/StandardManage/Detail/35623/" TargetMode="External"/><Relationship Id="rId161" Type="http://schemas.openxmlformats.org/officeDocument/2006/relationships/hyperlink" Target="https://www.ttbz.org.cn/StandardManage/Detail/83521/" TargetMode="External"/><Relationship Id="rId217" Type="http://schemas.openxmlformats.org/officeDocument/2006/relationships/hyperlink" Target="https://www.ttbz.org.cn/StandardManage/Detail/95562/" TargetMode="External"/><Relationship Id="rId399" Type="http://schemas.openxmlformats.org/officeDocument/2006/relationships/hyperlink" Target="https://www.ttbz.org.cn/StandardManage/Detail/119098/" TargetMode="External"/><Relationship Id="rId564" Type="http://schemas.openxmlformats.org/officeDocument/2006/relationships/hyperlink" Target="https://www.ttbz.org.cn/StandardManage/Detail/137183/" TargetMode="External"/><Relationship Id="rId771" Type="http://schemas.openxmlformats.org/officeDocument/2006/relationships/hyperlink" Target="https://www.ttbz.org.cn/StandardManage/Detail/163509/" TargetMode="External"/><Relationship Id="rId259" Type="http://schemas.openxmlformats.org/officeDocument/2006/relationships/hyperlink" Target="https://www.ttbz.org.cn/StandardManage/Detail/102939/" TargetMode="External"/><Relationship Id="rId424" Type="http://schemas.openxmlformats.org/officeDocument/2006/relationships/hyperlink" Target="https://www.ttbz.org.cn/StandardManage/Detail/124620/" TargetMode="External"/><Relationship Id="rId466" Type="http://schemas.openxmlformats.org/officeDocument/2006/relationships/hyperlink" Target="https://www.ttbz.org.cn/StandardManage/Detail/130302/" TargetMode="External"/><Relationship Id="rId631" Type="http://schemas.openxmlformats.org/officeDocument/2006/relationships/hyperlink" Target="https://www.ttbz.org.cn/StandardManage/Detail/143698/" TargetMode="External"/><Relationship Id="rId673" Type="http://schemas.openxmlformats.org/officeDocument/2006/relationships/hyperlink" Target="https://www.ttbz.org.cn/StandardManage/Detail/148318/" TargetMode="External"/><Relationship Id="rId729" Type="http://schemas.openxmlformats.org/officeDocument/2006/relationships/hyperlink" Target="https://www.ttbz.org.cn/StandardManage/Detail/158596/" TargetMode="External"/><Relationship Id="rId23" Type="http://schemas.openxmlformats.org/officeDocument/2006/relationships/hyperlink" Target="http://www.ttbz.org.cn/StandardManage/Detail/68272/" TargetMode="External"/><Relationship Id="rId119" Type="http://schemas.openxmlformats.org/officeDocument/2006/relationships/hyperlink" Target="http://www.ttbz.org.cn/StandardManage/Detail/46081/" TargetMode="External"/><Relationship Id="rId270" Type="http://schemas.openxmlformats.org/officeDocument/2006/relationships/hyperlink" Target="https://www.ttbz.org.cn/StandardManage/Detail/107051/" TargetMode="External"/><Relationship Id="rId326" Type="http://schemas.openxmlformats.org/officeDocument/2006/relationships/hyperlink" Target="https://www.ttbz.org.cn/StandardManage/Detail/113155/" TargetMode="External"/><Relationship Id="rId533" Type="http://schemas.openxmlformats.org/officeDocument/2006/relationships/hyperlink" Target="https://www.ttbz.org.cn/StandardManage/Detail/134813/" TargetMode="External"/><Relationship Id="rId65" Type="http://schemas.openxmlformats.org/officeDocument/2006/relationships/hyperlink" Target="http://www.ttbz.org.cn/StandardManage/Detail/50648/" TargetMode="External"/><Relationship Id="rId130" Type="http://schemas.openxmlformats.org/officeDocument/2006/relationships/hyperlink" Target="http://www.ttbz.org.cn/StandardManage/Detail/30746/" TargetMode="External"/><Relationship Id="rId368" Type="http://schemas.openxmlformats.org/officeDocument/2006/relationships/hyperlink" Target="https://www.ttbz.org.cn/StandardManage/Detail/117594/" TargetMode="External"/><Relationship Id="rId575" Type="http://schemas.openxmlformats.org/officeDocument/2006/relationships/hyperlink" Target="https://www.ttbz.org.cn/StandardManage/Detail/137744/" TargetMode="External"/><Relationship Id="rId740" Type="http://schemas.openxmlformats.org/officeDocument/2006/relationships/hyperlink" Target="https://www.ttbz.org.cn/StandardManage/Detail/159090/" TargetMode="External"/><Relationship Id="rId782" Type="http://schemas.openxmlformats.org/officeDocument/2006/relationships/hyperlink" Target="https://www.ttbz.org.cn/StandardManage/Detail/162910/" TargetMode="External"/><Relationship Id="rId172" Type="http://schemas.openxmlformats.org/officeDocument/2006/relationships/hyperlink" Target="https://www.ttbz.org.cn/StandardManage/Detail/86588/" TargetMode="External"/><Relationship Id="rId228" Type="http://schemas.openxmlformats.org/officeDocument/2006/relationships/hyperlink" Target="https://www.ttbz.org.cn/StandardManage/Detail/101366/" TargetMode="External"/><Relationship Id="rId435" Type="http://schemas.openxmlformats.org/officeDocument/2006/relationships/hyperlink" Target="https://www.ttbz.org.cn/StandardManage/Detail/124753/" TargetMode="External"/><Relationship Id="rId477" Type="http://schemas.openxmlformats.org/officeDocument/2006/relationships/hyperlink" Target="https://www.ttbz.org.cn/StandardManage/Detail/131114/" TargetMode="External"/><Relationship Id="rId600" Type="http://schemas.openxmlformats.org/officeDocument/2006/relationships/hyperlink" Target="https://www.ttbz.org.cn/StandardManage/Detail/140687/" TargetMode="External"/><Relationship Id="rId642" Type="http://schemas.openxmlformats.org/officeDocument/2006/relationships/hyperlink" Target="https://www.ttbz.org.cn/StandardManage/Detail/145120/" TargetMode="External"/><Relationship Id="rId684" Type="http://schemas.openxmlformats.org/officeDocument/2006/relationships/hyperlink" Target="https://www.ttbz.org.cn/StandardManage/Detail/151245/" TargetMode="External"/><Relationship Id="rId281" Type="http://schemas.openxmlformats.org/officeDocument/2006/relationships/hyperlink" Target="https://www.ttbz.org.cn/StandardManage/Detail/109548/" TargetMode="External"/><Relationship Id="rId337" Type="http://schemas.openxmlformats.org/officeDocument/2006/relationships/hyperlink" Target="https://www.ttbz.org.cn/StandardManage/Detail/115272/" TargetMode="External"/><Relationship Id="rId502" Type="http://schemas.openxmlformats.org/officeDocument/2006/relationships/hyperlink" Target="https://www.ttbz.org.cn/StandardManage/Detail/132929/" TargetMode="External"/><Relationship Id="rId34" Type="http://schemas.openxmlformats.org/officeDocument/2006/relationships/hyperlink" Target="http://www.ttbz.org.cn/StandardManage/Detail/62982/" TargetMode="External"/><Relationship Id="rId76" Type="http://schemas.openxmlformats.org/officeDocument/2006/relationships/hyperlink" Target="http://www.ttbz.org.cn/StandardManage/Detail/43189/" TargetMode="External"/><Relationship Id="rId141" Type="http://schemas.openxmlformats.org/officeDocument/2006/relationships/hyperlink" Target="https://www.ttbz.org.cn/StandardManage/Detail/79396/" TargetMode="External"/><Relationship Id="rId379" Type="http://schemas.openxmlformats.org/officeDocument/2006/relationships/hyperlink" Target="https://www.ttbz.org.cn/StandardManage/Detail/120444/" TargetMode="External"/><Relationship Id="rId544" Type="http://schemas.openxmlformats.org/officeDocument/2006/relationships/hyperlink" Target="https://www.ttbz.org.cn/StandardManage/Detail/107052/" TargetMode="External"/><Relationship Id="rId586" Type="http://schemas.openxmlformats.org/officeDocument/2006/relationships/hyperlink" Target="https://www.ttbz.org.cn/StandardManage/Detail/138140/" TargetMode="External"/><Relationship Id="rId751" Type="http://schemas.openxmlformats.org/officeDocument/2006/relationships/hyperlink" Target="https://www.ttbz.org.cn/StandardManage/Detail/160795/" TargetMode="External"/><Relationship Id="rId793" Type="http://schemas.openxmlformats.org/officeDocument/2006/relationships/hyperlink" Target="https://www.ttbz.org.cn/StandardManage/Detail/160900/" TargetMode="External"/><Relationship Id="rId807" Type="http://schemas.openxmlformats.org/officeDocument/2006/relationships/hyperlink" Target="https://www.ttbz.org.cn/standardDetail/05b893db02234e49bde8ca82f7d4fa02.html" TargetMode="External"/><Relationship Id="rId7" Type="http://schemas.openxmlformats.org/officeDocument/2006/relationships/hyperlink" Target="http://www.ttbz.org.cn/StandardManage/Detail/73741/" TargetMode="External"/><Relationship Id="rId183" Type="http://schemas.openxmlformats.org/officeDocument/2006/relationships/hyperlink" Target="https://www.ttbz.org.cn/StandardManage/Detail/93195/" TargetMode="External"/><Relationship Id="rId239" Type="http://schemas.openxmlformats.org/officeDocument/2006/relationships/hyperlink" Target="https://www.ttbz.org.cn/StandardManage/Detail/101122/" TargetMode="External"/><Relationship Id="rId390" Type="http://schemas.openxmlformats.org/officeDocument/2006/relationships/hyperlink" Target="https://www.ttbz.org.cn/StandardManage/Detail/121273/" TargetMode="External"/><Relationship Id="rId404" Type="http://schemas.openxmlformats.org/officeDocument/2006/relationships/hyperlink" Target="https://www.ttbz.org.cn/StandardManage/Detail/119808/" TargetMode="External"/><Relationship Id="rId446" Type="http://schemas.openxmlformats.org/officeDocument/2006/relationships/hyperlink" Target="https://www.ttbz.org.cn/StandardManage/Detail/127201/" TargetMode="External"/><Relationship Id="rId611" Type="http://schemas.openxmlformats.org/officeDocument/2006/relationships/hyperlink" Target="https://www.ttbz.org.cn/StandardManage/Detail/140720/" TargetMode="External"/><Relationship Id="rId653" Type="http://schemas.openxmlformats.org/officeDocument/2006/relationships/hyperlink" Target="https://www.ttbz.org.cn/StandardManage/Detail/142668/" TargetMode="External"/><Relationship Id="rId250" Type="http://schemas.openxmlformats.org/officeDocument/2006/relationships/hyperlink" Target="https://www.ttbz.org.cn/StandardManage/Detail/102619/" TargetMode="External"/><Relationship Id="rId292" Type="http://schemas.openxmlformats.org/officeDocument/2006/relationships/hyperlink" Target="https://www.ttbz.org.cn/StandardManage/Detail/111310/" TargetMode="External"/><Relationship Id="rId306" Type="http://schemas.openxmlformats.org/officeDocument/2006/relationships/hyperlink" Target="https://www.ttbz.org.cn/StandardManage/Detail/111309/" TargetMode="External"/><Relationship Id="rId488" Type="http://schemas.openxmlformats.org/officeDocument/2006/relationships/hyperlink" Target="https://www.ttbz.org.cn/StandardManage/Detail/132029/" TargetMode="External"/><Relationship Id="rId695" Type="http://schemas.openxmlformats.org/officeDocument/2006/relationships/hyperlink" Target="https://www.ttbz.org.cn/StandardManage/Detail/154797/" TargetMode="External"/><Relationship Id="rId709" Type="http://schemas.openxmlformats.org/officeDocument/2006/relationships/hyperlink" Target="https://www.ttbz.org.cn/StandardManage/Detail/156896/" TargetMode="External"/><Relationship Id="rId45" Type="http://schemas.openxmlformats.org/officeDocument/2006/relationships/hyperlink" Target="http://www.ttbz.org.cn/StandardManage/Detail/61066/" TargetMode="External"/><Relationship Id="rId87" Type="http://schemas.openxmlformats.org/officeDocument/2006/relationships/hyperlink" Target="http://www.ttbz.org.cn/StandardManage/Detail/38617/" TargetMode="External"/><Relationship Id="rId110" Type="http://schemas.openxmlformats.org/officeDocument/2006/relationships/hyperlink" Target="http://www.ttbz.org.cn/StandardManage/Detail/65233/" TargetMode="External"/><Relationship Id="rId348" Type="http://schemas.openxmlformats.org/officeDocument/2006/relationships/hyperlink" Target="https://www.ttbz.org.cn/StandardManage/Detail/115931/" TargetMode="External"/><Relationship Id="rId513" Type="http://schemas.openxmlformats.org/officeDocument/2006/relationships/hyperlink" Target="https://www.ttbz.org.cn/StandardManage/Detail/134118/" TargetMode="External"/><Relationship Id="rId555" Type="http://schemas.openxmlformats.org/officeDocument/2006/relationships/hyperlink" Target="https://www.ttbz.org.cn/StandardManage/Detail/119373/" TargetMode="External"/><Relationship Id="rId597" Type="http://schemas.openxmlformats.org/officeDocument/2006/relationships/hyperlink" Target="https://www.ttbz.org.cn/StandardManage/Detail/140972/" TargetMode="External"/><Relationship Id="rId720" Type="http://schemas.openxmlformats.org/officeDocument/2006/relationships/hyperlink" Target="https://www.ttbz.org.cn/StandardManage/Detail/157937/" TargetMode="External"/><Relationship Id="rId762" Type="http://schemas.openxmlformats.org/officeDocument/2006/relationships/hyperlink" Target="https://www.ttbz.org.cn/StandardManage/Detail/161771/" TargetMode="External"/><Relationship Id="rId152" Type="http://schemas.openxmlformats.org/officeDocument/2006/relationships/hyperlink" Target="https://www.ttbz.org.cn/StandardManage/Detail/83984/" TargetMode="External"/><Relationship Id="rId194" Type="http://schemas.openxmlformats.org/officeDocument/2006/relationships/hyperlink" Target="https://www.ttbz.org.cn/StandardManage/Detail/92635/" TargetMode="External"/><Relationship Id="rId208" Type="http://schemas.openxmlformats.org/officeDocument/2006/relationships/hyperlink" Target="https://www.ttbz.org.cn/StandardManage/Detail/96130/" TargetMode="External"/><Relationship Id="rId415" Type="http://schemas.openxmlformats.org/officeDocument/2006/relationships/hyperlink" Target="https://www.ttbz.org.cn/StandardManage/Detail/123158/" TargetMode="External"/><Relationship Id="rId457" Type="http://schemas.openxmlformats.org/officeDocument/2006/relationships/hyperlink" Target="https://www.ttbz.org.cn/StandardManage/Detail/130117/" TargetMode="External"/><Relationship Id="rId622" Type="http://schemas.openxmlformats.org/officeDocument/2006/relationships/hyperlink" Target="https://www.ttbz.org.cn/StandardManage/Detail/141686/" TargetMode="External"/><Relationship Id="rId261" Type="http://schemas.openxmlformats.org/officeDocument/2006/relationships/hyperlink" Target="https://www.ttbz.org.cn/StandardManage/Detail/106344/" TargetMode="External"/><Relationship Id="rId499" Type="http://schemas.openxmlformats.org/officeDocument/2006/relationships/hyperlink" Target="https://www.ttbz.org.cn/StandardManage/Detail/132634/" TargetMode="External"/><Relationship Id="rId664" Type="http://schemas.openxmlformats.org/officeDocument/2006/relationships/hyperlink" Target="https://www.ttbz.org.cn/StandardManage/Detail/147392/" TargetMode="External"/><Relationship Id="rId14" Type="http://schemas.openxmlformats.org/officeDocument/2006/relationships/hyperlink" Target="http://www.ttbz.org.cn/StandardManage/Detail/70418/" TargetMode="External"/><Relationship Id="rId56" Type="http://schemas.openxmlformats.org/officeDocument/2006/relationships/hyperlink" Target="http://www.ttbz.org.cn/StandardManage/Detail/58979/" TargetMode="External"/><Relationship Id="rId317" Type="http://schemas.openxmlformats.org/officeDocument/2006/relationships/hyperlink" Target="https://www.ttbz.org.cn/StandardManage/Detail/112992/" TargetMode="External"/><Relationship Id="rId359" Type="http://schemas.openxmlformats.org/officeDocument/2006/relationships/hyperlink" Target="https://www.ttbz.org.cn/StandardManage/Detail/117451/" TargetMode="External"/><Relationship Id="rId524" Type="http://schemas.openxmlformats.org/officeDocument/2006/relationships/hyperlink" Target="https://www.ttbz.org.cn/StandardManage/Detail/134815/" TargetMode="External"/><Relationship Id="rId566" Type="http://schemas.openxmlformats.org/officeDocument/2006/relationships/hyperlink" Target="https://www.ttbz.org.cn/StandardManage/Detail/136257/" TargetMode="External"/><Relationship Id="rId731" Type="http://schemas.openxmlformats.org/officeDocument/2006/relationships/hyperlink" Target="https://www.ttbz.org.cn/StandardManage/Detail/158682/" TargetMode="External"/><Relationship Id="rId773" Type="http://schemas.openxmlformats.org/officeDocument/2006/relationships/hyperlink" Target="https://www.ttbz.org.cn/StandardManage/Detail/163489/" TargetMode="External"/><Relationship Id="rId98" Type="http://schemas.openxmlformats.org/officeDocument/2006/relationships/hyperlink" Target="http://www.ttbz.org.cn/StandardManage/Detail/35728/" TargetMode="External"/><Relationship Id="rId121" Type="http://schemas.openxmlformats.org/officeDocument/2006/relationships/hyperlink" Target="http://www.ttbz.org.cn/StandardManage/Detail/39067/" TargetMode="External"/><Relationship Id="rId163" Type="http://schemas.openxmlformats.org/officeDocument/2006/relationships/hyperlink" Target="https://www.ttbz.org.cn/StandardManage/Detail/85447/" TargetMode="External"/><Relationship Id="rId219" Type="http://schemas.openxmlformats.org/officeDocument/2006/relationships/hyperlink" Target="https://www.ttbz.org.cn/StandardManage/Detail/92777/" TargetMode="External"/><Relationship Id="rId370" Type="http://schemas.openxmlformats.org/officeDocument/2006/relationships/hyperlink" Target="https://www.ttbz.org.cn/StandardManage/Detail/119088/" TargetMode="External"/><Relationship Id="rId426" Type="http://schemas.openxmlformats.org/officeDocument/2006/relationships/hyperlink" Target="https://www.ttbz.org.cn/StandardManage/Detail/124750/" TargetMode="External"/><Relationship Id="rId633" Type="http://schemas.openxmlformats.org/officeDocument/2006/relationships/hyperlink" Target="https://www.ttbz.org.cn/StandardManage/Detail/143284/" TargetMode="External"/><Relationship Id="rId230" Type="http://schemas.openxmlformats.org/officeDocument/2006/relationships/hyperlink" Target="https://www.ttbz.org.cn/StandardManage/Detail/101368/" TargetMode="External"/><Relationship Id="rId468" Type="http://schemas.openxmlformats.org/officeDocument/2006/relationships/hyperlink" Target="https://www.ttbz.org.cn/StandardManage/Detail/130605/" TargetMode="External"/><Relationship Id="rId675" Type="http://schemas.openxmlformats.org/officeDocument/2006/relationships/hyperlink" Target="https://www.ttbz.org.cn/StandardManage/Detail/148444/" TargetMode="External"/><Relationship Id="rId25" Type="http://schemas.openxmlformats.org/officeDocument/2006/relationships/hyperlink" Target="http://www.ttbz.org.cn/StandardManage/Detail/67709/" TargetMode="External"/><Relationship Id="rId67" Type="http://schemas.openxmlformats.org/officeDocument/2006/relationships/hyperlink" Target="http://www.ttbz.org.cn/StandardManage/Detail/48030/" TargetMode="External"/><Relationship Id="rId272" Type="http://schemas.openxmlformats.org/officeDocument/2006/relationships/hyperlink" Target="https://www.ttbz.org.cn/StandardManage/Detail/108874/" TargetMode="External"/><Relationship Id="rId328" Type="http://schemas.openxmlformats.org/officeDocument/2006/relationships/hyperlink" Target="https://www.ttbz.org.cn/StandardManage/Detail/113157/" TargetMode="External"/><Relationship Id="rId535" Type="http://schemas.openxmlformats.org/officeDocument/2006/relationships/hyperlink" Target="https://www.ttbz.org.cn/StandardManage/Detail/135033/" TargetMode="External"/><Relationship Id="rId577" Type="http://schemas.openxmlformats.org/officeDocument/2006/relationships/hyperlink" Target="https://www.ttbz.org.cn/StandardManage/Detail/138005/" TargetMode="External"/><Relationship Id="rId700" Type="http://schemas.openxmlformats.org/officeDocument/2006/relationships/hyperlink" Target="https://www.ttbz.org.cn/StandardManage/Detail/154304/" TargetMode="External"/><Relationship Id="rId742" Type="http://schemas.openxmlformats.org/officeDocument/2006/relationships/hyperlink" Target="https://www.ttbz.org.cn/StandardManage/Detail/159709/" TargetMode="External"/><Relationship Id="rId132" Type="http://schemas.openxmlformats.org/officeDocument/2006/relationships/hyperlink" Target="http://www.ttbz.org.cn/StandardManage/Detail/30738/" TargetMode="External"/><Relationship Id="rId174" Type="http://schemas.openxmlformats.org/officeDocument/2006/relationships/hyperlink" Target="https://www.ttbz.org.cn/StandardManage/Detail/87166/" TargetMode="External"/><Relationship Id="rId381" Type="http://schemas.openxmlformats.org/officeDocument/2006/relationships/hyperlink" Target="https://www.ttbz.org.cn/StandardManage/Detail/120590/" TargetMode="External"/><Relationship Id="rId602" Type="http://schemas.openxmlformats.org/officeDocument/2006/relationships/hyperlink" Target="https://www.ttbz.org.cn/StandardManage/Detail/140708/" TargetMode="External"/><Relationship Id="rId784" Type="http://schemas.openxmlformats.org/officeDocument/2006/relationships/hyperlink" Target="https://www.ttbz.org.cn/StandardManage/Detail/163507/" TargetMode="External"/><Relationship Id="rId241" Type="http://schemas.openxmlformats.org/officeDocument/2006/relationships/hyperlink" Target="https://www.ttbz.org.cn/StandardManage/Detail/102148/" TargetMode="External"/><Relationship Id="rId437" Type="http://schemas.openxmlformats.org/officeDocument/2006/relationships/hyperlink" Target="https://www.ttbz.org.cn/StandardManage/Detail/126115/" TargetMode="External"/><Relationship Id="rId479" Type="http://schemas.openxmlformats.org/officeDocument/2006/relationships/hyperlink" Target="https://www.ttbz.org.cn/StandardManage/Detail/130681/" TargetMode="External"/><Relationship Id="rId644" Type="http://schemas.openxmlformats.org/officeDocument/2006/relationships/hyperlink" Target="https://www.ttbz.org.cn/StandardManage/Detail/144907/" TargetMode="External"/><Relationship Id="rId686" Type="http://schemas.openxmlformats.org/officeDocument/2006/relationships/hyperlink" Target="https://www.ttbz.org.cn/StandardManage/Detail/151336/" TargetMode="External"/><Relationship Id="rId36" Type="http://schemas.openxmlformats.org/officeDocument/2006/relationships/hyperlink" Target="http://www.ttbz.org.cn/StandardManage/Detail/62598/" TargetMode="External"/><Relationship Id="rId283" Type="http://schemas.openxmlformats.org/officeDocument/2006/relationships/hyperlink" Target="https://www.ttbz.org.cn/StandardManage/Detail/109460/" TargetMode="External"/><Relationship Id="rId339" Type="http://schemas.openxmlformats.org/officeDocument/2006/relationships/hyperlink" Target="https://www.ttbz.org.cn/StandardManage/Detail/115276/" TargetMode="External"/><Relationship Id="rId490" Type="http://schemas.openxmlformats.org/officeDocument/2006/relationships/hyperlink" Target="https://www.ttbz.org.cn/StandardManage/Detail/132186/" TargetMode="External"/><Relationship Id="rId504" Type="http://schemas.openxmlformats.org/officeDocument/2006/relationships/hyperlink" Target="https://www.ttbz.org.cn/StandardManage/Detail/132932/" TargetMode="External"/><Relationship Id="rId546" Type="http://schemas.openxmlformats.org/officeDocument/2006/relationships/hyperlink" Target="https://www.ttbz.org.cn/StandardManage/Detail/135491/" TargetMode="External"/><Relationship Id="rId711" Type="http://schemas.openxmlformats.org/officeDocument/2006/relationships/hyperlink" Target="https://www.ttbz.org.cn/StandardManage/Detail/156902/" TargetMode="External"/><Relationship Id="rId753" Type="http://schemas.openxmlformats.org/officeDocument/2006/relationships/hyperlink" Target="https://www.ttbz.org.cn/StandardManage/Detail/161142/" TargetMode="External"/><Relationship Id="rId78" Type="http://schemas.openxmlformats.org/officeDocument/2006/relationships/hyperlink" Target="http://www.ttbz.org.cn/StandardManage/Detail/42014/" TargetMode="External"/><Relationship Id="rId101" Type="http://schemas.openxmlformats.org/officeDocument/2006/relationships/hyperlink" Target="http://www.ttbz.org.cn/StandardManage/Detail/31102/" TargetMode="External"/><Relationship Id="rId143" Type="http://schemas.openxmlformats.org/officeDocument/2006/relationships/hyperlink" Target="https://www.ttbz.org.cn/StandardManage/Detail/79832/" TargetMode="External"/><Relationship Id="rId185" Type="http://schemas.openxmlformats.org/officeDocument/2006/relationships/hyperlink" Target="https://www.ttbz.org.cn/StandardManage/Detail/91231/" TargetMode="External"/><Relationship Id="rId350" Type="http://schemas.openxmlformats.org/officeDocument/2006/relationships/hyperlink" Target="https://www.ttbz.org.cn/StandardManage/Detail/116407/" TargetMode="External"/><Relationship Id="rId406" Type="http://schemas.openxmlformats.org/officeDocument/2006/relationships/hyperlink" Target="https://www.ttbz.org.cn/StandardManage/Detail/119810/" TargetMode="External"/><Relationship Id="rId588" Type="http://schemas.openxmlformats.org/officeDocument/2006/relationships/hyperlink" Target="https://www.ttbz.org.cn/StandardManage/Detail/138162/" TargetMode="External"/><Relationship Id="rId795" Type="http://schemas.openxmlformats.org/officeDocument/2006/relationships/hyperlink" Target="https://www.ttbz.org.cn/StandardManage/Detail/164668/" TargetMode="External"/><Relationship Id="rId9" Type="http://schemas.openxmlformats.org/officeDocument/2006/relationships/hyperlink" Target="http://www.ttbz.org.cn/StandardManage/Detail/73739/" TargetMode="External"/><Relationship Id="rId210" Type="http://schemas.openxmlformats.org/officeDocument/2006/relationships/hyperlink" Target="https://www.ttbz.org.cn/StandardManage/Detail/96660/" TargetMode="External"/><Relationship Id="rId392" Type="http://schemas.openxmlformats.org/officeDocument/2006/relationships/hyperlink" Target="https://www.ttbz.org.cn/StandardManage/Detail/121344/" TargetMode="External"/><Relationship Id="rId448" Type="http://schemas.openxmlformats.org/officeDocument/2006/relationships/hyperlink" Target="https://www.ttbz.org.cn/StandardManage/Detail/125492/" TargetMode="External"/><Relationship Id="rId613" Type="http://schemas.openxmlformats.org/officeDocument/2006/relationships/hyperlink" Target="https://www.ttbz.org.cn/StandardManage/Detail/140710/" TargetMode="External"/><Relationship Id="rId655" Type="http://schemas.openxmlformats.org/officeDocument/2006/relationships/hyperlink" Target="https://www.ttbz.org.cn/StandardManage/Detail/145695/" TargetMode="External"/><Relationship Id="rId697" Type="http://schemas.openxmlformats.org/officeDocument/2006/relationships/hyperlink" Target="https://www.ttbz.org.cn/StandardManage/Detail/154973/" TargetMode="External"/><Relationship Id="rId252" Type="http://schemas.openxmlformats.org/officeDocument/2006/relationships/hyperlink" Target="https://www.ttbz.org.cn/StandardManage/Detail/102623/" TargetMode="External"/><Relationship Id="rId294" Type="http://schemas.openxmlformats.org/officeDocument/2006/relationships/hyperlink" Target="https://www.ttbz.org.cn/StandardManage/Detail/111660/" TargetMode="External"/><Relationship Id="rId308" Type="http://schemas.openxmlformats.org/officeDocument/2006/relationships/hyperlink" Target="https://www.ttbz.org.cn/StandardManage/Detail/111672/" TargetMode="External"/><Relationship Id="rId515" Type="http://schemas.openxmlformats.org/officeDocument/2006/relationships/hyperlink" Target="https://www.ttbz.org.cn/StandardManage/Detail/134032/" TargetMode="External"/><Relationship Id="rId722" Type="http://schemas.openxmlformats.org/officeDocument/2006/relationships/hyperlink" Target="https://www.ttbz.org.cn/StandardManage/Detail/157956/" TargetMode="External"/><Relationship Id="rId47" Type="http://schemas.openxmlformats.org/officeDocument/2006/relationships/hyperlink" Target="http://www.ttbz.org.cn/StandardManage/Detail/61042/" TargetMode="External"/><Relationship Id="rId89" Type="http://schemas.openxmlformats.org/officeDocument/2006/relationships/hyperlink" Target="http://www.ttbz.org.cn/StandardManage/Detail/38615/" TargetMode="External"/><Relationship Id="rId112" Type="http://schemas.openxmlformats.org/officeDocument/2006/relationships/hyperlink" Target="http://www.ttbz.org.cn/StandardManage/Detail/63282/" TargetMode="External"/><Relationship Id="rId154" Type="http://schemas.openxmlformats.org/officeDocument/2006/relationships/hyperlink" Target="https://www.ttbz.org.cn/StandardManage/Detail/76984/" TargetMode="External"/><Relationship Id="rId361" Type="http://schemas.openxmlformats.org/officeDocument/2006/relationships/hyperlink" Target="https://www.ttbz.org.cn/StandardManage/Detail/117620/" TargetMode="External"/><Relationship Id="rId557" Type="http://schemas.openxmlformats.org/officeDocument/2006/relationships/hyperlink" Target="https://www.ttbz.org.cn/StandardManage/Detail/136315/" TargetMode="External"/><Relationship Id="rId599" Type="http://schemas.openxmlformats.org/officeDocument/2006/relationships/hyperlink" Target="https://www.ttbz.org.cn/StandardManage/Detail/140684/" TargetMode="External"/><Relationship Id="rId764" Type="http://schemas.openxmlformats.org/officeDocument/2006/relationships/hyperlink" Target="https://www.ttbz.org.cn/StandardManage/Detail/161755/" TargetMode="External"/><Relationship Id="rId196" Type="http://schemas.openxmlformats.org/officeDocument/2006/relationships/hyperlink" Target="https://www.ttbz.org.cn/StandardManage/Detail/91275/" TargetMode="External"/><Relationship Id="rId417" Type="http://schemas.openxmlformats.org/officeDocument/2006/relationships/hyperlink" Target="https://www.ttbz.org.cn/StandardManage/Detail/123369/" TargetMode="External"/><Relationship Id="rId459" Type="http://schemas.openxmlformats.org/officeDocument/2006/relationships/hyperlink" Target="https://www.ttbz.org.cn/StandardManage/Detail/127850/" TargetMode="External"/><Relationship Id="rId624" Type="http://schemas.openxmlformats.org/officeDocument/2006/relationships/hyperlink" Target="https://www.ttbz.org.cn/StandardManage/Detail/141643/" TargetMode="External"/><Relationship Id="rId666" Type="http://schemas.openxmlformats.org/officeDocument/2006/relationships/hyperlink" Target="https://www.ttbz.org.cn/StandardManage/Detail/147476/" TargetMode="External"/><Relationship Id="rId16" Type="http://schemas.openxmlformats.org/officeDocument/2006/relationships/hyperlink" Target="http://www.ttbz.org.cn/StandardManage/Detail/70193/" TargetMode="External"/><Relationship Id="rId221" Type="http://schemas.openxmlformats.org/officeDocument/2006/relationships/hyperlink" Target="https://www.ttbz.org.cn/StandardManage/Detail/96597/" TargetMode="External"/><Relationship Id="rId263" Type="http://schemas.openxmlformats.org/officeDocument/2006/relationships/hyperlink" Target="https://www.ttbz.org.cn/StandardManage/Detail/102950/" TargetMode="External"/><Relationship Id="rId319" Type="http://schemas.openxmlformats.org/officeDocument/2006/relationships/hyperlink" Target="https://www.ttbz.org.cn/StandardManage/Detail/113367/" TargetMode="External"/><Relationship Id="rId470" Type="http://schemas.openxmlformats.org/officeDocument/2006/relationships/hyperlink" Target="https://www.ttbz.org.cn/StandardManage/Detail/130892/" TargetMode="External"/><Relationship Id="rId526" Type="http://schemas.openxmlformats.org/officeDocument/2006/relationships/hyperlink" Target="https://www.ttbz.org.cn/StandardManage/Detail/134902/" TargetMode="External"/><Relationship Id="rId58" Type="http://schemas.openxmlformats.org/officeDocument/2006/relationships/hyperlink" Target="http://www.ttbz.org.cn/StandardManage/Detail/56552/" TargetMode="External"/><Relationship Id="rId123" Type="http://schemas.openxmlformats.org/officeDocument/2006/relationships/hyperlink" Target="http://www.ttbz.org.cn/StandardManage/Detail/3787/" TargetMode="External"/><Relationship Id="rId330" Type="http://schemas.openxmlformats.org/officeDocument/2006/relationships/hyperlink" Target="https://www.ttbz.org.cn/StandardManage/Detail/114275/" TargetMode="External"/><Relationship Id="rId568" Type="http://schemas.openxmlformats.org/officeDocument/2006/relationships/hyperlink" Target="https://www.ttbz.org.cn/StandardManage/Detail/136287/" TargetMode="External"/><Relationship Id="rId733" Type="http://schemas.openxmlformats.org/officeDocument/2006/relationships/hyperlink" Target="https://www.ttbz.org.cn/StandardManage/Detail/158685/" TargetMode="External"/><Relationship Id="rId775" Type="http://schemas.openxmlformats.org/officeDocument/2006/relationships/hyperlink" Target="https://www.ttbz.org.cn/StandardManage/Detail/163774/" TargetMode="External"/><Relationship Id="rId165" Type="http://schemas.openxmlformats.org/officeDocument/2006/relationships/hyperlink" Target="https://www.ttbz.org.cn/StandardManage/Detail/85700/" TargetMode="External"/><Relationship Id="rId372" Type="http://schemas.openxmlformats.org/officeDocument/2006/relationships/hyperlink" Target="https://www.ttbz.org.cn/StandardManage/Detail/119093/" TargetMode="External"/><Relationship Id="rId428" Type="http://schemas.openxmlformats.org/officeDocument/2006/relationships/hyperlink" Target="https://www.ttbz.org.cn/StandardManage/Detail/125535/" TargetMode="External"/><Relationship Id="rId635" Type="http://schemas.openxmlformats.org/officeDocument/2006/relationships/hyperlink" Target="https://www.ttbz.org.cn/StandardManage/Detail/143298/" TargetMode="External"/><Relationship Id="rId677" Type="http://schemas.openxmlformats.org/officeDocument/2006/relationships/hyperlink" Target="https://www.ttbz.org.cn/StandardManage/Detail/148782/" TargetMode="External"/><Relationship Id="rId800" Type="http://schemas.openxmlformats.org/officeDocument/2006/relationships/hyperlink" Target="https://www.ttbz.org.cn/standardDetail.html" TargetMode="External"/><Relationship Id="rId232" Type="http://schemas.openxmlformats.org/officeDocument/2006/relationships/hyperlink" Target="https://www.ttbz.org.cn/StandardManage/Detail/101375/" TargetMode="External"/><Relationship Id="rId274" Type="http://schemas.openxmlformats.org/officeDocument/2006/relationships/hyperlink" Target="https://www.ttbz.org.cn/StandardManage/Detail/108936/" TargetMode="External"/><Relationship Id="rId481" Type="http://schemas.openxmlformats.org/officeDocument/2006/relationships/hyperlink" Target="https://www.ttbz.org.cn/StandardManage/Detail/131298/" TargetMode="External"/><Relationship Id="rId702" Type="http://schemas.openxmlformats.org/officeDocument/2006/relationships/hyperlink" Target="https://www.ttbz.org.cn/StandardManage/Detail/151440/" TargetMode="External"/><Relationship Id="rId27" Type="http://schemas.openxmlformats.org/officeDocument/2006/relationships/hyperlink" Target="http://www.ttbz.org.cn/StandardManage/Detail/67677/" TargetMode="External"/><Relationship Id="rId69" Type="http://schemas.openxmlformats.org/officeDocument/2006/relationships/hyperlink" Target="http://www.ttbz.org.cn/StandardManage/Detail/47495/" TargetMode="External"/><Relationship Id="rId134" Type="http://schemas.openxmlformats.org/officeDocument/2006/relationships/hyperlink" Target="http://www.ttbz.org.cn/StandardManage/Detail/4043/" TargetMode="External"/><Relationship Id="rId537" Type="http://schemas.openxmlformats.org/officeDocument/2006/relationships/hyperlink" Target="https://www.ttbz.org.cn/StandardManage/Detail/134037/" TargetMode="External"/><Relationship Id="rId579" Type="http://schemas.openxmlformats.org/officeDocument/2006/relationships/hyperlink" Target="https://www.ttbz.org.cn/StandardManage/Detail/94293/" TargetMode="External"/><Relationship Id="rId744" Type="http://schemas.openxmlformats.org/officeDocument/2006/relationships/hyperlink" Target="https://www.ttbz.org.cn/StandardManage/Detail/159766/" TargetMode="External"/><Relationship Id="rId786" Type="http://schemas.openxmlformats.org/officeDocument/2006/relationships/hyperlink" Target="https://www.ttbz.org.cn/StandardManage/Detail/163648/" TargetMode="External"/><Relationship Id="rId80" Type="http://schemas.openxmlformats.org/officeDocument/2006/relationships/hyperlink" Target="http://www.ttbz.org.cn/StandardManage/Detail/39065/" TargetMode="External"/><Relationship Id="rId176" Type="http://schemas.openxmlformats.org/officeDocument/2006/relationships/hyperlink" Target="https://www.ttbz.org.cn/StandardManage/Detail/89982/" TargetMode="External"/><Relationship Id="rId341" Type="http://schemas.openxmlformats.org/officeDocument/2006/relationships/hyperlink" Target="https://www.ttbz.org.cn/StandardManage/Detail/115285/" TargetMode="External"/><Relationship Id="rId383" Type="http://schemas.openxmlformats.org/officeDocument/2006/relationships/hyperlink" Target="https://www.ttbz.org.cn/StandardManage/Detail/120845/" TargetMode="External"/><Relationship Id="rId439" Type="http://schemas.openxmlformats.org/officeDocument/2006/relationships/hyperlink" Target="https://www.ttbz.org.cn/StandardManage/Detail/126198/" TargetMode="External"/><Relationship Id="rId590" Type="http://schemas.openxmlformats.org/officeDocument/2006/relationships/hyperlink" Target="https://www.ttbz.org.cn/StandardManage/Detail/94378/" TargetMode="External"/><Relationship Id="rId604" Type="http://schemas.openxmlformats.org/officeDocument/2006/relationships/hyperlink" Target="https://www.ttbz.org.cn/StandardManage/Detail/141283/" TargetMode="External"/><Relationship Id="rId646" Type="http://schemas.openxmlformats.org/officeDocument/2006/relationships/hyperlink" Target="https://www.ttbz.org.cn/StandardManage/Detail/144960/" TargetMode="External"/><Relationship Id="rId201" Type="http://schemas.openxmlformats.org/officeDocument/2006/relationships/hyperlink" Target="https://www.ttbz.org.cn/StandardManage/Detail/99812/" TargetMode="External"/><Relationship Id="rId243" Type="http://schemas.openxmlformats.org/officeDocument/2006/relationships/hyperlink" Target="https://www.ttbz.org.cn/StandardManage/Detail/103235/" TargetMode="External"/><Relationship Id="rId285" Type="http://schemas.openxmlformats.org/officeDocument/2006/relationships/hyperlink" Target="https://www.ttbz.org.cn/StandardManage/Detail/109611/" TargetMode="External"/><Relationship Id="rId450" Type="http://schemas.openxmlformats.org/officeDocument/2006/relationships/hyperlink" Target="https://www.ttbz.org.cn/StandardManage/Detail/127937/" TargetMode="External"/><Relationship Id="rId506" Type="http://schemas.openxmlformats.org/officeDocument/2006/relationships/hyperlink" Target="https://www.ttbz.org.cn/StandardManage/Detail/132934/" TargetMode="External"/><Relationship Id="rId688" Type="http://schemas.openxmlformats.org/officeDocument/2006/relationships/hyperlink" Target="https://www.ttbz.org.cn/StandardManage/Detail/150446/" TargetMode="External"/><Relationship Id="rId38" Type="http://schemas.openxmlformats.org/officeDocument/2006/relationships/hyperlink" Target="http://www.ttbz.org.cn/StandardManage/Detail/61079/" TargetMode="External"/><Relationship Id="rId103" Type="http://schemas.openxmlformats.org/officeDocument/2006/relationships/hyperlink" Target="http://www.ttbz.org.cn/StandardManage/Detail/30749/" TargetMode="External"/><Relationship Id="rId310" Type="http://schemas.openxmlformats.org/officeDocument/2006/relationships/hyperlink" Target="https://www.ttbz.org.cn/StandardManage/Detail/111674/" TargetMode="External"/><Relationship Id="rId492" Type="http://schemas.openxmlformats.org/officeDocument/2006/relationships/hyperlink" Target="https://www.ttbz.org.cn/StandardManage/Detail/132158/" TargetMode="External"/><Relationship Id="rId548" Type="http://schemas.openxmlformats.org/officeDocument/2006/relationships/hyperlink" Target="https://www.ttbz.org.cn/StandardManage/Detail/135902/" TargetMode="External"/><Relationship Id="rId713" Type="http://schemas.openxmlformats.org/officeDocument/2006/relationships/hyperlink" Target="https://www.ttbz.org.cn/StandardManage/Detail/157748/" TargetMode="External"/><Relationship Id="rId755" Type="http://schemas.openxmlformats.org/officeDocument/2006/relationships/hyperlink" Target="https://www.ttbz.org.cn/StandardManage/Detail/161662/" TargetMode="External"/><Relationship Id="rId797" Type="http://schemas.openxmlformats.org/officeDocument/2006/relationships/hyperlink" Target="https://www.ttbz.org.cn/standardDetail.html" TargetMode="External"/><Relationship Id="rId91" Type="http://schemas.openxmlformats.org/officeDocument/2006/relationships/hyperlink" Target="http://www.ttbz.org.cn/StandardManage/Detail/36912/" TargetMode="External"/><Relationship Id="rId145" Type="http://schemas.openxmlformats.org/officeDocument/2006/relationships/hyperlink" Target="https://www.ttbz.org.cn/StandardManage/Detail/80323/" TargetMode="External"/><Relationship Id="rId187" Type="http://schemas.openxmlformats.org/officeDocument/2006/relationships/hyperlink" Target="https://www.ttbz.org.cn/StandardManage/Detail/81467/" TargetMode="External"/><Relationship Id="rId352" Type="http://schemas.openxmlformats.org/officeDocument/2006/relationships/hyperlink" Target="https://www.ttbz.org.cn/StandardManage/Detail/116438/" TargetMode="External"/><Relationship Id="rId394" Type="http://schemas.openxmlformats.org/officeDocument/2006/relationships/hyperlink" Target="https://www.ttbz.org.cn/StandardManage/Detail/121654/" TargetMode="External"/><Relationship Id="rId408" Type="http://schemas.openxmlformats.org/officeDocument/2006/relationships/hyperlink" Target="https://www.ttbz.org.cn/StandardManage/Detail/120448/" TargetMode="External"/><Relationship Id="rId615" Type="http://schemas.openxmlformats.org/officeDocument/2006/relationships/hyperlink" Target="https://www.ttbz.org.cn/StandardManage/Detail/142574/" TargetMode="External"/><Relationship Id="rId212" Type="http://schemas.openxmlformats.org/officeDocument/2006/relationships/hyperlink" Target="https://www.ttbz.org.cn/StandardManage/Detail/97259/" TargetMode="External"/><Relationship Id="rId254" Type="http://schemas.openxmlformats.org/officeDocument/2006/relationships/hyperlink" Target="https://www.ttbz.org.cn/StandardManage/Detail/104635/" TargetMode="External"/><Relationship Id="rId657" Type="http://schemas.openxmlformats.org/officeDocument/2006/relationships/hyperlink" Target="https://www.ttbz.org.cn/StandardManage/Detail/145917/" TargetMode="External"/><Relationship Id="rId699" Type="http://schemas.openxmlformats.org/officeDocument/2006/relationships/hyperlink" Target="https://www.ttbz.org.cn/StandardManage/Detail/150574/" TargetMode="External"/><Relationship Id="rId49" Type="http://schemas.openxmlformats.org/officeDocument/2006/relationships/hyperlink" Target="http://www.ttbz.org.cn/StandardManage/Detail/60831/" TargetMode="External"/><Relationship Id="rId114" Type="http://schemas.openxmlformats.org/officeDocument/2006/relationships/hyperlink" Target="http://www.ttbz.org.cn/StandardManage/Detail/59078/" TargetMode="External"/><Relationship Id="rId296" Type="http://schemas.openxmlformats.org/officeDocument/2006/relationships/hyperlink" Target="https://www.ttbz.org.cn/StandardManage/Detail/111667/" TargetMode="External"/><Relationship Id="rId461" Type="http://schemas.openxmlformats.org/officeDocument/2006/relationships/hyperlink" Target="https://www.ttbz.org.cn/StandardManage/Detail/129958/" TargetMode="External"/><Relationship Id="rId517" Type="http://schemas.openxmlformats.org/officeDocument/2006/relationships/hyperlink" Target="https://www.ttbz.org.cn/StandardManage/Detail/134065/" TargetMode="External"/><Relationship Id="rId559" Type="http://schemas.openxmlformats.org/officeDocument/2006/relationships/hyperlink" Target="https://www.ttbz.org.cn/StandardManage/Detail/136466/" TargetMode="External"/><Relationship Id="rId724" Type="http://schemas.openxmlformats.org/officeDocument/2006/relationships/hyperlink" Target="https://www.ttbz.org.cn/StandardManage/Detail/157798/" TargetMode="External"/><Relationship Id="rId766" Type="http://schemas.openxmlformats.org/officeDocument/2006/relationships/hyperlink" Target="https://www.ttbz.org.cn/StandardManage/Detail/161966/" TargetMode="External"/><Relationship Id="rId60" Type="http://schemas.openxmlformats.org/officeDocument/2006/relationships/hyperlink" Target="http://www.ttbz.org.cn/StandardManage/Detail/53783/" TargetMode="External"/><Relationship Id="rId156" Type="http://schemas.openxmlformats.org/officeDocument/2006/relationships/hyperlink" Target="https://www.ttbz.org.cn/StandardManage/Detail/79276/" TargetMode="External"/><Relationship Id="rId198" Type="http://schemas.openxmlformats.org/officeDocument/2006/relationships/hyperlink" Target="https://www.ttbz.org.cn/StandardManage/Detail/100419/" TargetMode="External"/><Relationship Id="rId321" Type="http://schemas.openxmlformats.org/officeDocument/2006/relationships/hyperlink" Target="https://www.ttbz.org.cn/StandardManage/Detail/113696/" TargetMode="External"/><Relationship Id="rId363" Type="http://schemas.openxmlformats.org/officeDocument/2006/relationships/hyperlink" Target="https://www.ttbz.org.cn/StandardManage/Detail/118094/" TargetMode="External"/><Relationship Id="rId419" Type="http://schemas.openxmlformats.org/officeDocument/2006/relationships/hyperlink" Target="https://www.ttbz.org.cn/StandardManage/Detail/123067/" TargetMode="External"/><Relationship Id="rId570" Type="http://schemas.openxmlformats.org/officeDocument/2006/relationships/hyperlink" Target="https://www.ttbz.org.cn/StandardManage/Detail/137281/" TargetMode="External"/><Relationship Id="rId626" Type="http://schemas.openxmlformats.org/officeDocument/2006/relationships/hyperlink" Target="https://www.ttbz.org.cn/StandardManage/Detail/142068/" TargetMode="External"/><Relationship Id="rId223" Type="http://schemas.openxmlformats.org/officeDocument/2006/relationships/hyperlink" Target="https://www.ttbz.org.cn/StandardManage/Detail/88715/" TargetMode="External"/><Relationship Id="rId430" Type="http://schemas.openxmlformats.org/officeDocument/2006/relationships/hyperlink" Target="https://www.ttbz.org.cn/StandardManage/Detail/126216/" TargetMode="External"/><Relationship Id="rId668" Type="http://schemas.openxmlformats.org/officeDocument/2006/relationships/hyperlink" Target="https://www.ttbz.org.cn/StandardManage/Detail/147509/" TargetMode="External"/><Relationship Id="rId18" Type="http://schemas.openxmlformats.org/officeDocument/2006/relationships/hyperlink" Target="http://www.ttbz.org.cn/StandardManage/Detail/70031/" TargetMode="External"/><Relationship Id="rId265" Type="http://schemas.openxmlformats.org/officeDocument/2006/relationships/hyperlink" Target="https://www.ttbz.org.cn/StandardManage/Detail/108294/" TargetMode="External"/><Relationship Id="rId472" Type="http://schemas.openxmlformats.org/officeDocument/2006/relationships/hyperlink" Target="https://www.ttbz.org.cn/StandardManage/Detail/130897/" TargetMode="External"/><Relationship Id="rId528" Type="http://schemas.openxmlformats.org/officeDocument/2006/relationships/hyperlink" Target="https://www.ttbz.org.cn/StandardManage/Detail/134795/" TargetMode="External"/><Relationship Id="rId735" Type="http://schemas.openxmlformats.org/officeDocument/2006/relationships/hyperlink" Target="https://www.ttbz.org.cn/StandardManage/Detail/158787/" TargetMode="External"/><Relationship Id="rId125" Type="http://schemas.openxmlformats.org/officeDocument/2006/relationships/hyperlink" Target="http://www.ttbz.org.cn/StandardManage/Detail/35717/" TargetMode="External"/><Relationship Id="rId167" Type="http://schemas.openxmlformats.org/officeDocument/2006/relationships/hyperlink" Target="https://www.ttbz.org.cn/StandardManage/Detail/87246/" TargetMode="External"/><Relationship Id="rId332" Type="http://schemas.openxmlformats.org/officeDocument/2006/relationships/hyperlink" Target="https://www.ttbz.org.cn/StandardManage/Detail/112721/" TargetMode="External"/><Relationship Id="rId374" Type="http://schemas.openxmlformats.org/officeDocument/2006/relationships/hyperlink" Target="https://www.ttbz.org.cn/StandardManage/Detail/113138/" TargetMode="External"/><Relationship Id="rId581" Type="http://schemas.openxmlformats.org/officeDocument/2006/relationships/hyperlink" Target="https://www.ttbz.org.cn/StandardManage/Detail/99401/" TargetMode="External"/><Relationship Id="rId777" Type="http://schemas.openxmlformats.org/officeDocument/2006/relationships/hyperlink" Target="https://www.ttbz.org.cn/StandardManage/Detail/163184/" TargetMode="External"/><Relationship Id="rId71" Type="http://schemas.openxmlformats.org/officeDocument/2006/relationships/hyperlink" Target="http://www.ttbz.org.cn/StandardManage/Detail/45969/" TargetMode="External"/><Relationship Id="rId234" Type="http://schemas.openxmlformats.org/officeDocument/2006/relationships/hyperlink" Target="https://www.ttbz.org.cn/StandardManage/Detail/101382/" TargetMode="External"/><Relationship Id="rId637" Type="http://schemas.openxmlformats.org/officeDocument/2006/relationships/hyperlink" Target="https://www.ttbz.org.cn/StandardManage/Detail/144360/" TargetMode="External"/><Relationship Id="rId679" Type="http://schemas.openxmlformats.org/officeDocument/2006/relationships/hyperlink" Target="https://www.ttbz.org.cn/StandardManage/Detail/149352/" TargetMode="External"/><Relationship Id="rId802" Type="http://schemas.openxmlformats.org/officeDocument/2006/relationships/hyperlink" Target="https://www.ttbz.org.cn/StandardManage/Detail/161142/" TargetMode="External"/><Relationship Id="rId2" Type="http://schemas.openxmlformats.org/officeDocument/2006/relationships/hyperlink" Target="http://www.ttbz.org.cn/StandardManage/Detail/74138/" TargetMode="External"/><Relationship Id="rId29" Type="http://schemas.openxmlformats.org/officeDocument/2006/relationships/hyperlink" Target="http://www.ttbz.org.cn/StandardManage/Detail/65523/" TargetMode="External"/><Relationship Id="rId276" Type="http://schemas.openxmlformats.org/officeDocument/2006/relationships/hyperlink" Target="https://www.ttbz.org.cn/StandardManage/Detail/109026/" TargetMode="External"/><Relationship Id="rId441" Type="http://schemas.openxmlformats.org/officeDocument/2006/relationships/hyperlink" Target="https://www.ttbz.org.cn/StandardManage/Detail/122912/" TargetMode="External"/><Relationship Id="rId483" Type="http://schemas.openxmlformats.org/officeDocument/2006/relationships/hyperlink" Target="https://www.ttbz.org.cn/StandardManage/Detail/131301/" TargetMode="External"/><Relationship Id="rId539" Type="http://schemas.openxmlformats.org/officeDocument/2006/relationships/hyperlink" Target="https://www.ttbz.org.cn/StandardManage/Detail/134047/" TargetMode="External"/><Relationship Id="rId690" Type="http://schemas.openxmlformats.org/officeDocument/2006/relationships/hyperlink" Target="https://www.ttbz.org.cn/StandardManage/Detail/152093/" TargetMode="External"/><Relationship Id="rId704" Type="http://schemas.openxmlformats.org/officeDocument/2006/relationships/hyperlink" Target="https://www.ttbz.org.cn/StandardManage/Detail/156322/" TargetMode="External"/><Relationship Id="rId746" Type="http://schemas.openxmlformats.org/officeDocument/2006/relationships/hyperlink" Target="https://www.ttbz.org.cn/StandardManage/Detail/160454/" TargetMode="External"/><Relationship Id="rId40" Type="http://schemas.openxmlformats.org/officeDocument/2006/relationships/hyperlink" Target="http://www.ttbz.org.cn/StandardManage/Detail/61071/" TargetMode="External"/><Relationship Id="rId136" Type="http://schemas.openxmlformats.org/officeDocument/2006/relationships/hyperlink" Target="https://www.ttbz.org.cn/StandardManage/Detail/76431/" TargetMode="External"/><Relationship Id="rId178" Type="http://schemas.openxmlformats.org/officeDocument/2006/relationships/hyperlink" Target="https://www.ttbz.org.cn/StandardManage/Detail/95044/" TargetMode="External"/><Relationship Id="rId301" Type="http://schemas.openxmlformats.org/officeDocument/2006/relationships/hyperlink" Target="https://www.ttbz.org.cn/StandardManage/Detail/112281/" TargetMode="External"/><Relationship Id="rId343" Type="http://schemas.openxmlformats.org/officeDocument/2006/relationships/hyperlink" Target="https://www.ttbz.org.cn/StandardManage/Detail/115992/" TargetMode="External"/><Relationship Id="rId550" Type="http://schemas.openxmlformats.org/officeDocument/2006/relationships/hyperlink" Target="https://www.ttbz.org.cn/StandardManage/Detail/136013/" TargetMode="External"/><Relationship Id="rId788" Type="http://schemas.openxmlformats.org/officeDocument/2006/relationships/hyperlink" Target="https://www.ttbz.org.cn/StandardManage/Detail/163854/" TargetMode="External"/><Relationship Id="rId82" Type="http://schemas.openxmlformats.org/officeDocument/2006/relationships/hyperlink" Target="http://www.ttbz.org.cn/StandardManage/Detail/39062/" TargetMode="External"/><Relationship Id="rId203" Type="http://schemas.openxmlformats.org/officeDocument/2006/relationships/hyperlink" Target="https://www.ttbz.org.cn/StandardManage/Detail/99394/" TargetMode="External"/><Relationship Id="rId385" Type="http://schemas.openxmlformats.org/officeDocument/2006/relationships/hyperlink" Target="https://www.ttbz.org.cn/StandardManage/Detail/121042/" TargetMode="External"/><Relationship Id="rId592" Type="http://schemas.openxmlformats.org/officeDocument/2006/relationships/hyperlink" Target="https://www.ttbz.org.cn/StandardManage/Detail/138183/" TargetMode="External"/><Relationship Id="rId606" Type="http://schemas.openxmlformats.org/officeDocument/2006/relationships/hyperlink" Target="https://www.ttbz.org.cn/StandardManage/Detail/140325/" TargetMode="External"/><Relationship Id="rId648" Type="http://schemas.openxmlformats.org/officeDocument/2006/relationships/hyperlink" Target="https://www.ttbz.org.cn/StandardManage/Detail/145036/" TargetMode="External"/><Relationship Id="rId245" Type="http://schemas.openxmlformats.org/officeDocument/2006/relationships/hyperlink" Target="https://www.ttbz.org.cn/StandardManage/Detail/103936/" TargetMode="External"/><Relationship Id="rId287" Type="http://schemas.openxmlformats.org/officeDocument/2006/relationships/hyperlink" Target="https://www.ttbz.org.cn/StandardManage/Detail/111031/" TargetMode="External"/><Relationship Id="rId410" Type="http://schemas.openxmlformats.org/officeDocument/2006/relationships/hyperlink" Target="https://www.ttbz.org.cn/StandardManage/Detail/120461/" TargetMode="External"/><Relationship Id="rId452" Type="http://schemas.openxmlformats.org/officeDocument/2006/relationships/hyperlink" Target="https://www.ttbz.org.cn/StandardManage/Detail/129538/" TargetMode="External"/><Relationship Id="rId494" Type="http://schemas.openxmlformats.org/officeDocument/2006/relationships/hyperlink" Target="https://www.ttbz.org.cn/StandardManage/Detail/132436/" TargetMode="External"/><Relationship Id="rId508" Type="http://schemas.openxmlformats.org/officeDocument/2006/relationships/hyperlink" Target="https://www.ttbz.org.cn/StandardManage/Detail/132942/" TargetMode="External"/><Relationship Id="rId715" Type="http://schemas.openxmlformats.org/officeDocument/2006/relationships/hyperlink" Target="https://www.ttbz.org.cn/StandardManage/Detail/157761/" TargetMode="External"/><Relationship Id="rId105" Type="http://schemas.openxmlformats.org/officeDocument/2006/relationships/hyperlink" Target="http://www.ttbz.org.cn/StandardManage/Detail/30739/" TargetMode="External"/><Relationship Id="rId147" Type="http://schemas.openxmlformats.org/officeDocument/2006/relationships/hyperlink" Target="https://www.ttbz.org.cn/StandardManage/Detail/80813/" TargetMode="External"/><Relationship Id="rId312" Type="http://schemas.openxmlformats.org/officeDocument/2006/relationships/hyperlink" Target="https://www.ttbz.org.cn/StandardManage/Detail/111750/" TargetMode="External"/><Relationship Id="rId354" Type="http://schemas.openxmlformats.org/officeDocument/2006/relationships/hyperlink" Target="https://www.ttbz.org.cn/StandardManage/Detail/116505/" TargetMode="External"/><Relationship Id="rId757" Type="http://schemas.openxmlformats.org/officeDocument/2006/relationships/hyperlink" Target="https://www.ttbz.org.cn/StandardManage/Detail/161965/" TargetMode="External"/><Relationship Id="rId799" Type="http://schemas.openxmlformats.org/officeDocument/2006/relationships/hyperlink" Target="https://www.ttbz.org.cn/standardDetail.html" TargetMode="External"/><Relationship Id="rId51" Type="http://schemas.openxmlformats.org/officeDocument/2006/relationships/hyperlink" Target="http://www.ttbz.org.cn/StandardManage/Detail/60324/" TargetMode="External"/><Relationship Id="rId93" Type="http://schemas.openxmlformats.org/officeDocument/2006/relationships/hyperlink" Target="http://www.ttbz.org.cn/StandardManage/Detail/35627/" TargetMode="External"/><Relationship Id="rId189" Type="http://schemas.openxmlformats.org/officeDocument/2006/relationships/hyperlink" Target="https://www.ttbz.org.cn/StandardManage/Detail/95040/" TargetMode="External"/><Relationship Id="rId396" Type="http://schemas.openxmlformats.org/officeDocument/2006/relationships/hyperlink" Target="https://www.ttbz.org.cn/StandardManage/Detail/121718/" TargetMode="External"/><Relationship Id="rId561" Type="http://schemas.openxmlformats.org/officeDocument/2006/relationships/hyperlink" Target="https://www.ttbz.org.cn/StandardManage/Detail/136749/" TargetMode="External"/><Relationship Id="rId617" Type="http://schemas.openxmlformats.org/officeDocument/2006/relationships/hyperlink" Target="https://www.ttbz.org.cn/StandardManage/Detail/142786/" TargetMode="External"/><Relationship Id="rId659" Type="http://schemas.openxmlformats.org/officeDocument/2006/relationships/hyperlink" Target="https://www.ttbz.org.cn/StandardManage/Detail/146565/" TargetMode="External"/><Relationship Id="rId214" Type="http://schemas.openxmlformats.org/officeDocument/2006/relationships/hyperlink" Target="https://www.ttbz.org.cn/StandardManage/Detail/96927/" TargetMode="External"/><Relationship Id="rId256" Type="http://schemas.openxmlformats.org/officeDocument/2006/relationships/hyperlink" Target="https://www.ttbz.org.cn/StandardManage/Detail/105848/" TargetMode="External"/><Relationship Id="rId298" Type="http://schemas.openxmlformats.org/officeDocument/2006/relationships/hyperlink" Target="https://www.ttbz.org.cn/StandardManage/Detail/111843/" TargetMode="External"/><Relationship Id="rId421" Type="http://schemas.openxmlformats.org/officeDocument/2006/relationships/hyperlink" Target="https://www.ttbz.org.cn/StandardManage/Detail/124350/" TargetMode="External"/><Relationship Id="rId463" Type="http://schemas.openxmlformats.org/officeDocument/2006/relationships/hyperlink" Target="https://www.ttbz.org.cn/StandardManage/Detail/130241/" TargetMode="External"/><Relationship Id="rId519" Type="http://schemas.openxmlformats.org/officeDocument/2006/relationships/hyperlink" Target="https://www.ttbz.org.cn/StandardManage/Detail/134093/" TargetMode="External"/><Relationship Id="rId670" Type="http://schemas.openxmlformats.org/officeDocument/2006/relationships/hyperlink" Target="https://www.ttbz.org.cn/StandardManage/Detail/148091/" TargetMode="External"/><Relationship Id="rId116" Type="http://schemas.openxmlformats.org/officeDocument/2006/relationships/hyperlink" Target="http://www.ttbz.org.cn/StandardManage/Detail/53731/" TargetMode="External"/><Relationship Id="rId158" Type="http://schemas.openxmlformats.org/officeDocument/2006/relationships/hyperlink" Target="https://www.ttbz.org.cn/StandardManage/Detail/79397/" TargetMode="External"/><Relationship Id="rId323" Type="http://schemas.openxmlformats.org/officeDocument/2006/relationships/hyperlink" Target="https://www.ttbz.org.cn/StandardManage/Detail/113319/" TargetMode="External"/><Relationship Id="rId530" Type="http://schemas.openxmlformats.org/officeDocument/2006/relationships/hyperlink" Target="https://www.ttbz.org.cn/StandardManage/Detail/134451/" TargetMode="External"/><Relationship Id="rId726" Type="http://schemas.openxmlformats.org/officeDocument/2006/relationships/hyperlink" Target="https://www.ttbz.org.cn/StandardManage/Detail/158042/" TargetMode="External"/><Relationship Id="rId768" Type="http://schemas.openxmlformats.org/officeDocument/2006/relationships/hyperlink" Target="https://www.ttbz.org.cn/StandardManage/Detail/155330/" TargetMode="External"/><Relationship Id="rId20" Type="http://schemas.openxmlformats.org/officeDocument/2006/relationships/hyperlink" Target="http://www.ttbz.org.cn/StandardManage/Detail/68800/" TargetMode="External"/><Relationship Id="rId62" Type="http://schemas.openxmlformats.org/officeDocument/2006/relationships/hyperlink" Target="http://www.ttbz.org.cn/StandardManage/Detail/52088/" TargetMode="External"/><Relationship Id="rId365" Type="http://schemas.openxmlformats.org/officeDocument/2006/relationships/hyperlink" Target="https://www.ttbz.org.cn/StandardManage/Detail/118096/" TargetMode="External"/><Relationship Id="rId572" Type="http://schemas.openxmlformats.org/officeDocument/2006/relationships/hyperlink" Target="https://www.ttbz.org.cn/StandardManage/Detail/137299/" TargetMode="External"/><Relationship Id="rId628" Type="http://schemas.openxmlformats.org/officeDocument/2006/relationships/hyperlink" Target="https://www.ttbz.org.cn/StandardManage/Detail/140297/" TargetMode="External"/><Relationship Id="rId225" Type="http://schemas.openxmlformats.org/officeDocument/2006/relationships/hyperlink" Target="http://www.ttbz.org.cn/StandardManage/Detail/66094/" TargetMode="External"/><Relationship Id="rId267" Type="http://schemas.openxmlformats.org/officeDocument/2006/relationships/hyperlink" Target="https://www.ttbz.org.cn/StandardManage/Detail/108300/" TargetMode="External"/><Relationship Id="rId432" Type="http://schemas.openxmlformats.org/officeDocument/2006/relationships/hyperlink" Target="https://www.ttbz.org.cn/StandardManage/Detail/123607/" TargetMode="External"/><Relationship Id="rId474" Type="http://schemas.openxmlformats.org/officeDocument/2006/relationships/hyperlink" Target="https://www.ttbz.org.cn/StandardManage/Detail/130942/" TargetMode="External"/><Relationship Id="rId127" Type="http://schemas.openxmlformats.org/officeDocument/2006/relationships/hyperlink" Target="http://www.ttbz.org.cn/StandardManage/Detail/34339/" TargetMode="External"/><Relationship Id="rId681" Type="http://schemas.openxmlformats.org/officeDocument/2006/relationships/hyperlink" Target="https://www.ttbz.org.cn/StandardManage/Detail/149569/" TargetMode="External"/><Relationship Id="rId737" Type="http://schemas.openxmlformats.org/officeDocument/2006/relationships/hyperlink" Target="https://www.ttbz.org.cn/StandardManage/Detail/158262/" TargetMode="External"/><Relationship Id="rId779" Type="http://schemas.openxmlformats.org/officeDocument/2006/relationships/hyperlink" Target="https://www.ttbz.org.cn/StandardManage/Detail/164190/" TargetMode="External"/><Relationship Id="rId31" Type="http://schemas.openxmlformats.org/officeDocument/2006/relationships/hyperlink" Target="http://www.ttbz.org.cn/StandardManage/Detail/64909/" TargetMode="External"/><Relationship Id="rId73" Type="http://schemas.openxmlformats.org/officeDocument/2006/relationships/hyperlink" Target="http://www.ttbz.org.cn/StandardManage/Detail/45600/" TargetMode="External"/><Relationship Id="rId169" Type="http://schemas.openxmlformats.org/officeDocument/2006/relationships/hyperlink" Target="https://www.ttbz.org.cn/StandardManage/Detail/89783/" TargetMode="External"/><Relationship Id="rId334" Type="http://schemas.openxmlformats.org/officeDocument/2006/relationships/hyperlink" Target="https://www.ttbz.org.cn/StandardManage/Detail/114587/" TargetMode="External"/><Relationship Id="rId376" Type="http://schemas.openxmlformats.org/officeDocument/2006/relationships/hyperlink" Target="https://www.ttbz.org.cn/StandardManage/Detail/119806/" TargetMode="External"/><Relationship Id="rId541" Type="http://schemas.openxmlformats.org/officeDocument/2006/relationships/hyperlink" Target="https://www.ttbz.org.cn/StandardManage/Detail/102148/" TargetMode="External"/><Relationship Id="rId583" Type="http://schemas.openxmlformats.org/officeDocument/2006/relationships/hyperlink" Target="https://www.ttbz.org.cn/StandardManage/Detail/138121/" TargetMode="External"/><Relationship Id="rId639" Type="http://schemas.openxmlformats.org/officeDocument/2006/relationships/hyperlink" Target="https://www.ttbz.org.cn/StandardManage/Detail/144365/" TargetMode="External"/><Relationship Id="rId790" Type="http://schemas.openxmlformats.org/officeDocument/2006/relationships/hyperlink" Target="https://www.ttbz.org.cn/StandardManage/Detail/163856/" TargetMode="External"/><Relationship Id="rId804" Type="http://schemas.openxmlformats.org/officeDocument/2006/relationships/hyperlink" Target="https://www.ttbz.org.cn/StandardManage/Detail/161142/" TargetMode="External"/><Relationship Id="rId4" Type="http://schemas.openxmlformats.org/officeDocument/2006/relationships/hyperlink" Target="http://www.ttbz.org.cn/StandardManage/Detail/73793/" TargetMode="External"/><Relationship Id="rId180" Type="http://schemas.openxmlformats.org/officeDocument/2006/relationships/hyperlink" Target="https://www.ttbz.org.cn/StandardManage/Detail/94596/" TargetMode="External"/><Relationship Id="rId236" Type="http://schemas.openxmlformats.org/officeDocument/2006/relationships/hyperlink" Target="https://www.ttbz.org.cn/StandardManage/Detail/102429/" TargetMode="External"/><Relationship Id="rId278" Type="http://schemas.openxmlformats.org/officeDocument/2006/relationships/hyperlink" Target="https://www.ttbz.org.cn/StandardManage/Detail/109598/" TargetMode="External"/><Relationship Id="rId401" Type="http://schemas.openxmlformats.org/officeDocument/2006/relationships/hyperlink" Target="https://www.ttbz.org.cn/StandardManage/Detail/119101/" TargetMode="External"/><Relationship Id="rId443" Type="http://schemas.openxmlformats.org/officeDocument/2006/relationships/hyperlink" Target="https://www.ttbz.org.cn/StandardManage/Detail/118557/" TargetMode="External"/><Relationship Id="rId650" Type="http://schemas.openxmlformats.org/officeDocument/2006/relationships/hyperlink" Target="https://www.ttbz.org.cn/StandardManage/Detail/145252/" TargetMode="External"/><Relationship Id="rId303" Type="http://schemas.openxmlformats.org/officeDocument/2006/relationships/hyperlink" Target="https://www.ttbz.org.cn/StandardManage/Detail/112438/" TargetMode="External"/><Relationship Id="rId485" Type="http://schemas.openxmlformats.org/officeDocument/2006/relationships/hyperlink" Target="https://www.ttbz.org.cn/StandardManage/Detail/131924/" TargetMode="External"/><Relationship Id="rId692" Type="http://schemas.openxmlformats.org/officeDocument/2006/relationships/hyperlink" Target="https://www.ttbz.org.cn/StandardManage/Detail/153560/" TargetMode="External"/><Relationship Id="rId706" Type="http://schemas.openxmlformats.org/officeDocument/2006/relationships/hyperlink" Target="https://www.ttbz.org.cn/StandardManage/Detail/156316/" TargetMode="External"/><Relationship Id="rId748" Type="http://schemas.openxmlformats.org/officeDocument/2006/relationships/hyperlink" Target="https://www.ttbz.org.cn/StandardManage/Detail/160457/" TargetMode="External"/><Relationship Id="rId42" Type="http://schemas.openxmlformats.org/officeDocument/2006/relationships/hyperlink" Target="http://www.ttbz.org.cn/StandardManage/Detail/61069/" TargetMode="External"/><Relationship Id="rId84" Type="http://schemas.openxmlformats.org/officeDocument/2006/relationships/hyperlink" Target="http://www.ttbz.org.cn/StandardManage/Detail/39030/" TargetMode="External"/><Relationship Id="rId138" Type="http://schemas.openxmlformats.org/officeDocument/2006/relationships/hyperlink" Target="https://www.ttbz.org.cn/StandardManage/Detail/76134/" TargetMode="External"/><Relationship Id="rId345" Type="http://schemas.openxmlformats.org/officeDocument/2006/relationships/hyperlink" Target="https://www.ttbz.org.cn/StandardManage/Detail/115768/" TargetMode="External"/><Relationship Id="rId387" Type="http://schemas.openxmlformats.org/officeDocument/2006/relationships/hyperlink" Target="https://www.ttbz.org.cn/StandardManage/Detail/119517/" TargetMode="External"/><Relationship Id="rId510" Type="http://schemas.openxmlformats.org/officeDocument/2006/relationships/hyperlink" Target="https://www.ttbz.org.cn/StandardManage/Detail/133332/" TargetMode="External"/><Relationship Id="rId552" Type="http://schemas.openxmlformats.org/officeDocument/2006/relationships/hyperlink" Target="https://www.ttbz.org.cn/StandardManage/Detail/136361/" TargetMode="External"/><Relationship Id="rId594" Type="http://schemas.openxmlformats.org/officeDocument/2006/relationships/hyperlink" Target="https://www.ttbz.org.cn/StandardManage/Detail/140280/" TargetMode="External"/><Relationship Id="rId608" Type="http://schemas.openxmlformats.org/officeDocument/2006/relationships/hyperlink" Target="https://www.ttbz.org.cn/StandardManage/Detail/141293/" TargetMode="External"/><Relationship Id="rId191" Type="http://schemas.openxmlformats.org/officeDocument/2006/relationships/hyperlink" Target="https://www.ttbz.org.cn/StandardManage/Detail/95035/" TargetMode="External"/><Relationship Id="rId205" Type="http://schemas.openxmlformats.org/officeDocument/2006/relationships/hyperlink" Target="https://www.ttbz.org.cn/StandardManage/Detail/99298/" TargetMode="External"/><Relationship Id="rId247" Type="http://schemas.openxmlformats.org/officeDocument/2006/relationships/hyperlink" Target="https://www.ttbz.org.cn/StandardManage/Detail/103977/" TargetMode="External"/><Relationship Id="rId412" Type="http://schemas.openxmlformats.org/officeDocument/2006/relationships/hyperlink" Target="https://www.ttbz.org.cn/StandardManage/Detail/120592/" TargetMode="External"/><Relationship Id="rId107" Type="http://schemas.openxmlformats.org/officeDocument/2006/relationships/hyperlink" Target="http://www.ttbz.org.cn/StandardManage/Detail/23035/" TargetMode="External"/><Relationship Id="rId289" Type="http://schemas.openxmlformats.org/officeDocument/2006/relationships/hyperlink" Target="https://www.ttbz.org.cn/StandardManage/Detail/111572/" TargetMode="External"/><Relationship Id="rId454" Type="http://schemas.openxmlformats.org/officeDocument/2006/relationships/hyperlink" Target="https://www.ttbz.org.cn/StandardManage/Detail/127190/" TargetMode="External"/><Relationship Id="rId496" Type="http://schemas.openxmlformats.org/officeDocument/2006/relationships/hyperlink" Target="https://www.ttbz.org.cn/StandardManage/Detail/132439/" TargetMode="External"/><Relationship Id="rId661" Type="http://schemas.openxmlformats.org/officeDocument/2006/relationships/hyperlink" Target="https://www.ttbz.org.cn/StandardManage/Detail/145338/" TargetMode="External"/><Relationship Id="rId717" Type="http://schemas.openxmlformats.org/officeDocument/2006/relationships/hyperlink" Target="https://www.ttbz.org.cn/StandardManage/Detail/157809/" TargetMode="External"/><Relationship Id="rId759" Type="http://schemas.openxmlformats.org/officeDocument/2006/relationships/hyperlink" Target="https://www.ttbz.org.cn/StandardManage/Detail/161662/" TargetMode="External"/><Relationship Id="rId11" Type="http://schemas.openxmlformats.org/officeDocument/2006/relationships/hyperlink" Target="http://www.ttbz.org.cn/StandardManage/Detail/73081/" TargetMode="External"/><Relationship Id="rId53" Type="http://schemas.openxmlformats.org/officeDocument/2006/relationships/hyperlink" Target="http://www.ttbz.org.cn/StandardManage/Detail/59653/" TargetMode="External"/><Relationship Id="rId149" Type="http://schemas.openxmlformats.org/officeDocument/2006/relationships/hyperlink" Target="https://www.ttbz.org.cn/StandardManage/Detail/81666/" TargetMode="External"/><Relationship Id="rId314" Type="http://schemas.openxmlformats.org/officeDocument/2006/relationships/hyperlink" Target="https://www.ttbz.org.cn/StandardManage/Detail/111752/" TargetMode="External"/><Relationship Id="rId356" Type="http://schemas.openxmlformats.org/officeDocument/2006/relationships/hyperlink" Target="https://www.ttbz.org.cn/StandardManage/Detail/116957/" TargetMode="External"/><Relationship Id="rId398" Type="http://schemas.openxmlformats.org/officeDocument/2006/relationships/hyperlink" Target="https://www.ttbz.org.cn/StandardManage/Detail/121481/" TargetMode="External"/><Relationship Id="rId521" Type="http://schemas.openxmlformats.org/officeDocument/2006/relationships/hyperlink" Target="https://www.ttbz.org.cn/StandardManage/Detail/134100/" TargetMode="External"/><Relationship Id="rId563" Type="http://schemas.openxmlformats.org/officeDocument/2006/relationships/hyperlink" Target="https://www.ttbz.org.cn/StandardManage/Detail/137181/" TargetMode="External"/><Relationship Id="rId619" Type="http://schemas.openxmlformats.org/officeDocument/2006/relationships/hyperlink" Target="https://www.ttbz.org.cn/StandardManage/Detail/142759/" TargetMode="External"/><Relationship Id="rId770" Type="http://schemas.openxmlformats.org/officeDocument/2006/relationships/hyperlink" Target="https://www.ttbz.org.cn/StandardManage/Detail/163486/" TargetMode="External"/><Relationship Id="rId95" Type="http://schemas.openxmlformats.org/officeDocument/2006/relationships/hyperlink" Target="http://www.ttbz.org.cn/StandardManage/Detail/35624/" TargetMode="External"/><Relationship Id="rId160" Type="http://schemas.openxmlformats.org/officeDocument/2006/relationships/hyperlink" Target="https://www.ttbz.org.cn/StandardManage/Detail/82133/" TargetMode="External"/><Relationship Id="rId216" Type="http://schemas.openxmlformats.org/officeDocument/2006/relationships/hyperlink" Target="https://www.ttbz.org.cn/StandardManage/Detail/96366/" TargetMode="External"/><Relationship Id="rId423" Type="http://schemas.openxmlformats.org/officeDocument/2006/relationships/hyperlink" Target="https://www.ttbz.org.cn/StandardManage/Detail/117728/" TargetMode="External"/><Relationship Id="rId258" Type="http://schemas.openxmlformats.org/officeDocument/2006/relationships/hyperlink" Target="https://www.ttbz.org.cn/StandardManage/Detail/105853/" TargetMode="External"/><Relationship Id="rId465" Type="http://schemas.openxmlformats.org/officeDocument/2006/relationships/hyperlink" Target="https://www.ttbz.org.cn/StandardManage/Detail/130300/" TargetMode="External"/><Relationship Id="rId630" Type="http://schemas.openxmlformats.org/officeDocument/2006/relationships/hyperlink" Target="https://www.ttbz.org.cn/StandardManage/Detail/143697/" TargetMode="External"/><Relationship Id="rId672" Type="http://schemas.openxmlformats.org/officeDocument/2006/relationships/hyperlink" Target="https://www.ttbz.org.cn/StandardManage/Detail/148314/" TargetMode="External"/><Relationship Id="rId728" Type="http://schemas.openxmlformats.org/officeDocument/2006/relationships/hyperlink" Target="https://www.ttbz.org.cn/StandardManage/Detail/158426/" TargetMode="External"/><Relationship Id="rId22" Type="http://schemas.openxmlformats.org/officeDocument/2006/relationships/hyperlink" Target="http://www.ttbz.org.cn/StandardManage/Detail/68796/" TargetMode="External"/><Relationship Id="rId64" Type="http://schemas.openxmlformats.org/officeDocument/2006/relationships/hyperlink" Target="http://www.ttbz.org.cn/StandardManage/Detail/51585/" TargetMode="External"/><Relationship Id="rId118" Type="http://schemas.openxmlformats.org/officeDocument/2006/relationships/hyperlink" Target="http://www.ttbz.org.cn/StandardManage/Detail/47004/" TargetMode="External"/><Relationship Id="rId325" Type="http://schemas.openxmlformats.org/officeDocument/2006/relationships/hyperlink" Target="https://www.ttbz.org.cn/StandardManage/Detail/113154/" TargetMode="External"/><Relationship Id="rId367" Type="http://schemas.openxmlformats.org/officeDocument/2006/relationships/hyperlink" Target="https://www.ttbz.org.cn/StandardManage/Detail/118103/" TargetMode="External"/><Relationship Id="rId532" Type="http://schemas.openxmlformats.org/officeDocument/2006/relationships/hyperlink" Target="https://www.ttbz.org.cn/StandardManage/Detail/134676/" TargetMode="External"/><Relationship Id="rId574" Type="http://schemas.openxmlformats.org/officeDocument/2006/relationships/hyperlink" Target="https://www.ttbz.org.cn/StandardManage/Detail/137722/" TargetMode="External"/><Relationship Id="rId171" Type="http://schemas.openxmlformats.org/officeDocument/2006/relationships/hyperlink" Target="https://www.ttbz.org.cn/StandardManage/Detail/88623/" TargetMode="External"/><Relationship Id="rId227" Type="http://schemas.openxmlformats.org/officeDocument/2006/relationships/hyperlink" Target="https://www.ttbz.org.cn/StandardManage/Detail/101360/" TargetMode="External"/><Relationship Id="rId781" Type="http://schemas.openxmlformats.org/officeDocument/2006/relationships/hyperlink" Target="https://www.ttbz.org.cn/StandardManage/Detail/160573/" TargetMode="External"/><Relationship Id="rId269" Type="http://schemas.openxmlformats.org/officeDocument/2006/relationships/hyperlink" Target="https://www.ttbz.org.cn/StandardManage/Detail/107047/" TargetMode="External"/><Relationship Id="rId434" Type="http://schemas.openxmlformats.org/officeDocument/2006/relationships/hyperlink" Target="https://www.ttbz.org.cn/StandardManage/Detail/124747/" TargetMode="External"/><Relationship Id="rId476" Type="http://schemas.openxmlformats.org/officeDocument/2006/relationships/hyperlink" Target="https://www.ttbz.org.cn/StandardManage/Detail/131112/" TargetMode="External"/><Relationship Id="rId641" Type="http://schemas.openxmlformats.org/officeDocument/2006/relationships/hyperlink" Target="https://www.ttbz.org.cn/StandardManage/Detail/145119/" TargetMode="External"/><Relationship Id="rId683" Type="http://schemas.openxmlformats.org/officeDocument/2006/relationships/hyperlink" Target="https://www.ttbz.org.cn/StandardManage/Detail/150547/" TargetMode="External"/><Relationship Id="rId739" Type="http://schemas.openxmlformats.org/officeDocument/2006/relationships/hyperlink" Target="https://www.ttbz.org.cn/StandardManage/Detail/159085/" TargetMode="External"/><Relationship Id="rId33" Type="http://schemas.openxmlformats.org/officeDocument/2006/relationships/hyperlink" Target="http://www.ttbz.org.cn/StandardManage/Detail/63616/" TargetMode="External"/><Relationship Id="rId129" Type="http://schemas.openxmlformats.org/officeDocument/2006/relationships/hyperlink" Target="http://www.ttbz.org.cn/StandardManage/Detail/30747/" TargetMode="External"/><Relationship Id="rId280" Type="http://schemas.openxmlformats.org/officeDocument/2006/relationships/hyperlink" Target="https://www.ttbz.org.cn/StandardManage/Detail/109910/" TargetMode="External"/><Relationship Id="rId336" Type="http://schemas.openxmlformats.org/officeDocument/2006/relationships/hyperlink" Target="https://www.ttbz.org.cn/StandardManage/Detail/115270/" TargetMode="External"/><Relationship Id="rId501" Type="http://schemas.openxmlformats.org/officeDocument/2006/relationships/hyperlink" Target="https://www.ttbz.org.cn/StandardManage/Detail/132903/" TargetMode="External"/><Relationship Id="rId543" Type="http://schemas.openxmlformats.org/officeDocument/2006/relationships/hyperlink" Target="https://www.ttbz.org.cn/StandardManage/Detail/107051/" TargetMode="External"/><Relationship Id="rId75" Type="http://schemas.openxmlformats.org/officeDocument/2006/relationships/hyperlink" Target="http://www.ttbz.org.cn/StandardManage/Detail/45552/" TargetMode="External"/><Relationship Id="rId140" Type="http://schemas.openxmlformats.org/officeDocument/2006/relationships/hyperlink" Target="https://www.ttbz.org.cn/StandardManage/Detail/78079/" TargetMode="External"/><Relationship Id="rId182" Type="http://schemas.openxmlformats.org/officeDocument/2006/relationships/hyperlink" Target="https://www.ttbz.org.cn/StandardManage/Detail/93998/" TargetMode="External"/><Relationship Id="rId378" Type="http://schemas.openxmlformats.org/officeDocument/2006/relationships/hyperlink" Target="https://www.ttbz.org.cn/StandardManage/Detail/120439/" TargetMode="External"/><Relationship Id="rId403" Type="http://schemas.openxmlformats.org/officeDocument/2006/relationships/hyperlink" Target="https://www.ttbz.org.cn/StandardManage/Detail/119807/" TargetMode="External"/><Relationship Id="rId585" Type="http://schemas.openxmlformats.org/officeDocument/2006/relationships/hyperlink" Target="https://www.ttbz.org.cn/StandardManage/Detail/138766/" TargetMode="External"/><Relationship Id="rId750" Type="http://schemas.openxmlformats.org/officeDocument/2006/relationships/hyperlink" Target="https://www.ttbz.org.cn/StandardManage/Detail/160786/" TargetMode="External"/><Relationship Id="rId792" Type="http://schemas.openxmlformats.org/officeDocument/2006/relationships/hyperlink" Target="https://www.ttbz.org.cn/StandardManage/Detail/163858/" TargetMode="External"/><Relationship Id="rId806" Type="http://schemas.openxmlformats.org/officeDocument/2006/relationships/hyperlink" Target="https://www.ttbz.org.cn/StandardManage/Detail/161142/" TargetMode="External"/><Relationship Id="rId6" Type="http://schemas.openxmlformats.org/officeDocument/2006/relationships/hyperlink" Target="http://www.ttbz.org.cn/StandardManage/Detail/73790/" TargetMode="External"/><Relationship Id="rId238" Type="http://schemas.openxmlformats.org/officeDocument/2006/relationships/hyperlink" Target="https://www.ttbz.org.cn/StandardManage/Detail/101050/" TargetMode="External"/><Relationship Id="rId445" Type="http://schemas.openxmlformats.org/officeDocument/2006/relationships/hyperlink" Target="https://www.ttbz.org.cn/StandardManage/Detail/126796/" TargetMode="External"/><Relationship Id="rId487" Type="http://schemas.openxmlformats.org/officeDocument/2006/relationships/hyperlink" Target="https://www.ttbz.org.cn/StandardManage/Detail/67722/" TargetMode="External"/><Relationship Id="rId610" Type="http://schemas.openxmlformats.org/officeDocument/2006/relationships/hyperlink" Target="https://www.ttbz.org.cn/StandardManage/Detail/140719/" TargetMode="External"/><Relationship Id="rId652" Type="http://schemas.openxmlformats.org/officeDocument/2006/relationships/hyperlink" Target="https://www.ttbz.org.cn/StandardManage/Detail/144870/" TargetMode="External"/><Relationship Id="rId694" Type="http://schemas.openxmlformats.org/officeDocument/2006/relationships/hyperlink" Target="https://www.ttbz.org.cn/StandardManage/Detail/153641/" TargetMode="External"/><Relationship Id="rId708" Type="http://schemas.openxmlformats.org/officeDocument/2006/relationships/hyperlink" Target="https://www.ttbz.org.cn/StandardManage/Detail/156779/" TargetMode="External"/><Relationship Id="rId291" Type="http://schemas.openxmlformats.org/officeDocument/2006/relationships/hyperlink" Target="https://www.ttbz.org.cn/StandardManage/Detail/111307/" TargetMode="External"/><Relationship Id="rId305" Type="http://schemas.openxmlformats.org/officeDocument/2006/relationships/hyperlink" Target="https://www.ttbz.org.cn/StandardManage/Detail/66139/" TargetMode="External"/><Relationship Id="rId347" Type="http://schemas.openxmlformats.org/officeDocument/2006/relationships/hyperlink" Target="https://www.ttbz.org.cn/StandardManage/Detail/115865/" TargetMode="External"/><Relationship Id="rId512" Type="http://schemas.openxmlformats.org/officeDocument/2006/relationships/hyperlink" Target="https://www.ttbz.org.cn/StandardManage/Detail/133500/" TargetMode="External"/><Relationship Id="rId44" Type="http://schemas.openxmlformats.org/officeDocument/2006/relationships/hyperlink" Target="http://www.ttbz.org.cn/StandardManage/Detail/61067/" TargetMode="External"/><Relationship Id="rId86" Type="http://schemas.openxmlformats.org/officeDocument/2006/relationships/hyperlink" Target="http://www.ttbz.org.cn/StandardManage/Detail/38988/" TargetMode="External"/><Relationship Id="rId151" Type="http://schemas.openxmlformats.org/officeDocument/2006/relationships/hyperlink" Target="https://www.ttbz.org.cn/StandardManage/Detail/82735/" TargetMode="External"/><Relationship Id="rId389" Type="http://schemas.openxmlformats.org/officeDocument/2006/relationships/hyperlink" Target="https://www.ttbz.org.cn/StandardManage/Detail/121272/" TargetMode="External"/><Relationship Id="rId554" Type="http://schemas.openxmlformats.org/officeDocument/2006/relationships/hyperlink" Target="https://www.ttbz.org.cn/StandardManage/Detail/117594/" TargetMode="External"/><Relationship Id="rId596" Type="http://schemas.openxmlformats.org/officeDocument/2006/relationships/hyperlink" Target="https://www.ttbz.org.cn/StandardManage/Detail/138886/" TargetMode="External"/><Relationship Id="rId761" Type="http://schemas.openxmlformats.org/officeDocument/2006/relationships/hyperlink" Target="https://www.ttbz.org.cn/StandardManage/Detail/162244/" TargetMode="External"/><Relationship Id="rId193" Type="http://schemas.openxmlformats.org/officeDocument/2006/relationships/hyperlink" Target="https://www.ttbz.org.cn/StandardManage/Detail/94378/" TargetMode="External"/><Relationship Id="rId207" Type="http://schemas.openxmlformats.org/officeDocument/2006/relationships/hyperlink" Target="https://www.ttbz.org.cn/StandardManage/Detail/98079/" TargetMode="External"/><Relationship Id="rId249" Type="http://schemas.openxmlformats.org/officeDocument/2006/relationships/hyperlink" Target="https://www.ttbz.org.cn/StandardManage/Detail/102618/" TargetMode="External"/><Relationship Id="rId414" Type="http://schemas.openxmlformats.org/officeDocument/2006/relationships/hyperlink" Target="https://www.ttbz.org.cn/StandardManage/Detail/123157/" TargetMode="External"/><Relationship Id="rId456" Type="http://schemas.openxmlformats.org/officeDocument/2006/relationships/hyperlink" Target="https://www.ttbz.org.cn/StandardManage/Detail/130097/" TargetMode="External"/><Relationship Id="rId498" Type="http://schemas.openxmlformats.org/officeDocument/2006/relationships/hyperlink" Target="https://www.ttbz.org.cn/StandardManage/Detail/132632/" TargetMode="External"/><Relationship Id="rId621" Type="http://schemas.openxmlformats.org/officeDocument/2006/relationships/hyperlink" Target="https://www.ttbz.org.cn/StandardManage/Detail/141687/" TargetMode="External"/><Relationship Id="rId663" Type="http://schemas.openxmlformats.org/officeDocument/2006/relationships/hyperlink" Target="https://www.ttbz.org.cn/StandardManage/Detail/147375/" TargetMode="External"/><Relationship Id="rId13" Type="http://schemas.openxmlformats.org/officeDocument/2006/relationships/hyperlink" Target="http://www.ttbz.org.cn/StandardManage/Detail/70775/" TargetMode="External"/><Relationship Id="rId109" Type="http://schemas.openxmlformats.org/officeDocument/2006/relationships/hyperlink" Target="http://www.ttbz.org.cn/StandardManage/Detail/65235/" TargetMode="External"/><Relationship Id="rId260" Type="http://schemas.openxmlformats.org/officeDocument/2006/relationships/hyperlink" Target="https://www.ttbz.org.cn/StandardManage/Detail/102948/" TargetMode="External"/><Relationship Id="rId316" Type="http://schemas.openxmlformats.org/officeDocument/2006/relationships/hyperlink" Target="https://www.ttbz.org.cn/StandardManage/Detail/111754/" TargetMode="External"/><Relationship Id="rId523" Type="http://schemas.openxmlformats.org/officeDocument/2006/relationships/hyperlink" Target="https://www.ttbz.org.cn/StandardManage/Detail/134809/" TargetMode="External"/><Relationship Id="rId719" Type="http://schemas.openxmlformats.org/officeDocument/2006/relationships/hyperlink" Target="https://www.ttbz.org.cn/StandardManage/Detail/157872/" TargetMode="External"/><Relationship Id="rId55" Type="http://schemas.openxmlformats.org/officeDocument/2006/relationships/hyperlink" Target="http://www.ttbz.org.cn/StandardManage/Detail/58985/" TargetMode="External"/><Relationship Id="rId97" Type="http://schemas.openxmlformats.org/officeDocument/2006/relationships/hyperlink" Target="http://www.ttbz.org.cn/StandardManage/Detail/35621/" TargetMode="External"/><Relationship Id="rId120" Type="http://schemas.openxmlformats.org/officeDocument/2006/relationships/hyperlink" Target="http://www.ttbz.org.cn/StandardManage/Detail/39068/" TargetMode="External"/><Relationship Id="rId358" Type="http://schemas.openxmlformats.org/officeDocument/2006/relationships/hyperlink" Target="https://www.ttbz.org.cn/StandardManage/Detail/117450/" TargetMode="External"/><Relationship Id="rId565" Type="http://schemas.openxmlformats.org/officeDocument/2006/relationships/hyperlink" Target="https://www.ttbz.org.cn/StandardManage/Detail/137189/" TargetMode="External"/><Relationship Id="rId730" Type="http://schemas.openxmlformats.org/officeDocument/2006/relationships/hyperlink" Target="https://www.ttbz.org.cn/StandardManage/Detail/158605/" TargetMode="External"/><Relationship Id="rId772" Type="http://schemas.openxmlformats.org/officeDocument/2006/relationships/hyperlink" Target="https://www.ttbz.org.cn/StandardManage/Detail/163487/" TargetMode="External"/><Relationship Id="rId162" Type="http://schemas.openxmlformats.org/officeDocument/2006/relationships/hyperlink" Target="https://www.ttbz.org.cn/StandardManage/Detail/83511/" TargetMode="External"/><Relationship Id="rId218" Type="http://schemas.openxmlformats.org/officeDocument/2006/relationships/hyperlink" Target="https://www.ttbz.org.cn/StandardManage/Detail/99399/" TargetMode="External"/><Relationship Id="rId425" Type="http://schemas.openxmlformats.org/officeDocument/2006/relationships/hyperlink" Target="https://www.ttbz.org.cn/StandardManage/Detail/124721/" TargetMode="External"/><Relationship Id="rId467" Type="http://schemas.openxmlformats.org/officeDocument/2006/relationships/hyperlink" Target="https://www.ttbz.org.cn/StandardManage/Detail/130588/" TargetMode="External"/><Relationship Id="rId632" Type="http://schemas.openxmlformats.org/officeDocument/2006/relationships/hyperlink" Target="https://www.ttbz.org.cn/StandardManage/Detail/142126/" TargetMode="External"/><Relationship Id="rId271" Type="http://schemas.openxmlformats.org/officeDocument/2006/relationships/hyperlink" Target="https://www.ttbz.org.cn/StandardManage/Detail/107052/" TargetMode="External"/><Relationship Id="rId674" Type="http://schemas.openxmlformats.org/officeDocument/2006/relationships/hyperlink" Target="https://www.ttbz.org.cn/StandardManage/Detail/147813/" TargetMode="External"/><Relationship Id="rId24" Type="http://schemas.openxmlformats.org/officeDocument/2006/relationships/hyperlink" Target="http://www.ttbz.org.cn/StandardManage/Detail/67800/" TargetMode="External"/><Relationship Id="rId66" Type="http://schemas.openxmlformats.org/officeDocument/2006/relationships/hyperlink" Target="http://www.ttbz.org.cn/StandardManage/Detail/50647/" TargetMode="External"/><Relationship Id="rId131" Type="http://schemas.openxmlformats.org/officeDocument/2006/relationships/hyperlink" Target="http://www.ttbz.org.cn/StandardManage/Detail/30742/" TargetMode="External"/><Relationship Id="rId327" Type="http://schemas.openxmlformats.org/officeDocument/2006/relationships/hyperlink" Target="https://www.ttbz.org.cn/StandardManage/Detail/113156/" TargetMode="External"/><Relationship Id="rId369" Type="http://schemas.openxmlformats.org/officeDocument/2006/relationships/hyperlink" Target="https://www.ttbz.org.cn/StandardManage/Detail/119086/" TargetMode="External"/><Relationship Id="rId534" Type="http://schemas.openxmlformats.org/officeDocument/2006/relationships/hyperlink" Target="https://www.ttbz.org.cn/StandardManage/Detail/134814/" TargetMode="External"/><Relationship Id="rId576" Type="http://schemas.openxmlformats.org/officeDocument/2006/relationships/hyperlink" Target="https://www.ttbz.org.cn/StandardManage/Detail/129100/" TargetMode="External"/><Relationship Id="rId741" Type="http://schemas.openxmlformats.org/officeDocument/2006/relationships/hyperlink" Target="https://www.ttbz.org.cn/StandardManage/Detail/159482/" TargetMode="External"/><Relationship Id="rId783" Type="http://schemas.openxmlformats.org/officeDocument/2006/relationships/hyperlink" Target="https://www.ttbz.org.cn/StandardManage/Detail/162914/" TargetMode="External"/><Relationship Id="rId173" Type="http://schemas.openxmlformats.org/officeDocument/2006/relationships/hyperlink" Target="https://www.ttbz.org.cn/StandardManage/Detail/86111/" TargetMode="External"/><Relationship Id="rId229" Type="http://schemas.openxmlformats.org/officeDocument/2006/relationships/hyperlink" Target="https://www.ttbz.org.cn/StandardManage/Detail/101367/" TargetMode="External"/><Relationship Id="rId380" Type="http://schemas.openxmlformats.org/officeDocument/2006/relationships/hyperlink" Target="https://www.ttbz.org.cn/StandardManage/Detail/120445/" TargetMode="External"/><Relationship Id="rId436" Type="http://schemas.openxmlformats.org/officeDocument/2006/relationships/hyperlink" Target="https://www.ttbz.org.cn/StandardManage/Detail/125533/" TargetMode="External"/><Relationship Id="rId601" Type="http://schemas.openxmlformats.org/officeDocument/2006/relationships/hyperlink" Target="https://www.ttbz.org.cn/StandardManage/Detail/140694/" TargetMode="External"/><Relationship Id="rId643" Type="http://schemas.openxmlformats.org/officeDocument/2006/relationships/hyperlink" Target="https://www.ttbz.org.cn/StandardManage/Detail/144878/" TargetMode="External"/><Relationship Id="rId240" Type="http://schemas.openxmlformats.org/officeDocument/2006/relationships/hyperlink" Target="https://www.ttbz.org.cn/StandardManage/Detail/101795/" TargetMode="External"/><Relationship Id="rId478" Type="http://schemas.openxmlformats.org/officeDocument/2006/relationships/hyperlink" Target="https://www.ttbz.org.cn/StandardManage/Detail/131116/" TargetMode="External"/><Relationship Id="rId685" Type="http://schemas.openxmlformats.org/officeDocument/2006/relationships/hyperlink" Target="https://www.ttbz.org.cn/StandardManage/Detail/151323/" TargetMode="External"/><Relationship Id="rId35" Type="http://schemas.openxmlformats.org/officeDocument/2006/relationships/hyperlink" Target="http://www.ttbz.org.cn/StandardManage/Detail/62775/" TargetMode="External"/><Relationship Id="rId77" Type="http://schemas.openxmlformats.org/officeDocument/2006/relationships/hyperlink" Target="http://www.ttbz.org.cn/StandardManage/Detail/42867/" TargetMode="External"/><Relationship Id="rId100" Type="http://schemas.openxmlformats.org/officeDocument/2006/relationships/hyperlink" Target="http://www.ttbz.org.cn/StandardManage/Detail/33564/" TargetMode="External"/><Relationship Id="rId282" Type="http://schemas.openxmlformats.org/officeDocument/2006/relationships/hyperlink" Target="https://www.ttbz.org.cn/StandardManage/Detail/109394/" TargetMode="External"/><Relationship Id="rId338" Type="http://schemas.openxmlformats.org/officeDocument/2006/relationships/hyperlink" Target="https://www.ttbz.org.cn/StandardManage/Detail/115275/" TargetMode="External"/><Relationship Id="rId503" Type="http://schemas.openxmlformats.org/officeDocument/2006/relationships/hyperlink" Target="https://www.ttbz.org.cn/StandardManage/Detail/132930/" TargetMode="External"/><Relationship Id="rId545" Type="http://schemas.openxmlformats.org/officeDocument/2006/relationships/hyperlink" Target="https://www.ttbz.org.cn/StandardManage/Detail/135475/" TargetMode="External"/><Relationship Id="rId587" Type="http://schemas.openxmlformats.org/officeDocument/2006/relationships/hyperlink" Target="https://www.ttbz.org.cn/StandardManage/Detail/138145/" TargetMode="External"/><Relationship Id="rId710" Type="http://schemas.openxmlformats.org/officeDocument/2006/relationships/hyperlink" Target="https://www.ttbz.org.cn/StandardManage/Detail/156900/" TargetMode="External"/><Relationship Id="rId752" Type="http://schemas.openxmlformats.org/officeDocument/2006/relationships/hyperlink" Target="https://www.ttbz.org.cn/StandardManage/Detail/160668/" TargetMode="External"/><Relationship Id="rId808" Type="http://schemas.openxmlformats.org/officeDocument/2006/relationships/hyperlink" Target="https://www.ttbz.org.cn/standardDetail/d190f403b86d4f52935ef111982018c1.html" TargetMode="External"/><Relationship Id="rId8" Type="http://schemas.openxmlformats.org/officeDocument/2006/relationships/hyperlink" Target="http://www.ttbz.org.cn/StandardManage/Detail/73740/" TargetMode="External"/><Relationship Id="rId142" Type="http://schemas.openxmlformats.org/officeDocument/2006/relationships/hyperlink" Target="https://www.ttbz.org.cn/StandardManage/Detail/79747/" TargetMode="External"/><Relationship Id="rId184" Type="http://schemas.openxmlformats.org/officeDocument/2006/relationships/hyperlink" Target="https://www.ttbz.org.cn/StandardManage/Detail/92097/" TargetMode="External"/><Relationship Id="rId391" Type="http://schemas.openxmlformats.org/officeDocument/2006/relationships/hyperlink" Target="https://www.ttbz.org.cn/StandardManage/Detail/121275/" TargetMode="External"/><Relationship Id="rId405" Type="http://schemas.openxmlformats.org/officeDocument/2006/relationships/hyperlink" Target="https://www.ttbz.org.cn/StandardManage/Detail/119809/" TargetMode="External"/><Relationship Id="rId447" Type="http://schemas.openxmlformats.org/officeDocument/2006/relationships/hyperlink" Target="https://www.ttbz.org.cn/StandardManage/Detail/127672/" TargetMode="External"/><Relationship Id="rId612" Type="http://schemas.openxmlformats.org/officeDocument/2006/relationships/hyperlink" Target="https://www.ttbz.org.cn/StandardManage/Detail/140721/" TargetMode="External"/><Relationship Id="rId794" Type="http://schemas.openxmlformats.org/officeDocument/2006/relationships/hyperlink" Target="https://www.ttbz.org.cn/StandardManage/Detail/164036/" TargetMode="External"/><Relationship Id="rId251" Type="http://schemas.openxmlformats.org/officeDocument/2006/relationships/hyperlink" Target="https://www.ttbz.org.cn/StandardManage/Detail/102621/" TargetMode="External"/><Relationship Id="rId489" Type="http://schemas.openxmlformats.org/officeDocument/2006/relationships/hyperlink" Target="https://www.ttbz.org.cn/StandardManage/Detail/132030/" TargetMode="External"/><Relationship Id="rId654" Type="http://schemas.openxmlformats.org/officeDocument/2006/relationships/hyperlink" Target="https://www.ttbz.org.cn/StandardManage/Detail/145336/" TargetMode="External"/><Relationship Id="rId696" Type="http://schemas.openxmlformats.org/officeDocument/2006/relationships/hyperlink" Target="https://www.ttbz.org.cn/StandardManage/Detail/154941/" TargetMode="External"/><Relationship Id="rId46" Type="http://schemas.openxmlformats.org/officeDocument/2006/relationships/hyperlink" Target="http://www.ttbz.org.cn/StandardManage/Detail/61043/" TargetMode="External"/><Relationship Id="rId293" Type="http://schemas.openxmlformats.org/officeDocument/2006/relationships/hyperlink" Target="https://www.ttbz.org.cn/StandardManage/Detail/111656/" TargetMode="External"/><Relationship Id="rId307" Type="http://schemas.openxmlformats.org/officeDocument/2006/relationships/hyperlink" Target="https://www.ttbz.org.cn/StandardManage/Detail/111624/" TargetMode="External"/><Relationship Id="rId349" Type="http://schemas.openxmlformats.org/officeDocument/2006/relationships/hyperlink" Target="https://www.ttbz.org.cn/StandardManage/Detail/116298/" TargetMode="External"/><Relationship Id="rId514" Type="http://schemas.openxmlformats.org/officeDocument/2006/relationships/hyperlink" Target="https://www.ttbz.org.cn/StandardManage/Detail/134356/" TargetMode="External"/><Relationship Id="rId556" Type="http://schemas.openxmlformats.org/officeDocument/2006/relationships/hyperlink" Target="https://www.ttbz.org.cn/StandardManage/Detail/124550/" TargetMode="External"/><Relationship Id="rId721" Type="http://schemas.openxmlformats.org/officeDocument/2006/relationships/hyperlink" Target="https://www.ttbz.org.cn/StandardManage/Detail/157949/" TargetMode="External"/><Relationship Id="rId763" Type="http://schemas.openxmlformats.org/officeDocument/2006/relationships/hyperlink" Target="https://www.ttbz.org.cn/StandardManage/Detail/162301/" TargetMode="External"/><Relationship Id="rId88" Type="http://schemas.openxmlformats.org/officeDocument/2006/relationships/hyperlink" Target="http://www.ttbz.org.cn/StandardManage/Detail/38616/" TargetMode="External"/><Relationship Id="rId111" Type="http://schemas.openxmlformats.org/officeDocument/2006/relationships/hyperlink" Target="http://www.ttbz.org.cn/StandardManage/Detail/63479/" TargetMode="External"/><Relationship Id="rId153" Type="http://schemas.openxmlformats.org/officeDocument/2006/relationships/hyperlink" Target="https://www.ttbz.org.cn/StandardManage/Detail/84554/" TargetMode="External"/><Relationship Id="rId195" Type="http://schemas.openxmlformats.org/officeDocument/2006/relationships/hyperlink" Target="https://www.ttbz.org.cn/StandardManage/Detail/93198/" TargetMode="External"/><Relationship Id="rId209" Type="http://schemas.openxmlformats.org/officeDocument/2006/relationships/hyperlink" Target="https://www.ttbz.org.cn/StandardManage/Detail/96663/" TargetMode="External"/><Relationship Id="rId360" Type="http://schemas.openxmlformats.org/officeDocument/2006/relationships/hyperlink" Target="https://www.ttbz.org.cn/StandardManage/Detail/117616/" TargetMode="External"/><Relationship Id="rId416" Type="http://schemas.openxmlformats.org/officeDocument/2006/relationships/hyperlink" Target="https://www.ttbz.org.cn/StandardManage/Detail/123180/" TargetMode="External"/><Relationship Id="rId598" Type="http://schemas.openxmlformats.org/officeDocument/2006/relationships/hyperlink" Target="https://www.ttbz.org.cn/StandardManage/Detail/140974/" TargetMode="External"/><Relationship Id="rId220" Type="http://schemas.openxmlformats.org/officeDocument/2006/relationships/hyperlink" Target="https://www.ttbz.org.cn/StandardManage/Detail/96606/" TargetMode="External"/><Relationship Id="rId458" Type="http://schemas.openxmlformats.org/officeDocument/2006/relationships/hyperlink" Target="https://www.ttbz.org.cn/StandardManage/Detail/127847/" TargetMode="External"/><Relationship Id="rId623" Type="http://schemas.openxmlformats.org/officeDocument/2006/relationships/hyperlink" Target="https://www.ttbz.org.cn/StandardManage/Detail/141883/" TargetMode="External"/><Relationship Id="rId665" Type="http://schemas.openxmlformats.org/officeDocument/2006/relationships/hyperlink" Target="https://www.ttbz.org.cn/StandardManage/Detail/147472/" TargetMode="External"/><Relationship Id="rId15" Type="http://schemas.openxmlformats.org/officeDocument/2006/relationships/hyperlink" Target="http://www.ttbz.org.cn/StandardManage/Detail/70201/" TargetMode="External"/><Relationship Id="rId57" Type="http://schemas.openxmlformats.org/officeDocument/2006/relationships/hyperlink" Target="http://www.ttbz.org.cn/StandardManage/Detail/57317/" TargetMode="External"/><Relationship Id="rId262" Type="http://schemas.openxmlformats.org/officeDocument/2006/relationships/hyperlink" Target="https://www.ttbz.org.cn/StandardManage/Detail/102934/" TargetMode="External"/><Relationship Id="rId318" Type="http://schemas.openxmlformats.org/officeDocument/2006/relationships/hyperlink" Target="https://www.ttbz.org.cn/StandardManage/Detail/113041/" TargetMode="External"/><Relationship Id="rId525" Type="http://schemas.openxmlformats.org/officeDocument/2006/relationships/hyperlink" Target="https://www.ttbz.org.cn/StandardManage/Detail/134817/" TargetMode="External"/><Relationship Id="rId567" Type="http://schemas.openxmlformats.org/officeDocument/2006/relationships/hyperlink" Target="https://www.ttbz.org.cn/StandardManage/Detail/136260/" TargetMode="External"/><Relationship Id="rId732" Type="http://schemas.openxmlformats.org/officeDocument/2006/relationships/hyperlink" Target="https://www.ttbz.org.cn/StandardManage/Detail/158684/" TargetMode="External"/><Relationship Id="rId99" Type="http://schemas.openxmlformats.org/officeDocument/2006/relationships/hyperlink" Target="http://www.ttbz.org.cn/StandardManage/Detail/34340/" TargetMode="External"/><Relationship Id="rId122" Type="http://schemas.openxmlformats.org/officeDocument/2006/relationships/hyperlink" Target="http://www.ttbz.org.cn/StandardManage/Detail/39063/" TargetMode="External"/><Relationship Id="rId164" Type="http://schemas.openxmlformats.org/officeDocument/2006/relationships/hyperlink" Target="https://www.ttbz.org.cn/StandardManage/Detail/85510/" TargetMode="External"/><Relationship Id="rId371" Type="http://schemas.openxmlformats.org/officeDocument/2006/relationships/hyperlink" Target="https://www.ttbz.org.cn/StandardManage/Detail/119091/" TargetMode="External"/><Relationship Id="rId774" Type="http://schemas.openxmlformats.org/officeDocument/2006/relationships/hyperlink" Target="https://www.ttbz.org.cn/StandardManage/Detail/163490/" TargetMode="External"/><Relationship Id="rId427" Type="http://schemas.openxmlformats.org/officeDocument/2006/relationships/hyperlink" Target="https://www.ttbz.org.cn/StandardManage/Detail/124726/" TargetMode="External"/><Relationship Id="rId469" Type="http://schemas.openxmlformats.org/officeDocument/2006/relationships/hyperlink" Target="https://www.ttbz.org.cn/StandardManage/Detail/130812/" TargetMode="External"/><Relationship Id="rId634" Type="http://schemas.openxmlformats.org/officeDocument/2006/relationships/hyperlink" Target="https://www.ttbz.org.cn/StandardManage/Detail/143299/" TargetMode="External"/><Relationship Id="rId676" Type="http://schemas.openxmlformats.org/officeDocument/2006/relationships/hyperlink" Target="https://www.ttbz.org.cn/StandardManage/Detail/148465/" TargetMode="External"/><Relationship Id="rId26" Type="http://schemas.openxmlformats.org/officeDocument/2006/relationships/hyperlink" Target="http://www.ttbz.org.cn/StandardManage/Detail/67708/" TargetMode="External"/><Relationship Id="rId231" Type="http://schemas.openxmlformats.org/officeDocument/2006/relationships/hyperlink" Target="https://www.ttbz.org.cn/StandardManage/Detail/101374/" TargetMode="External"/><Relationship Id="rId273" Type="http://schemas.openxmlformats.org/officeDocument/2006/relationships/hyperlink" Target="https://www.ttbz.org.cn/StandardManage/Detail/108935/" TargetMode="External"/><Relationship Id="rId329" Type="http://schemas.openxmlformats.org/officeDocument/2006/relationships/hyperlink" Target="https://www.ttbz.org.cn/StandardManage/Detail/113622/" TargetMode="External"/><Relationship Id="rId480" Type="http://schemas.openxmlformats.org/officeDocument/2006/relationships/hyperlink" Target="https://www.ttbz.org.cn/StandardManage/Detail/131279/" TargetMode="External"/><Relationship Id="rId536" Type="http://schemas.openxmlformats.org/officeDocument/2006/relationships/hyperlink" Target="https://www.ttbz.org.cn/StandardManage/Detail/133439/" TargetMode="External"/><Relationship Id="rId701" Type="http://schemas.openxmlformats.org/officeDocument/2006/relationships/hyperlink" Target="https://www.ttbz.org.cn/StandardManage/Detail/154922/" TargetMode="External"/><Relationship Id="rId68" Type="http://schemas.openxmlformats.org/officeDocument/2006/relationships/hyperlink" Target="http://www.ttbz.org.cn/StandardManage/Detail/48877/" TargetMode="External"/><Relationship Id="rId133" Type="http://schemas.openxmlformats.org/officeDocument/2006/relationships/hyperlink" Target="http://www.ttbz.org.cn/StandardManage/Detail/30737/" TargetMode="External"/><Relationship Id="rId175" Type="http://schemas.openxmlformats.org/officeDocument/2006/relationships/hyperlink" Target="https://www.ttbz.org.cn/StandardManage/Detail/89983/" TargetMode="External"/><Relationship Id="rId340" Type="http://schemas.openxmlformats.org/officeDocument/2006/relationships/hyperlink" Target="https://www.ttbz.org.cn/StandardManage/Detail/115282/" TargetMode="External"/><Relationship Id="rId578" Type="http://schemas.openxmlformats.org/officeDocument/2006/relationships/hyperlink" Target="https://www.ttbz.org.cn/StandardManage/Detail/79396/" TargetMode="External"/><Relationship Id="rId743" Type="http://schemas.openxmlformats.org/officeDocument/2006/relationships/hyperlink" Target="https://www.ttbz.org.cn/StandardManage/Detail/154859/" TargetMode="External"/><Relationship Id="rId785" Type="http://schemas.openxmlformats.org/officeDocument/2006/relationships/hyperlink" Target="https://www.ttbz.org.cn/StandardManage/Detail/163511/" TargetMode="External"/><Relationship Id="rId200" Type="http://schemas.openxmlformats.org/officeDocument/2006/relationships/hyperlink" Target="https://www.ttbz.org.cn/StandardManage/Detail/100090/" TargetMode="External"/><Relationship Id="rId382" Type="http://schemas.openxmlformats.org/officeDocument/2006/relationships/hyperlink" Target="https://www.ttbz.org.cn/StandardManage/Detail/120698/" TargetMode="External"/><Relationship Id="rId438" Type="http://schemas.openxmlformats.org/officeDocument/2006/relationships/hyperlink" Target="https://www.ttbz.org.cn/StandardManage/Detail/120769/" TargetMode="External"/><Relationship Id="rId603" Type="http://schemas.openxmlformats.org/officeDocument/2006/relationships/hyperlink" Target="https://www.ttbz.org.cn/StandardManage/Detail/140709/" TargetMode="External"/><Relationship Id="rId645" Type="http://schemas.openxmlformats.org/officeDocument/2006/relationships/hyperlink" Target="https://www.ttbz.org.cn/StandardManage/Detail/144957/" TargetMode="External"/><Relationship Id="rId687" Type="http://schemas.openxmlformats.org/officeDocument/2006/relationships/hyperlink" Target="https://www.ttbz.org.cn/StandardManage/Detail/151339/" TargetMode="External"/><Relationship Id="rId242" Type="http://schemas.openxmlformats.org/officeDocument/2006/relationships/hyperlink" Target="https://www.ttbz.org.cn/StandardManage/Detail/102232/" TargetMode="External"/><Relationship Id="rId284" Type="http://schemas.openxmlformats.org/officeDocument/2006/relationships/hyperlink" Target="https://www.ttbz.org.cn/StandardManage/Detail/109526/" TargetMode="External"/><Relationship Id="rId491" Type="http://schemas.openxmlformats.org/officeDocument/2006/relationships/hyperlink" Target="https://www.ttbz.org.cn/StandardManage/Detail/132188/" TargetMode="External"/><Relationship Id="rId505" Type="http://schemas.openxmlformats.org/officeDocument/2006/relationships/hyperlink" Target="https://www.ttbz.org.cn/StandardManage/Detail/132933/" TargetMode="External"/><Relationship Id="rId712" Type="http://schemas.openxmlformats.org/officeDocument/2006/relationships/hyperlink" Target="https://www.ttbz.org.cn/StandardManage/Detail/157123/" TargetMode="External"/><Relationship Id="rId37" Type="http://schemas.openxmlformats.org/officeDocument/2006/relationships/hyperlink" Target="http://www.ttbz.org.cn/StandardManage/Detail/62344/" TargetMode="External"/><Relationship Id="rId79" Type="http://schemas.openxmlformats.org/officeDocument/2006/relationships/hyperlink" Target="http://www.ttbz.org.cn/StandardManage/Detail/39069/" TargetMode="External"/><Relationship Id="rId102" Type="http://schemas.openxmlformats.org/officeDocument/2006/relationships/hyperlink" Target="http://www.ttbz.org.cn/StandardManage/Detail/31100/" TargetMode="External"/><Relationship Id="rId144" Type="http://schemas.openxmlformats.org/officeDocument/2006/relationships/hyperlink" Target="https://www.ttbz.org.cn/StandardManage/Detail/79841/" TargetMode="External"/><Relationship Id="rId547" Type="http://schemas.openxmlformats.org/officeDocument/2006/relationships/hyperlink" Target="https://www.ttbz.org.cn/StandardManage/Detail/135674/" TargetMode="External"/><Relationship Id="rId589" Type="http://schemas.openxmlformats.org/officeDocument/2006/relationships/hyperlink" Target="https://www.ttbz.org.cn/StandardManage/Detail/137079/" TargetMode="External"/><Relationship Id="rId754" Type="http://schemas.openxmlformats.org/officeDocument/2006/relationships/hyperlink" Target="https://www.ttbz.org.cn/StandardManage/Detail/160448/" TargetMode="External"/><Relationship Id="rId796" Type="http://schemas.openxmlformats.org/officeDocument/2006/relationships/hyperlink" Target="https://www.ttbz.org.cn/standardDetail.html" TargetMode="External"/><Relationship Id="rId90" Type="http://schemas.openxmlformats.org/officeDocument/2006/relationships/hyperlink" Target="http://www.ttbz.org.cn/StandardManage/Detail/37553/" TargetMode="External"/><Relationship Id="rId186" Type="http://schemas.openxmlformats.org/officeDocument/2006/relationships/hyperlink" Target="https://www.ttbz.org.cn/StandardManage/Detail/89256/" TargetMode="External"/><Relationship Id="rId351" Type="http://schemas.openxmlformats.org/officeDocument/2006/relationships/hyperlink" Target="https://www.ttbz.org.cn/StandardManage/Detail/116436/" TargetMode="External"/><Relationship Id="rId393" Type="http://schemas.openxmlformats.org/officeDocument/2006/relationships/hyperlink" Target="https://www.ttbz.org.cn/StandardManage/Detail/120957/" TargetMode="External"/><Relationship Id="rId407" Type="http://schemas.openxmlformats.org/officeDocument/2006/relationships/hyperlink" Target="https://www.ttbz.org.cn/StandardManage/Detail/119811/" TargetMode="External"/><Relationship Id="rId449" Type="http://schemas.openxmlformats.org/officeDocument/2006/relationships/hyperlink" Target="https://www.ttbz.org.cn/StandardManage/Detail/127931/" TargetMode="External"/><Relationship Id="rId614" Type="http://schemas.openxmlformats.org/officeDocument/2006/relationships/hyperlink" Target="https://www.ttbz.org.cn/StandardManage/Detail/141885/" TargetMode="External"/><Relationship Id="rId656" Type="http://schemas.openxmlformats.org/officeDocument/2006/relationships/hyperlink" Target="https://www.ttbz.org.cn/StandardManage/Detail/145828/" TargetMode="External"/><Relationship Id="rId211" Type="http://schemas.openxmlformats.org/officeDocument/2006/relationships/hyperlink" Target="https://www.ttbz.org.cn/StandardManage/Detail/97960/" TargetMode="External"/><Relationship Id="rId253" Type="http://schemas.openxmlformats.org/officeDocument/2006/relationships/hyperlink" Target="https://www.ttbz.org.cn/StandardManage/Detail/103576/" TargetMode="External"/><Relationship Id="rId295" Type="http://schemas.openxmlformats.org/officeDocument/2006/relationships/hyperlink" Target="https://www.ttbz.org.cn/StandardManage/Detail/111664/" TargetMode="External"/><Relationship Id="rId309" Type="http://schemas.openxmlformats.org/officeDocument/2006/relationships/hyperlink" Target="https://www.ttbz.org.cn/StandardManage/Detail/111673/" TargetMode="External"/><Relationship Id="rId460" Type="http://schemas.openxmlformats.org/officeDocument/2006/relationships/hyperlink" Target="https://www.ttbz.org.cn/StandardManage/Detail/129939/" TargetMode="External"/><Relationship Id="rId516" Type="http://schemas.openxmlformats.org/officeDocument/2006/relationships/hyperlink" Target="https://www.ttbz.org.cn/StandardManage/Detail/134034/" TargetMode="External"/><Relationship Id="rId698" Type="http://schemas.openxmlformats.org/officeDocument/2006/relationships/hyperlink" Target="https://www.ttbz.org.cn/StandardManage/Detail/150573/" TargetMode="External"/><Relationship Id="rId48" Type="http://schemas.openxmlformats.org/officeDocument/2006/relationships/hyperlink" Target="http://www.ttbz.org.cn/StandardManage/Detail/60860/" TargetMode="External"/><Relationship Id="rId113" Type="http://schemas.openxmlformats.org/officeDocument/2006/relationships/hyperlink" Target="http://www.ttbz.org.cn/StandardManage/Detail/62981/" TargetMode="External"/><Relationship Id="rId320" Type="http://schemas.openxmlformats.org/officeDocument/2006/relationships/hyperlink" Target="https://www.ttbz.org.cn/StandardManage/Detail/113685/" TargetMode="External"/><Relationship Id="rId558" Type="http://schemas.openxmlformats.org/officeDocument/2006/relationships/hyperlink" Target="https://www.ttbz.org.cn/StandardManage/Detail/136316/" TargetMode="External"/><Relationship Id="rId723" Type="http://schemas.openxmlformats.org/officeDocument/2006/relationships/hyperlink" Target="https://www.ttbz.org.cn/StandardManage/Detail/154744/" TargetMode="External"/><Relationship Id="rId765" Type="http://schemas.openxmlformats.org/officeDocument/2006/relationships/hyperlink" Target="https://www.ttbz.org.cn/StandardManage/Detail/161966/" TargetMode="External"/><Relationship Id="rId155" Type="http://schemas.openxmlformats.org/officeDocument/2006/relationships/hyperlink" Target="https://www.ttbz.org.cn/StandardManage/Detail/78539/" TargetMode="External"/><Relationship Id="rId197" Type="http://schemas.openxmlformats.org/officeDocument/2006/relationships/hyperlink" Target="https://www.ttbz.org.cn/StandardManage/Detail/85488/" TargetMode="External"/><Relationship Id="rId362" Type="http://schemas.openxmlformats.org/officeDocument/2006/relationships/hyperlink" Target="https://www.ttbz.org.cn/StandardManage/Detail/117647/" TargetMode="External"/><Relationship Id="rId418" Type="http://schemas.openxmlformats.org/officeDocument/2006/relationships/hyperlink" Target="https://www.ttbz.org.cn/StandardManage/Detail/123680/" TargetMode="External"/><Relationship Id="rId625" Type="http://schemas.openxmlformats.org/officeDocument/2006/relationships/hyperlink" Target="https://www.ttbz.org.cn/StandardManage/Detail/141688/" TargetMode="External"/><Relationship Id="rId222" Type="http://schemas.openxmlformats.org/officeDocument/2006/relationships/hyperlink" Target="https://www.ttbz.org.cn/StandardManage/Detail/89981/" TargetMode="External"/><Relationship Id="rId264" Type="http://schemas.openxmlformats.org/officeDocument/2006/relationships/hyperlink" Target="https://www.ttbz.org.cn/StandardManage/Detail/102955/" TargetMode="External"/><Relationship Id="rId471" Type="http://schemas.openxmlformats.org/officeDocument/2006/relationships/hyperlink" Target="https://www.ttbz.org.cn/StandardManage/Detail/130894/" TargetMode="External"/><Relationship Id="rId667" Type="http://schemas.openxmlformats.org/officeDocument/2006/relationships/hyperlink" Target="https://www.ttbz.org.cn/StandardManage/Detail/147508/" TargetMode="External"/><Relationship Id="rId17" Type="http://schemas.openxmlformats.org/officeDocument/2006/relationships/hyperlink" Target="http://www.ttbz.org.cn/StandardManage/Detail/70033/" TargetMode="External"/><Relationship Id="rId59" Type="http://schemas.openxmlformats.org/officeDocument/2006/relationships/hyperlink" Target="http://www.ttbz.org.cn/StandardManage/Detail/56493/" TargetMode="External"/><Relationship Id="rId124" Type="http://schemas.openxmlformats.org/officeDocument/2006/relationships/hyperlink" Target="http://www.ttbz.org.cn/StandardManage/Detail/35718/" TargetMode="External"/><Relationship Id="rId527" Type="http://schemas.openxmlformats.org/officeDocument/2006/relationships/hyperlink" Target="https://www.ttbz.org.cn/StandardManage/Detail/134904/" TargetMode="External"/><Relationship Id="rId569" Type="http://schemas.openxmlformats.org/officeDocument/2006/relationships/hyperlink" Target="https://www.ttbz.org.cn/StandardManage/Detail/136289/" TargetMode="External"/><Relationship Id="rId734" Type="http://schemas.openxmlformats.org/officeDocument/2006/relationships/hyperlink" Target="https://www.ttbz.org.cn/StandardManage/Detail/158297/" TargetMode="External"/><Relationship Id="rId776" Type="http://schemas.openxmlformats.org/officeDocument/2006/relationships/hyperlink" Target="https://www.ttbz.org.cn/StandardManage/Detail/163814/" TargetMode="External"/><Relationship Id="rId70" Type="http://schemas.openxmlformats.org/officeDocument/2006/relationships/hyperlink" Target="http://www.ttbz.org.cn/StandardManage/Detail/47494/" TargetMode="External"/><Relationship Id="rId166" Type="http://schemas.openxmlformats.org/officeDocument/2006/relationships/hyperlink" Target="https://www.ttbz.org.cn/StandardManage/Detail/85742/" TargetMode="External"/><Relationship Id="rId331" Type="http://schemas.openxmlformats.org/officeDocument/2006/relationships/hyperlink" Target="https://www.ttbz.org.cn/StandardManage/Detail/114365/" TargetMode="External"/><Relationship Id="rId373" Type="http://schemas.openxmlformats.org/officeDocument/2006/relationships/hyperlink" Target="https://www.ttbz.org.cn/StandardManage/Detail/119346/" TargetMode="External"/><Relationship Id="rId429" Type="http://schemas.openxmlformats.org/officeDocument/2006/relationships/hyperlink" Target="https://www.ttbz.org.cn/StandardManage/Detail/125643/" TargetMode="External"/><Relationship Id="rId580" Type="http://schemas.openxmlformats.org/officeDocument/2006/relationships/hyperlink" Target="https://www.ttbz.org.cn/StandardManage/Detail/99394/" TargetMode="External"/><Relationship Id="rId636" Type="http://schemas.openxmlformats.org/officeDocument/2006/relationships/hyperlink" Target="https://www.ttbz.org.cn/StandardManage/Detail/144359/" TargetMode="External"/><Relationship Id="rId801" Type="http://schemas.openxmlformats.org/officeDocument/2006/relationships/hyperlink" Target="https://www.ttbz.org.cn/standardDetail.html?id=wutv73ybqy9zum7pe8xep9riqwoj223" TargetMode="External"/><Relationship Id="rId1" Type="http://schemas.openxmlformats.org/officeDocument/2006/relationships/hyperlink" Target="http://www.ttbz.org.cn/StandardManage/Detail/74225/" TargetMode="External"/><Relationship Id="rId233" Type="http://schemas.openxmlformats.org/officeDocument/2006/relationships/hyperlink" Target="https://www.ttbz.org.cn/StandardManage/Detail/101376/" TargetMode="External"/><Relationship Id="rId440" Type="http://schemas.openxmlformats.org/officeDocument/2006/relationships/hyperlink" Target="https://www.ttbz.org.cn/StandardManage/Detail/126195/" TargetMode="External"/><Relationship Id="rId678" Type="http://schemas.openxmlformats.org/officeDocument/2006/relationships/hyperlink" Target="https://www.ttbz.org.cn/StandardManage/Detail/149351/" TargetMode="External"/><Relationship Id="rId28" Type="http://schemas.openxmlformats.org/officeDocument/2006/relationships/hyperlink" Target="http://www.ttbz.org.cn/StandardManage/Detail/65699/" TargetMode="External"/><Relationship Id="rId275" Type="http://schemas.openxmlformats.org/officeDocument/2006/relationships/hyperlink" Target="https://www.ttbz.org.cn/StandardManage/Detail/108975/" TargetMode="External"/><Relationship Id="rId300" Type="http://schemas.openxmlformats.org/officeDocument/2006/relationships/hyperlink" Target="https://www.ttbz.org.cn/StandardManage/Detail/112024/" TargetMode="External"/><Relationship Id="rId482" Type="http://schemas.openxmlformats.org/officeDocument/2006/relationships/hyperlink" Target="https://www.ttbz.org.cn/StandardManage/Detail/131300/" TargetMode="External"/><Relationship Id="rId538" Type="http://schemas.openxmlformats.org/officeDocument/2006/relationships/hyperlink" Target="https://www.ttbz.org.cn/StandardManage/Detail/134039/" TargetMode="External"/><Relationship Id="rId703" Type="http://schemas.openxmlformats.org/officeDocument/2006/relationships/hyperlink" Target="https://www.ttbz.org.cn/StandardManage/Detail/156066/" TargetMode="External"/><Relationship Id="rId745" Type="http://schemas.openxmlformats.org/officeDocument/2006/relationships/hyperlink" Target="https://www.ttbz.org.cn/StandardManage/Detail/159767/" TargetMode="External"/><Relationship Id="rId81" Type="http://schemas.openxmlformats.org/officeDocument/2006/relationships/hyperlink" Target="http://www.ttbz.org.cn/StandardManage/Detail/39064/" TargetMode="External"/><Relationship Id="rId135" Type="http://schemas.openxmlformats.org/officeDocument/2006/relationships/hyperlink" Target="https://www.ttbz.org.cn/StandardManage/Detail/75855/" TargetMode="External"/><Relationship Id="rId177" Type="http://schemas.openxmlformats.org/officeDocument/2006/relationships/hyperlink" Target="https://www.ttbz.org.cn/StandardManage/Detail/95067/" TargetMode="External"/><Relationship Id="rId342" Type="http://schemas.openxmlformats.org/officeDocument/2006/relationships/hyperlink" Target="https://www.ttbz.org.cn/StandardManage/Detail/115170/" TargetMode="External"/><Relationship Id="rId384" Type="http://schemas.openxmlformats.org/officeDocument/2006/relationships/hyperlink" Target="https://www.ttbz.org.cn/StandardManage/Detail/119878/" TargetMode="External"/><Relationship Id="rId591" Type="http://schemas.openxmlformats.org/officeDocument/2006/relationships/hyperlink" Target="https://www.ttbz.org.cn/StandardManage/Detail/99399/" TargetMode="External"/><Relationship Id="rId605" Type="http://schemas.openxmlformats.org/officeDocument/2006/relationships/hyperlink" Target="https://www.ttbz.org.cn/StandardManage/Detail/141285/" TargetMode="External"/><Relationship Id="rId787" Type="http://schemas.openxmlformats.org/officeDocument/2006/relationships/hyperlink" Target="https://www.ttbz.org.cn/StandardManage/Detail/163651/" TargetMode="External"/><Relationship Id="rId202" Type="http://schemas.openxmlformats.org/officeDocument/2006/relationships/hyperlink" Target="https://www.ttbz.org.cn/StandardManage/Detail/99401/" TargetMode="External"/><Relationship Id="rId244" Type="http://schemas.openxmlformats.org/officeDocument/2006/relationships/hyperlink" Target="https://www.ttbz.org.cn/StandardManage/Detail/101942/" TargetMode="External"/><Relationship Id="rId647" Type="http://schemas.openxmlformats.org/officeDocument/2006/relationships/hyperlink" Target="https://www.ttbz.org.cn/StandardManage/Detail/144964/" TargetMode="External"/><Relationship Id="rId689" Type="http://schemas.openxmlformats.org/officeDocument/2006/relationships/hyperlink" Target="https://www.ttbz.org.cn/StandardManage/Detail/151224/" TargetMode="External"/><Relationship Id="rId39" Type="http://schemas.openxmlformats.org/officeDocument/2006/relationships/hyperlink" Target="http://www.ttbz.org.cn/StandardManage/Detail/61072/" TargetMode="External"/><Relationship Id="rId286" Type="http://schemas.openxmlformats.org/officeDocument/2006/relationships/hyperlink" Target="https://www.ttbz.org.cn/StandardManage/Detail/110533/" TargetMode="External"/><Relationship Id="rId451" Type="http://schemas.openxmlformats.org/officeDocument/2006/relationships/hyperlink" Target="https://www.ttbz.org.cn/StandardManage/Detail/129507/" TargetMode="External"/><Relationship Id="rId493" Type="http://schemas.openxmlformats.org/officeDocument/2006/relationships/hyperlink" Target="https://www.ttbz.org.cn/StandardManage/Detail/132519/" TargetMode="External"/><Relationship Id="rId507" Type="http://schemas.openxmlformats.org/officeDocument/2006/relationships/hyperlink" Target="https://www.ttbz.org.cn/StandardManage/Detail/132936/" TargetMode="External"/><Relationship Id="rId549" Type="http://schemas.openxmlformats.org/officeDocument/2006/relationships/hyperlink" Target="https://www.ttbz.org.cn/StandardManage/Detail/135956/" TargetMode="External"/><Relationship Id="rId714" Type="http://schemas.openxmlformats.org/officeDocument/2006/relationships/hyperlink" Target="https://www.ttbz.org.cn/StandardManage/Detail/157749/" TargetMode="External"/><Relationship Id="rId756" Type="http://schemas.openxmlformats.org/officeDocument/2006/relationships/hyperlink" Target="https://www.ttbz.org.cn/StandardManage/Detail/161670/" TargetMode="External"/><Relationship Id="rId50" Type="http://schemas.openxmlformats.org/officeDocument/2006/relationships/hyperlink" Target="http://www.ttbz.org.cn/StandardManage/Detail/60830/" TargetMode="External"/><Relationship Id="rId104" Type="http://schemas.openxmlformats.org/officeDocument/2006/relationships/hyperlink" Target="http://www.ttbz.org.cn/StandardManage/Detail/30740/" TargetMode="External"/><Relationship Id="rId146" Type="http://schemas.openxmlformats.org/officeDocument/2006/relationships/hyperlink" Target="https://www.ttbz.org.cn/StandardManage/Detail/80812/" TargetMode="External"/><Relationship Id="rId188" Type="http://schemas.openxmlformats.org/officeDocument/2006/relationships/hyperlink" Target="https://www.ttbz.org.cn/StandardManage/Detail/95066/" TargetMode="External"/><Relationship Id="rId311" Type="http://schemas.openxmlformats.org/officeDocument/2006/relationships/hyperlink" Target="https://www.ttbz.org.cn/StandardManage/Detail/111748/" TargetMode="External"/><Relationship Id="rId353" Type="http://schemas.openxmlformats.org/officeDocument/2006/relationships/hyperlink" Target="https://www.ttbz.org.cn/StandardManage/Detail/116441/" TargetMode="External"/><Relationship Id="rId395" Type="http://schemas.openxmlformats.org/officeDocument/2006/relationships/hyperlink" Target="https://www.ttbz.org.cn/StandardManage/Detail/121672/" TargetMode="External"/><Relationship Id="rId409" Type="http://schemas.openxmlformats.org/officeDocument/2006/relationships/hyperlink" Target="https://www.ttbz.org.cn/StandardManage/Detail/120449/" TargetMode="External"/><Relationship Id="rId560" Type="http://schemas.openxmlformats.org/officeDocument/2006/relationships/hyperlink" Target="https://www.ttbz.org.cn/StandardManage/Detail/136375/" TargetMode="External"/><Relationship Id="rId798" Type="http://schemas.openxmlformats.org/officeDocument/2006/relationships/hyperlink" Target="https://www.ttbz.org.cn/standardDetail.html" TargetMode="External"/><Relationship Id="rId92" Type="http://schemas.openxmlformats.org/officeDocument/2006/relationships/hyperlink" Target="http://www.ttbz.org.cn/StandardManage/Detail/35628/" TargetMode="External"/><Relationship Id="rId213" Type="http://schemas.openxmlformats.org/officeDocument/2006/relationships/hyperlink" Target="https://www.ttbz.org.cn/StandardManage/Detail/97258/" TargetMode="External"/><Relationship Id="rId420" Type="http://schemas.openxmlformats.org/officeDocument/2006/relationships/hyperlink" Target="https://www.ttbz.org.cn/StandardManage/Detail/124348/" TargetMode="External"/><Relationship Id="rId616" Type="http://schemas.openxmlformats.org/officeDocument/2006/relationships/hyperlink" Target="https://www.ttbz.org.cn/StandardManage/Detail/62775/" TargetMode="External"/><Relationship Id="rId658" Type="http://schemas.openxmlformats.org/officeDocument/2006/relationships/hyperlink" Target="https://www.ttbz.org.cn/StandardManage/Detail/145963/" TargetMode="External"/><Relationship Id="rId255" Type="http://schemas.openxmlformats.org/officeDocument/2006/relationships/hyperlink" Target="https://www.ttbz.org.cn/StandardManage/Detail/105846/" TargetMode="External"/><Relationship Id="rId297" Type="http://schemas.openxmlformats.org/officeDocument/2006/relationships/hyperlink" Target="https://www.ttbz.org.cn/StandardManage/Detail/111675/" TargetMode="External"/><Relationship Id="rId462" Type="http://schemas.openxmlformats.org/officeDocument/2006/relationships/hyperlink" Target="https://www.ttbz.org.cn/StandardManage/Detail/130208/" TargetMode="External"/><Relationship Id="rId518" Type="http://schemas.openxmlformats.org/officeDocument/2006/relationships/hyperlink" Target="https://www.ttbz.org.cn/StandardManage/Detail/134072/" TargetMode="External"/><Relationship Id="rId725" Type="http://schemas.openxmlformats.org/officeDocument/2006/relationships/hyperlink" Target="https://www.ttbz.org.cn/StandardManage/Detail/158016/" TargetMode="External"/><Relationship Id="rId115" Type="http://schemas.openxmlformats.org/officeDocument/2006/relationships/hyperlink" Target="http://www.ttbz.org.cn/StandardManage/Detail/59077/" TargetMode="External"/><Relationship Id="rId157" Type="http://schemas.openxmlformats.org/officeDocument/2006/relationships/hyperlink" Target="https://www.ttbz.org.cn/StandardManage/Detail/79300/" TargetMode="External"/><Relationship Id="rId322" Type="http://schemas.openxmlformats.org/officeDocument/2006/relationships/hyperlink" Target="https://www.ttbz.org.cn/StandardManage/Detail/113761/" TargetMode="External"/><Relationship Id="rId364" Type="http://schemas.openxmlformats.org/officeDocument/2006/relationships/hyperlink" Target="https://www.ttbz.org.cn/StandardManage/Detail/118110/" TargetMode="External"/><Relationship Id="rId767" Type="http://schemas.openxmlformats.org/officeDocument/2006/relationships/hyperlink" Target="https://www.ttbz.org.cn/StandardManage/Detail/161833/" TargetMode="External"/><Relationship Id="rId61" Type="http://schemas.openxmlformats.org/officeDocument/2006/relationships/hyperlink" Target="http://www.ttbz.org.cn/StandardManage/Detail/52162/" TargetMode="External"/><Relationship Id="rId199" Type="http://schemas.openxmlformats.org/officeDocument/2006/relationships/hyperlink" Target="https://www.ttbz.org.cn/StandardManage/Detail/100095/" TargetMode="External"/><Relationship Id="rId571" Type="http://schemas.openxmlformats.org/officeDocument/2006/relationships/hyperlink" Target="https://www.ttbz.org.cn/StandardManage/Detail/137282/" TargetMode="External"/><Relationship Id="rId627" Type="http://schemas.openxmlformats.org/officeDocument/2006/relationships/hyperlink" Target="https://www.ttbz.org.cn/StandardManage/Detail/143283/" TargetMode="External"/><Relationship Id="rId669" Type="http://schemas.openxmlformats.org/officeDocument/2006/relationships/hyperlink" Target="https://www.ttbz.org.cn/StandardManage/Detail/147892/" TargetMode="External"/><Relationship Id="rId19" Type="http://schemas.openxmlformats.org/officeDocument/2006/relationships/hyperlink" Target="http://www.ttbz.org.cn/StandardManage/Detail/68801/" TargetMode="External"/><Relationship Id="rId224" Type="http://schemas.openxmlformats.org/officeDocument/2006/relationships/hyperlink" Target="https://www.ttbz.org.cn/StandardManage/Detail/75854/" TargetMode="External"/><Relationship Id="rId266" Type="http://schemas.openxmlformats.org/officeDocument/2006/relationships/hyperlink" Target="https://www.ttbz.org.cn/StandardManage/Detail/108297/" TargetMode="External"/><Relationship Id="rId431" Type="http://schemas.openxmlformats.org/officeDocument/2006/relationships/hyperlink" Target="https://www.ttbz.org.cn/StandardManage/Detail/126495/" TargetMode="External"/><Relationship Id="rId473" Type="http://schemas.openxmlformats.org/officeDocument/2006/relationships/hyperlink" Target="https://www.ttbz.org.cn/StandardManage/Detail/130909/" TargetMode="External"/><Relationship Id="rId529" Type="http://schemas.openxmlformats.org/officeDocument/2006/relationships/hyperlink" Target="https://www.ttbz.org.cn/StandardManage/Detail/133501/" TargetMode="External"/><Relationship Id="rId680" Type="http://schemas.openxmlformats.org/officeDocument/2006/relationships/hyperlink" Target="https://www.ttbz.org.cn/StandardManage/Detail/149353/" TargetMode="External"/><Relationship Id="rId736" Type="http://schemas.openxmlformats.org/officeDocument/2006/relationships/hyperlink" Target="https://www.ttbz.org.cn/StandardManage/Detail/158258/" TargetMode="External"/><Relationship Id="rId30" Type="http://schemas.openxmlformats.org/officeDocument/2006/relationships/hyperlink" Target="http://www.ttbz.org.cn/StandardManage/Detail/65118/" TargetMode="External"/><Relationship Id="rId126" Type="http://schemas.openxmlformats.org/officeDocument/2006/relationships/hyperlink" Target="http://www.ttbz.org.cn/StandardManage/Detail/35716/" TargetMode="External"/><Relationship Id="rId168" Type="http://schemas.openxmlformats.org/officeDocument/2006/relationships/hyperlink" Target="https://www.ttbz.org.cn/StandardManage/Detail/89926/" TargetMode="External"/><Relationship Id="rId333" Type="http://schemas.openxmlformats.org/officeDocument/2006/relationships/hyperlink" Target="https://www.ttbz.org.cn/StandardManage/Detail/114446/" TargetMode="External"/><Relationship Id="rId540" Type="http://schemas.openxmlformats.org/officeDocument/2006/relationships/hyperlink" Target="https://www.ttbz.org.cn/StandardManage/Detail/134574/" TargetMode="External"/><Relationship Id="rId778" Type="http://schemas.openxmlformats.org/officeDocument/2006/relationships/hyperlink" Target="https://www.ttbz.org.cn/StandardManage/Detail/164189/" TargetMode="External"/><Relationship Id="rId72" Type="http://schemas.openxmlformats.org/officeDocument/2006/relationships/hyperlink" Target="http://www.ttbz.org.cn/StandardManage/Detail/47129/" TargetMode="External"/><Relationship Id="rId375" Type="http://schemas.openxmlformats.org/officeDocument/2006/relationships/hyperlink" Target="https://www.ttbz.org.cn/StandardManage/Detail/119373/" TargetMode="External"/><Relationship Id="rId582" Type="http://schemas.openxmlformats.org/officeDocument/2006/relationships/hyperlink" Target="https://www.ttbz.org.cn/StandardManage/Detail/119517/" TargetMode="External"/><Relationship Id="rId638" Type="http://schemas.openxmlformats.org/officeDocument/2006/relationships/hyperlink" Target="https://www.ttbz.org.cn/StandardManage/Detail/144361/" TargetMode="External"/><Relationship Id="rId803" Type="http://schemas.openxmlformats.org/officeDocument/2006/relationships/hyperlink" Target="https://www.ttbz.org.cn/StandardManage/Detail/161142/" TargetMode="External"/><Relationship Id="rId3" Type="http://schemas.openxmlformats.org/officeDocument/2006/relationships/hyperlink" Target="http://www.ttbz.org.cn/StandardManage/Detail/73995/" TargetMode="External"/><Relationship Id="rId235" Type="http://schemas.openxmlformats.org/officeDocument/2006/relationships/hyperlink" Target="https://www.ttbz.org.cn/StandardManage/Detail/101484/" TargetMode="External"/><Relationship Id="rId277" Type="http://schemas.openxmlformats.org/officeDocument/2006/relationships/hyperlink" Target="https://www.ttbz.org.cn/StandardManage/Detail/109289/" TargetMode="External"/><Relationship Id="rId400" Type="http://schemas.openxmlformats.org/officeDocument/2006/relationships/hyperlink" Target="https://www.ttbz.org.cn/StandardManage/Detail/119099/" TargetMode="External"/><Relationship Id="rId442" Type="http://schemas.openxmlformats.org/officeDocument/2006/relationships/hyperlink" Target="https://www.ttbz.org.cn/StandardManage/Detail/110545/" TargetMode="External"/><Relationship Id="rId484" Type="http://schemas.openxmlformats.org/officeDocument/2006/relationships/hyperlink" Target="https://www.ttbz.org.cn/StandardManage/Detail/131679/" TargetMode="External"/><Relationship Id="rId705" Type="http://schemas.openxmlformats.org/officeDocument/2006/relationships/hyperlink" Target="https://www.ttbz.org.cn/StandardManage/Detail/156323/" TargetMode="External"/><Relationship Id="rId137" Type="http://schemas.openxmlformats.org/officeDocument/2006/relationships/hyperlink" Target="https://www.ttbz.org.cn/StandardManage/Detail/74079/" TargetMode="External"/><Relationship Id="rId302" Type="http://schemas.openxmlformats.org/officeDocument/2006/relationships/hyperlink" Target="https://www.ttbz.org.cn/StandardManage/Detail/112583/" TargetMode="External"/><Relationship Id="rId344" Type="http://schemas.openxmlformats.org/officeDocument/2006/relationships/hyperlink" Target="https://www.ttbz.org.cn/StandardManage/Detail/115465/" TargetMode="External"/><Relationship Id="rId691" Type="http://schemas.openxmlformats.org/officeDocument/2006/relationships/hyperlink" Target="https://www.ttbz.org.cn/StandardManage/Detail/152097/" TargetMode="External"/><Relationship Id="rId747" Type="http://schemas.openxmlformats.org/officeDocument/2006/relationships/hyperlink" Target="https://www.ttbz.org.cn/StandardManage/Detail/160456/" TargetMode="External"/><Relationship Id="rId789" Type="http://schemas.openxmlformats.org/officeDocument/2006/relationships/hyperlink" Target="https://www.ttbz.org.cn/StandardManage/Detail/163855/" TargetMode="External"/><Relationship Id="rId41" Type="http://schemas.openxmlformats.org/officeDocument/2006/relationships/hyperlink" Target="http://www.ttbz.org.cn/StandardManage/Detail/61070/" TargetMode="External"/><Relationship Id="rId83" Type="http://schemas.openxmlformats.org/officeDocument/2006/relationships/hyperlink" Target="http://www.ttbz.org.cn/StandardManage/Detail/39031/" TargetMode="External"/><Relationship Id="rId179" Type="http://schemas.openxmlformats.org/officeDocument/2006/relationships/hyperlink" Target="https://www.ttbz.org.cn/StandardManage/Detail/95026/" TargetMode="External"/><Relationship Id="rId386" Type="http://schemas.openxmlformats.org/officeDocument/2006/relationships/hyperlink" Target="https://www.ttbz.org.cn/StandardManage/Detail/120987/" TargetMode="External"/><Relationship Id="rId551" Type="http://schemas.openxmlformats.org/officeDocument/2006/relationships/hyperlink" Target="https://www.ttbz.org.cn/StandardManage/Detail/136182/" TargetMode="External"/><Relationship Id="rId593" Type="http://schemas.openxmlformats.org/officeDocument/2006/relationships/hyperlink" Target="https://www.ttbz.org.cn/StandardManage/Detail/140246/" TargetMode="External"/><Relationship Id="rId607" Type="http://schemas.openxmlformats.org/officeDocument/2006/relationships/hyperlink" Target="https://www.ttbz.org.cn/StandardManage/Detail/140685/" TargetMode="External"/><Relationship Id="rId649" Type="http://schemas.openxmlformats.org/officeDocument/2006/relationships/hyperlink" Target="https://www.ttbz.org.cn/StandardManage/Detail/145037/" TargetMode="External"/><Relationship Id="rId190" Type="http://schemas.openxmlformats.org/officeDocument/2006/relationships/hyperlink" Target="https://www.ttbz.org.cn/StandardManage/Detail/95036/" TargetMode="External"/><Relationship Id="rId204" Type="http://schemas.openxmlformats.org/officeDocument/2006/relationships/hyperlink" Target="https://www.ttbz.org.cn/StandardManage/Detail/87271/" TargetMode="External"/><Relationship Id="rId246" Type="http://schemas.openxmlformats.org/officeDocument/2006/relationships/hyperlink" Target="https://www.ttbz.org.cn/StandardManage/Detail/103951/" TargetMode="External"/><Relationship Id="rId288" Type="http://schemas.openxmlformats.org/officeDocument/2006/relationships/hyperlink" Target="https://www.ttbz.org.cn/StandardManage/Detail/111571/" TargetMode="External"/><Relationship Id="rId411" Type="http://schemas.openxmlformats.org/officeDocument/2006/relationships/hyperlink" Target="https://www.ttbz.org.cn/StandardManage/Detail/120591/" TargetMode="External"/><Relationship Id="rId453" Type="http://schemas.openxmlformats.org/officeDocument/2006/relationships/hyperlink" Target="https://www.ttbz.org.cn/StandardManage/Detail/126873/" TargetMode="External"/><Relationship Id="rId509" Type="http://schemas.openxmlformats.org/officeDocument/2006/relationships/hyperlink" Target="https://www.ttbz.org.cn/StandardManage/Detail/132434/" TargetMode="External"/><Relationship Id="rId660" Type="http://schemas.openxmlformats.org/officeDocument/2006/relationships/hyperlink" Target="https://www.ttbz.org.cn/StandardManage/Detail/145414/" TargetMode="External"/><Relationship Id="rId106" Type="http://schemas.openxmlformats.org/officeDocument/2006/relationships/hyperlink" Target="http://www.ttbz.org.cn/StandardManage/Detail/29816/" TargetMode="External"/><Relationship Id="rId313" Type="http://schemas.openxmlformats.org/officeDocument/2006/relationships/hyperlink" Target="https://www.ttbz.org.cn/StandardManage/Detail/111751/" TargetMode="External"/><Relationship Id="rId495" Type="http://schemas.openxmlformats.org/officeDocument/2006/relationships/hyperlink" Target="https://www.ttbz.org.cn/StandardManage/Detail/132438/" TargetMode="External"/><Relationship Id="rId716" Type="http://schemas.openxmlformats.org/officeDocument/2006/relationships/hyperlink" Target="https://www.ttbz.org.cn/StandardManage/Detail/157807/" TargetMode="External"/><Relationship Id="rId758" Type="http://schemas.openxmlformats.org/officeDocument/2006/relationships/hyperlink" Target="https://www.ttbz.org.cn/StandardManage/Detail/161833/" TargetMode="External"/><Relationship Id="rId10" Type="http://schemas.openxmlformats.org/officeDocument/2006/relationships/hyperlink" Target="http://www.ttbz.org.cn/StandardManage/Detail/73086/" TargetMode="External"/><Relationship Id="rId52" Type="http://schemas.openxmlformats.org/officeDocument/2006/relationships/hyperlink" Target="http://www.ttbz.org.cn/StandardManage/Detail/59654/" TargetMode="External"/><Relationship Id="rId94" Type="http://schemas.openxmlformats.org/officeDocument/2006/relationships/hyperlink" Target="http://www.ttbz.org.cn/StandardManage/Detail/35626/" TargetMode="External"/><Relationship Id="rId148" Type="http://schemas.openxmlformats.org/officeDocument/2006/relationships/hyperlink" Target="https://www.ttbz.org.cn/StandardManage/Detail/81448/" TargetMode="External"/><Relationship Id="rId355" Type="http://schemas.openxmlformats.org/officeDocument/2006/relationships/hyperlink" Target="https://www.ttbz.org.cn/StandardManage/Detail/116910/" TargetMode="External"/><Relationship Id="rId397" Type="http://schemas.openxmlformats.org/officeDocument/2006/relationships/hyperlink" Target="https://www.ttbz.org.cn/StandardManage/Detail/121480/" TargetMode="External"/><Relationship Id="rId520" Type="http://schemas.openxmlformats.org/officeDocument/2006/relationships/hyperlink" Target="https://www.ttbz.org.cn/StandardManage/Detail/134099/" TargetMode="External"/><Relationship Id="rId562" Type="http://schemas.openxmlformats.org/officeDocument/2006/relationships/hyperlink" Target="https://www.ttbz.org.cn/StandardManage/Detail/136753/" TargetMode="External"/><Relationship Id="rId618" Type="http://schemas.openxmlformats.org/officeDocument/2006/relationships/hyperlink" Target="https://www.ttbz.org.cn/StandardManage/Detail/142784/" TargetMode="External"/><Relationship Id="rId215" Type="http://schemas.openxmlformats.org/officeDocument/2006/relationships/hyperlink" Target="https://www.ttbz.org.cn/StandardManage/Detail/96925/" TargetMode="External"/><Relationship Id="rId257" Type="http://schemas.openxmlformats.org/officeDocument/2006/relationships/hyperlink" Target="https://www.ttbz.org.cn/StandardManage/Detail/105851/" TargetMode="External"/><Relationship Id="rId422" Type="http://schemas.openxmlformats.org/officeDocument/2006/relationships/hyperlink" Target="https://www.ttbz.org.cn/StandardManage/Detail/124550/" TargetMode="External"/><Relationship Id="rId464" Type="http://schemas.openxmlformats.org/officeDocument/2006/relationships/hyperlink" Target="https://www.ttbz.org.cn/StandardManage/Detail/127277/" TargetMode="External"/><Relationship Id="rId299" Type="http://schemas.openxmlformats.org/officeDocument/2006/relationships/hyperlink" Target="https://www.ttbz.org.cn/StandardManage/Detail/111848/" TargetMode="External"/><Relationship Id="rId727" Type="http://schemas.openxmlformats.org/officeDocument/2006/relationships/hyperlink" Target="https://www.ttbz.org.cn/StandardManage/Detail/156750/" TargetMode="External"/><Relationship Id="rId63" Type="http://schemas.openxmlformats.org/officeDocument/2006/relationships/hyperlink" Target="http://www.ttbz.org.cn/StandardManage/Detail/52073/" TargetMode="External"/><Relationship Id="rId159" Type="http://schemas.openxmlformats.org/officeDocument/2006/relationships/hyperlink" Target="https://www.ttbz.org.cn/StandardManage/Detail/79566/" TargetMode="External"/><Relationship Id="rId366" Type="http://schemas.openxmlformats.org/officeDocument/2006/relationships/hyperlink" Target="https://www.ttbz.org.cn/StandardManage/Detail/118100/" TargetMode="External"/><Relationship Id="rId573" Type="http://schemas.openxmlformats.org/officeDocument/2006/relationships/hyperlink" Target="https://www.ttbz.org.cn/StandardManage/Detail/136755/" TargetMode="External"/><Relationship Id="rId780" Type="http://schemas.openxmlformats.org/officeDocument/2006/relationships/hyperlink" Target="https://www.ttbz.org.cn/StandardManage/Detail/159340/" TargetMode="External"/><Relationship Id="rId226" Type="http://schemas.openxmlformats.org/officeDocument/2006/relationships/hyperlink" Target="https://www.ttbz.org.cn/StandardManage/Detail/101124/" TargetMode="External"/><Relationship Id="rId433" Type="http://schemas.openxmlformats.org/officeDocument/2006/relationships/hyperlink" Target="https://www.ttbz.org.cn/StandardManage/Detail/124732/" TargetMode="External"/><Relationship Id="rId640" Type="http://schemas.openxmlformats.org/officeDocument/2006/relationships/hyperlink" Target="https://www.ttbz.org.cn/StandardManage/Detail/144399/" TargetMode="External"/><Relationship Id="rId738" Type="http://schemas.openxmlformats.org/officeDocument/2006/relationships/hyperlink" Target="https://www.ttbz.org.cn/StandardManage/Detail/159084/" TargetMode="External"/><Relationship Id="rId74" Type="http://schemas.openxmlformats.org/officeDocument/2006/relationships/hyperlink" Target="http://www.ttbz.org.cn/StandardManage/Detail/45599/" TargetMode="External"/><Relationship Id="rId377" Type="http://schemas.openxmlformats.org/officeDocument/2006/relationships/hyperlink" Target="https://www.ttbz.org.cn/StandardManage/Detail/119818/" TargetMode="External"/><Relationship Id="rId500" Type="http://schemas.openxmlformats.org/officeDocument/2006/relationships/hyperlink" Target="https://www.ttbz.org.cn/StandardManage/Detail/132892/" TargetMode="External"/><Relationship Id="rId584" Type="http://schemas.openxmlformats.org/officeDocument/2006/relationships/hyperlink" Target="https://www.ttbz.org.cn/StandardManage/Detail/138130/" TargetMode="External"/><Relationship Id="rId805" Type="http://schemas.openxmlformats.org/officeDocument/2006/relationships/hyperlink" Target="https://www.ttbz.org.cn/StandardManage/Detail/161142/" TargetMode="External"/><Relationship Id="rId5" Type="http://schemas.openxmlformats.org/officeDocument/2006/relationships/hyperlink" Target="http://www.ttbz.org.cn/StandardManage/Detail/73791/" TargetMode="External"/><Relationship Id="rId237" Type="http://schemas.openxmlformats.org/officeDocument/2006/relationships/hyperlink" Target="https://www.ttbz.org.cn/StandardManage/Detail/101049/" TargetMode="External"/><Relationship Id="rId791" Type="http://schemas.openxmlformats.org/officeDocument/2006/relationships/hyperlink" Target="https://www.ttbz.org.cn/StandardManage/Detail/163857/" TargetMode="External"/><Relationship Id="rId444" Type="http://schemas.openxmlformats.org/officeDocument/2006/relationships/hyperlink" Target="https://www.ttbz.org.cn/StandardManage/Detail/126380/" TargetMode="External"/><Relationship Id="rId651" Type="http://schemas.openxmlformats.org/officeDocument/2006/relationships/hyperlink" Target="https://www.ttbz.org.cn/StandardManage/Detail/145258/" TargetMode="External"/><Relationship Id="rId749" Type="http://schemas.openxmlformats.org/officeDocument/2006/relationships/hyperlink" Target="https://www.ttbz.org.cn/StandardManage/Detail/160782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bba.sacinfo.org.cn/stdDetail/68dd2bb668deaea1978674a56214c3229803a95744263ee1ee110d653ff0f162" TargetMode="External"/><Relationship Id="rId18" Type="http://schemas.openxmlformats.org/officeDocument/2006/relationships/hyperlink" Target="https://dbba.sacinfo.org.cn/stdDetail/f1d863ca9e6f196b81a8ef0fe03e932373eebbbf496ca78d8f5b9d5e148ab2ba" TargetMode="External"/><Relationship Id="rId26" Type="http://schemas.openxmlformats.org/officeDocument/2006/relationships/hyperlink" Target="https://dbba.sacinfo.org.cn/stdDetail/5ab13c8e9eeb6dc498751d9e5522f9881fdec69af33cb776233fd8be05ec1f1b" TargetMode="External"/><Relationship Id="rId39" Type="http://schemas.openxmlformats.org/officeDocument/2006/relationships/hyperlink" Target="https://dbba.sacinfo.org.cn/stdDetail/647a8114225772e5baad5548955c744d9803a95744263ee1ee110d653ff0f162" TargetMode="External"/><Relationship Id="rId21" Type="http://schemas.openxmlformats.org/officeDocument/2006/relationships/hyperlink" Target="https://dbba.sacinfo.org.cn/stdDetail/774627ef639f367e70f7517a24ac6df8d9d6cd3813b2ff3e908390bce0d6b634" TargetMode="External"/><Relationship Id="rId34" Type="http://schemas.openxmlformats.org/officeDocument/2006/relationships/hyperlink" Target="https://dbba.sacinfo.org.cn/stdDetail/a9816b58431c77289b6ca2f0f97c5edcee6732ca0f0cfa0e02d1b17433901585" TargetMode="External"/><Relationship Id="rId42" Type="http://schemas.openxmlformats.org/officeDocument/2006/relationships/hyperlink" Target="https://dbba.sacinfo.org.cn/stdDetail/947e8684d3b0d5b9dceec2db23d3c1f1c1bcb39b218cd7fac406b5ea6f97c76e" TargetMode="External"/><Relationship Id="rId47" Type="http://schemas.openxmlformats.org/officeDocument/2006/relationships/hyperlink" Target="https://dbba.sacinfo.org.cn/stdDetail/457bf176469d61eb926380a3b5b6e5d5603ff5d1dad7d3d2f137895dfe9212c2" TargetMode="External"/><Relationship Id="rId50" Type="http://schemas.openxmlformats.org/officeDocument/2006/relationships/hyperlink" Target="https://dbba.sacinfo.org.cn/stdDetail/5b0bee6d1c337d370514c139a942586a9cc6afbe009723a075c8e979b1411595" TargetMode="External"/><Relationship Id="rId55" Type="http://schemas.openxmlformats.org/officeDocument/2006/relationships/hyperlink" Target="https://dbba.sacinfo.org.cn/stdDetail/d594d9a2e88a7c40f3b118545c58ee6863c23266880f1b349965a42899d70a1f" TargetMode="External"/><Relationship Id="rId7" Type="http://schemas.openxmlformats.org/officeDocument/2006/relationships/hyperlink" Target="https://dbba.sacinfo.org.cn/stdDetail/68dd2bb668deaea1978674a56214c32272880b128d835545726619bd16ec77e4" TargetMode="External"/><Relationship Id="rId2" Type="http://schemas.openxmlformats.org/officeDocument/2006/relationships/hyperlink" Target="https://dbba.sacinfo.org.cn/stdDetail/95731e03bc014df00715d95222c8f5d38f002686a8417b0cec89029c06d1a000" TargetMode="External"/><Relationship Id="rId16" Type="http://schemas.openxmlformats.org/officeDocument/2006/relationships/hyperlink" Target="https://dbba.sacinfo.org.cn/stdDetail/e8e9b985079336216ae11ea35df3e7bc" TargetMode="External"/><Relationship Id="rId20" Type="http://schemas.openxmlformats.org/officeDocument/2006/relationships/hyperlink" Target="https://dbba.sacinfo.org.cn/stdDetail/774627ef639f367e70f7517a24ac6df810aceb3f2989f526b1512c12608c6169" TargetMode="External"/><Relationship Id="rId29" Type="http://schemas.openxmlformats.org/officeDocument/2006/relationships/hyperlink" Target="https://dbba.sacinfo.org.cn/stdDetail/40ddd5b7c1f38456a800028718fb5869b6e21f1e4346330ba01610b6069b47a1" TargetMode="External"/><Relationship Id="rId41" Type="http://schemas.openxmlformats.org/officeDocument/2006/relationships/hyperlink" Target="https://dbba.sacinfo.org.cn/stdDetail/c8a245d000eb292c284f711a908cfff5f9dd232e0b77f9bb3858e34bbf01fa9f" TargetMode="External"/><Relationship Id="rId54" Type="http://schemas.openxmlformats.org/officeDocument/2006/relationships/hyperlink" Target="https://dbba.sacinfo.org.cn/stdDetail/dda0955ba392af57ac48c691791874ce7788ba9faf44e246d91e2089ac22881f" TargetMode="External"/><Relationship Id="rId62" Type="http://schemas.openxmlformats.org/officeDocument/2006/relationships/hyperlink" Target="https://dbba.sacinfo.org.cn/stdDetail/7d77c330e01b75f4b1cd6c98a21fa4f8d0305f1d0b1b51976d0acca5881ae12e" TargetMode="External"/><Relationship Id="rId1" Type="http://schemas.openxmlformats.org/officeDocument/2006/relationships/hyperlink" Target="https://dbba.sacinfo.org.cn/stdDetail/9d797f1aedced827c0c6612d434482b8352185665ed8d74ef7f5401881ba5a32" TargetMode="External"/><Relationship Id="rId6" Type="http://schemas.openxmlformats.org/officeDocument/2006/relationships/hyperlink" Target="https://dbba.sacinfo.org.cn/stdDetail/68dd2bb668deaea1978674a56214c32215d6ecb765230e2fc9c85d16f91405d2" TargetMode="External"/><Relationship Id="rId11" Type="http://schemas.openxmlformats.org/officeDocument/2006/relationships/hyperlink" Target="https://dbba.sacinfo.org.cn/stdDetail/e0548d063076b8bb32c922bb75c5595b" TargetMode="External"/><Relationship Id="rId24" Type="http://schemas.openxmlformats.org/officeDocument/2006/relationships/hyperlink" Target="https://dbba.sacinfo.org.cn/stdDetail/774627ef639f367e70f7517a24ac6df830d587f397d37f700d1200255a34b637" TargetMode="External"/><Relationship Id="rId32" Type="http://schemas.openxmlformats.org/officeDocument/2006/relationships/hyperlink" Target="https://dbba.sacinfo.org.cn/stdDetail/0f0960a55b824b0cbe10a2b2f0fb42b92aae60d379ecbb3b6910413fe015b26e" TargetMode="External"/><Relationship Id="rId37" Type="http://schemas.openxmlformats.org/officeDocument/2006/relationships/hyperlink" Target="https://dbba.sacinfo.org.cn/stdDetail/ded269d6ede8dca4faac5dbae550ff5879682b3308dbc7a99b0e9015a82542fe" TargetMode="External"/><Relationship Id="rId40" Type="http://schemas.openxmlformats.org/officeDocument/2006/relationships/hyperlink" Target="https://dbba.sacinfo.org.cn/stdDetail/dd07f66ad7286140d052b7664d1617f22112f605fd0f79d487a8b51fff930a9f" TargetMode="External"/><Relationship Id="rId45" Type="http://schemas.openxmlformats.org/officeDocument/2006/relationships/hyperlink" Target="https://dbba.sacinfo.org.cn/stdDetail/1492e144be79f6311ea3f4779fd3a1847be871f0ac18b5ab6b2251d7307eb7a0" TargetMode="External"/><Relationship Id="rId53" Type="http://schemas.openxmlformats.org/officeDocument/2006/relationships/hyperlink" Target="https://dbba.sacinfo.org.cn/stdDetail/03f2935d7dd1cca670d4d617ff727ae16ebbc1a3024247287c8cda8f7f725035" TargetMode="External"/><Relationship Id="rId58" Type="http://schemas.openxmlformats.org/officeDocument/2006/relationships/hyperlink" Target="https://dbba.sacinfo.org.cn/stdDetail/cfc4299ff0723d621d559b2479371d2efc410e9536db4821c1f9b13351b91fcc" TargetMode="External"/><Relationship Id="rId5" Type="http://schemas.openxmlformats.org/officeDocument/2006/relationships/hyperlink" Target="https://dbba.sacinfo.org.cn/stdDetail/166b861dc24cbcf22803b571c5ac53bf10121173f2b639bffc48b8bec844c6fe" TargetMode="External"/><Relationship Id="rId15" Type="http://schemas.openxmlformats.org/officeDocument/2006/relationships/hyperlink" Target="https://dbba.sacinfo.org.cn/stdDetail/68dd2bb668deaea1978674a56214c32208b4e21bc68fd7eac17e514ff1b224cd" TargetMode="External"/><Relationship Id="rId23" Type="http://schemas.openxmlformats.org/officeDocument/2006/relationships/hyperlink" Target="https://dbba.sacinfo.org.cn/stdDetail/774627ef639f367e70f7517a24ac6df8b783d71979acc22d9d24113f1a3560ad" TargetMode="External"/><Relationship Id="rId28" Type="http://schemas.openxmlformats.org/officeDocument/2006/relationships/hyperlink" Target="https://dbba.sacinfo.org.cn/stdDetail/0fd8d6b222f681d6b9b693593d81e3a91214b685e2cddb094ba7c6322e50405e" TargetMode="External"/><Relationship Id="rId36" Type="http://schemas.openxmlformats.org/officeDocument/2006/relationships/hyperlink" Target="https://dbba.sacinfo.org.cn/stdDetail/429004dea97e74ff1dc7fb0bbf48ba5595474109d4a7cd99c851e7614a49c402" TargetMode="External"/><Relationship Id="rId49" Type="http://schemas.openxmlformats.org/officeDocument/2006/relationships/hyperlink" Target="https://dbba.sacinfo.org.cn/stdDetail/5b0bee6d1c337d370514c139a942586a063b5022cb598cb3a0cd1e83892dc8b8" TargetMode="External"/><Relationship Id="rId57" Type="http://schemas.openxmlformats.org/officeDocument/2006/relationships/hyperlink" Target="https://dbba.sacinfo.org.cn/stdDetail/b3b93e3d50a402987e1811717634a4debb1de3bbb42ce67baef2ffb5f6bf55a9" TargetMode="External"/><Relationship Id="rId61" Type="http://schemas.openxmlformats.org/officeDocument/2006/relationships/hyperlink" Target="https://dbba.sacinfo.org.cn/stdDetail/814f211b4bff324c2003c312df892a00430866510a6e9c8471d2ecd172eb8600" TargetMode="External"/><Relationship Id="rId10" Type="http://schemas.openxmlformats.org/officeDocument/2006/relationships/hyperlink" Target="https://dbba.sacinfo.org.cn/stdDetail/a20289ea31d22d9dcf6588b8ff3481eceeea9435e49a69559245b6760fd1a8cc" TargetMode="External"/><Relationship Id="rId19" Type="http://schemas.openxmlformats.org/officeDocument/2006/relationships/hyperlink" Target="https://dbba.sacinfo.org.cn/stdDetail/d3c9ea8ba9a8204931314bfb937b68d6e4045a0decd5f44d5ad92fde482436c6" TargetMode="External"/><Relationship Id="rId31" Type="http://schemas.openxmlformats.org/officeDocument/2006/relationships/hyperlink" Target="https://dbba.sacinfo.org.cn/stdDetail/270511ce93f67e55f92fc86c45650847bddb761163536cc130b1397e39ef4c7a" TargetMode="External"/><Relationship Id="rId44" Type="http://schemas.openxmlformats.org/officeDocument/2006/relationships/hyperlink" Target="https://dbba.sacinfo.org.cn/stdDetail/bffe05855637be8f97ff94b25be52a39984ca23ab0308f41bfd988aed484147e" TargetMode="External"/><Relationship Id="rId52" Type="http://schemas.openxmlformats.org/officeDocument/2006/relationships/hyperlink" Target="https://dbba.sacinfo.org.cn/stdDetail/0c357710ba890ffbafb4f8912a3ff3a16a9b69cade01a9285e2b2300e8245092" TargetMode="External"/><Relationship Id="rId60" Type="http://schemas.openxmlformats.org/officeDocument/2006/relationships/hyperlink" Target="https://dbba.sacinfo.org.cn/stdDetail/8012df164446f3d9ee07bc148d20cf04c37357fe38273058c518b4fb6d33cc65" TargetMode="External"/><Relationship Id="rId4" Type="http://schemas.openxmlformats.org/officeDocument/2006/relationships/hyperlink" Target="https://dbba.sacinfo.org.cn/stdDetail/660052d55c58a8f563c86c8c350530530d33583352cc4b5f7b9cfeb28694fa2b" TargetMode="External"/><Relationship Id="rId9" Type="http://schemas.openxmlformats.org/officeDocument/2006/relationships/hyperlink" Target="https://dbba.sacinfo.org.cn/stdDetail/8c98ed88e65a6e6c4d5d8afd52d9f2c78a63777be6892381fe2674f4f864d0ea" TargetMode="External"/><Relationship Id="rId14" Type="http://schemas.openxmlformats.org/officeDocument/2006/relationships/hyperlink" Target="https://dbba.sacinfo.org.cn/stdDetail/68dd2bb668deaea1978674a56214c3229dc648c3aa355e85df7d88b0b98a0938" TargetMode="External"/><Relationship Id="rId22" Type="http://schemas.openxmlformats.org/officeDocument/2006/relationships/hyperlink" Target="https://dbba.sacinfo.org.cn/stdDetail/774627ef639f367e70f7517a24ac6df84ebb87941fb28496558b6da6939fb406" TargetMode="External"/><Relationship Id="rId27" Type="http://schemas.openxmlformats.org/officeDocument/2006/relationships/hyperlink" Target="https://dbba.sacinfo.org.cn/stdDetail/860b7a7363de906116f6bf80c3b3614e3aeb3b5bde46f83ffa9d6a9ee23fbd67" TargetMode="External"/><Relationship Id="rId30" Type="http://schemas.openxmlformats.org/officeDocument/2006/relationships/hyperlink" Target="https://dbba.sacinfo.org.cn/stdDetail/40ddd5b7c1f38456a800028718fb58696ebb2a78443f9d05de08810f0892f18d" TargetMode="External"/><Relationship Id="rId35" Type="http://schemas.openxmlformats.org/officeDocument/2006/relationships/hyperlink" Target="https://dbba.sacinfo.org.cn/stdDetail/60310b4d52397b0488e9a620789adf947ea2cfc1761d93571be4caff0ed180a5" TargetMode="External"/><Relationship Id="rId43" Type="http://schemas.openxmlformats.org/officeDocument/2006/relationships/hyperlink" Target="https://dbba.sacinfo.org.cn/stdDetail/5633af2c1484fc9428ab19f5c9225c4c4a71658ab56fa22d356104c3561fd11b" TargetMode="External"/><Relationship Id="rId48" Type="http://schemas.openxmlformats.org/officeDocument/2006/relationships/hyperlink" Target="https://dbba.sacinfo.org.cn/stdDetail/5b0bee6d1c337d370514c139a942586a60456d33ab11d13eb49d944a89511566" TargetMode="External"/><Relationship Id="rId56" Type="http://schemas.openxmlformats.org/officeDocument/2006/relationships/hyperlink" Target="https://dbba.sacinfo.org.cn/stdDetail/4ad54403e4d35500f048c6426460f38cf67f9c2fb0288fe258571b59340406e6" TargetMode="External"/><Relationship Id="rId8" Type="http://schemas.openxmlformats.org/officeDocument/2006/relationships/hyperlink" Target="https://dbba.sacinfo.org.cn/stdDetail/94e09f23acce693ee1ad986b51adeffeaab873e1a788495dfea531780bf2881c" TargetMode="External"/><Relationship Id="rId51" Type="http://schemas.openxmlformats.org/officeDocument/2006/relationships/hyperlink" Target="https://dbba.sacinfo.org.cn/stdDetail/7cfb7c3207cd1d67041cd70ef7e37354b929fda85dab1f248641d84f36125df1" TargetMode="External"/><Relationship Id="rId3" Type="http://schemas.openxmlformats.org/officeDocument/2006/relationships/hyperlink" Target="https://dbba.sacinfo.org.cn/stdDetail/6ea77c97845e0457703bd79c50bbb601f5e55a4d792b0afea2d5c85b3c5fb620" TargetMode="External"/><Relationship Id="rId12" Type="http://schemas.openxmlformats.org/officeDocument/2006/relationships/hyperlink" Target="https://dbba.sacinfo.org.cn/stdDetail/68dd2bb668deaea1978674a56214c322f7c91d3e45f470ee824bd2ab5c7e87d0" TargetMode="External"/><Relationship Id="rId17" Type="http://schemas.openxmlformats.org/officeDocument/2006/relationships/hyperlink" Target="https://dbba.sacinfo.org.cn/stdDetail/f18c5bbda34f76a7a044e7175efef38f1712d899eccf6c7328da806ac4b1e6f7" TargetMode="External"/><Relationship Id="rId25" Type="http://schemas.openxmlformats.org/officeDocument/2006/relationships/hyperlink" Target="https://dbba.sacinfo.org.cn/stdDetail/82a4d377c1c5f9f2dab2bc361e8678a885261c7714f6a0060ce1c7467868eae2" TargetMode="External"/><Relationship Id="rId33" Type="http://schemas.openxmlformats.org/officeDocument/2006/relationships/hyperlink" Target="https://dbba.sacinfo.org.cn/stdDetail/fbda2d298634b466168ac3e4aabacace02d62d244d5c09eafffde735cb196b05" TargetMode="External"/><Relationship Id="rId38" Type="http://schemas.openxmlformats.org/officeDocument/2006/relationships/hyperlink" Target="https://dbba.sacinfo.org.cn/stdDetail/c56fc91a1a5fc1f2f73dcbd543a83abebe8eb72cd81a2fb7ba63d58bdcb40e61" TargetMode="External"/><Relationship Id="rId46" Type="http://schemas.openxmlformats.org/officeDocument/2006/relationships/hyperlink" Target="https://dbba.sacinfo.org.cn/stdDetail/e568cb137ae2f1102a7c915f4ac9047651c4568f7b76a37aa6c662118a9accf0" TargetMode="External"/><Relationship Id="rId59" Type="http://schemas.openxmlformats.org/officeDocument/2006/relationships/hyperlink" Target="https://dbba.sacinfo.org.cn/stdDetail/8012df164446f3d9ee07bc148d20cf04f69a0ebf39ffbda7b1dfb7b8bfe0f1e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hbba.sacinfo.org.cn/stdDetail/c56c3ac4cffdec487f56298be82c7be8" TargetMode="External"/><Relationship Id="rId18" Type="http://schemas.openxmlformats.org/officeDocument/2006/relationships/hyperlink" Target="https://hbba.sacinfo.org.cn/stdDetail/4de2c34d3bbffcc0a8717c826e43d1ff" TargetMode="External"/><Relationship Id="rId26" Type="http://schemas.openxmlformats.org/officeDocument/2006/relationships/hyperlink" Target="https://hbba.sacinfo.org.cn/stdDetail/c906486408c90d9e08a9350fa99de57d582a2d145c9d9ae6a8522a563cc38b3a" TargetMode="External"/><Relationship Id="rId39" Type="http://schemas.openxmlformats.org/officeDocument/2006/relationships/hyperlink" Target="https://hbba.sacinfo.org.cn/stdDetail/9ffc4364f42eb02e6f4a424454ac625c82755886edf9fe0f616120d9f5671484" TargetMode="External"/><Relationship Id="rId21" Type="http://schemas.openxmlformats.org/officeDocument/2006/relationships/hyperlink" Target="https://hbba.sacinfo.org.cn/stdDetail/dcb9169a812277a3be0886cb52f5d043e3fb2f2d1e9f11832161a2ff0255e3e5" TargetMode="External"/><Relationship Id="rId34" Type="http://schemas.openxmlformats.org/officeDocument/2006/relationships/hyperlink" Target="https://hbba.sacinfo.org.cn/stdDetail/521a1b81aaecdea8b6c0e0161ccfaa4a6261bab5fb90fa318e864e4b499b08e7" TargetMode="External"/><Relationship Id="rId42" Type="http://schemas.openxmlformats.org/officeDocument/2006/relationships/hyperlink" Target="https://hbba.sacinfo.org.cn/stdDetail/7c80ed2c4575783ea45dd7ae2aa5f58a0877e404106d5b4fd6e22b2b8174aa3c" TargetMode="External"/><Relationship Id="rId47" Type="http://schemas.openxmlformats.org/officeDocument/2006/relationships/hyperlink" Target="https://std.samr.gov.cn/hb/search/stdHBDetailed?id=3B0C2611425DE22FE06397BE0A0A3D18" TargetMode="External"/><Relationship Id="rId50" Type="http://schemas.openxmlformats.org/officeDocument/2006/relationships/hyperlink" Target="https://hbba.sacinfo.org.cn/stdDetail/8aa002c25c6552d3f97fecca5ca163c30347aaf9067202a23582e89772172938" TargetMode="External"/><Relationship Id="rId55" Type="http://schemas.openxmlformats.org/officeDocument/2006/relationships/hyperlink" Target="https://hbba.sacinfo.org.cn/stdDetail/73e526a33b1f4b1580c2e38ef03d35f5bad6d0d86b784f9123fc182613829bdc" TargetMode="External"/><Relationship Id="rId63" Type="http://schemas.openxmlformats.org/officeDocument/2006/relationships/hyperlink" Target="https://hbba.sacinfo.org.cn/stdDetail/2f87a0d53e7ba6fd13b5921201e539fb7789535c2f1b3ed97e6606b792c0ecb6" TargetMode="External"/><Relationship Id="rId7" Type="http://schemas.openxmlformats.org/officeDocument/2006/relationships/hyperlink" Target="https://hbba.sacinfo.org.cn/stdDetail/3df4ddba437b818cf16884a96605e3edd128f380aa93c7dbe5c58c67d9d2075e" TargetMode="External"/><Relationship Id="rId2" Type="http://schemas.openxmlformats.org/officeDocument/2006/relationships/hyperlink" Target="https://hbba.sacinfo.org.cn/stdDetail/5fe0c9795bcdada6f1f8b46886c248b0a4c697c247731f5fcab9b4a2a61e2cc0" TargetMode="External"/><Relationship Id="rId16" Type="http://schemas.openxmlformats.org/officeDocument/2006/relationships/hyperlink" Target="https://hbba.sacinfo.org.cn/stdDetail/74ad1c6bf7d79b44395e5edf7fd1f2ef" TargetMode="External"/><Relationship Id="rId20" Type="http://schemas.openxmlformats.org/officeDocument/2006/relationships/hyperlink" Target="https://hbba.sacinfo.org.cn/stdDetail/bdf6f9ab3b051d35c90c707453dd4a96" TargetMode="External"/><Relationship Id="rId29" Type="http://schemas.openxmlformats.org/officeDocument/2006/relationships/hyperlink" Target="https://hbba.sacinfo.org.cn/stdDetail/1fb2722c312f7246d07e8a3112e7128c" TargetMode="External"/><Relationship Id="rId41" Type="http://schemas.openxmlformats.org/officeDocument/2006/relationships/hyperlink" Target="https://hbba.sacinfo.org.cn/stdDetail/1cd03b700c312873a447428bcbda1126965fdb4a2d1c740fb6503842de50ea4a" TargetMode="External"/><Relationship Id="rId54" Type="http://schemas.openxmlformats.org/officeDocument/2006/relationships/hyperlink" Target="https://hbba.sacinfo.org.cn/stdDetail/73e526a33b1f4b1580c2e38ef03d35f5a72bab1c8346e3dff53986fb01626f8f" TargetMode="External"/><Relationship Id="rId62" Type="http://schemas.openxmlformats.org/officeDocument/2006/relationships/hyperlink" Target="https://hbba.sacinfo.org.cn/stdDetail/2f87a0d53e7ba6fd13b5921201e539fb81970976589b1928fe404f2cd54ada1b" TargetMode="External"/><Relationship Id="rId1" Type="http://schemas.openxmlformats.org/officeDocument/2006/relationships/hyperlink" Target="https://hbba.sacinfo.org.cn/stdDetail/47af543e9ac818dcdc932ab5c8cee932ed33e89e1a3bfad223c7c3fbfa6e3457" TargetMode="External"/><Relationship Id="rId6" Type="http://schemas.openxmlformats.org/officeDocument/2006/relationships/hyperlink" Target="https://hbba.sacinfo.org.cn/stdDetail/4daa2dc14be207a027e3e66084f287f3d128f380aa93c7dbe5c58c67d9d2075e" TargetMode="External"/><Relationship Id="rId11" Type="http://schemas.openxmlformats.org/officeDocument/2006/relationships/hyperlink" Target="https://hbba.sacinfo.org.cn/stdDetail/4225cf1349cd044f7dce28b2242afad0" TargetMode="External"/><Relationship Id="rId24" Type="http://schemas.openxmlformats.org/officeDocument/2006/relationships/hyperlink" Target="https://hbba.sacinfo.org.cn/stdDetail/13d0d62f73ffff86b0c818224ec9afc24ecc50780530cfc1262b55c90dbcb9ca" TargetMode="External"/><Relationship Id="rId32" Type="http://schemas.openxmlformats.org/officeDocument/2006/relationships/hyperlink" Target="https://hbba.sacinfo.org.cn/stdDetail/b8a3e7e0265a23696fc6859326050267c4d7adea733beb23f466f7b29ddb3bb9" TargetMode="External"/><Relationship Id="rId37" Type="http://schemas.openxmlformats.org/officeDocument/2006/relationships/hyperlink" Target="https://hbba.sacinfo.org.cn/stdDetail/8f5a0777bace684d9eff180d0624cbfceddd9cf46afe373f01bed15127f0aeb7" TargetMode="External"/><Relationship Id="rId40" Type="http://schemas.openxmlformats.org/officeDocument/2006/relationships/hyperlink" Target="https://hbba.sacinfo.org.cn/stdDetail/eaf587f9fd0e7075f54280ff0889dc9d2e3689d9108d9a6fe3f1a0263666fdc1" TargetMode="External"/><Relationship Id="rId45" Type="http://schemas.openxmlformats.org/officeDocument/2006/relationships/hyperlink" Target="https://std.samr.gov.cn/hb/search/stdHBDetailed?id=39DF311C1B67B00FE06397BE0A0A304D" TargetMode="External"/><Relationship Id="rId53" Type="http://schemas.openxmlformats.org/officeDocument/2006/relationships/hyperlink" Target="https://hbba.sacinfo.org.cn/stdDetail/73e526a33b1f4b1580c2e38ef03d35f5e3fb2f2d1e9f11832161a2ff0255e3e5" TargetMode="External"/><Relationship Id="rId58" Type="http://schemas.openxmlformats.org/officeDocument/2006/relationships/hyperlink" Target="https://hbba.sacinfo.org.cn/stdDetail/0ad7bf493af33d82c3e090777ce76824e3666d9b699fd135b8bdf5d135a28918" TargetMode="External"/><Relationship Id="rId5" Type="http://schemas.openxmlformats.org/officeDocument/2006/relationships/hyperlink" Target="https://hbba.sacinfo.org.cn/stdDetail/16e276cd281b21de3db0d98da89bab683cc1e42303be14714492e37e5d26f637" TargetMode="External"/><Relationship Id="rId15" Type="http://schemas.openxmlformats.org/officeDocument/2006/relationships/hyperlink" Target="https://hbba.sacinfo.org.cn/stdDetail/2f47b8fb939d40ba156256c805e72a95" TargetMode="External"/><Relationship Id="rId23" Type="http://schemas.openxmlformats.org/officeDocument/2006/relationships/hyperlink" Target="https://hbba.sacinfo.org.cn/stdDetail/13d0d62f73ffff86b0c818224ec9afc2ea4456ee87bef40caa32e41d9f129d22" TargetMode="External"/><Relationship Id="rId28" Type="http://schemas.openxmlformats.org/officeDocument/2006/relationships/hyperlink" Target="https://hbba.sacinfo.org.cn/stdDetail/df5d14215d59da2562f98ab76a3120b9685a492301c5c9efcdae65a827d416d0" TargetMode="External"/><Relationship Id="rId36" Type="http://schemas.openxmlformats.org/officeDocument/2006/relationships/hyperlink" Target="https://hbba.sacinfo.org.cn/stdDetail/2d32adad7a48d78d7fd906cd36d21c8b0f37d5dd977096344d41552bad6fcfa4" TargetMode="External"/><Relationship Id="rId49" Type="http://schemas.openxmlformats.org/officeDocument/2006/relationships/hyperlink" Target="https://jtst.mot.gov.cn/hb/search/stdHBDetailed?id=6b500e81bc5d36dcf9192fd70b0cf9ac" TargetMode="External"/><Relationship Id="rId57" Type="http://schemas.openxmlformats.org/officeDocument/2006/relationships/hyperlink" Target="https://hbba.sacinfo.org.cn/stdDetail/a3422f4714c9190a0f6aca4dae7bc81ac7be515124cb2d5298a75cc054807c55" TargetMode="External"/><Relationship Id="rId61" Type="http://schemas.openxmlformats.org/officeDocument/2006/relationships/hyperlink" Target="https://hbba.sacinfo.org.cn/stdDetail/6f9ea402c01d253279a2e1559d4e8ec42da5502a82aba82eb3d48a6e28b00e73" TargetMode="External"/><Relationship Id="rId10" Type="http://schemas.openxmlformats.org/officeDocument/2006/relationships/hyperlink" Target="https://hbba.sacinfo.org.cn/stdDetail/db303d307450695e6370b3885693c221" TargetMode="External"/><Relationship Id="rId19" Type="http://schemas.openxmlformats.org/officeDocument/2006/relationships/hyperlink" Target="https://hbba.sacinfo.org.cn/stdDetail/e50633cdcc0d968892adf3a8dbf1c351" TargetMode="External"/><Relationship Id="rId31" Type="http://schemas.openxmlformats.org/officeDocument/2006/relationships/hyperlink" Target="https://hbba.sacinfo.org.cn/stdDetail/7fa39b04efb79862b3c67a80b96fb646fd48c662fb1122ac86edfc7ae018fd4a" TargetMode="External"/><Relationship Id="rId44" Type="http://schemas.openxmlformats.org/officeDocument/2006/relationships/hyperlink" Target="https://std.samr.gov.cn/hb/search/stdHBDetailed?id=2FA7DD61C6833252E06397BE0A0A5AC6" TargetMode="External"/><Relationship Id="rId52" Type="http://schemas.openxmlformats.org/officeDocument/2006/relationships/hyperlink" Target="https://hbba.sacinfo.org.cn/stdDetail/1b8d2d191a20e8201024fe7d7b134da32cc26f0d16f6fcfd649c970cfa73466d" TargetMode="External"/><Relationship Id="rId60" Type="http://schemas.openxmlformats.org/officeDocument/2006/relationships/hyperlink" Target="https://hbba.sacinfo.org.cn/stdDetail/6f9ea402c01d253279a2e1559d4e8ec4624fbf6649727b20cb4d103271494467" TargetMode="External"/><Relationship Id="rId4" Type="http://schemas.openxmlformats.org/officeDocument/2006/relationships/hyperlink" Target="https://hbba.sacinfo.org.cn/stdDetail/f2f3acfa90a953ca642322afae57f730946601316422946b1fc3b58827f6d18c" TargetMode="External"/><Relationship Id="rId9" Type="http://schemas.openxmlformats.org/officeDocument/2006/relationships/hyperlink" Target="https://hbba.sacinfo.org.cn/stdDetail/8c29bda4203f019946f53e56df583cad" TargetMode="External"/><Relationship Id="rId14" Type="http://schemas.openxmlformats.org/officeDocument/2006/relationships/hyperlink" Target="https://hbba.sacinfo.org.cn/stdDetail/68828adf8288a51c2d93ae7971f51f54" TargetMode="External"/><Relationship Id="rId22" Type="http://schemas.openxmlformats.org/officeDocument/2006/relationships/hyperlink" Target="https://hbba.sacinfo.org.cn/stdDetail/dcb9169a812277a3be0886cb52f5d043a072a28725f03685bfbdaf19cbfeb267" TargetMode="External"/><Relationship Id="rId27" Type="http://schemas.openxmlformats.org/officeDocument/2006/relationships/hyperlink" Target="https://hbba.sacinfo.org.cn/stdDetail/257ca6d92307e20af28a15bad99fc6337bcf6f897d9b8cca38a860d0dd7982c1" TargetMode="External"/><Relationship Id="rId30" Type="http://schemas.openxmlformats.org/officeDocument/2006/relationships/hyperlink" Target="https://std.samr.gov.cn/hb/search/stdHBDetailed?id=0AC8F5F9E7DF5219E06397BE0A0AAC6D" TargetMode="External"/><Relationship Id="rId35" Type="http://schemas.openxmlformats.org/officeDocument/2006/relationships/hyperlink" Target="https://hbba.sacinfo.org.cn/stdDetail/bd26822c7539c88e488f3cf686e4cafebdf6f9ab3b051d35c90c707453dd4a96" TargetMode="External"/><Relationship Id="rId43" Type="http://schemas.openxmlformats.org/officeDocument/2006/relationships/hyperlink" Target="https://std.samr.gov.cn/hb/search/stdHBDetailed?id=2FA7DD61C6843252E06397BE0A0A5AC6" TargetMode="External"/><Relationship Id="rId48" Type="http://schemas.openxmlformats.org/officeDocument/2006/relationships/hyperlink" Target="https://hbba.sacinfo.org.cn/stdDetail/acfc519292e8d6fb34424d73565eaa232b4a1f0ad4fe8d37f5390bbbac869075" TargetMode="External"/><Relationship Id="rId56" Type="http://schemas.openxmlformats.org/officeDocument/2006/relationships/hyperlink" Target="https://hbba.sacinfo.org.cn/stdDetail/73e526a33b1f4b1580c2e38ef03d35f572445df7f617a76c3c21e0addb5b90eb" TargetMode="External"/><Relationship Id="rId64" Type="http://schemas.openxmlformats.org/officeDocument/2006/relationships/hyperlink" Target="https://hbba.sacinfo.org.cn/stdDetail/c7173c33b47d710933dd6007e54d491c43a9c8e960dcfdee977a647a3100e01a" TargetMode="External"/><Relationship Id="rId8" Type="http://schemas.openxmlformats.org/officeDocument/2006/relationships/hyperlink" Target="https://hbba.sacinfo.org.cn/stdDetail/713e7a5267725f4143882a5b3c901680d128f380aa93c7dbe5c58c67d9d2075e" TargetMode="External"/><Relationship Id="rId51" Type="http://schemas.openxmlformats.org/officeDocument/2006/relationships/hyperlink" Target="https://hbba.sacinfo.org.cn/stdDetail/1b8d2d191a20e8201024fe7d7b134da37c79d62f5b646531c6588499fb4648ba" TargetMode="External"/><Relationship Id="rId3" Type="http://schemas.openxmlformats.org/officeDocument/2006/relationships/hyperlink" Target="https://hbba.sacinfo.org.cn/stdDetail/5fe0c9795bcdada6f1f8b46886c248b048fa936bc4fa5878644b16c3195d2947" TargetMode="External"/><Relationship Id="rId12" Type="http://schemas.openxmlformats.org/officeDocument/2006/relationships/hyperlink" Target="https://hbba.sacinfo.org.cn/stdDetail/7e6f58c0e56e6c65cc39c3e5db7f00b7" TargetMode="External"/><Relationship Id="rId17" Type="http://schemas.openxmlformats.org/officeDocument/2006/relationships/hyperlink" Target="https://hbba.sacinfo.org.cn/stdDetail/e374057e7d0752f35eb582cacd44377f" TargetMode="External"/><Relationship Id="rId25" Type="http://schemas.openxmlformats.org/officeDocument/2006/relationships/hyperlink" Target="https://hbba.sacinfo.org.cn/stdDetail/028caba9de1c4f452059526d04bdc04d30d587f397d37f700d1200255a34b637" TargetMode="External"/><Relationship Id="rId33" Type="http://schemas.openxmlformats.org/officeDocument/2006/relationships/hyperlink" Target="https://hbba.sacinfo.org.cn/stdDetail/521a1b81aaecdea8b6c0e0161ccfaa4ad35734254c3edb4be945ad0ac4510a4c" TargetMode="External"/><Relationship Id="rId38" Type="http://schemas.openxmlformats.org/officeDocument/2006/relationships/hyperlink" Target="https://hbba.sacinfo.org.cn/stdDetail/243d506765a4efde0623a8b844ba3bbe3ac5804d0dce3d783aa4438da6681be3" TargetMode="External"/><Relationship Id="rId46" Type="http://schemas.openxmlformats.org/officeDocument/2006/relationships/hyperlink" Target="https://std.samr.gov.cn/hb/search/stdHBDetailed?id=39DF311C1BF3B00FE06397BE0A0A304D" TargetMode="External"/><Relationship Id="rId59" Type="http://schemas.openxmlformats.org/officeDocument/2006/relationships/hyperlink" Target="https://hbba.sacinfo.org.cn/stdDetail/1d166286d5f4bcc2e35ce4f8bedd0ca8cf9b47d7a054517d401eb95071ad08b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std.samr.gov.cn/gb/search/gbDetailed?id=8AA1F5D36E66A8DBE05397BE0A0AB19B" TargetMode="External"/><Relationship Id="rId117" Type="http://schemas.openxmlformats.org/officeDocument/2006/relationships/hyperlink" Target="https://std.samr.gov.cn/gb/search/gbDetailed?id=31DA5F377BB78F08E06397BE0A0A4CFB&amp;review=true" TargetMode="External"/><Relationship Id="rId21" Type="http://schemas.openxmlformats.org/officeDocument/2006/relationships/hyperlink" Target="http://std.samr.gov.cn/gb/search/gbDetailed?id=71F772D81F6AD3A7E05397BE0A0AB82A" TargetMode="External"/><Relationship Id="rId42" Type="http://schemas.openxmlformats.org/officeDocument/2006/relationships/hyperlink" Target="http://std.samr.gov.cn/gb/search/gbDetailed?id=71F772D81F6BD3A7E05397BE0A0AB82A" TargetMode="External"/><Relationship Id="rId47" Type="http://schemas.openxmlformats.org/officeDocument/2006/relationships/hyperlink" Target="https://std.samr.gov.cn/gb/search/gbDetailed?id=0B4529DE1059FCAFE06397BE0A0A46CC" TargetMode="External"/><Relationship Id="rId63" Type="http://schemas.openxmlformats.org/officeDocument/2006/relationships/hyperlink" Target="http://std.samr.gov.cn/gb/search/gbDetailed?id=71F772D7D2D8D3A7E05397BE0A0AB82A" TargetMode="External"/><Relationship Id="rId68" Type="http://schemas.openxmlformats.org/officeDocument/2006/relationships/hyperlink" Target="http://std.samr.gov.cn/gb/search/gbDetailed?id=71F772D7EEDDD3A7E05397BE0A0AB82A" TargetMode="External"/><Relationship Id="rId84" Type="http://schemas.openxmlformats.org/officeDocument/2006/relationships/hyperlink" Target="http://std.samr.gov.cn/gb/search/gbDetailed?id=7E2903B0D5035A63E05397BE0A0AF660" TargetMode="External"/><Relationship Id="rId89" Type="http://schemas.openxmlformats.org/officeDocument/2006/relationships/hyperlink" Target="https://std.samr.gov.cn/gb/search/gbDetailed?id=027A6096AFE6643EE06397BE0A0A0867" TargetMode="External"/><Relationship Id="rId112" Type="http://schemas.openxmlformats.org/officeDocument/2006/relationships/hyperlink" Target="https://std.samr.gov.cn/gb/search/gbDetailed?id=2AD027063983091BE06397BE0A0A2D62" TargetMode="External"/><Relationship Id="rId133" Type="http://schemas.openxmlformats.org/officeDocument/2006/relationships/hyperlink" Target="https://std.samr.gov.cn/gb/search/gbDetailed?id=49FD1852CAC9C31FE06397BE0A0A1304" TargetMode="External"/><Relationship Id="rId138" Type="http://schemas.openxmlformats.org/officeDocument/2006/relationships/hyperlink" Target="https://std.samr.gov.cn/gb/search/gbDetailed?id=511EBC5967E59318E06397BE0A0AFBD5" TargetMode="External"/><Relationship Id="rId16" Type="http://schemas.openxmlformats.org/officeDocument/2006/relationships/hyperlink" Target="http://std.samr.gov.cn/gb/search/gbDetailed?id=71F772D7FF23D3A7E05397BE0A0AB82A" TargetMode="External"/><Relationship Id="rId107" Type="http://schemas.openxmlformats.org/officeDocument/2006/relationships/hyperlink" Target="https://std.samr.gov.cn/gb/search/gbDetailed?id=234D7936AA19E194E06397BE0A0AA0A9" TargetMode="External"/><Relationship Id="rId11" Type="http://schemas.openxmlformats.org/officeDocument/2006/relationships/hyperlink" Target="http://std.samr.gov.cn/gb/search/gbDetailed?id=71F772D7E4EAD3A7E05397BE0A0AB82A" TargetMode="External"/><Relationship Id="rId32" Type="http://schemas.openxmlformats.org/officeDocument/2006/relationships/hyperlink" Target="http://std.samr.gov.cn/gb/search/gbDetailed?id=71F772D81F50D3A7E05397BE0A0AB82A" TargetMode="External"/><Relationship Id="rId37" Type="http://schemas.openxmlformats.org/officeDocument/2006/relationships/hyperlink" Target="http://std.samr.gov.cn/gb/search/gbDetailed?id=71F772D7EAB1D3A7E05397BE0A0AB82A" TargetMode="External"/><Relationship Id="rId53" Type="http://schemas.openxmlformats.org/officeDocument/2006/relationships/hyperlink" Target="http://std.samr.gov.cn/gb/search/gbDetailed?id=71F772D8184AD3A7E05397BE0A0AB82A" TargetMode="External"/><Relationship Id="rId58" Type="http://schemas.openxmlformats.org/officeDocument/2006/relationships/hyperlink" Target="http://std.samr.gov.cn/gb/search/gbDetailed?id=71F772D7CA6DD3A7E05397BE0A0AB82A" TargetMode="External"/><Relationship Id="rId74" Type="http://schemas.openxmlformats.org/officeDocument/2006/relationships/hyperlink" Target="http://std.samr.gov.cn/gb/search/gbDetailed?id=71F772D809DCD3A7E05397BE0A0AB82A" TargetMode="External"/><Relationship Id="rId79" Type="http://schemas.openxmlformats.org/officeDocument/2006/relationships/hyperlink" Target="http://std.samr.gov.cn/gb/search/gbDetailed?id=71F772D82A55D3A7E05397BE0A0AB82A" TargetMode="External"/><Relationship Id="rId102" Type="http://schemas.openxmlformats.org/officeDocument/2006/relationships/hyperlink" Target="https://std.samr.gov.cn/gb/search/gbDetailed?id=173829859C9A1AA5E06397BE0A0AA311" TargetMode="External"/><Relationship Id="rId123" Type="http://schemas.openxmlformats.org/officeDocument/2006/relationships/hyperlink" Target="https://std.samr.gov.cn/gb/search/gbDetailed?id=3DBA213287120D16E06397BE0A0A8119" TargetMode="External"/><Relationship Id="rId128" Type="http://schemas.openxmlformats.org/officeDocument/2006/relationships/hyperlink" Target="https://std.samr.gov.cn/gb/search/gbDetailed?id=42BA7D06A3E8E936E06397BE0A0ACDC9" TargetMode="External"/><Relationship Id="rId5" Type="http://schemas.openxmlformats.org/officeDocument/2006/relationships/hyperlink" Target="http://std.samr.gov.cn/gb/search/gbDetailed?id=71F772D7D22AD3A7E05397BE0A0AB82A" TargetMode="External"/><Relationship Id="rId90" Type="http://schemas.openxmlformats.org/officeDocument/2006/relationships/hyperlink" Target="https://std.samr.gov.cn/gb/search/gbDetailed?id=0B4529DE1004FCAFE06397BE0A0A46CC" TargetMode="External"/><Relationship Id="rId95" Type="http://schemas.openxmlformats.org/officeDocument/2006/relationships/hyperlink" Target="https://std.samr.gov.cn/gb/search/gbDetailed?id=1E5A13A77F08BC8DE06397BE0A0A87E8" TargetMode="External"/><Relationship Id="rId22" Type="http://schemas.openxmlformats.org/officeDocument/2006/relationships/hyperlink" Target="http://std.samr.gov.cn/gb/search/gbDetailed?id=71F772D81F68D3A7E05397BE0A0AB82A" TargetMode="External"/><Relationship Id="rId27" Type="http://schemas.openxmlformats.org/officeDocument/2006/relationships/hyperlink" Target="http://std.samr.gov.cn/gb/search/gbDetailed?id=71F772D7C086D3A7E05397BE0A0AB82A" TargetMode="External"/><Relationship Id="rId43" Type="http://schemas.openxmlformats.org/officeDocument/2006/relationships/hyperlink" Target="http://std.samr.gov.cn/gb/search/gbDetailed?id=71F772D82923D3A7E05397BE0A0AB82A" TargetMode="External"/><Relationship Id="rId48" Type="http://schemas.openxmlformats.org/officeDocument/2006/relationships/hyperlink" Target="http://std.samr.gov.cn/gb/search/gbDetailed?id=71F772D81C7CD3A7E05397BE0A0AB82A" TargetMode="External"/><Relationship Id="rId64" Type="http://schemas.openxmlformats.org/officeDocument/2006/relationships/hyperlink" Target="http://std.samr.gov.cn/gb/search/gbDetailed?id=71F772D7F773D3A7E05397BE0A0AB82A" TargetMode="External"/><Relationship Id="rId69" Type="http://schemas.openxmlformats.org/officeDocument/2006/relationships/hyperlink" Target="http://std.samr.gov.cn/gb/search/gbDetailed?id=71F772D81851D3A7E05397BE0A0AB82A" TargetMode="External"/><Relationship Id="rId113" Type="http://schemas.openxmlformats.org/officeDocument/2006/relationships/hyperlink" Target="https://std.samr.gov.cn/gb/search/gbDetailed?id=2AD02706398E091BE06397BE0A0A2D62" TargetMode="External"/><Relationship Id="rId118" Type="http://schemas.openxmlformats.org/officeDocument/2006/relationships/hyperlink" Target="https://std.samr.gov.cn/gb/search/gbDetailed?id=31DA5F377BB68F08E06397BE0A0A4CFB&amp;review=true" TargetMode="External"/><Relationship Id="rId134" Type="http://schemas.openxmlformats.org/officeDocument/2006/relationships/hyperlink" Target="https://std.samr.gov.cn/gb/search/gbDetailed?id=49FD1852CAE5C31FE06397BE0A0A1304" TargetMode="External"/><Relationship Id="rId139" Type="http://schemas.openxmlformats.org/officeDocument/2006/relationships/hyperlink" Target="https://std.samr.gov.cn/gb/search/gbDetailed?id=5120BF83ED7534D9E06397BE0A0AEE77" TargetMode="External"/><Relationship Id="rId8" Type="http://schemas.openxmlformats.org/officeDocument/2006/relationships/hyperlink" Target="http://std.samr.gov.cn/gb/search/gbDetailed?id=C1A814733AED7A48E05397BE0A0A1C8D" TargetMode="External"/><Relationship Id="rId51" Type="http://schemas.openxmlformats.org/officeDocument/2006/relationships/hyperlink" Target="http://std.samr.gov.cn/gb/search/gbDetailed?id=71F772D7EEF6D3A7E05397BE0A0AB82A" TargetMode="External"/><Relationship Id="rId72" Type="http://schemas.openxmlformats.org/officeDocument/2006/relationships/hyperlink" Target="http://std.samr.gov.cn/gb/search/gbDetailed?id=71F772D7E270D3A7E05397BE0A0AB82A" TargetMode="External"/><Relationship Id="rId80" Type="http://schemas.openxmlformats.org/officeDocument/2006/relationships/hyperlink" Target="http://std.samr.gov.cn/gb/search/gbDetailed?id=71F772D82AC7D3A7E05397BE0A0AB82A" TargetMode="External"/><Relationship Id="rId85" Type="http://schemas.openxmlformats.org/officeDocument/2006/relationships/hyperlink" Target="http://std.samr.gov.cn/gb/search/gbDetailed?id=71F772D822E9D3A7E05397BE0A0AB82A" TargetMode="External"/><Relationship Id="rId93" Type="http://schemas.openxmlformats.org/officeDocument/2006/relationships/hyperlink" Target="https://std.samr.gov.cn/gb/search/gbDetailed?id=14156507D22C0337E06397BE0A0AE656" TargetMode="External"/><Relationship Id="rId98" Type="http://schemas.openxmlformats.org/officeDocument/2006/relationships/hyperlink" Target="https://std.samr.gov.cn/gb/search/gbDetailed?id=1E5A13A77F0BBC8DE06397BE0A0A87E8" TargetMode="External"/><Relationship Id="rId121" Type="http://schemas.openxmlformats.org/officeDocument/2006/relationships/hyperlink" Target="https://std.samr.gov.cn/gb/search/gbDetailed?id=3DBA213284D00D16E06397BE0A0A8119" TargetMode="External"/><Relationship Id="rId3" Type="http://schemas.openxmlformats.org/officeDocument/2006/relationships/hyperlink" Target="http://std.samr.gov.cn/gb/search/gbDetailed?id=71F772D7F7CDD3A7E05397BE0A0AB82A" TargetMode="External"/><Relationship Id="rId12" Type="http://schemas.openxmlformats.org/officeDocument/2006/relationships/hyperlink" Target="http://std.samr.gov.cn/gb/search/gbDetailed?id=71F772D7D028D3A7E05397BE0A0AB82A" TargetMode="External"/><Relationship Id="rId17" Type="http://schemas.openxmlformats.org/officeDocument/2006/relationships/hyperlink" Target="http://std.samr.gov.cn/gb/search/gbDetailed?id=71F772D7F15DD3A7E05397BE0A0AB82A" TargetMode="External"/><Relationship Id="rId25" Type="http://schemas.openxmlformats.org/officeDocument/2006/relationships/hyperlink" Target="http://std.samr.gov.cn/gb/search/gbDetailed?id=71F772D82DE7D3A7E05397BE0A0AB82A" TargetMode="External"/><Relationship Id="rId33" Type="http://schemas.openxmlformats.org/officeDocument/2006/relationships/hyperlink" Target="http://std.samr.gov.cn/gb/search/gbDetailed?id=8AA1F5D36E67A8DBE05397BE0A0AB19B" TargetMode="External"/><Relationship Id="rId38" Type="http://schemas.openxmlformats.org/officeDocument/2006/relationships/hyperlink" Target="http://std.samr.gov.cn/gb/search/gbDetailed?id=71F772D7EB56D3A7E05397BE0A0AB82A" TargetMode="External"/><Relationship Id="rId46" Type="http://schemas.openxmlformats.org/officeDocument/2006/relationships/hyperlink" Target="http://std.samr.gov.cn/gb/search/gbDetailed?id=71F772D803B1D3A7E05397BE0A0AB82A" TargetMode="External"/><Relationship Id="rId59" Type="http://schemas.openxmlformats.org/officeDocument/2006/relationships/hyperlink" Target="http://std.samr.gov.cn/gb/search/gbDetailed?id=71F772D7E4D0D3A7E05397BE0A0AB82A" TargetMode="External"/><Relationship Id="rId67" Type="http://schemas.openxmlformats.org/officeDocument/2006/relationships/hyperlink" Target="https://std.samr.gov.cn/gb/search/gbDetailed?id=0DF2F72AE415403DE06397BE0A0A87C4" TargetMode="External"/><Relationship Id="rId103" Type="http://schemas.openxmlformats.org/officeDocument/2006/relationships/hyperlink" Target="https://std.samr.gov.cn/gb/search/gbDetailed?id=208E903AB5F979F3E06397BE0A0AB2B9" TargetMode="External"/><Relationship Id="rId108" Type="http://schemas.openxmlformats.org/officeDocument/2006/relationships/hyperlink" Target="https://std.samr.gov.cn/gb/search/gbDetailed?id=25940C3CEF5F8A9AE06397BE0A0A525A" TargetMode="External"/><Relationship Id="rId116" Type="http://schemas.openxmlformats.org/officeDocument/2006/relationships/hyperlink" Target="https://std.samr.gov.cn/gb/search/gbDetailed?id=2FF37940EAB0D753E06397BE0A0A413F" TargetMode="External"/><Relationship Id="rId124" Type="http://schemas.openxmlformats.org/officeDocument/2006/relationships/hyperlink" Target="https://std.samr.gov.cn/gb/search/gbDetailed?id=3DBA213285AD0D16E06397BE0A0A8119" TargetMode="External"/><Relationship Id="rId129" Type="http://schemas.openxmlformats.org/officeDocument/2006/relationships/hyperlink" Target="https://std.samr.gov.cn/gb/search/gbDetailed?id=42BA7D06A3E7E936E06397BE0A0ACDC9" TargetMode="External"/><Relationship Id="rId137" Type="http://schemas.openxmlformats.org/officeDocument/2006/relationships/hyperlink" Target="https://std.samr.gov.cn/gb/search/gbDetailed?id=511EBC5967B09318E06397BE0A0AFBD5" TargetMode="External"/><Relationship Id="rId20" Type="http://schemas.openxmlformats.org/officeDocument/2006/relationships/hyperlink" Target="http://std.samr.gov.cn/gb/search/gbDetailed?id=71F772D81A4ED3A7E05397BE0A0AB82A" TargetMode="External"/><Relationship Id="rId41" Type="http://schemas.openxmlformats.org/officeDocument/2006/relationships/hyperlink" Target="https://std.samr.gov.cn/gb/search/gbDetailed?id=0DF2F72AE413403DE06397BE0A0A87C4" TargetMode="External"/><Relationship Id="rId54" Type="http://schemas.openxmlformats.org/officeDocument/2006/relationships/hyperlink" Target="http://std.samr.gov.cn/gb/search/gbDetailed?id=71F772D82244D3A7E05397BE0A0AB82A" TargetMode="External"/><Relationship Id="rId62" Type="http://schemas.openxmlformats.org/officeDocument/2006/relationships/hyperlink" Target="http://std.samr.gov.cn/gb/search/gbDetailed?id=71F772D81848D3A7E05397BE0A0AB82A" TargetMode="External"/><Relationship Id="rId70" Type="http://schemas.openxmlformats.org/officeDocument/2006/relationships/hyperlink" Target="http://std.samr.gov.cn/gb/search/gbDetailed?id=71F772D7E014D3A7E05397BE0A0AB82A" TargetMode="External"/><Relationship Id="rId75" Type="http://schemas.openxmlformats.org/officeDocument/2006/relationships/hyperlink" Target="http://std.samr.gov.cn/gb/search/gbDetailed?id=71F772D809DDD3A7E05397BE0A0AB82A" TargetMode="External"/><Relationship Id="rId83" Type="http://schemas.openxmlformats.org/officeDocument/2006/relationships/hyperlink" Target="http://std.samr.gov.cn/gb/search/gbDetailed?id=71F772D81F7AD3A7E05397BE0A0AB82A" TargetMode="External"/><Relationship Id="rId88" Type="http://schemas.openxmlformats.org/officeDocument/2006/relationships/hyperlink" Target="https://std.samr.gov.cn/gb/search/gbDetailed?id=027A6096AFE5643EE06397BE0A0A0867" TargetMode="External"/><Relationship Id="rId91" Type="http://schemas.openxmlformats.org/officeDocument/2006/relationships/hyperlink" Target="https://std.samr.gov.cn/gb/search/gbDetailed?id=0B4529DE100CFCAFE06397BE0A0A46CC" TargetMode="External"/><Relationship Id="rId96" Type="http://schemas.openxmlformats.org/officeDocument/2006/relationships/hyperlink" Target="https://std.samr.gov.cn/gb/search/gbDetailed?id=1E5A13A77F09BC8DE06397BE0A0A87E8" TargetMode="External"/><Relationship Id="rId111" Type="http://schemas.openxmlformats.org/officeDocument/2006/relationships/hyperlink" Target="https://std.samr.gov.cn/gb/search/gbDetailed?id=2AD02706391C091BE06397BE0A0A2D62" TargetMode="External"/><Relationship Id="rId132" Type="http://schemas.openxmlformats.org/officeDocument/2006/relationships/hyperlink" Target="https://std.samr.gov.cn/gb/search/gbDetailed?id=42BA7D06A3F4E936E06397BE0A0ACDC9" TargetMode="External"/><Relationship Id="rId140" Type="http://schemas.openxmlformats.org/officeDocument/2006/relationships/hyperlink" Target="https://std.samr.gov.cn/gb/search/gbDetailed?id=5120BF83ED7634D9E06397BE0A0AEE77" TargetMode="External"/><Relationship Id="rId1" Type="http://schemas.openxmlformats.org/officeDocument/2006/relationships/hyperlink" Target="http://std.samr.gov.cn/gb/search/gbDetailed?id=71F772D7D326D3A7E05397BE0A0AB82A" TargetMode="External"/><Relationship Id="rId6" Type="http://schemas.openxmlformats.org/officeDocument/2006/relationships/hyperlink" Target="http://std.samr.gov.cn/gb/search/gbDetailed?id=71F772D82186D3A7E05397BE0A0AB82A" TargetMode="External"/><Relationship Id="rId15" Type="http://schemas.openxmlformats.org/officeDocument/2006/relationships/hyperlink" Target="http://std.samr.gov.cn/gb/search/gbDetailed?id=71F772D7E80CD3A7E05397BE0A0AB82A" TargetMode="External"/><Relationship Id="rId23" Type="http://schemas.openxmlformats.org/officeDocument/2006/relationships/hyperlink" Target="http://std.samr.gov.cn/gb/search/gbDetailed?id=71F772D82056D3A7E05397BE0A0AB82A" TargetMode="External"/><Relationship Id="rId28" Type="http://schemas.openxmlformats.org/officeDocument/2006/relationships/hyperlink" Target="http://std.samr.gov.cn/gb/search/gbDetailed?id=71F772D7F0CED3A7E05397BE0A0AB82A" TargetMode="External"/><Relationship Id="rId36" Type="http://schemas.openxmlformats.org/officeDocument/2006/relationships/hyperlink" Target="http://std.samr.gov.cn/gb/search/gbDetailed?id=BD89DE8E07BD3D08E05397BE0A0A4FAD" TargetMode="External"/><Relationship Id="rId49" Type="http://schemas.openxmlformats.org/officeDocument/2006/relationships/hyperlink" Target="http://std.samr.gov.cn/gb/search/gbDetailed?id=71F772D7E6BBD3A7E05397BE0A0AB82A" TargetMode="External"/><Relationship Id="rId57" Type="http://schemas.openxmlformats.org/officeDocument/2006/relationships/hyperlink" Target="http://std.samr.gov.cn/gb/search/gbDetailed?id=71F772D7CA87D3A7E05397BE0A0AB82A" TargetMode="External"/><Relationship Id="rId106" Type="http://schemas.openxmlformats.org/officeDocument/2006/relationships/hyperlink" Target="https://std.samr.gov.cn/gb/search/gbDetailed?id=027A6096AF99643EE06397BE0A0A0867" TargetMode="External"/><Relationship Id="rId114" Type="http://schemas.openxmlformats.org/officeDocument/2006/relationships/hyperlink" Target="http://std.samr.gov.cn/gb/search/gbDetailed?id=71F772D7696AD3A7E05397BE0A0AB82A" TargetMode="External"/><Relationship Id="rId119" Type="http://schemas.openxmlformats.org/officeDocument/2006/relationships/hyperlink" Target="https://std.samr.gov.cn/gb/search/gbDetailed?id=36DE96AA3E63CD71E06397BE0A0A23D9" TargetMode="External"/><Relationship Id="rId127" Type="http://schemas.openxmlformats.org/officeDocument/2006/relationships/hyperlink" Target="https://std.samr.gov.cn/gb/search/gbDetailed?id=42BA7D06A207E936E06397BE0A0ACDC9" TargetMode="External"/><Relationship Id="rId10" Type="http://schemas.openxmlformats.org/officeDocument/2006/relationships/hyperlink" Target="http://std.samr.gov.cn/gb/search/gbDetailed?id=71F772D7E71FD3A7E05397BE0A0AB82A" TargetMode="External"/><Relationship Id="rId31" Type="http://schemas.openxmlformats.org/officeDocument/2006/relationships/hyperlink" Target="http://std.samr.gov.cn/gb/search/gbDetailed?id=71F772D7EC3CD3A7E05397BE0A0AB82A" TargetMode="External"/><Relationship Id="rId44" Type="http://schemas.openxmlformats.org/officeDocument/2006/relationships/hyperlink" Target="http://std.samr.gov.cn/gb/search/gbDetailed?id=C1A814733B207A48E05397BE0A0A1C8D" TargetMode="External"/><Relationship Id="rId52" Type="http://schemas.openxmlformats.org/officeDocument/2006/relationships/hyperlink" Target="http://std.samr.gov.cn/gb/search/gbDetailed?id=71F772D7F103D3A7E05397BE0A0AB82A" TargetMode="External"/><Relationship Id="rId60" Type="http://schemas.openxmlformats.org/officeDocument/2006/relationships/hyperlink" Target="http://std.samr.gov.cn/gb/search/gbDetailed?id=71F772D7CA9DD3A7E05397BE0A0AB82A" TargetMode="External"/><Relationship Id="rId65" Type="http://schemas.openxmlformats.org/officeDocument/2006/relationships/hyperlink" Target="http://std.samr.gov.cn/gb/search/gbDetailed?id=71F772D7DC13D3A7E05397BE0A0AB82A" TargetMode="External"/><Relationship Id="rId73" Type="http://schemas.openxmlformats.org/officeDocument/2006/relationships/hyperlink" Target="http://std.samr.gov.cn/gb/search/gbDetailed?id=71F772D7F3A6D3A7E05397BE0A0AB82A" TargetMode="External"/><Relationship Id="rId78" Type="http://schemas.openxmlformats.org/officeDocument/2006/relationships/hyperlink" Target="http://std.samr.gov.cn/gb/search/gbDetailed?id=71F772D818B3D3A7E05397BE0A0AB82A" TargetMode="External"/><Relationship Id="rId81" Type="http://schemas.openxmlformats.org/officeDocument/2006/relationships/hyperlink" Target="http://std.samr.gov.cn/gb/search/gbDetailed?id=71F772D81FDFD3A7E05397BE0A0AB82A" TargetMode="External"/><Relationship Id="rId86" Type="http://schemas.openxmlformats.org/officeDocument/2006/relationships/hyperlink" Target="http://std.samr.gov.cn/gb/search/gbDetailed?id=A73D6262FE7172E3E05397BE0A0A6CEB" TargetMode="External"/><Relationship Id="rId94" Type="http://schemas.openxmlformats.org/officeDocument/2006/relationships/hyperlink" Target="https://std.samr.gov.cn/gb/search/gbDetailed?id=1E5A13A77F6EBC8DE06397BE0A0A87E8" TargetMode="External"/><Relationship Id="rId99" Type="http://schemas.openxmlformats.org/officeDocument/2006/relationships/hyperlink" Target="https://std.samr.gov.cn/gb/search/gbDetailed?id=14156507D23A0337E06397BE0A0AE656" TargetMode="External"/><Relationship Id="rId101" Type="http://schemas.openxmlformats.org/officeDocument/2006/relationships/hyperlink" Target="https://std.samr.gov.cn/gb/search/gbDetailed?id=19B8508AEDF04286E06397BE0A0A616D" TargetMode="External"/><Relationship Id="rId122" Type="http://schemas.openxmlformats.org/officeDocument/2006/relationships/hyperlink" Target="https://std.samr.gov.cn/gb/search/gbDetailed?id=3DBA213286DA0D16E06397BE0A0A8119" TargetMode="External"/><Relationship Id="rId130" Type="http://schemas.openxmlformats.org/officeDocument/2006/relationships/hyperlink" Target="https://std.samr.gov.cn/gb/search/gbDetailed?id=42BA7D06A416E936E06397BE0A0ACDC9" TargetMode="External"/><Relationship Id="rId135" Type="http://schemas.openxmlformats.org/officeDocument/2006/relationships/hyperlink" Target="https://std.samr.gov.cn/gb/search/gbDetailed?id=4C1C3627869B92B0E06397BE0A0A32A4" TargetMode="External"/><Relationship Id="rId4" Type="http://schemas.openxmlformats.org/officeDocument/2006/relationships/hyperlink" Target="http://std.samr.gov.cn/gb/search/gbDetailed?id=A73D6262FE2A72E3E05397BE0A0A6CEB" TargetMode="External"/><Relationship Id="rId9" Type="http://schemas.openxmlformats.org/officeDocument/2006/relationships/hyperlink" Target="http://std.samr.gov.cn/gb/search/gbDetailed?id=71F772D76022D3A7E05397BE0A0AB82A" TargetMode="External"/><Relationship Id="rId13" Type="http://schemas.openxmlformats.org/officeDocument/2006/relationships/hyperlink" Target="http://std.samr.gov.cn/gb/search/gbDetailed?id=B13990C15C425DDAE05397BE0A0A0D35" TargetMode="External"/><Relationship Id="rId18" Type="http://schemas.openxmlformats.org/officeDocument/2006/relationships/hyperlink" Target="http://std.samr.gov.cn/gb/search/gbDetailed?id=71F772D806DDD3A7E05397BE0A0AB82A" TargetMode="External"/><Relationship Id="rId39" Type="http://schemas.openxmlformats.org/officeDocument/2006/relationships/hyperlink" Target="http://std.samr.gov.cn/gb/search/gbDetailed?id=71F772D7F44CD3A7E05397BE0A0AB82A" TargetMode="External"/><Relationship Id="rId109" Type="http://schemas.openxmlformats.org/officeDocument/2006/relationships/hyperlink" Target="https://std.samr.gov.cn/gb/search/gbDetailed?id=28045D84DA199055E06397BE0A0A7C5C" TargetMode="External"/><Relationship Id="rId34" Type="http://schemas.openxmlformats.org/officeDocument/2006/relationships/hyperlink" Target="http://std.samr.gov.cn/gb/search/gbDetailed?id=C1A814733B217A48E05397BE0A0A1C8D" TargetMode="External"/><Relationship Id="rId50" Type="http://schemas.openxmlformats.org/officeDocument/2006/relationships/hyperlink" Target="http://std.samr.gov.cn/gb/search/gbDetailed?id=71F772D7E64CD3A7E05397BE0A0AB82A" TargetMode="External"/><Relationship Id="rId55" Type="http://schemas.openxmlformats.org/officeDocument/2006/relationships/hyperlink" Target="http://std.samr.gov.cn/gb/search/gbDetailed?id=71F772D82DDED3A7E05397BE0A0AB82A" TargetMode="External"/><Relationship Id="rId76" Type="http://schemas.openxmlformats.org/officeDocument/2006/relationships/hyperlink" Target="http://std.samr.gov.cn/gb/search/gbDetailed?id=71F772D81598D3A7E05397BE0A0AB82A" TargetMode="External"/><Relationship Id="rId97" Type="http://schemas.openxmlformats.org/officeDocument/2006/relationships/hyperlink" Target="https://std.samr.gov.cn/gb/search/gbDetailed?id=1E5A13A77F0ABC8DE06397BE0A0A87E8" TargetMode="External"/><Relationship Id="rId104" Type="http://schemas.openxmlformats.org/officeDocument/2006/relationships/hyperlink" Target="https://std.samr.gov.cn/gb/search/gbDetailed?id=208E903AB72279F3E06397BE0A0AB2B9" TargetMode="External"/><Relationship Id="rId120" Type="http://schemas.openxmlformats.org/officeDocument/2006/relationships/hyperlink" Target="https://std.samr.gov.cn/gb/search/gbDetailed?id=3B46A026CBA8469CE06397BE0A0AEEB8" TargetMode="External"/><Relationship Id="rId125" Type="http://schemas.openxmlformats.org/officeDocument/2006/relationships/hyperlink" Target="https://std.samr.gov.cn/gb/search/gbDetailed?id=3DBBB9791C7F5DDDE06397BE0A0ADF46" TargetMode="External"/><Relationship Id="rId7" Type="http://schemas.openxmlformats.org/officeDocument/2006/relationships/hyperlink" Target="http://std.samr.gov.cn/gb/search/gbDetailed?id=7E2903B0D56F5A63E05397BE0A0AF660" TargetMode="External"/><Relationship Id="rId71" Type="http://schemas.openxmlformats.org/officeDocument/2006/relationships/hyperlink" Target="http://std.samr.gov.cn/gb/search/gbDetailed?id=71F772D8035BD3A7E05397BE0A0AB82A" TargetMode="External"/><Relationship Id="rId92" Type="http://schemas.openxmlformats.org/officeDocument/2006/relationships/hyperlink" Target="https://std.samr.gov.cn/gb/search/gbDetailed?id=0B4529DE0FB4FCAFE06397BE0A0A46CC" TargetMode="External"/><Relationship Id="rId2" Type="http://schemas.openxmlformats.org/officeDocument/2006/relationships/hyperlink" Target="http://std.samr.gov.cn/gb/search/gbDetailed?id=71F772D81DD9D3A7E05397BE0A0AB82A" TargetMode="External"/><Relationship Id="rId29" Type="http://schemas.openxmlformats.org/officeDocument/2006/relationships/hyperlink" Target="http://std.samr.gov.cn/gb/search/gbDetailed?id=71F772D7DA43D3A7E05397BE0A0AB82A" TargetMode="External"/><Relationship Id="rId24" Type="http://schemas.openxmlformats.org/officeDocument/2006/relationships/hyperlink" Target="http://std.samr.gov.cn/gb/search/gbDetailed?id=71F772D82057D3A7E05397BE0A0AB82A" TargetMode="External"/><Relationship Id="rId40" Type="http://schemas.openxmlformats.org/officeDocument/2006/relationships/hyperlink" Target="http://std.samr.gov.cn/gb/search/gbDetailed?id=71F772D815F1D3A7E05397BE0A0AB82A" TargetMode="External"/><Relationship Id="rId45" Type="http://schemas.openxmlformats.org/officeDocument/2006/relationships/hyperlink" Target="http://std.samr.gov.cn/gb/search/gbDetailed?id=71F772D7EB25D3A7E05397BE0A0AB82A" TargetMode="External"/><Relationship Id="rId66" Type="http://schemas.openxmlformats.org/officeDocument/2006/relationships/hyperlink" Target="http://std.samr.gov.cn/gb/search/gbDetailed?id=71F772D7DAA4D3A7E05397BE0A0AB82A" TargetMode="External"/><Relationship Id="rId87" Type="http://schemas.openxmlformats.org/officeDocument/2006/relationships/hyperlink" Target="http://std.samr.gov.cn/gb/search/gbDetailed?id=B187EEDE6BC616D1E05397BE0A0A3342" TargetMode="External"/><Relationship Id="rId110" Type="http://schemas.openxmlformats.org/officeDocument/2006/relationships/hyperlink" Target="https://std.samr.gov.cn/gb/search/gbDetailed?id=2AD0270638FF091BE06397BE0A0A2D62" TargetMode="External"/><Relationship Id="rId115" Type="http://schemas.openxmlformats.org/officeDocument/2006/relationships/hyperlink" Target="https://std.samr.gov.cn/gb/search/gbDetailed?id=B4C25880C43F1CB3E05397BE0A0A92D0" TargetMode="External"/><Relationship Id="rId131" Type="http://schemas.openxmlformats.org/officeDocument/2006/relationships/hyperlink" Target="https://std.samr.gov.cn/gb/search/gbDetailed?id=42BA7D06A418E936E06397BE0A0ACDC9" TargetMode="External"/><Relationship Id="rId136" Type="http://schemas.openxmlformats.org/officeDocument/2006/relationships/hyperlink" Target="https://openstd.samr.gov.cn/bzgk/std/javascript:void(0)" TargetMode="External"/><Relationship Id="rId61" Type="http://schemas.openxmlformats.org/officeDocument/2006/relationships/hyperlink" Target="http://std.samr.gov.cn/gb/search/gbDetailed?id=71F772D7FC4CD3A7E05397BE0A0AB82A" TargetMode="External"/><Relationship Id="rId82" Type="http://schemas.openxmlformats.org/officeDocument/2006/relationships/hyperlink" Target="http://std.samr.gov.cn/gb/search/gbDetailed?id=71F772D81D26D3A7E05397BE0A0AB82A" TargetMode="External"/><Relationship Id="rId19" Type="http://schemas.openxmlformats.org/officeDocument/2006/relationships/hyperlink" Target="http://std.samr.gov.cn/gb/search/gbDetailed?id=71F772D7ED1BD3A7E05397BE0A0AB82A" TargetMode="External"/><Relationship Id="rId14" Type="http://schemas.openxmlformats.org/officeDocument/2006/relationships/hyperlink" Target="http://std.samr.gov.cn/gb/search/gbDetailed?id=71F772D81AB2D3A7E05397BE0A0AB82A" TargetMode="External"/><Relationship Id="rId30" Type="http://schemas.openxmlformats.org/officeDocument/2006/relationships/hyperlink" Target="http://std.samr.gov.cn/gb/search/gbDetailed?id=71F772D7EA97D3A7E05397BE0A0AB82A" TargetMode="External"/><Relationship Id="rId35" Type="http://schemas.openxmlformats.org/officeDocument/2006/relationships/hyperlink" Target="http://std.samr.gov.cn/gb/search/gbDetailed?id=71F772D7D985D3A7E05397BE0A0AB82A" TargetMode="External"/><Relationship Id="rId56" Type="http://schemas.openxmlformats.org/officeDocument/2006/relationships/hyperlink" Target="http://std.samr.gov.cn/gb/search/gbDetailed?id=A73D6262FE8972E3E05397BE0A0A6CEB" TargetMode="External"/><Relationship Id="rId77" Type="http://schemas.openxmlformats.org/officeDocument/2006/relationships/hyperlink" Target="http://std.samr.gov.cn/gb/search/gbDetailed?id=71F772D81849D3A7E05397BE0A0AB82A" TargetMode="External"/><Relationship Id="rId100" Type="http://schemas.openxmlformats.org/officeDocument/2006/relationships/hyperlink" Target="https://std.samr.gov.cn/gb/search/gbDetailed?id=19B8508AEE074286E06397BE0A0A616D" TargetMode="External"/><Relationship Id="rId105" Type="http://schemas.openxmlformats.org/officeDocument/2006/relationships/hyperlink" Target="https://std.samr.gov.cn/gb/search/gbDetailed?id=053404E3EF3B8F91E06397BE0A0A9209" TargetMode="External"/><Relationship Id="rId126" Type="http://schemas.openxmlformats.org/officeDocument/2006/relationships/hyperlink" Target="https://std.samr.gov.cn/gb/search/gbDetailed?id=3DBA213285790D16E06397BE0A0A8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CC36-46FA-471F-A7A0-802A707066DA}">
  <dimension ref="A1:U1006"/>
  <sheetViews>
    <sheetView tabSelected="1" workbookViewId="0">
      <pane ySplit="1" topLeftCell="A653" activePane="bottomLeft" state="frozen"/>
      <selection activeCell="T813" sqref="T813"/>
      <selection pane="bottomLeft" activeCell="X756" sqref="X756"/>
    </sheetView>
  </sheetViews>
  <sheetFormatPr defaultColWidth="9" defaultRowHeight="24.95" customHeight="1" x14ac:dyDescent="0.3"/>
  <cols>
    <col min="1" max="1" width="10.59765625" style="13" customWidth="1"/>
    <col min="2" max="2" width="13.1328125" style="13" customWidth="1"/>
    <col min="3" max="3" width="3.1328125" customWidth="1"/>
    <col min="4" max="4" width="5.59765625" style="24" customWidth="1"/>
    <col min="5" max="7" width="25.59765625" style="24" customWidth="1"/>
    <col min="8" max="8" width="3.59765625" style="24" customWidth="1"/>
    <col min="9" max="9" width="12.59765625" style="24" customWidth="1"/>
    <col min="10" max="10" width="3.59765625" style="24" customWidth="1"/>
    <col min="11" max="11" width="12.59765625" style="24" customWidth="1"/>
    <col min="12" max="12" width="3.59765625" style="24" customWidth="1"/>
    <col min="13" max="13" width="12.59765625" style="24" customWidth="1"/>
    <col min="14" max="14" width="3.59765625" style="24" customWidth="1"/>
    <col min="15" max="15" width="12.59765625" style="24" customWidth="1"/>
    <col min="16" max="16" width="3.59765625" style="24" customWidth="1"/>
    <col min="17" max="17" width="12.59765625" style="24" customWidth="1"/>
    <col min="18" max="20" width="15.59765625" style="24" customWidth="1"/>
  </cols>
  <sheetData>
    <row r="1" spans="1:20" s="3" customFormat="1" ht="24.95" customHeight="1" x14ac:dyDescent="0.3">
      <c r="A1" s="1" t="s">
        <v>0</v>
      </c>
      <c r="B1" s="2"/>
      <c r="D1" s="4" t="s">
        <v>1</v>
      </c>
      <c r="E1" s="4" t="s">
        <v>2</v>
      </c>
      <c r="F1" s="4" t="s">
        <v>3</v>
      </c>
      <c r="G1" s="4" t="s">
        <v>4</v>
      </c>
      <c r="H1" s="1" t="s">
        <v>5</v>
      </c>
      <c r="I1" s="2"/>
      <c r="J1" s="1" t="s">
        <v>6</v>
      </c>
      <c r="K1" s="2"/>
      <c r="L1" s="1" t="s">
        <v>7</v>
      </c>
      <c r="M1" s="2"/>
      <c r="N1" s="1" t="s">
        <v>8</v>
      </c>
      <c r="O1" s="2"/>
      <c r="P1" s="1" t="s">
        <v>9</v>
      </c>
      <c r="Q1" s="2"/>
      <c r="R1" s="4" t="s">
        <v>10</v>
      </c>
      <c r="S1" s="4" t="s">
        <v>11</v>
      </c>
      <c r="T1" s="4" t="s">
        <v>12</v>
      </c>
    </row>
    <row r="2" spans="1:20" s="5" customFormat="1" ht="24.95" customHeight="1" x14ac:dyDescent="0.3">
      <c r="D2" s="6">
        <f>ROW()-1</f>
        <v>1</v>
      </c>
      <c r="E2" s="7" t="s">
        <v>13</v>
      </c>
      <c r="F2" s="7" t="s">
        <v>14</v>
      </c>
      <c r="G2" s="7" t="s">
        <v>15</v>
      </c>
      <c r="H2" s="6"/>
      <c r="I2" s="6"/>
      <c r="J2" s="6"/>
      <c r="K2" s="6"/>
      <c r="L2" s="6"/>
      <c r="M2" s="6"/>
      <c r="N2" s="6"/>
      <c r="O2" s="6"/>
      <c r="P2" s="6">
        <v>1</v>
      </c>
      <c r="Q2" s="8" t="s">
        <v>16</v>
      </c>
      <c r="R2" s="7">
        <v>42947</v>
      </c>
      <c r="S2" s="7" t="s">
        <v>17</v>
      </c>
      <c r="T2" s="7" t="s">
        <v>12</v>
      </c>
    </row>
    <row r="3" spans="1:20" s="5" customFormat="1" ht="24.95" customHeight="1" x14ac:dyDescent="0.3">
      <c r="A3" s="9" t="s">
        <v>5</v>
      </c>
      <c r="B3" s="8">
        <f>SUM(H2:H1064)</f>
        <v>58</v>
      </c>
      <c r="D3" s="6">
        <f t="shared" ref="D3:D66" si="0">ROW()-1</f>
        <v>2</v>
      </c>
      <c r="E3" s="7" t="s">
        <v>18</v>
      </c>
      <c r="F3" s="7" t="s">
        <v>19</v>
      </c>
      <c r="G3" s="7" t="s">
        <v>20</v>
      </c>
      <c r="H3" s="6">
        <v>1</v>
      </c>
      <c r="I3" s="8" t="s">
        <v>21</v>
      </c>
      <c r="J3" s="6"/>
      <c r="K3" s="6"/>
      <c r="L3" s="6"/>
      <c r="M3" s="6"/>
      <c r="N3" s="6"/>
      <c r="O3" s="6"/>
      <c r="P3" s="6"/>
      <c r="Q3" s="6"/>
      <c r="R3" s="7">
        <v>43286</v>
      </c>
      <c r="S3" s="7" t="s">
        <v>17</v>
      </c>
      <c r="T3" s="7" t="s">
        <v>12</v>
      </c>
    </row>
    <row r="4" spans="1:20" s="5" customFormat="1" ht="24.95" customHeight="1" x14ac:dyDescent="0.3">
      <c r="A4" s="9" t="s">
        <v>6</v>
      </c>
      <c r="B4" s="8">
        <f>SUM(J2:J1064)</f>
        <v>113</v>
      </c>
      <c r="D4" s="6">
        <f t="shared" si="0"/>
        <v>3</v>
      </c>
      <c r="E4" s="7" t="s">
        <v>22</v>
      </c>
      <c r="F4" s="7" t="s">
        <v>23</v>
      </c>
      <c r="G4" s="7" t="s">
        <v>24</v>
      </c>
      <c r="H4" s="6"/>
      <c r="I4" s="6"/>
      <c r="J4" s="6"/>
      <c r="K4" s="6"/>
      <c r="L4" s="6"/>
      <c r="M4" s="6"/>
      <c r="N4" s="6"/>
      <c r="O4" s="6"/>
      <c r="P4" s="6">
        <v>1</v>
      </c>
      <c r="Q4" s="8" t="s">
        <v>25</v>
      </c>
      <c r="R4" s="7">
        <v>43703</v>
      </c>
      <c r="S4" s="7" t="s">
        <v>17</v>
      </c>
      <c r="T4" s="7" t="s">
        <v>12</v>
      </c>
    </row>
    <row r="5" spans="1:20" s="5" customFormat="1" ht="24.95" customHeight="1" x14ac:dyDescent="0.3">
      <c r="A5" s="9" t="s">
        <v>7</v>
      </c>
      <c r="B5" s="8">
        <f>SUM(L2:L1064)</f>
        <v>177</v>
      </c>
      <c r="D5" s="6">
        <f t="shared" si="0"/>
        <v>4</v>
      </c>
      <c r="E5" s="7" t="s">
        <v>26</v>
      </c>
      <c r="F5" s="7" t="s">
        <v>27</v>
      </c>
      <c r="G5" s="7" t="s">
        <v>28</v>
      </c>
      <c r="H5" s="6"/>
      <c r="I5" s="6"/>
      <c r="J5" s="6"/>
      <c r="K5" s="6"/>
      <c r="L5" s="6"/>
      <c r="M5" s="6"/>
      <c r="N5" s="6"/>
      <c r="O5" s="6"/>
      <c r="P5" s="6">
        <v>1</v>
      </c>
      <c r="Q5" s="8" t="s">
        <v>16</v>
      </c>
      <c r="R5" s="7">
        <v>43762</v>
      </c>
      <c r="S5" s="7" t="s">
        <v>17</v>
      </c>
      <c r="T5" s="7" t="s">
        <v>12</v>
      </c>
    </row>
    <row r="6" spans="1:20" s="5" customFormat="1" ht="24.95" customHeight="1" x14ac:dyDescent="0.3">
      <c r="A6" s="9" t="s">
        <v>8</v>
      </c>
      <c r="B6" s="8">
        <f>SUM(N2:N1064)</f>
        <v>79</v>
      </c>
      <c r="D6" s="6">
        <f t="shared" si="0"/>
        <v>5</v>
      </c>
      <c r="E6" s="7" t="s">
        <v>26</v>
      </c>
      <c r="F6" s="7" t="s">
        <v>29</v>
      </c>
      <c r="G6" s="7" t="s">
        <v>30</v>
      </c>
      <c r="H6" s="6"/>
      <c r="I6" s="6"/>
      <c r="J6" s="6"/>
      <c r="K6" s="6"/>
      <c r="L6" s="6"/>
      <c r="M6" s="6"/>
      <c r="N6" s="6"/>
      <c r="O6" s="6"/>
      <c r="P6" s="6">
        <v>1</v>
      </c>
      <c r="Q6" s="8" t="s">
        <v>16</v>
      </c>
      <c r="R6" s="7">
        <v>43762</v>
      </c>
      <c r="S6" s="7" t="s">
        <v>17</v>
      </c>
      <c r="T6" s="7" t="s">
        <v>12</v>
      </c>
    </row>
    <row r="7" spans="1:20" s="5" customFormat="1" ht="24.95" customHeight="1" x14ac:dyDescent="0.3">
      <c r="A7" s="9" t="s">
        <v>9</v>
      </c>
      <c r="B7" s="8">
        <f>SUM(P2:P1064)</f>
        <v>384</v>
      </c>
      <c r="D7" s="6">
        <f t="shared" si="0"/>
        <v>6</v>
      </c>
      <c r="E7" s="7" t="s">
        <v>26</v>
      </c>
      <c r="F7" s="7" t="s">
        <v>31</v>
      </c>
      <c r="G7" s="7" t="s">
        <v>32</v>
      </c>
      <c r="H7" s="6"/>
      <c r="I7" s="6"/>
      <c r="J7" s="6"/>
      <c r="K7" s="6"/>
      <c r="L7" s="6"/>
      <c r="M7" s="6"/>
      <c r="N7" s="6"/>
      <c r="O7" s="6"/>
      <c r="P7" s="6">
        <v>1</v>
      </c>
      <c r="Q7" s="8" t="s">
        <v>16</v>
      </c>
      <c r="R7" s="7">
        <v>43762</v>
      </c>
      <c r="S7" s="7" t="s">
        <v>17</v>
      </c>
      <c r="T7" s="7" t="s">
        <v>12</v>
      </c>
    </row>
    <row r="8" spans="1:20" s="5" customFormat="1" ht="24.95" customHeight="1" x14ac:dyDescent="0.3">
      <c r="D8" s="6">
        <f t="shared" si="0"/>
        <v>7</v>
      </c>
      <c r="E8" s="7" t="s">
        <v>26</v>
      </c>
      <c r="F8" s="7" t="s">
        <v>33</v>
      </c>
      <c r="G8" s="7" t="s">
        <v>34</v>
      </c>
      <c r="H8" s="6"/>
      <c r="I8" s="6"/>
      <c r="J8" s="6"/>
      <c r="K8" s="6"/>
      <c r="L8" s="6"/>
      <c r="M8" s="6"/>
      <c r="N8" s="6"/>
      <c r="O8" s="6"/>
      <c r="P8" s="6">
        <v>1</v>
      </c>
      <c r="Q8" s="8" t="s">
        <v>16</v>
      </c>
      <c r="R8" s="7">
        <v>43762</v>
      </c>
      <c r="S8" s="7" t="s">
        <v>17</v>
      </c>
      <c r="T8" s="7" t="s">
        <v>12</v>
      </c>
    </row>
    <row r="9" spans="1:20" s="5" customFormat="1" ht="24.95" customHeight="1" x14ac:dyDescent="0.3">
      <c r="D9" s="6">
        <f t="shared" si="0"/>
        <v>8</v>
      </c>
      <c r="E9" s="7" t="s">
        <v>26</v>
      </c>
      <c r="F9" s="7" t="s">
        <v>35</v>
      </c>
      <c r="G9" s="7" t="s">
        <v>36</v>
      </c>
      <c r="H9" s="6"/>
      <c r="I9" s="6"/>
      <c r="J9" s="6"/>
      <c r="K9" s="6"/>
      <c r="L9" s="6"/>
      <c r="M9" s="6"/>
      <c r="N9" s="6"/>
      <c r="O9" s="6"/>
      <c r="P9" s="6">
        <v>1</v>
      </c>
      <c r="Q9" s="8" t="s">
        <v>16</v>
      </c>
      <c r="R9" s="7">
        <v>43762</v>
      </c>
      <c r="S9" s="7" t="s">
        <v>17</v>
      </c>
      <c r="T9" s="7" t="s">
        <v>12</v>
      </c>
    </row>
    <row r="10" spans="1:20" s="5" customFormat="1" ht="24.95" customHeight="1" x14ac:dyDescent="0.3">
      <c r="D10" s="6">
        <f t="shared" si="0"/>
        <v>9</v>
      </c>
      <c r="E10" s="7" t="s">
        <v>26</v>
      </c>
      <c r="F10" s="7" t="s">
        <v>37</v>
      </c>
      <c r="G10" s="7" t="s">
        <v>38</v>
      </c>
      <c r="H10" s="6"/>
      <c r="I10" s="6"/>
      <c r="J10" s="6"/>
      <c r="K10" s="6"/>
      <c r="L10" s="6"/>
      <c r="M10" s="6"/>
      <c r="N10" s="6"/>
      <c r="O10" s="6"/>
      <c r="P10" s="6">
        <v>1</v>
      </c>
      <c r="Q10" s="8" t="s">
        <v>16</v>
      </c>
      <c r="R10" s="7">
        <v>43762</v>
      </c>
      <c r="S10" s="7" t="s">
        <v>17</v>
      </c>
      <c r="T10" s="7" t="s">
        <v>12</v>
      </c>
    </row>
    <row r="11" spans="1:20" s="5" customFormat="1" ht="24.95" customHeight="1" x14ac:dyDescent="0.3">
      <c r="D11" s="6">
        <f t="shared" si="0"/>
        <v>10</v>
      </c>
      <c r="E11" s="7" t="s">
        <v>26</v>
      </c>
      <c r="F11" s="7" t="s">
        <v>39</v>
      </c>
      <c r="G11" s="7" t="s">
        <v>40</v>
      </c>
      <c r="H11" s="6"/>
      <c r="I11" s="6"/>
      <c r="J11" s="6"/>
      <c r="K11" s="6"/>
      <c r="L11" s="6"/>
      <c r="M11" s="6"/>
      <c r="N11" s="6"/>
      <c r="O11" s="6"/>
      <c r="P11" s="6">
        <v>1</v>
      </c>
      <c r="Q11" s="8" t="s">
        <v>16</v>
      </c>
      <c r="R11" s="7">
        <v>43762</v>
      </c>
      <c r="S11" s="7" t="s">
        <v>17</v>
      </c>
      <c r="T11" s="7" t="s">
        <v>12</v>
      </c>
    </row>
    <row r="12" spans="1:20" s="5" customFormat="1" ht="24.95" customHeight="1" x14ac:dyDescent="0.3">
      <c r="D12" s="6">
        <f t="shared" si="0"/>
        <v>11</v>
      </c>
      <c r="E12" s="7" t="s">
        <v>26</v>
      </c>
      <c r="F12" s="7" t="s">
        <v>41</v>
      </c>
      <c r="G12" s="7" t="s">
        <v>42</v>
      </c>
      <c r="H12" s="6"/>
      <c r="I12" s="6"/>
      <c r="J12" s="6"/>
      <c r="K12" s="6"/>
      <c r="L12" s="6"/>
      <c r="M12" s="6"/>
      <c r="N12" s="6"/>
      <c r="O12" s="6"/>
      <c r="P12" s="6">
        <v>1</v>
      </c>
      <c r="Q12" s="8" t="s">
        <v>16</v>
      </c>
      <c r="R12" s="7">
        <v>43762</v>
      </c>
      <c r="S12" s="7" t="s">
        <v>17</v>
      </c>
      <c r="T12" s="7" t="s">
        <v>12</v>
      </c>
    </row>
    <row r="13" spans="1:20" s="5" customFormat="1" ht="24.95" customHeight="1" x14ac:dyDescent="0.3">
      <c r="D13" s="6">
        <f t="shared" si="0"/>
        <v>12</v>
      </c>
      <c r="E13" s="7" t="s">
        <v>26</v>
      </c>
      <c r="F13" s="7" t="s">
        <v>43</v>
      </c>
      <c r="G13" s="7" t="s">
        <v>44</v>
      </c>
      <c r="H13" s="6"/>
      <c r="I13" s="6"/>
      <c r="J13" s="6"/>
      <c r="K13" s="6"/>
      <c r="L13" s="6"/>
      <c r="M13" s="6"/>
      <c r="N13" s="6"/>
      <c r="O13" s="6"/>
      <c r="P13" s="6">
        <v>1</v>
      </c>
      <c r="Q13" s="8" t="s">
        <v>16</v>
      </c>
      <c r="R13" s="7">
        <v>43762</v>
      </c>
      <c r="S13" s="7" t="s">
        <v>17</v>
      </c>
      <c r="T13" s="7" t="s">
        <v>12</v>
      </c>
    </row>
    <row r="14" spans="1:20" s="5" customFormat="1" ht="24.95" customHeight="1" x14ac:dyDescent="0.3">
      <c r="D14" s="6">
        <f t="shared" si="0"/>
        <v>13</v>
      </c>
      <c r="E14" s="7" t="s">
        <v>45</v>
      </c>
      <c r="F14" s="7" t="s">
        <v>46</v>
      </c>
      <c r="G14" s="7" t="s">
        <v>47</v>
      </c>
      <c r="H14" s="6"/>
      <c r="I14" s="6"/>
      <c r="J14" s="6"/>
      <c r="K14" s="6"/>
      <c r="L14" s="6">
        <v>1</v>
      </c>
      <c r="M14" s="8" t="s">
        <v>48</v>
      </c>
      <c r="N14" s="6"/>
      <c r="O14" s="6"/>
      <c r="P14" s="6"/>
      <c r="Q14" s="6"/>
      <c r="R14" s="7">
        <v>43782</v>
      </c>
      <c r="S14" s="7" t="s">
        <v>17</v>
      </c>
      <c r="T14" s="7" t="s">
        <v>12</v>
      </c>
    </row>
    <row r="15" spans="1:20" s="5" customFormat="1" ht="24.95" customHeight="1" x14ac:dyDescent="0.3">
      <c r="D15" s="6">
        <f t="shared" si="0"/>
        <v>14</v>
      </c>
      <c r="E15" s="7" t="s">
        <v>45</v>
      </c>
      <c r="F15" s="7" t="s">
        <v>49</v>
      </c>
      <c r="G15" s="7" t="s">
        <v>50</v>
      </c>
      <c r="H15" s="6">
        <v>1</v>
      </c>
      <c r="I15" s="8" t="s">
        <v>21</v>
      </c>
      <c r="J15" s="6"/>
      <c r="K15" s="6"/>
      <c r="L15" s="6"/>
      <c r="M15" s="6"/>
      <c r="N15" s="6"/>
      <c r="O15" s="6"/>
      <c r="P15" s="6"/>
      <c r="Q15" s="6"/>
      <c r="R15" s="7">
        <v>43782</v>
      </c>
      <c r="S15" s="7" t="s">
        <v>17</v>
      </c>
      <c r="T15" s="7" t="s">
        <v>12</v>
      </c>
    </row>
    <row r="16" spans="1:20" s="5" customFormat="1" ht="24.95" customHeight="1" x14ac:dyDescent="0.3">
      <c r="D16" s="6">
        <f t="shared" si="0"/>
        <v>15</v>
      </c>
      <c r="E16" s="7" t="s">
        <v>51</v>
      </c>
      <c r="F16" s="7" t="s">
        <v>52</v>
      </c>
      <c r="G16" s="7" t="s">
        <v>53</v>
      </c>
      <c r="H16" s="6"/>
      <c r="I16" s="6"/>
      <c r="J16" s="6"/>
      <c r="K16" s="6"/>
      <c r="L16" s="6"/>
      <c r="M16" s="6"/>
      <c r="N16" s="6">
        <v>1</v>
      </c>
      <c r="O16" s="8" t="s">
        <v>54</v>
      </c>
      <c r="P16" s="6"/>
      <c r="Q16" s="6"/>
      <c r="R16" s="7">
        <v>43887</v>
      </c>
      <c r="S16" s="7" t="s">
        <v>17</v>
      </c>
      <c r="T16" s="7" t="s">
        <v>12</v>
      </c>
    </row>
    <row r="17" spans="1:20" s="5" customFormat="1" ht="24.95" customHeight="1" x14ac:dyDescent="0.3">
      <c r="D17" s="6">
        <f t="shared" si="0"/>
        <v>16</v>
      </c>
      <c r="E17" s="7" t="s">
        <v>55</v>
      </c>
      <c r="F17" s="7" t="s">
        <v>56</v>
      </c>
      <c r="G17" s="7" t="s">
        <v>57</v>
      </c>
      <c r="H17" s="6"/>
      <c r="I17" s="6"/>
      <c r="J17" s="6"/>
      <c r="K17" s="6"/>
      <c r="L17" s="6"/>
      <c r="M17" s="6"/>
      <c r="N17" s="6"/>
      <c r="O17" s="6"/>
      <c r="P17" s="6">
        <v>1</v>
      </c>
      <c r="Q17" s="8" t="s">
        <v>58</v>
      </c>
      <c r="R17" s="7">
        <v>43936</v>
      </c>
      <c r="S17" s="7" t="s">
        <v>17</v>
      </c>
      <c r="T17" s="7" t="s">
        <v>12</v>
      </c>
    </row>
    <row r="18" spans="1:20" s="5" customFormat="1" ht="24.95" customHeight="1" x14ac:dyDescent="0.3">
      <c r="D18" s="6">
        <f t="shared" si="0"/>
        <v>17</v>
      </c>
      <c r="E18" s="7" t="s">
        <v>55</v>
      </c>
      <c r="F18" s="7" t="s">
        <v>59</v>
      </c>
      <c r="G18" s="7" t="s">
        <v>60</v>
      </c>
      <c r="H18" s="6"/>
      <c r="I18" s="6"/>
      <c r="J18" s="6"/>
      <c r="K18" s="6"/>
      <c r="L18" s="6"/>
      <c r="M18" s="6"/>
      <c r="N18" s="6"/>
      <c r="O18" s="6"/>
      <c r="P18" s="6">
        <v>1</v>
      </c>
      <c r="Q18" s="8" t="s">
        <v>58</v>
      </c>
      <c r="R18" s="7">
        <v>43936</v>
      </c>
      <c r="S18" s="7" t="s">
        <v>17</v>
      </c>
      <c r="T18" s="7" t="s">
        <v>12</v>
      </c>
    </row>
    <row r="19" spans="1:20" s="5" customFormat="1" ht="24.95" customHeight="1" x14ac:dyDescent="0.3">
      <c r="D19" s="6">
        <f t="shared" si="0"/>
        <v>18</v>
      </c>
      <c r="E19" s="7" t="s">
        <v>61</v>
      </c>
      <c r="F19" s="7" t="s">
        <v>62</v>
      </c>
      <c r="G19" s="7" t="s">
        <v>63</v>
      </c>
      <c r="H19" s="6"/>
      <c r="I19" s="6"/>
      <c r="J19" s="6"/>
      <c r="K19" s="6"/>
      <c r="L19" s="6">
        <v>1</v>
      </c>
      <c r="M19" s="8" t="s">
        <v>64</v>
      </c>
      <c r="N19" s="6"/>
      <c r="O19" s="6"/>
      <c r="P19" s="6"/>
      <c r="Q19" s="6"/>
      <c r="R19" s="7">
        <v>43977</v>
      </c>
      <c r="S19" s="7" t="s">
        <v>17</v>
      </c>
      <c r="T19" s="7" t="s">
        <v>12</v>
      </c>
    </row>
    <row r="20" spans="1:20" s="5" customFormat="1" ht="24.95" customHeight="1" x14ac:dyDescent="0.3">
      <c r="D20" s="6">
        <f t="shared" si="0"/>
        <v>19</v>
      </c>
      <c r="E20" s="7" t="s">
        <v>65</v>
      </c>
      <c r="F20" s="7" t="s">
        <v>66</v>
      </c>
      <c r="G20" s="7" t="s">
        <v>67</v>
      </c>
      <c r="H20" s="6"/>
      <c r="I20" s="6"/>
      <c r="J20" s="6"/>
      <c r="K20" s="6"/>
      <c r="L20" s="6"/>
      <c r="M20" s="6"/>
      <c r="N20" s="6"/>
      <c r="O20" s="6"/>
      <c r="P20" s="6">
        <v>1</v>
      </c>
      <c r="Q20" s="8" t="s">
        <v>16</v>
      </c>
      <c r="R20" s="7">
        <v>43977</v>
      </c>
      <c r="S20" s="7" t="s">
        <v>17</v>
      </c>
      <c r="T20" s="7" t="s">
        <v>12</v>
      </c>
    </row>
    <row r="21" spans="1:20" s="5" customFormat="1" ht="24.95" customHeight="1" x14ac:dyDescent="0.3">
      <c r="D21" s="6">
        <f t="shared" si="0"/>
        <v>20</v>
      </c>
      <c r="E21" s="7" t="s">
        <v>65</v>
      </c>
      <c r="F21" s="7" t="s">
        <v>68</v>
      </c>
      <c r="G21" s="7" t="s">
        <v>69</v>
      </c>
      <c r="H21" s="6"/>
      <c r="I21" s="6"/>
      <c r="J21" s="6"/>
      <c r="K21" s="6"/>
      <c r="L21" s="6"/>
      <c r="M21" s="6"/>
      <c r="N21" s="6"/>
      <c r="O21" s="6"/>
      <c r="P21" s="6">
        <v>1</v>
      </c>
      <c r="Q21" s="8" t="s">
        <v>16</v>
      </c>
      <c r="R21" s="7">
        <v>43977</v>
      </c>
      <c r="S21" s="7" t="s">
        <v>17</v>
      </c>
      <c r="T21" s="7" t="s">
        <v>12</v>
      </c>
    </row>
    <row r="22" spans="1:20" s="5" customFormat="1" ht="24.95" customHeight="1" x14ac:dyDescent="0.3">
      <c r="D22" s="6">
        <f t="shared" si="0"/>
        <v>21</v>
      </c>
      <c r="E22" s="7" t="s">
        <v>65</v>
      </c>
      <c r="F22" s="7" t="s">
        <v>70</v>
      </c>
      <c r="G22" s="7" t="s">
        <v>71</v>
      </c>
      <c r="H22" s="6"/>
      <c r="I22" s="6"/>
      <c r="J22" s="6"/>
      <c r="K22" s="6"/>
      <c r="L22" s="6"/>
      <c r="M22" s="6"/>
      <c r="N22" s="6"/>
      <c r="O22" s="6"/>
      <c r="P22" s="6">
        <v>1</v>
      </c>
      <c r="Q22" s="8" t="s">
        <v>58</v>
      </c>
      <c r="R22" s="7">
        <v>43977</v>
      </c>
      <c r="S22" s="7" t="s">
        <v>17</v>
      </c>
      <c r="T22" s="7" t="s">
        <v>12</v>
      </c>
    </row>
    <row r="23" spans="1:20" s="5" customFormat="1" ht="24.95" customHeight="1" x14ac:dyDescent="0.3">
      <c r="D23" s="6">
        <f t="shared" si="0"/>
        <v>22</v>
      </c>
      <c r="E23" s="7" t="s">
        <v>72</v>
      </c>
      <c r="F23" s="7" t="s">
        <v>73</v>
      </c>
      <c r="G23" s="7" t="s">
        <v>74</v>
      </c>
      <c r="H23" s="6">
        <v>1</v>
      </c>
      <c r="I23" s="8" t="s">
        <v>21</v>
      </c>
      <c r="J23" s="6"/>
      <c r="K23" s="6"/>
      <c r="L23" s="6"/>
      <c r="M23" s="6"/>
      <c r="N23" s="6"/>
      <c r="O23" s="6"/>
      <c r="P23" s="6"/>
      <c r="Q23" s="6"/>
      <c r="R23" s="7">
        <v>43991</v>
      </c>
      <c r="S23" s="7" t="s">
        <v>17</v>
      </c>
      <c r="T23" s="7" t="s">
        <v>12</v>
      </c>
    </row>
    <row r="24" spans="1:20" s="5" customFormat="1" ht="24.95" customHeight="1" x14ac:dyDescent="0.3">
      <c r="D24" s="6">
        <f t="shared" si="0"/>
        <v>23</v>
      </c>
      <c r="E24" s="7" t="s">
        <v>72</v>
      </c>
      <c r="F24" s="7" t="s">
        <v>75</v>
      </c>
      <c r="G24" s="7" t="s">
        <v>76</v>
      </c>
      <c r="H24" s="6"/>
      <c r="I24" s="6"/>
      <c r="J24" s="6"/>
      <c r="K24" s="6"/>
      <c r="L24" s="6"/>
      <c r="M24" s="6"/>
      <c r="N24" s="6">
        <v>1</v>
      </c>
      <c r="O24" s="8" t="s">
        <v>77</v>
      </c>
      <c r="P24" s="6"/>
      <c r="Q24" s="6"/>
      <c r="R24" s="7">
        <v>43991</v>
      </c>
      <c r="S24" s="7" t="s">
        <v>17</v>
      </c>
      <c r="T24" s="7" t="s">
        <v>12</v>
      </c>
    </row>
    <row r="25" spans="1:20" s="5" customFormat="1" ht="24.95" customHeight="1" x14ac:dyDescent="0.3">
      <c r="D25" s="6">
        <f t="shared" si="0"/>
        <v>24</v>
      </c>
      <c r="E25" s="7" t="s">
        <v>72</v>
      </c>
      <c r="F25" s="7" t="s">
        <v>78</v>
      </c>
      <c r="G25" s="7" t="s">
        <v>79</v>
      </c>
      <c r="H25" s="6"/>
      <c r="I25" s="6"/>
      <c r="J25" s="6">
        <v>1</v>
      </c>
      <c r="K25" s="8" t="s">
        <v>80</v>
      </c>
      <c r="L25" s="6"/>
      <c r="M25" s="6"/>
      <c r="N25" s="6"/>
      <c r="O25" s="6"/>
      <c r="P25" s="6"/>
      <c r="Q25" s="6"/>
      <c r="R25" s="7">
        <v>43991</v>
      </c>
      <c r="S25" s="7" t="s">
        <v>17</v>
      </c>
      <c r="T25" s="7" t="s">
        <v>12</v>
      </c>
    </row>
    <row r="26" spans="1:20" s="5" customFormat="1" ht="24.95" customHeight="1" x14ac:dyDescent="0.3">
      <c r="D26" s="6">
        <f t="shared" si="0"/>
        <v>25</v>
      </c>
      <c r="E26" s="7" t="s">
        <v>72</v>
      </c>
      <c r="F26" s="7" t="s">
        <v>81</v>
      </c>
      <c r="G26" s="7" t="s">
        <v>82</v>
      </c>
      <c r="H26" s="6"/>
      <c r="I26" s="6"/>
      <c r="J26" s="6"/>
      <c r="K26" s="6"/>
      <c r="L26" s="6"/>
      <c r="M26" s="6"/>
      <c r="N26" s="6">
        <v>1</v>
      </c>
      <c r="O26" s="8" t="s">
        <v>77</v>
      </c>
      <c r="P26" s="6"/>
      <c r="Q26" s="6"/>
      <c r="R26" s="7">
        <v>43991</v>
      </c>
      <c r="S26" s="7" t="s">
        <v>17</v>
      </c>
      <c r="T26" s="7" t="s">
        <v>12</v>
      </c>
    </row>
    <row r="27" spans="1:20" s="5" customFormat="1" ht="24.95" customHeight="1" x14ac:dyDescent="0.3">
      <c r="D27" s="6">
        <f t="shared" si="0"/>
        <v>26</v>
      </c>
      <c r="E27" s="7" t="s">
        <v>72</v>
      </c>
      <c r="F27" s="7" t="s">
        <v>83</v>
      </c>
      <c r="G27" s="7" t="s">
        <v>84</v>
      </c>
      <c r="H27" s="6"/>
      <c r="I27" s="6"/>
      <c r="J27" s="6"/>
      <c r="K27" s="6"/>
      <c r="L27" s="6"/>
      <c r="M27" s="6"/>
      <c r="N27" s="6">
        <v>1</v>
      </c>
      <c r="O27" s="8" t="s">
        <v>77</v>
      </c>
      <c r="P27" s="6"/>
      <c r="Q27" s="6"/>
      <c r="R27" s="7">
        <v>43991</v>
      </c>
      <c r="S27" s="7" t="s">
        <v>17</v>
      </c>
      <c r="T27" s="7" t="s">
        <v>12</v>
      </c>
    </row>
    <row r="28" spans="1:20" s="5" customFormat="1" ht="24.95" customHeight="1" x14ac:dyDescent="0.3">
      <c r="A28" s="10"/>
      <c r="B28" s="10"/>
      <c r="D28" s="6">
        <f t="shared" si="0"/>
        <v>27</v>
      </c>
      <c r="E28" s="7" t="s">
        <v>72</v>
      </c>
      <c r="F28" s="7" t="s">
        <v>85</v>
      </c>
      <c r="G28" s="7" t="s">
        <v>86</v>
      </c>
      <c r="H28" s="6"/>
      <c r="I28" s="6"/>
      <c r="J28" s="6"/>
      <c r="K28" s="6"/>
      <c r="L28" s="6"/>
      <c r="M28" s="6"/>
      <c r="N28" s="6"/>
      <c r="O28" s="6"/>
      <c r="P28" s="6">
        <v>1</v>
      </c>
      <c r="Q28" s="8" t="s">
        <v>16</v>
      </c>
      <c r="R28" s="7">
        <v>43991</v>
      </c>
      <c r="S28" s="7" t="s">
        <v>17</v>
      </c>
      <c r="T28" s="7" t="s">
        <v>12</v>
      </c>
    </row>
    <row r="29" spans="1:20" s="5" customFormat="1" ht="24.95" customHeight="1" x14ac:dyDescent="0.3">
      <c r="A29" s="10"/>
      <c r="B29" s="10"/>
      <c r="D29" s="6">
        <f t="shared" si="0"/>
        <v>28</v>
      </c>
      <c r="E29" s="7" t="s">
        <v>61</v>
      </c>
      <c r="F29" s="7" t="s">
        <v>87</v>
      </c>
      <c r="G29" s="7" t="s">
        <v>88</v>
      </c>
      <c r="H29" s="6"/>
      <c r="I29" s="6"/>
      <c r="J29" s="6"/>
      <c r="K29" s="6"/>
      <c r="L29" s="6"/>
      <c r="M29" s="6"/>
      <c r="N29" s="6">
        <v>1</v>
      </c>
      <c r="O29" s="8" t="s">
        <v>77</v>
      </c>
      <c r="P29" s="6"/>
      <c r="Q29" s="6"/>
      <c r="R29" s="7">
        <v>44022</v>
      </c>
      <c r="S29" s="7" t="s">
        <v>17</v>
      </c>
      <c r="T29" s="7" t="s">
        <v>12</v>
      </c>
    </row>
    <row r="30" spans="1:20" s="5" customFormat="1" ht="24.95" customHeight="1" x14ac:dyDescent="0.3">
      <c r="A30" s="10"/>
      <c r="B30" s="10"/>
      <c r="D30" s="6">
        <f t="shared" si="0"/>
        <v>29</v>
      </c>
      <c r="E30" s="7" t="s">
        <v>89</v>
      </c>
      <c r="F30" s="7" t="s">
        <v>90</v>
      </c>
      <c r="G30" s="7" t="s">
        <v>91</v>
      </c>
      <c r="H30" s="6"/>
      <c r="I30" s="6"/>
      <c r="J30" s="6"/>
      <c r="K30" s="6"/>
      <c r="L30" s="6">
        <v>1</v>
      </c>
      <c r="M30" s="8" t="s">
        <v>92</v>
      </c>
      <c r="N30" s="6"/>
      <c r="O30" s="6"/>
      <c r="P30" s="6"/>
      <c r="Q30" s="6"/>
      <c r="R30" s="7">
        <v>44041</v>
      </c>
      <c r="S30" s="7" t="s">
        <v>17</v>
      </c>
      <c r="T30" s="7" t="s">
        <v>12</v>
      </c>
    </row>
    <row r="31" spans="1:20" s="5" customFormat="1" ht="24.95" customHeight="1" x14ac:dyDescent="0.3">
      <c r="A31" s="10"/>
      <c r="B31" s="10"/>
      <c r="D31" s="6">
        <f t="shared" si="0"/>
        <v>30</v>
      </c>
      <c r="E31" s="7" t="s">
        <v>13</v>
      </c>
      <c r="F31" s="7" t="s">
        <v>93</v>
      </c>
      <c r="G31" s="7" t="s">
        <v>94</v>
      </c>
      <c r="H31" s="6"/>
      <c r="I31" s="6"/>
      <c r="J31" s="6"/>
      <c r="K31" s="6"/>
      <c r="L31" s="6"/>
      <c r="M31" s="6"/>
      <c r="N31" s="6"/>
      <c r="O31" s="6"/>
      <c r="P31" s="6">
        <v>1</v>
      </c>
      <c r="Q31" s="8" t="s">
        <v>16</v>
      </c>
      <c r="R31" s="7">
        <v>44043</v>
      </c>
      <c r="S31" s="7" t="s">
        <v>17</v>
      </c>
      <c r="T31" s="7" t="s">
        <v>12</v>
      </c>
    </row>
    <row r="32" spans="1:20" s="5" customFormat="1" ht="24.95" customHeight="1" x14ac:dyDescent="0.3">
      <c r="A32" s="10"/>
      <c r="B32" s="10"/>
      <c r="D32" s="6">
        <f t="shared" si="0"/>
        <v>31</v>
      </c>
      <c r="E32" s="7" t="s">
        <v>72</v>
      </c>
      <c r="F32" s="7" t="s">
        <v>95</v>
      </c>
      <c r="G32" s="7" t="s">
        <v>96</v>
      </c>
      <c r="H32" s="6"/>
      <c r="I32" s="6"/>
      <c r="J32" s="6"/>
      <c r="K32" s="6"/>
      <c r="L32" s="6"/>
      <c r="M32" s="6"/>
      <c r="N32" s="6"/>
      <c r="O32" s="6"/>
      <c r="P32" s="6">
        <v>1</v>
      </c>
      <c r="Q32" s="8" t="s">
        <v>16</v>
      </c>
      <c r="R32" s="7">
        <v>44099</v>
      </c>
      <c r="S32" s="7" t="s">
        <v>17</v>
      </c>
      <c r="T32" s="7" t="s">
        <v>12</v>
      </c>
    </row>
    <row r="33" spans="1:20" s="5" customFormat="1" ht="24.95" customHeight="1" x14ac:dyDescent="0.3">
      <c r="A33" s="10"/>
      <c r="B33" s="10"/>
      <c r="D33" s="6">
        <f t="shared" si="0"/>
        <v>32</v>
      </c>
      <c r="E33" s="7" t="s">
        <v>72</v>
      </c>
      <c r="F33" s="7" t="s">
        <v>97</v>
      </c>
      <c r="G33" s="7" t="s">
        <v>98</v>
      </c>
      <c r="H33" s="6"/>
      <c r="I33" s="6"/>
      <c r="J33" s="6"/>
      <c r="K33" s="6"/>
      <c r="L33" s="6"/>
      <c r="M33" s="6"/>
      <c r="N33" s="6"/>
      <c r="O33" s="6"/>
      <c r="P33" s="6">
        <v>1</v>
      </c>
      <c r="Q33" s="8" t="s">
        <v>16</v>
      </c>
      <c r="R33" s="7">
        <v>44099</v>
      </c>
      <c r="S33" s="7" t="s">
        <v>17</v>
      </c>
      <c r="T33" s="7" t="s">
        <v>12</v>
      </c>
    </row>
    <row r="34" spans="1:20" s="5" customFormat="1" ht="24.95" customHeight="1" x14ac:dyDescent="0.3">
      <c r="A34" s="10"/>
      <c r="B34" s="10"/>
      <c r="D34" s="6">
        <f t="shared" si="0"/>
        <v>33</v>
      </c>
      <c r="E34" s="7" t="s">
        <v>72</v>
      </c>
      <c r="F34" s="7" t="s">
        <v>99</v>
      </c>
      <c r="G34" s="7" t="s">
        <v>100</v>
      </c>
      <c r="H34" s="6"/>
      <c r="I34" s="6"/>
      <c r="J34" s="6"/>
      <c r="K34" s="6"/>
      <c r="L34" s="6"/>
      <c r="M34" s="6"/>
      <c r="N34" s="6"/>
      <c r="O34" s="6"/>
      <c r="P34" s="6">
        <v>1</v>
      </c>
      <c r="Q34" s="8" t="s">
        <v>16</v>
      </c>
      <c r="R34" s="7">
        <v>44099</v>
      </c>
      <c r="S34" s="7" t="s">
        <v>17</v>
      </c>
      <c r="T34" s="7" t="s">
        <v>12</v>
      </c>
    </row>
    <row r="35" spans="1:20" s="5" customFormat="1" ht="24.95" customHeight="1" x14ac:dyDescent="0.3">
      <c r="A35" s="10"/>
      <c r="B35" s="10"/>
      <c r="D35" s="6">
        <f t="shared" si="0"/>
        <v>34</v>
      </c>
      <c r="E35" s="7" t="s">
        <v>101</v>
      </c>
      <c r="F35" s="7" t="s">
        <v>102</v>
      </c>
      <c r="G35" s="7" t="s">
        <v>103</v>
      </c>
      <c r="H35" s="6"/>
      <c r="I35" s="6"/>
      <c r="J35" s="6"/>
      <c r="K35" s="6"/>
      <c r="L35" s="6"/>
      <c r="M35" s="6"/>
      <c r="N35" s="6">
        <v>1</v>
      </c>
      <c r="O35" s="8" t="s">
        <v>77</v>
      </c>
      <c r="P35" s="6"/>
      <c r="Q35" s="6"/>
      <c r="R35" s="7">
        <v>44104</v>
      </c>
      <c r="S35" s="7" t="s">
        <v>17</v>
      </c>
      <c r="T35" s="7" t="s">
        <v>12</v>
      </c>
    </row>
    <row r="36" spans="1:20" s="5" customFormat="1" ht="24.95" customHeight="1" x14ac:dyDescent="0.3">
      <c r="A36" s="10"/>
      <c r="B36" s="10"/>
      <c r="D36" s="6">
        <f t="shared" si="0"/>
        <v>35</v>
      </c>
      <c r="E36" s="7" t="s">
        <v>101</v>
      </c>
      <c r="F36" s="7" t="s">
        <v>104</v>
      </c>
      <c r="G36" s="7" t="s">
        <v>105</v>
      </c>
      <c r="H36" s="6"/>
      <c r="I36" s="6"/>
      <c r="J36" s="6"/>
      <c r="K36" s="6"/>
      <c r="L36" s="6"/>
      <c r="M36" s="6"/>
      <c r="N36" s="6">
        <v>1</v>
      </c>
      <c r="O36" s="8" t="s">
        <v>77</v>
      </c>
      <c r="P36" s="6"/>
      <c r="Q36" s="6"/>
      <c r="R36" s="7">
        <v>44104</v>
      </c>
      <c r="S36" s="7" t="s">
        <v>17</v>
      </c>
      <c r="T36" s="7" t="s">
        <v>12</v>
      </c>
    </row>
    <row r="37" spans="1:20" s="5" customFormat="1" ht="24.95" customHeight="1" x14ac:dyDescent="0.3">
      <c r="A37" s="10"/>
      <c r="B37" s="10"/>
      <c r="D37" s="6">
        <f t="shared" si="0"/>
        <v>36</v>
      </c>
      <c r="E37" s="7" t="s">
        <v>101</v>
      </c>
      <c r="F37" s="7" t="s">
        <v>106</v>
      </c>
      <c r="G37" s="7" t="s">
        <v>107</v>
      </c>
      <c r="H37" s="6"/>
      <c r="I37" s="6"/>
      <c r="J37" s="6"/>
      <c r="K37" s="6"/>
      <c r="L37" s="6"/>
      <c r="M37" s="6"/>
      <c r="N37" s="6">
        <v>1</v>
      </c>
      <c r="O37" s="8" t="s">
        <v>108</v>
      </c>
      <c r="P37" s="6"/>
      <c r="Q37" s="6"/>
      <c r="R37" s="7">
        <v>44104</v>
      </c>
      <c r="S37" s="7" t="s">
        <v>17</v>
      </c>
      <c r="T37" s="7" t="s">
        <v>12</v>
      </c>
    </row>
    <row r="38" spans="1:20" s="5" customFormat="1" ht="24.95" customHeight="1" x14ac:dyDescent="0.3">
      <c r="A38" s="10"/>
      <c r="B38" s="10"/>
      <c r="D38" s="6">
        <f t="shared" si="0"/>
        <v>37</v>
      </c>
      <c r="E38" s="7" t="s">
        <v>51</v>
      </c>
      <c r="F38" s="7" t="s">
        <v>109</v>
      </c>
      <c r="G38" s="7" t="s">
        <v>110</v>
      </c>
      <c r="H38" s="6"/>
      <c r="I38" s="6"/>
      <c r="J38" s="6"/>
      <c r="K38" s="6"/>
      <c r="L38" s="6">
        <v>1</v>
      </c>
      <c r="M38" s="8" t="s">
        <v>48</v>
      </c>
      <c r="N38" s="6"/>
      <c r="O38" s="6"/>
      <c r="P38" s="6"/>
      <c r="Q38" s="6"/>
      <c r="R38" s="7">
        <v>44104</v>
      </c>
      <c r="S38" s="7" t="s">
        <v>17</v>
      </c>
      <c r="T38" s="7" t="s">
        <v>12</v>
      </c>
    </row>
    <row r="39" spans="1:20" s="5" customFormat="1" ht="24.95" customHeight="1" x14ac:dyDescent="0.3">
      <c r="A39" s="10"/>
      <c r="B39" s="10"/>
      <c r="D39" s="6">
        <f t="shared" si="0"/>
        <v>38</v>
      </c>
      <c r="E39" s="7" t="s">
        <v>111</v>
      </c>
      <c r="F39" s="7" t="s">
        <v>112</v>
      </c>
      <c r="G39" s="7" t="s">
        <v>113</v>
      </c>
      <c r="H39" s="6"/>
      <c r="I39" s="6"/>
      <c r="J39" s="6"/>
      <c r="K39" s="6"/>
      <c r="L39" s="6"/>
      <c r="M39" s="6"/>
      <c r="N39" s="6"/>
      <c r="O39" s="6"/>
      <c r="P39" s="6">
        <v>1</v>
      </c>
      <c r="Q39" s="8" t="s">
        <v>16</v>
      </c>
      <c r="R39" s="7">
        <v>44113</v>
      </c>
      <c r="S39" s="7" t="s">
        <v>17</v>
      </c>
      <c r="T39" s="7" t="s">
        <v>12</v>
      </c>
    </row>
    <row r="40" spans="1:20" s="5" customFormat="1" ht="24.95" customHeight="1" x14ac:dyDescent="0.3">
      <c r="A40" s="10"/>
      <c r="B40" s="10"/>
      <c r="D40" s="6">
        <f t="shared" si="0"/>
        <v>39</v>
      </c>
      <c r="E40" s="7" t="s">
        <v>111</v>
      </c>
      <c r="F40" s="7" t="s">
        <v>114</v>
      </c>
      <c r="G40" s="7" t="s">
        <v>115</v>
      </c>
      <c r="H40" s="6"/>
      <c r="I40" s="6"/>
      <c r="J40" s="6"/>
      <c r="K40" s="6"/>
      <c r="L40" s="6">
        <v>1</v>
      </c>
      <c r="M40" s="8" t="s">
        <v>92</v>
      </c>
      <c r="N40" s="6"/>
      <c r="O40" s="6"/>
      <c r="P40" s="6"/>
      <c r="Q40" s="6"/>
      <c r="R40" s="7">
        <v>44113</v>
      </c>
      <c r="S40" s="7" t="s">
        <v>17</v>
      </c>
      <c r="T40" s="7" t="s">
        <v>12</v>
      </c>
    </row>
    <row r="41" spans="1:20" s="5" customFormat="1" ht="24.95" customHeight="1" x14ac:dyDescent="0.3">
      <c r="A41" s="10"/>
      <c r="B41" s="10"/>
      <c r="D41" s="6">
        <f t="shared" si="0"/>
        <v>40</v>
      </c>
      <c r="E41" s="7" t="s">
        <v>111</v>
      </c>
      <c r="F41" s="7" t="s">
        <v>116</v>
      </c>
      <c r="G41" s="7" t="s">
        <v>117</v>
      </c>
      <c r="H41" s="6"/>
      <c r="I41" s="6"/>
      <c r="J41" s="6"/>
      <c r="K41" s="6"/>
      <c r="L41" s="6">
        <v>1</v>
      </c>
      <c r="M41" s="8" t="s">
        <v>92</v>
      </c>
      <c r="N41" s="6"/>
      <c r="O41" s="6"/>
      <c r="P41" s="6"/>
      <c r="Q41" s="6"/>
      <c r="R41" s="7">
        <v>44113</v>
      </c>
      <c r="S41" s="7" t="s">
        <v>17</v>
      </c>
      <c r="T41" s="7" t="s">
        <v>12</v>
      </c>
    </row>
    <row r="42" spans="1:20" s="5" customFormat="1" ht="24.95" customHeight="1" x14ac:dyDescent="0.3">
      <c r="A42" s="10"/>
      <c r="B42" s="10"/>
      <c r="D42" s="6">
        <f t="shared" si="0"/>
        <v>41</v>
      </c>
      <c r="E42" s="7" t="s">
        <v>111</v>
      </c>
      <c r="F42" s="7" t="s">
        <v>118</v>
      </c>
      <c r="G42" s="7" t="s">
        <v>119</v>
      </c>
      <c r="H42" s="6"/>
      <c r="I42" s="6"/>
      <c r="J42" s="6"/>
      <c r="K42" s="6"/>
      <c r="L42" s="6">
        <v>1</v>
      </c>
      <c r="M42" s="8" t="s">
        <v>92</v>
      </c>
      <c r="N42" s="6"/>
      <c r="O42" s="6"/>
      <c r="P42" s="6"/>
      <c r="Q42" s="6"/>
      <c r="R42" s="7">
        <v>44113</v>
      </c>
      <c r="S42" s="7" t="s">
        <v>17</v>
      </c>
      <c r="T42" s="7" t="s">
        <v>12</v>
      </c>
    </row>
    <row r="43" spans="1:20" s="5" customFormat="1" ht="24.95" customHeight="1" x14ac:dyDescent="0.3">
      <c r="A43" s="10"/>
      <c r="B43" s="10"/>
      <c r="D43" s="6">
        <f t="shared" si="0"/>
        <v>42</v>
      </c>
      <c r="E43" s="7" t="s">
        <v>111</v>
      </c>
      <c r="F43" s="7" t="s">
        <v>120</v>
      </c>
      <c r="G43" s="7" t="s">
        <v>121</v>
      </c>
      <c r="H43" s="6"/>
      <c r="I43" s="6"/>
      <c r="J43" s="6"/>
      <c r="K43" s="6"/>
      <c r="L43" s="6"/>
      <c r="M43" s="6"/>
      <c r="N43" s="6"/>
      <c r="O43" s="6"/>
      <c r="P43" s="6">
        <v>1</v>
      </c>
      <c r="Q43" s="8" t="s">
        <v>58</v>
      </c>
      <c r="R43" s="7">
        <v>44113</v>
      </c>
      <c r="S43" s="7" t="s">
        <v>17</v>
      </c>
      <c r="T43" s="7" t="s">
        <v>12</v>
      </c>
    </row>
    <row r="44" spans="1:20" s="5" customFormat="1" ht="24.95" customHeight="1" x14ac:dyDescent="0.3">
      <c r="A44" s="10"/>
      <c r="B44" s="10"/>
      <c r="D44" s="6">
        <f t="shared" si="0"/>
        <v>43</v>
      </c>
      <c r="E44" s="7" t="s">
        <v>111</v>
      </c>
      <c r="F44" s="7" t="s">
        <v>122</v>
      </c>
      <c r="G44" s="7" t="s">
        <v>123</v>
      </c>
      <c r="H44" s="6"/>
      <c r="I44" s="6"/>
      <c r="J44" s="6"/>
      <c r="K44" s="6"/>
      <c r="L44" s="6"/>
      <c r="M44" s="6"/>
      <c r="N44" s="6"/>
      <c r="O44" s="6"/>
      <c r="P44" s="6">
        <v>1</v>
      </c>
      <c r="Q44" s="8" t="s">
        <v>58</v>
      </c>
      <c r="R44" s="7">
        <v>44113</v>
      </c>
      <c r="S44" s="7" t="s">
        <v>17</v>
      </c>
      <c r="T44" s="7" t="s">
        <v>12</v>
      </c>
    </row>
    <row r="45" spans="1:20" s="5" customFormat="1" ht="24.95" customHeight="1" x14ac:dyDescent="0.3">
      <c r="A45" s="10"/>
      <c r="B45" s="10"/>
      <c r="D45" s="6">
        <f t="shared" si="0"/>
        <v>44</v>
      </c>
      <c r="E45" s="7" t="s">
        <v>111</v>
      </c>
      <c r="F45" s="7" t="s">
        <v>124</v>
      </c>
      <c r="G45" s="7" t="s">
        <v>125</v>
      </c>
      <c r="H45" s="6"/>
      <c r="I45" s="6"/>
      <c r="J45" s="6"/>
      <c r="K45" s="6"/>
      <c r="L45" s="6"/>
      <c r="M45" s="6"/>
      <c r="N45" s="6"/>
      <c r="O45" s="6"/>
      <c r="P45" s="6">
        <v>1</v>
      </c>
      <c r="Q45" s="8" t="s">
        <v>16</v>
      </c>
      <c r="R45" s="7">
        <v>44113</v>
      </c>
      <c r="S45" s="7" t="s">
        <v>17</v>
      </c>
      <c r="T45" s="7" t="s">
        <v>12</v>
      </c>
    </row>
    <row r="46" spans="1:20" s="5" customFormat="1" ht="24.95" customHeight="1" x14ac:dyDescent="0.3">
      <c r="A46" s="10"/>
      <c r="B46" s="10"/>
      <c r="D46" s="6">
        <f t="shared" si="0"/>
        <v>45</v>
      </c>
      <c r="E46" s="7" t="s">
        <v>61</v>
      </c>
      <c r="F46" s="7" t="s">
        <v>126</v>
      </c>
      <c r="G46" s="7" t="s">
        <v>127</v>
      </c>
      <c r="H46" s="6">
        <v>1</v>
      </c>
      <c r="I46" s="8" t="s">
        <v>21</v>
      </c>
      <c r="J46" s="6"/>
      <c r="K46" s="6"/>
      <c r="L46" s="6"/>
      <c r="M46" s="6"/>
      <c r="N46" s="6"/>
      <c r="O46" s="6"/>
      <c r="P46" s="6"/>
      <c r="Q46" s="6"/>
      <c r="R46" s="7">
        <v>44194</v>
      </c>
      <c r="S46" s="7" t="s">
        <v>17</v>
      </c>
      <c r="T46" s="7" t="s">
        <v>12</v>
      </c>
    </row>
    <row r="47" spans="1:20" s="5" customFormat="1" ht="24.95" customHeight="1" x14ac:dyDescent="0.3">
      <c r="A47" s="10"/>
      <c r="B47" s="10"/>
      <c r="D47" s="6">
        <f t="shared" si="0"/>
        <v>46</v>
      </c>
      <c r="E47" s="7" t="s">
        <v>61</v>
      </c>
      <c r="F47" s="7" t="s">
        <v>128</v>
      </c>
      <c r="G47" s="7" t="s">
        <v>129</v>
      </c>
      <c r="H47" s="6"/>
      <c r="I47" s="6"/>
      <c r="J47" s="6">
        <v>1</v>
      </c>
      <c r="K47" s="8" t="s">
        <v>130</v>
      </c>
      <c r="L47" s="6"/>
      <c r="M47" s="6"/>
      <c r="N47" s="6"/>
      <c r="O47" s="6"/>
      <c r="P47" s="6"/>
      <c r="Q47" s="6"/>
      <c r="R47" s="7">
        <v>44208</v>
      </c>
      <c r="S47" s="7" t="s">
        <v>17</v>
      </c>
      <c r="T47" s="7" t="s">
        <v>12</v>
      </c>
    </row>
    <row r="48" spans="1:20" s="5" customFormat="1" ht="24.95" customHeight="1" x14ac:dyDescent="0.3">
      <c r="A48" s="10"/>
      <c r="B48" s="10"/>
      <c r="D48" s="6">
        <f t="shared" si="0"/>
        <v>47</v>
      </c>
      <c r="E48" s="7" t="s">
        <v>65</v>
      </c>
      <c r="F48" s="7" t="s">
        <v>131</v>
      </c>
      <c r="G48" s="7" t="s">
        <v>132</v>
      </c>
      <c r="H48" s="6"/>
      <c r="I48" s="6"/>
      <c r="J48" s="6"/>
      <c r="K48" s="6"/>
      <c r="L48" s="6"/>
      <c r="M48" s="6"/>
      <c r="N48" s="6"/>
      <c r="O48" s="6"/>
      <c r="P48" s="6">
        <v>1</v>
      </c>
      <c r="Q48" s="8" t="s">
        <v>58</v>
      </c>
      <c r="R48" s="7">
        <v>44223</v>
      </c>
      <c r="S48" s="7" t="s">
        <v>17</v>
      </c>
      <c r="T48" s="7" t="s">
        <v>12</v>
      </c>
    </row>
    <row r="49" spans="1:20" s="5" customFormat="1" ht="24.95" customHeight="1" x14ac:dyDescent="0.3">
      <c r="A49" s="10"/>
      <c r="B49" s="10"/>
      <c r="D49" s="6">
        <f t="shared" si="0"/>
        <v>48</v>
      </c>
      <c r="E49" s="7" t="s">
        <v>133</v>
      </c>
      <c r="F49" s="7" t="s">
        <v>134</v>
      </c>
      <c r="G49" s="7" t="s">
        <v>135</v>
      </c>
      <c r="H49" s="6"/>
      <c r="I49" s="6"/>
      <c r="J49" s="6"/>
      <c r="K49" s="6"/>
      <c r="L49" s="6"/>
      <c r="M49" s="6"/>
      <c r="N49" s="6">
        <v>1</v>
      </c>
      <c r="O49" s="8" t="s">
        <v>108</v>
      </c>
      <c r="P49" s="6"/>
      <c r="Q49" s="6"/>
      <c r="R49" s="7">
        <v>44308</v>
      </c>
      <c r="S49" s="7" t="s">
        <v>17</v>
      </c>
      <c r="T49" s="7" t="s">
        <v>12</v>
      </c>
    </row>
    <row r="50" spans="1:20" s="5" customFormat="1" ht="24.95" customHeight="1" x14ac:dyDescent="0.3">
      <c r="A50" s="10"/>
      <c r="B50" s="10"/>
      <c r="D50" s="6">
        <f t="shared" si="0"/>
        <v>49</v>
      </c>
      <c r="E50" s="7" t="s">
        <v>51</v>
      </c>
      <c r="F50" s="7" t="s">
        <v>136</v>
      </c>
      <c r="G50" s="7" t="s">
        <v>137</v>
      </c>
      <c r="H50" s="6"/>
      <c r="I50" s="6"/>
      <c r="J50" s="6"/>
      <c r="K50" s="6"/>
      <c r="L50" s="6"/>
      <c r="M50" s="6"/>
      <c r="N50" s="6">
        <v>1</v>
      </c>
      <c r="O50" s="8" t="s">
        <v>54</v>
      </c>
      <c r="P50" s="6"/>
      <c r="Q50" s="6"/>
      <c r="R50" s="7">
        <v>44309</v>
      </c>
      <c r="S50" s="7" t="s">
        <v>17</v>
      </c>
      <c r="T50" s="7" t="s">
        <v>12</v>
      </c>
    </row>
    <row r="51" spans="1:20" s="5" customFormat="1" ht="24.95" customHeight="1" x14ac:dyDescent="0.3">
      <c r="A51" s="10"/>
      <c r="B51" s="10"/>
      <c r="D51" s="6">
        <f t="shared" si="0"/>
        <v>50</v>
      </c>
      <c r="E51" s="7" t="s">
        <v>51</v>
      </c>
      <c r="F51" s="7" t="s">
        <v>138</v>
      </c>
      <c r="G51" s="7" t="s">
        <v>139</v>
      </c>
      <c r="H51" s="6"/>
      <c r="I51" s="6"/>
      <c r="J51" s="6"/>
      <c r="K51" s="6"/>
      <c r="L51" s="6">
        <v>1</v>
      </c>
      <c r="M51" s="8" t="s">
        <v>92</v>
      </c>
      <c r="N51" s="6"/>
      <c r="O51" s="6"/>
      <c r="P51" s="6"/>
      <c r="Q51" s="6"/>
      <c r="R51" s="7">
        <v>44309</v>
      </c>
      <c r="S51" s="7" t="s">
        <v>17</v>
      </c>
      <c r="T51" s="7" t="s">
        <v>12</v>
      </c>
    </row>
    <row r="52" spans="1:20" s="5" customFormat="1" ht="24.95" customHeight="1" x14ac:dyDescent="0.3">
      <c r="A52" s="10"/>
      <c r="B52" s="10"/>
      <c r="D52" s="6">
        <f t="shared" si="0"/>
        <v>51</v>
      </c>
      <c r="E52" s="7" t="s">
        <v>55</v>
      </c>
      <c r="F52" s="7" t="s">
        <v>140</v>
      </c>
      <c r="G52" s="7" t="s">
        <v>141</v>
      </c>
      <c r="H52" s="6"/>
      <c r="I52" s="6"/>
      <c r="J52" s="6"/>
      <c r="K52" s="6"/>
      <c r="L52" s="6"/>
      <c r="M52" s="6"/>
      <c r="N52" s="6"/>
      <c r="O52" s="6"/>
      <c r="P52" s="6">
        <v>1</v>
      </c>
      <c r="Q52" s="8" t="s">
        <v>58</v>
      </c>
      <c r="R52" s="7">
        <v>44333</v>
      </c>
      <c r="S52" s="7" t="s">
        <v>17</v>
      </c>
      <c r="T52" s="7" t="s">
        <v>12</v>
      </c>
    </row>
    <row r="53" spans="1:20" s="5" customFormat="1" ht="24.95" customHeight="1" x14ac:dyDescent="0.3">
      <c r="A53" s="10"/>
      <c r="B53" s="10"/>
      <c r="D53" s="6">
        <f t="shared" si="0"/>
        <v>52</v>
      </c>
      <c r="E53" s="7" t="s">
        <v>13</v>
      </c>
      <c r="F53" s="7" t="s">
        <v>142</v>
      </c>
      <c r="G53" s="7" t="s">
        <v>143</v>
      </c>
      <c r="H53" s="6"/>
      <c r="I53" s="6"/>
      <c r="J53" s="6"/>
      <c r="K53" s="6"/>
      <c r="L53" s="6"/>
      <c r="M53" s="6"/>
      <c r="N53" s="6"/>
      <c r="O53" s="6"/>
      <c r="P53" s="6">
        <v>1</v>
      </c>
      <c r="Q53" s="8" t="s">
        <v>58</v>
      </c>
      <c r="R53" s="7">
        <v>44356</v>
      </c>
      <c r="S53" s="7" t="s">
        <v>17</v>
      </c>
      <c r="T53" s="7" t="s">
        <v>12</v>
      </c>
    </row>
    <row r="54" spans="1:20" s="5" customFormat="1" ht="24.95" customHeight="1" x14ac:dyDescent="0.3">
      <c r="A54" s="10"/>
      <c r="B54" s="10"/>
      <c r="D54" s="6">
        <f t="shared" si="0"/>
        <v>53</v>
      </c>
      <c r="E54" s="7" t="s">
        <v>144</v>
      </c>
      <c r="F54" s="7" t="s">
        <v>145</v>
      </c>
      <c r="G54" s="7" t="s">
        <v>146</v>
      </c>
      <c r="H54" s="6"/>
      <c r="I54" s="6"/>
      <c r="J54" s="6"/>
      <c r="K54" s="6"/>
      <c r="L54" s="6"/>
      <c r="M54" s="6"/>
      <c r="N54" s="6"/>
      <c r="O54" s="6"/>
      <c r="P54" s="6">
        <v>1</v>
      </c>
      <c r="Q54" s="8" t="s">
        <v>58</v>
      </c>
      <c r="R54" s="7">
        <v>44362</v>
      </c>
      <c r="S54" s="7" t="s">
        <v>17</v>
      </c>
      <c r="T54" s="7" t="s">
        <v>12</v>
      </c>
    </row>
    <row r="55" spans="1:20" s="5" customFormat="1" ht="24.95" customHeight="1" x14ac:dyDescent="0.3">
      <c r="A55" s="10"/>
      <c r="B55" s="10"/>
      <c r="D55" s="6">
        <f t="shared" si="0"/>
        <v>54</v>
      </c>
      <c r="E55" s="7" t="s">
        <v>144</v>
      </c>
      <c r="F55" s="7" t="s">
        <v>147</v>
      </c>
      <c r="G55" s="7" t="s">
        <v>148</v>
      </c>
      <c r="H55" s="6"/>
      <c r="I55" s="6"/>
      <c r="J55" s="6"/>
      <c r="K55" s="6"/>
      <c r="L55" s="6"/>
      <c r="M55" s="6"/>
      <c r="N55" s="6">
        <v>1</v>
      </c>
      <c r="O55" s="8" t="s">
        <v>77</v>
      </c>
      <c r="P55" s="6"/>
      <c r="Q55" s="6"/>
      <c r="R55" s="7">
        <v>44373</v>
      </c>
      <c r="S55" s="7" t="s">
        <v>17</v>
      </c>
      <c r="T55" s="7" t="s">
        <v>12</v>
      </c>
    </row>
    <row r="56" spans="1:20" s="5" customFormat="1" ht="24.95" customHeight="1" x14ac:dyDescent="0.3">
      <c r="A56" s="10"/>
      <c r="B56" s="10"/>
      <c r="D56" s="6">
        <f t="shared" si="0"/>
        <v>55</v>
      </c>
      <c r="E56" s="7" t="s">
        <v>144</v>
      </c>
      <c r="F56" s="7" t="s">
        <v>149</v>
      </c>
      <c r="G56" s="7" t="s">
        <v>150</v>
      </c>
      <c r="H56" s="6"/>
      <c r="I56" s="6"/>
      <c r="J56" s="6"/>
      <c r="K56" s="6"/>
      <c r="L56" s="6"/>
      <c r="M56" s="6"/>
      <c r="N56" s="6"/>
      <c r="O56" s="6"/>
      <c r="P56" s="6">
        <v>1</v>
      </c>
      <c r="Q56" s="8" t="s">
        <v>16</v>
      </c>
      <c r="R56" s="7">
        <v>44373</v>
      </c>
      <c r="S56" s="7" t="s">
        <v>17</v>
      </c>
      <c r="T56" s="7" t="s">
        <v>12</v>
      </c>
    </row>
    <row r="57" spans="1:20" s="5" customFormat="1" ht="24.95" customHeight="1" x14ac:dyDescent="0.3">
      <c r="A57" s="10"/>
      <c r="B57" s="10"/>
      <c r="D57" s="6">
        <f t="shared" si="0"/>
        <v>56</v>
      </c>
      <c r="E57" s="7" t="s">
        <v>144</v>
      </c>
      <c r="F57" s="7" t="s">
        <v>151</v>
      </c>
      <c r="G57" s="7" t="s">
        <v>152</v>
      </c>
      <c r="H57" s="6"/>
      <c r="I57" s="6"/>
      <c r="J57" s="6"/>
      <c r="K57" s="6"/>
      <c r="L57" s="6"/>
      <c r="M57" s="6"/>
      <c r="N57" s="6"/>
      <c r="O57" s="6"/>
      <c r="P57" s="6">
        <v>1</v>
      </c>
      <c r="Q57" s="8" t="s">
        <v>58</v>
      </c>
      <c r="R57" s="7">
        <v>44376</v>
      </c>
      <c r="S57" s="7" t="s">
        <v>17</v>
      </c>
      <c r="T57" s="7" t="s">
        <v>12</v>
      </c>
    </row>
    <row r="58" spans="1:20" s="5" customFormat="1" ht="24.95" customHeight="1" x14ac:dyDescent="0.3">
      <c r="A58" s="10"/>
      <c r="B58" s="10"/>
      <c r="D58" s="6">
        <f t="shared" si="0"/>
        <v>57</v>
      </c>
      <c r="E58" s="7" t="s">
        <v>153</v>
      </c>
      <c r="F58" s="7" t="s">
        <v>154</v>
      </c>
      <c r="G58" s="7" t="s">
        <v>155</v>
      </c>
      <c r="H58" s="6"/>
      <c r="I58" s="6"/>
      <c r="J58" s="6"/>
      <c r="K58" s="6"/>
      <c r="L58" s="6"/>
      <c r="M58" s="6"/>
      <c r="N58" s="6"/>
      <c r="O58" s="6"/>
      <c r="P58" s="6">
        <v>1</v>
      </c>
      <c r="Q58" s="8" t="s">
        <v>16</v>
      </c>
      <c r="R58" s="7">
        <v>44413</v>
      </c>
      <c r="S58" s="7" t="s">
        <v>17</v>
      </c>
      <c r="T58" s="7" t="s">
        <v>12</v>
      </c>
    </row>
    <row r="59" spans="1:20" s="5" customFormat="1" ht="24.95" customHeight="1" x14ac:dyDescent="0.3">
      <c r="A59" s="10"/>
      <c r="B59" s="10"/>
      <c r="D59" s="6">
        <f t="shared" si="0"/>
        <v>58</v>
      </c>
      <c r="E59" s="7" t="s">
        <v>156</v>
      </c>
      <c r="F59" s="7" t="s">
        <v>157</v>
      </c>
      <c r="G59" s="7" t="s">
        <v>158</v>
      </c>
      <c r="H59" s="6"/>
      <c r="I59" s="6"/>
      <c r="J59" s="6"/>
      <c r="K59" s="6"/>
      <c r="L59" s="6">
        <v>1</v>
      </c>
      <c r="M59" s="8" t="s">
        <v>92</v>
      </c>
      <c r="N59" s="6"/>
      <c r="O59" s="6"/>
      <c r="P59" s="6"/>
      <c r="Q59" s="6"/>
      <c r="R59" s="7">
        <v>44433</v>
      </c>
      <c r="S59" s="7" t="s">
        <v>17</v>
      </c>
      <c r="T59" s="7" t="s">
        <v>12</v>
      </c>
    </row>
    <row r="60" spans="1:20" s="5" customFormat="1" ht="24.95" customHeight="1" x14ac:dyDescent="0.3">
      <c r="A60" s="10"/>
      <c r="B60" s="10"/>
      <c r="D60" s="6">
        <f t="shared" si="0"/>
        <v>59</v>
      </c>
      <c r="E60" s="7" t="s">
        <v>159</v>
      </c>
      <c r="F60" s="7" t="s">
        <v>160</v>
      </c>
      <c r="G60" s="7" t="s">
        <v>161</v>
      </c>
      <c r="H60" s="6"/>
      <c r="I60" s="6"/>
      <c r="J60" s="6"/>
      <c r="K60" s="6"/>
      <c r="L60" s="6"/>
      <c r="M60" s="6"/>
      <c r="N60" s="6">
        <v>1</v>
      </c>
      <c r="O60" s="8" t="s">
        <v>54</v>
      </c>
      <c r="P60" s="6"/>
      <c r="Q60" s="6"/>
      <c r="R60" s="7">
        <v>44453</v>
      </c>
      <c r="S60" s="7" t="s">
        <v>17</v>
      </c>
      <c r="T60" s="7" t="s">
        <v>12</v>
      </c>
    </row>
    <row r="61" spans="1:20" s="5" customFormat="1" ht="24.95" customHeight="1" x14ac:dyDescent="0.3">
      <c r="A61" s="10"/>
      <c r="B61" s="10"/>
      <c r="D61" s="6">
        <f t="shared" si="0"/>
        <v>60</v>
      </c>
      <c r="E61" s="7" t="s">
        <v>159</v>
      </c>
      <c r="F61" s="7" t="s">
        <v>162</v>
      </c>
      <c r="G61" s="7" t="s">
        <v>163</v>
      </c>
      <c r="H61" s="6"/>
      <c r="I61" s="6"/>
      <c r="J61" s="6"/>
      <c r="K61" s="6"/>
      <c r="L61" s="6"/>
      <c r="M61" s="6"/>
      <c r="N61" s="6"/>
      <c r="O61" s="6"/>
      <c r="P61" s="6">
        <v>1</v>
      </c>
      <c r="Q61" s="8" t="s">
        <v>58</v>
      </c>
      <c r="R61" s="7">
        <v>44453</v>
      </c>
      <c r="S61" s="7" t="s">
        <v>17</v>
      </c>
      <c r="T61" s="7" t="s">
        <v>12</v>
      </c>
    </row>
    <row r="62" spans="1:20" s="5" customFormat="1" ht="24.95" customHeight="1" x14ac:dyDescent="0.3">
      <c r="A62" s="10"/>
      <c r="B62" s="10"/>
      <c r="D62" s="6">
        <f t="shared" si="0"/>
        <v>61</v>
      </c>
      <c r="E62" s="7" t="s">
        <v>61</v>
      </c>
      <c r="F62" s="7" t="s">
        <v>164</v>
      </c>
      <c r="G62" s="7" t="s">
        <v>165</v>
      </c>
      <c r="H62" s="6"/>
      <c r="I62" s="6"/>
      <c r="J62" s="6"/>
      <c r="K62" s="6"/>
      <c r="L62" s="6"/>
      <c r="M62" s="6"/>
      <c r="N62" s="6">
        <v>1</v>
      </c>
      <c r="O62" s="8" t="s">
        <v>108</v>
      </c>
      <c r="P62" s="6"/>
      <c r="Q62" s="6"/>
      <c r="R62" s="7">
        <v>44478</v>
      </c>
      <c r="S62" s="7" t="s">
        <v>17</v>
      </c>
      <c r="T62" s="7" t="s">
        <v>12</v>
      </c>
    </row>
    <row r="63" spans="1:20" s="5" customFormat="1" ht="24.95" customHeight="1" x14ac:dyDescent="0.3">
      <c r="A63" s="10"/>
      <c r="B63" s="10"/>
      <c r="D63" s="6">
        <f t="shared" si="0"/>
        <v>62</v>
      </c>
      <c r="E63" s="7" t="s">
        <v>166</v>
      </c>
      <c r="F63" s="7" t="s">
        <v>167</v>
      </c>
      <c r="G63" s="7" t="s">
        <v>168</v>
      </c>
      <c r="H63" s="6"/>
      <c r="I63" s="6"/>
      <c r="J63" s="6"/>
      <c r="K63" s="6"/>
      <c r="L63" s="6">
        <v>1</v>
      </c>
      <c r="M63" s="8" t="s">
        <v>92</v>
      </c>
      <c r="N63" s="6"/>
      <c r="O63" s="6"/>
      <c r="P63" s="6"/>
      <c r="Q63" s="6"/>
      <c r="R63" s="7">
        <v>44495</v>
      </c>
      <c r="S63" s="7" t="s">
        <v>17</v>
      </c>
      <c r="T63" s="7" t="s">
        <v>12</v>
      </c>
    </row>
    <row r="64" spans="1:20" s="5" customFormat="1" ht="24.95" customHeight="1" x14ac:dyDescent="0.3">
      <c r="A64" s="10"/>
      <c r="B64" s="10"/>
      <c r="D64" s="6">
        <f t="shared" si="0"/>
        <v>63</v>
      </c>
      <c r="E64" s="7" t="s">
        <v>169</v>
      </c>
      <c r="F64" s="7" t="s">
        <v>170</v>
      </c>
      <c r="G64" s="7" t="s">
        <v>171</v>
      </c>
      <c r="H64" s="6"/>
      <c r="I64" s="6"/>
      <c r="J64" s="6"/>
      <c r="K64" s="6"/>
      <c r="L64" s="6"/>
      <c r="M64" s="6"/>
      <c r="N64" s="6"/>
      <c r="O64" s="6"/>
      <c r="P64" s="6">
        <v>1</v>
      </c>
      <c r="Q64" s="8" t="s">
        <v>58</v>
      </c>
      <c r="R64" s="7">
        <v>44495</v>
      </c>
      <c r="S64" s="7" t="s">
        <v>17</v>
      </c>
      <c r="T64" s="7" t="s">
        <v>12</v>
      </c>
    </row>
    <row r="65" spans="1:20" s="5" customFormat="1" ht="24.95" customHeight="1" x14ac:dyDescent="0.3">
      <c r="A65" s="10"/>
      <c r="B65" s="10"/>
      <c r="D65" s="6">
        <f t="shared" si="0"/>
        <v>64</v>
      </c>
      <c r="E65" s="7" t="s">
        <v>159</v>
      </c>
      <c r="F65" s="7" t="s">
        <v>172</v>
      </c>
      <c r="G65" s="7" t="s">
        <v>173</v>
      </c>
      <c r="H65" s="6"/>
      <c r="I65" s="6"/>
      <c r="J65" s="6"/>
      <c r="K65" s="6"/>
      <c r="L65" s="6">
        <v>1</v>
      </c>
      <c r="M65" s="8" t="s">
        <v>92</v>
      </c>
      <c r="N65" s="6"/>
      <c r="O65" s="6"/>
      <c r="P65" s="6"/>
      <c r="Q65" s="6"/>
      <c r="R65" s="7">
        <v>44496</v>
      </c>
      <c r="S65" s="7" t="s">
        <v>17</v>
      </c>
      <c r="T65" s="7" t="s">
        <v>12</v>
      </c>
    </row>
    <row r="66" spans="1:20" s="5" customFormat="1" ht="24.95" customHeight="1" x14ac:dyDescent="0.3">
      <c r="A66" s="10"/>
      <c r="B66" s="10"/>
      <c r="D66" s="6">
        <f t="shared" si="0"/>
        <v>65</v>
      </c>
      <c r="E66" s="7" t="s">
        <v>72</v>
      </c>
      <c r="F66" s="7" t="s">
        <v>174</v>
      </c>
      <c r="G66" s="7" t="s">
        <v>175</v>
      </c>
      <c r="H66" s="6"/>
      <c r="I66" s="6"/>
      <c r="J66" s="6"/>
      <c r="K66" s="6"/>
      <c r="L66" s="6"/>
      <c r="M66" s="6"/>
      <c r="N66" s="6"/>
      <c r="O66" s="6"/>
      <c r="P66" s="6">
        <v>1</v>
      </c>
      <c r="Q66" s="8" t="s">
        <v>58</v>
      </c>
      <c r="R66" s="7">
        <v>44530</v>
      </c>
      <c r="S66" s="7" t="s">
        <v>17</v>
      </c>
      <c r="T66" s="7" t="s">
        <v>12</v>
      </c>
    </row>
    <row r="67" spans="1:20" s="5" customFormat="1" ht="24.95" customHeight="1" x14ac:dyDescent="0.3">
      <c r="A67" s="10"/>
      <c r="B67" s="10"/>
      <c r="D67" s="6">
        <f t="shared" ref="D67:D130" si="1">ROW()-1</f>
        <v>66</v>
      </c>
      <c r="E67" s="7" t="s">
        <v>72</v>
      </c>
      <c r="F67" s="7" t="s">
        <v>176</v>
      </c>
      <c r="G67" s="7" t="s">
        <v>177</v>
      </c>
      <c r="H67" s="6"/>
      <c r="I67" s="6"/>
      <c r="J67" s="6"/>
      <c r="K67" s="6"/>
      <c r="L67" s="6"/>
      <c r="M67" s="6"/>
      <c r="N67" s="6"/>
      <c r="O67" s="6"/>
      <c r="P67" s="6">
        <v>1</v>
      </c>
      <c r="Q67" s="8" t="s">
        <v>16</v>
      </c>
      <c r="R67" s="7">
        <v>44530</v>
      </c>
      <c r="S67" s="7" t="s">
        <v>17</v>
      </c>
      <c r="T67" s="7" t="s">
        <v>12</v>
      </c>
    </row>
    <row r="68" spans="1:20" s="5" customFormat="1" ht="24.95" customHeight="1" x14ac:dyDescent="0.3">
      <c r="A68" s="10"/>
      <c r="B68" s="10"/>
      <c r="D68" s="6">
        <f t="shared" si="1"/>
        <v>67</v>
      </c>
      <c r="E68" s="7" t="s">
        <v>51</v>
      </c>
      <c r="F68" s="7" t="s">
        <v>178</v>
      </c>
      <c r="G68" s="7" t="s">
        <v>179</v>
      </c>
      <c r="H68" s="6"/>
      <c r="I68" s="6"/>
      <c r="J68" s="6"/>
      <c r="K68" s="6"/>
      <c r="L68" s="6">
        <v>1</v>
      </c>
      <c r="M68" s="8" t="s">
        <v>48</v>
      </c>
      <c r="N68" s="6"/>
      <c r="O68" s="6"/>
      <c r="P68" s="6"/>
      <c r="Q68" s="6"/>
      <c r="R68" s="7">
        <v>44531</v>
      </c>
      <c r="S68" s="7" t="s">
        <v>17</v>
      </c>
      <c r="T68" s="7" t="s">
        <v>12</v>
      </c>
    </row>
    <row r="69" spans="1:20" s="5" customFormat="1" ht="24.95" customHeight="1" x14ac:dyDescent="0.3">
      <c r="A69" s="10"/>
      <c r="B69" s="10"/>
      <c r="D69" s="6">
        <f t="shared" si="1"/>
        <v>68</v>
      </c>
      <c r="E69" s="7" t="s">
        <v>180</v>
      </c>
      <c r="F69" s="7" t="s">
        <v>181</v>
      </c>
      <c r="G69" s="7" t="s">
        <v>182</v>
      </c>
      <c r="H69" s="6"/>
      <c r="I69" s="6"/>
      <c r="J69" s="6"/>
      <c r="K69" s="6"/>
      <c r="L69" s="6">
        <v>1</v>
      </c>
      <c r="M69" s="8" t="s">
        <v>92</v>
      </c>
      <c r="N69" s="6"/>
      <c r="O69" s="6"/>
      <c r="P69" s="6"/>
      <c r="Q69" s="6"/>
      <c r="R69" s="7">
        <v>44561</v>
      </c>
      <c r="S69" s="7" t="s">
        <v>17</v>
      </c>
      <c r="T69" s="7" t="s">
        <v>12</v>
      </c>
    </row>
    <row r="70" spans="1:20" s="5" customFormat="1" ht="24.95" customHeight="1" x14ac:dyDescent="0.3">
      <c r="A70" s="10"/>
      <c r="B70" s="10"/>
      <c r="D70" s="6">
        <f t="shared" si="1"/>
        <v>69</v>
      </c>
      <c r="E70" s="7" t="s">
        <v>159</v>
      </c>
      <c r="F70" s="7" t="s">
        <v>183</v>
      </c>
      <c r="G70" s="7" t="s">
        <v>184</v>
      </c>
      <c r="H70" s="6"/>
      <c r="I70" s="6"/>
      <c r="J70" s="6"/>
      <c r="K70" s="6"/>
      <c r="L70" s="6"/>
      <c r="M70" s="6"/>
      <c r="N70" s="6"/>
      <c r="O70" s="6"/>
      <c r="P70" s="6">
        <v>1</v>
      </c>
      <c r="Q70" s="8" t="s">
        <v>16</v>
      </c>
      <c r="R70" s="7">
        <v>44561</v>
      </c>
      <c r="S70" s="7" t="s">
        <v>17</v>
      </c>
      <c r="T70" s="7" t="s">
        <v>12</v>
      </c>
    </row>
    <row r="71" spans="1:20" s="5" customFormat="1" ht="24.95" customHeight="1" x14ac:dyDescent="0.3">
      <c r="A71" s="10"/>
      <c r="B71" s="10"/>
      <c r="D71" s="6">
        <f t="shared" si="1"/>
        <v>70</v>
      </c>
      <c r="E71" s="7" t="s">
        <v>185</v>
      </c>
      <c r="F71" s="7" t="s">
        <v>186</v>
      </c>
      <c r="G71" s="7" t="s">
        <v>187</v>
      </c>
      <c r="H71" s="6"/>
      <c r="I71" s="6"/>
      <c r="J71" s="6"/>
      <c r="K71" s="6"/>
      <c r="L71" s="6"/>
      <c r="M71" s="6"/>
      <c r="N71" s="6"/>
      <c r="O71" s="6"/>
      <c r="P71" s="6">
        <v>1</v>
      </c>
      <c r="Q71" s="8" t="s">
        <v>58</v>
      </c>
      <c r="R71" s="7">
        <v>44579</v>
      </c>
      <c r="S71" s="7" t="s">
        <v>17</v>
      </c>
      <c r="T71" s="7" t="s">
        <v>12</v>
      </c>
    </row>
    <row r="72" spans="1:20" s="5" customFormat="1" ht="24.95" customHeight="1" x14ac:dyDescent="0.3">
      <c r="A72" s="10"/>
      <c r="B72" s="10"/>
      <c r="D72" s="6">
        <f t="shared" si="1"/>
        <v>71</v>
      </c>
      <c r="E72" s="7" t="s">
        <v>51</v>
      </c>
      <c r="F72" s="7" t="s">
        <v>188</v>
      </c>
      <c r="G72" s="7" t="s">
        <v>189</v>
      </c>
      <c r="H72" s="6"/>
      <c r="I72" s="6"/>
      <c r="J72" s="6"/>
      <c r="K72" s="6"/>
      <c r="L72" s="6">
        <v>1</v>
      </c>
      <c r="M72" s="8" t="s">
        <v>48</v>
      </c>
      <c r="N72" s="6"/>
      <c r="O72" s="6"/>
      <c r="P72" s="6"/>
      <c r="Q72" s="6"/>
      <c r="R72" s="7">
        <v>44634</v>
      </c>
      <c r="S72" s="7" t="s">
        <v>17</v>
      </c>
      <c r="T72" s="7" t="s">
        <v>12</v>
      </c>
    </row>
    <row r="73" spans="1:20" s="5" customFormat="1" ht="24.95" customHeight="1" x14ac:dyDescent="0.3">
      <c r="A73" s="10"/>
      <c r="B73" s="10"/>
      <c r="D73" s="6">
        <f t="shared" si="1"/>
        <v>72</v>
      </c>
      <c r="E73" s="7" t="s">
        <v>51</v>
      </c>
      <c r="F73" s="7" t="s">
        <v>190</v>
      </c>
      <c r="G73" s="7" t="s">
        <v>191</v>
      </c>
      <c r="H73" s="6"/>
      <c r="I73" s="6"/>
      <c r="J73" s="6"/>
      <c r="K73" s="6"/>
      <c r="L73" s="6">
        <v>1</v>
      </c>
      <c r="M73" s="8" t="s">
        <v>92</v>
      </c>
      <c r="N73" s="6"/>
      <c r="O73" s="6"/>
      <c r="P73" s="6"/>
      <c r="Q73" s="6"/>
      <c r="R73" s="7">
        <v>44634</v>
      </c>
      <c r="S73" s="7" t="s">
        <v>17</v>
      </c>
      <c r="T73" s="7" t="s">
        <v>12</v>
      </c>
    </row>
    <row r="74" spans="1:20" s="5" customFormat="1" ht="24.95" customHeight="1" x14ac:dyDescent="0.3">
      <c r="A74" s="10"/>
      <c r="B74" s="10"/>
      <c r="D74" s="6">
        <f t="shared" si="1"/>
        <v>73</v>
      </c>
      <c r="E74" s="7" t="s">
        <v>192</v>
      </c>
      <c r="F74" s="7" t="s">
        <v>193</v>
      </c>
      <c r="G74" s="7" t="s">
        <v>194</v>
      </c>
      <c r="H74" s="6"/>
      <c r="I74" s="6"/>
      <c r="J74" s="6"/>
      <c r="K74" s="6"/>
      <c r="L74" s="6"/>
      <c r="M74" s="6"/>
      <c r="N74" s="6"/>
      <c r="O74" s="6"/>
      <c r="P74" s="6">
        <v>1</v>
      </c>
      <c r="Q74" s="8" t="s">
        <v>58</v>
      </c>
      <c r="R74" s="7">
        <v>44636</v>
      </c>
      <c r="S74" s="7" t="s">
        <v>17</v>
      </c>
      <c r="T74" s="7" t="s">
        <v>12</v>
      </c>
    </row>
    <row r="75" spans="1:20" s="5" customFormat="1" ht="24.95" customHeight="1" x14ac:dyDescent="0.3">
      <c r="A75" s="10"/>
      <c r="B75" s="10"/>
      <c r="D75" s="6">
        <f t="shared" si="1"/>
        <v>74</v>
      </c>
      <c r="E75" s="7" t="s">
        <v>192</v>
      </c>
      <c r="F75" s="7" t="s">
        <v>195</v>
      </c>
      <c r="G75" s="7" t="s">
        <v>196</v>
      </c>
      <c r="H75" s="6"/>
      <c r="I75" s="6"/>
      <c r="J75" s="6"/>
      <c r="K75" s="6"/>
      <c r="L75" s="6"/>
      <c r="M75" s="6"/>
      <c r="N75" s="6"/>
      <c r="O75" s="6"/>
      <c r="P75" s="6">
        <v>1</v>
      </c>
      <c r="Q75" s="8" t="s">
        <v>58</v>
      </c>
      <c r="R75" s="7">
        <v>44636</v>
      </c>
      <c r="S75" s="7" t="s">
        <v>17</v>
      </c>
      <c r="T75" s="7" t="s">
        <v>12</v>
      </c>
    </row>
    <row r="76" spans="1:20" s="5" customFormat="1" ht="24.95" customHeight="1" x14ac:dyDescent="0.3">
      <c r="A76" s="10"/>
      <c r="B76" s="10"/>
      <c r="D76" s="6">
        <f t="shared" si="1"/>
        <v>75</v>
      </c>
      <c r="E76" s="7" t="s">
        <v>72</v>
      </c>
      <c r="F76" s="7" t="s">
        <v>197</v>
      </c>
      <c r="G76" s="7" t="s">
        <v>198</v>
      </c>
      <c r="H76" s="6"/>
      <c r="I76" s="6"/>
      <c r="J76" s="6"/>
      <c r="K76" s="6"/>
      <c r="L76" s="6"/>
      <c r="M76" s="6"/>
      <c r="N76" s="6"/>
      <c r="O76" s="6"/>
      <c r="P76" s="6">
        <v>1</v>
      </c>
      <c r="Q76" s="8" t="s">
        <v>16</v>
      </c>
      <c r="R76" s="7">
        <v>44649</v>
      </c>
      <c r="S76" s="7" t="s">
        <v>17</v>
      </c>
      <c r="T76" s="7" t="s">
        <v>12</v>
      </c>
    </row>
    <row r="77" spans="1:20" s="5" customFormat="1" ht="24.95" customHeight="1" x14ac:dyDescent="0.3">
      <c r="A77" s="10"/>
      <c r="B77" s="10"/>
      <c r="D77" s="6">
        <f t="shared" si="1"/>
        <v>76</v>
      </c>
      <c r="E77" s="7" t="s">
        <v>199</v>
      </c>
      <c r="F77" s="7" t="s">
        <v>200</v>
      </c>
      <c r="G77" s="7" t="s">
        <v>201</v>
      </c>
      <c r="H77" s="6"/>
      <c r="I77" s="6"/>
      <c r="J77" s="6"/>
      <c r="K77" s="6"/>
      <c r="L77" s="6"/>
      <c r="M77" s="6"/>
      <c r="N77" s="6">
        <v>1</v>
      </c>
      <c r="O77" s="8" t="s">
        <v>77</v>
      </c>
      <c r="P77" s="6"/>
      <c r="Q77" s="6"/>
      <c r="R77" s="7">
        <v>44651</v>
      </c>
      <c r="S77" s="7" t="s">
        <v>17</v>
      </c>
      <c r="T77" s="7" t="s">
        <v>12</v>
      </c>
    </row>
    <row r="78" spans="1:20" s="5" customFormat="1" ht="24.95" customHeight="1" x14ac:dyDescent="0.3">
      <c r="A78" s="10"/>
      <c r="B78" s="10"/>
      <c r="D78" s="6">
        <f t="shared" si="1"/>
        <v>77</v>
      </c>
      <c r="E78" s="7" t="s">
        <v>199</v>
      </c>
      <c r="F78" s="7" t="s">
        <v>202</v>
      </c>
      <c r="G78" s="7" t="s">
        <v>203</v>
      </c>
      <c r="H78" s="6"/>
      <c r="I78" s="6"/>
      <c r="J78" s="6"/>
      <c r="K78" s="6"/>
      <c r="L78" s="6"/>
      <c r="M78" s="6"/>
      <c r="N78" s="6">
        <v>1</v>
      </c>
      <c r="O78" s="8" t="s">
        <v>77</v>
      </c>
      <c r="P78" s="6"/>
      <c r="Q78" s="6"/>
      <c r="R78" s="7">
        <v>44651</v>
      </c>
      <c r="S78" s="7" t="s">
        <v>17</v>
      </c>
      <c r="T78" s="7" t="s">
        <v>12</v>
      </c>
    </row>
    <row r="79" spans="1:20" s="5" customFormat="1" ht="24.95" customHeight="1" x14ac:dyDescent="0.3">
      <c r="A79" s="10"/>
      <c r="B79" s="10"/>
      <c r="D79" s="6">
        <f t="shared" si="1"/>
        <v>78</v>
      </c>
      <c r="E79" s="7" t="s">
        <v>159</v>
      </c>
      <c r="F79" s="7" t="s">
        <v>204</v>
      </c>
      <c r="G79" s="7" t="s">
        <v>205</v>
      </c>
      <c r="H79" s="6"/>
      <c r="I79" s="6"/>
      <c r="J79" s="6"/>
      <c r="K79" s="6"/>
      <c r="L79" s="6"/>
      <c r="M79" s="6"/>
      <c r="N79" s="6"/>
      <c r="O79" s="6"/>
      <c r="P79" s="6">
        <v>1</v>
      </c>
      <c r="Q79" s="8" t="s">
        <v>16</v>
      </c>
      <c r="R79" s="7">
        <v>44669</v>
      </c>
      <c r="S79" s="7" t="s">
        <v>17</v>
      </c>
      <c r="T79" s="7" t="s">
        <v>12</v>
      </c>
    </row>
    <row r="80" spans="1:20" s="5" customFormat="1" ht="24.95" customHeight="1" x14ac:dyDescent="0.3">
      <c r="A80" s="10"/>
      <c r="B80" s="10"/>
      <c r="D80" s="6">
        <f t="shared" si="1"/>
        <v>79</v>
      </c>
      <c r="E80" s="7" t="s">
        <v>159</v>
      </c>
      <c r="F80" s="7" t="s">
        <v>206</v>
      </c>
      <c r="G80" s="7" t="s">
        <v>207</v>
      </c>
      <c r="H80" s="6"/>
      <c r="I80" s="6"/>
      <c r="J80" s="6"/>
      <c r="K80" s="6"/>
      <c r="L80" s="6"/>
      <c r="M80" s="6"/>
      <c r="N80" s="6">
        <v>1</v>
      </c>
      <c r="O80" s="8" t="s">
        <v>77</v>
      </c>
      <c r="P80" s="6"/>
      <c r="Q80" s="6"/>
      <c r="R80" s="7">
        <v>44679</v>
      </c>
      <c r="S80" s="7" t="s">
        <v>17</v>
      </c>
      <c r="T80" s="7" t="s">
        <v>12</v>
      </c>
    </row>
    <row r="81" spans="1:20" s="5" customFormat="1" ht="24.95" customHeight="1" x14ac:dyDescent="0.3">
      <c r="A81" s="10"/>
      <c r="B81" s="10"/>
      <c r="D81" s="6">
        <f t="shared" si="1"/>
        <v>80</v>
      </c>
      <c r="E81" s="7" t="s">
        <v>159</v>
      </c>
      <c r="F81" s="7" t="s">
        <v>208</v>
      </c>
      <c r="G81" s="7" t="s">
        <v>209</v>
      </c>
      <c r="H81" s="6"/>
      <c r="I81" s="6"/>
      <c r="J81" s="6"/>
      <c r="K81" s="6"/>
      <c r="L81" s="6">
        <v>1</v>
      </c>
      <c r="M81" s="8" t="s">
        <v>48</v>
      </c>
      <c r="N81" s="6"/>
      <c r="O81" s="6"/>
      <c r="P81" s="6"/>
      <c r="Q81" s="6"/>
      <c r="R81" s="7">
        <v>44679</v>
      </c>
      <c r="S81" s="7" t="s">
        <v>17</v>
      </c>
      <c r="T81" s="7" t="s">
        <v>12</v>
      </c>
    </row>
    <row r="82" spans="1:20" s="5" customFormat="1" ht="24.95" customHeight="1" x14ac:dyDescent="0.3">
      <c r="A82" s="10"/>
      <c r="B82" s="10"/>
      <c r="D82" s="6">
        <f t="shared" si="1"/>
        <v>81</v>
      </c>
      <c r="E82" s="7" t="s">
        <v>210</v>
      </c>
      <c r="F82" s="7" t="s">
        <v>211</v>
      </c>
      <c r="G82" s="7" t="s">
        <v>212</v>
      </c>
      <c r="H82" s="6"/>
      <c r="I82" s="6"/>
      <c r="J82" s="6"/>
      <c r="K82" s="6"/>
      <c r="L82" s="6"/>
      <c r="M82" s="6"/>
      <c r="N82" s="6">
        <v>1</v>
      </c>
      <c r="O82" s="8" t="s">
        <v>108</v>
      </c>
      <c r="P82" s="6"/>
      <c r="Q82" s="6"/>
      <c r="R82" s="7">
        <v>44680</v>
      </c>
      <c r="S82" s="7" t="s">
        <v>17</v>
      </c>
      <c r="T82" s="7" t="s">
        <v>12</v>
      </c>
    </row>
    <row r="83" spans="1:20" s="5" customFormat="1" ht="24.95" customHeight="1" x14ac:dyDescent="0.3">
      <c r="A83" s="10"/>
      <c r="B83" s="10"/>
      <c r="D83" s="6">
        <f t="shared" si="1"/>
        <v>82</v>
      </c>
      <c r="E83" s="7" t="s">
        <v>45</v>
      </c>
      <c r="F83" s="7" t="s">
        <v>213</v>
      </c>
      <c r="G83" s="7" t="s">
        <v>214</v>
      </c>
      <c r="H83" s="6"/>
      <c r="I83" s="6"/>
      <c r="J83" s="6"/>
      <c r="K83" s="6"/>
      <c r="L83" s="6"/>
      <c r="M83" s="6"/>
      <c r="N83" s="6"/>
      <c r="O83" s="6"/>
      <c r="P83" s="6">
        <v>1</v>
      </c>
      <c r="Q83" s="8" t="s">
        <v>25</v>
      </c>
      <c r="R83" s="7">
        <v>44688</v>
      </c>
      <c r="S83" s="7" t="s">
        <v>17</v>
      </c>
      <c r="T83" s="7" t="s">
        <v>12</v>
      </c>
    </row>
    <row r="84" spans="1:20" s="5" customFormat="1" ht="24.95" customHeight="1" x14ac:dyDescent="0.3">
      <c r="A84" s="10"/>
      <c r="B84" s="10"/>
      <c r="D84" s="6">
        <f t="shared" si="1"/>
        <v>83</v>
      </c>
      <c r="E84" s="7" t="s">
        <v>45</v>
      </c>
      <c r="F84" s="7" t="s">
        <v>215</v>
      </c>
      <c r="G84" s="7" t="s">
        <v>216</v>
      </c>
      <c r="H84" s="6"/>
      <c r="I84" s="6"/>
      <c r="J84" s="6"/>
      <c r="K84" s="6"/>
      <c r="L84" s="6">
        <v>1</v>
      </c>
      <c r="M84" s="8" t="s">
        <v>48</v>
      </c>
      <c r="N84" s="6"/>
      <c r="O84" s="6"/>
      <c r="P84" s="6"/>
      <c r="Q84" s="6"/>
      <c r="R84" s="7">
        <v>44688</v>
      </c>
      <c r="S84" s="7" t="s">
        <v>17</v>
      </c>
      <c r="T84" s="7" t="s">
        <v>12</v>
      </c>
    </row>
    <row r="85" spans="1:20" s="5" customFormat="1" ht="24.95" customHeight="1" x14ac:dyDescent="0.3">
      <c r="A85" s="10"/>
      <c r="B85" s="10"/>
      <c r="D85" s="6">
        <f t="shared" si="1"/>
        <v>84</v>
      </c>
      <c r="E85" s="7" t="s">
        <v>45</v>
      </c>
      <c r="F85" s="7" t="s">
        <v>217</v>
      </c>
      <c r="G85" s="7" t="s">
        <v>218</v>
      </c>
      <c r="H85" s="6"/>
      <c r="I85" s="6"/>
      <c r="J85" s="6"/>
      <c r="K85" s="6"/>
      <c r="L85" s="6"/>
      <c r="M85" s="6"/>
      <c r="N85" s="6">
        <v>1</v>
      </c>
      <c r="O85" s="8" t="s">
        <v>54</v>
      </c>
      <c r="P85" s="6"/>
      <c r="Q85" s="6"/>
      <c r="R85" s="7">
        <v>44688</v>
      </c>
      <c r="S85" s="7" t="s">
        <v>17</v>
      </c>
      <c r="T85" s="7" t="s">
        <v>12</v>
      </c>
    </row>
    <row r="86" spans="1:20" s="5" customFormat="1" ht="24.95" customHeight="1" x14ac:dyDescent="0.3">
      <c r="A86" s="10"/>
      <c r="B86" s="10"/>
      <c r="D86" s="6">
        <f t="shared" si="1"/>
        <v>85</v>
      </c>
      <c r="E86" s="7" t="s">
        <v>45</v>
      </c>
      <c r="F86" s="7" t="s">
        <v>219</v>
      </c>
      <c r="G86" s="7" t="s">
        <v>220</v>
      </c>
      <c r="H86" s="6"/>
      <c r="I86" s="6"/>
      <c r="J86" s="6"/>
      <c r="K86" s="6"/>
      <c r="L86" s="6">
        <v>1</v>
      </c>
      <c r="M86" s="8" t="s">
        <v>92</v>
      </c>
      <c r="N86" s="6"/>
      <c r="O86" s="6"/>
      <c r="P86" s="6"/>
      <c r="Q86" s="6"/>
      <c r="R86" s="7">
        <v>44688</v>
      </c>
      <c r="S86" s="7" t="s">
        <v>17</v>
      </c>
      <c r="T86" s="7" t="s">
        <v>12</v>
      </c>
    </row>
    <row r="87" spans="1:20" s="5" customFormat="1" ht="24.95" customHeight="1" x14ac:dyDescent="0.3">
      <c r="A87" s="10"/>
      <c r="B87" s="10"/>
      <c r="D87" s="6">
        <f t="shared" si="1"/>
        <v>86</v>
      </c>
      <c r="E87" s="7" t="s">
        <v>45</v>
      </c>
      <c r="F87" s="7" t="s">
        <v>221</v>
      </c>
      <c r="G87" s="7" t="s">
        <v>222</v>
      </c>
      <c r="H87" s="6"/>
      <c r="I87" s="6"/>
      <c r="J87" s="6"/>
      <c r="K87" s="6"/>
      <c r="L87" s="6">
        <v>1</v>
      </c>
      <c r="M87" s="8" t="s">
        <v>92</v>
      </c>
      <c r="N87" s="6"/>
      <c r="O87" s="6"/>
      <c r="P87" s="6"/>
      <c r="Q87" s="6"/>
      <c r="R87" s="7">
        <v>44688</v>
      </c>
      <c r="S87" s="7" t="s">
        <v>17</v>
      </c>
      <c r="T87" s="7" t="s">
        <v>12</v>
      </c>
    </row>
    <row r="88" spans="1:20" s="5" customFormat="1" ht="24.95" customHeight="1" x14ac:dyDescent="0.3">
      <c r="A88" s="10"/>
      <c r="B88" s="10"/>
      <c r="D88" s="6">
        <f t="shared" si="1"/>
        <v>87</v>
      </c>
      <c r="E88" s="7" t="s">
        <v>45</v>
      </c>
      <c r="F88" s="7" t="s">
        <v>223</v>
      </c>
      <c r="G88" s="7" t="s">
        <v>224</v>
      </c>
      <c r="H88" s="6"/>
      <c r="I88" s="6"/>
      <c r="J88" s="6"/>
      <c r="K88" s="6"/>
      <c r="L88" s="6">
        <v>1</v>
      </c>
      <c r="M88" s="8" t="s">
        <v>92</v>
      </c>
      <c r="N88" s="6"/>
      <c r="O88" s="6"/>
      <c r="P88" s="6"/>
      <c r="Q88" s="6"/>
      <c r="R88" s="7">
        <v>44688</v>
      </c>
      <c r="S88" s="7" t="s">
        <v>17</v>
      </c>
      <c r="T88" s="7" t="s">
        <v>12</v>
      </c>
    </row>
    <row r="89" spans="1:20" s="5" customFormat="1" ht="24.95" customHeight="1" x14ac:dyDescent="0.3">
      <c r="A89" s="10"/>
      <c r="B89" s="10"/>
      <c r="D89" s="6">
        <f t="shared" si="1"/>
        <v>88</v>
      </c>
      <c r="E89" s="7" t="s">
        <v>45</v>
      </c>
      <c r="F89" s="7" t="s">
        <v>225</v>
      </c>
      <c r="G89" s="7" t="s">
        <v>226</v>
      </c>
      <c r="H89" s="6"/>
      <c r="I89" s="6"/>
      <c r="J89" s="6"/>
      <c r="K89" s="6"/>
      <c r="L89" s="6"/>
      <c r="M89" s="6"/>
      <c r="N89" s="6">
        <v>1</v>
      </c>
      <c r="O89" s="8" t="s">
        <v>77</v>
      </c>
      <c r="P89" s="6"/>
      <c r="Q89" s="6"/>
      <c r="R89" s="7">
        <v>44688</v>
      </c>
      <c r="S89" s="7" t="s">
        <v>17</v>
      </c>
      <c r="T89" s="7" t="s">
        <v>12</v>
      </c>
    </row>
    <row r="90" spans="1:20" s="5" customFormat="1" ht="24.95" customHeight="1" x14ac:dyDescent="0.3">
      <c r="A90" s="10"/>
      <c r="B90" s="10"/>
      <c r="D90" s="6">
        <f t="shared" si="1"/>
        <v>89</v>
      </c>
      <c r="E90" s="7" t="s">
        <v>45</v>
      </c>
      <c r="F90" s="7" t="s">
        <v>227</v>
      </c>
      <c r="G90" s="7" t="s">
        <v>228</v>
      </c>
      <c r="H90" s="6"/>
      <c r="I90" s="6"/>
      <c r="J90" s="6"/>
      <c r="K90" s="6"/>
      <c r="L90" s="6"/>
      <c r="M90" s="6"/>
      <c r="N90" s="6">
        <v>1</v>
      </c>
      <c r="O90" s="8" t="s">
        <v>77</v>
      </c>
      <c r="P90" s="6"/>
      <c r="Q90" s="6"/>
      <c r="R90" s="7">
        <v>44688</v>
      </c>
      <c r="S90" s="7" t="s">
        <v>17</v>
      </c>
      <c r="T90" s="7" t="s">
        <v>12</v>
      </c>
    </row>
    <row r="91" spans="1:20" s="5" customFormat="1" ht="24.95" customHeight="1" x14ac:dyDescent="0.3">
      <c r="A91" s="10"/>
      <c r="B91" s="10"/>
      <c r="D91" s="6">
        <f t="shared" si="1"/>
        <v>90</v>
      </c>
      <c r="E91" s="7" t="s">
        <v>45</v>
      </c>
      <c r="F91" s="7" t="s">
        <v>229</v>
      </c>
      <c r="G91" s="7" t="s">
        <v>230</v>
      </c>
      <c r="H91" s="6"/>
      <c r="I91" s="6"/>
      <c r="J91" s="6"/>
      <c r="K91" s="6"/>
      <c r="L91" s="6"/>
      <c r="M91" s="6"/>
      <c r="N91" s="6">
        <v>1</v>
      </c>
      <c r="O91" s="8" t="s">
        <v>77</v>
      </c>
      <c r="P91" s="6"/>
      <c r="Q91" s="6"/>
      <c r="R91" s="7">
        <v>44688</v>
      </c>
      <c r="S91" s="7" t="s">
        <v>17</v>
      </c>
      <c r="T91" s="7" t="s">
        <v>12</v>
      </c>
    </row>
    <row r="92" spans="1:20" s="5" customFormat="1" ht="24.95" customHeight="1" x14ac:dyDescent="0.3">
      <c r="A92" s="10"/>
      <c r="B92" s="10"/>
      <c r="D92" s="6">
        <f t="shared" si="1"/>
        <v>91</v>
      </c>
      <c r="E92" s="7" t="s">
        <v>45</v>
      </c>
      <c r="F92" s="7" t="s">
        <v>231</v>
      </c>
      <c r="G92" s="7" t="s">
        <v>232</v>
      </c>
      <c r="H92" s="6"/>
      <c r="I92" s="6"/>
      <c r="J92" s="6"/>
      <c r="K92" s="6"/>
      <c r="L92" s="6">
        <v>1</v>
      </c>
      <c r="M92" s="8" t="s">
        <v>48</v>
      </c>
      <c r="N92" s="6"/>
      <c r="O92" s="6"/>
      <c r="P92" s="6"/>
      <c r="Q92" s="6"/>
      <c r="R92" s="7">
        <v>44688</v>
      </c>
      <c r="S92" s="7" t="s">
        <v>17</v>
      </c>
      <c r="T92" s="7" t="s">
        <v>12</v>
      </c>
    </row>
    <row r="93" spans="1:20" s="5" customFormat="1" ht="24.95" customHeight="1" x14ac:dyDescent="0.3">
      <c r="A93" s="10"/>
      <c r="B93" s="10"/>
      <c r="D93" s="6">
        <f t="shared" si="1"/>
        <v>92</v>
      </c>
      <c r="E93" s="7" t="s">
        <v>233</v>
      </c>
      <c r="F93" s="7" t="s">
        <v>234</v>
      </c>
      <c r="G93" s="7" t="s">
        <v>235</v>
      </c>
      <c r="H93" s="6"/>
      <c r="I93" s="6"/>
      <c r="J93" s="6"/>
      <c r="K93" s="6"/>
      <c r="L93" s="6">
        <v>1</v>
      </c>
      <c r="M93" s="8" t="s">
        <v>92</v>
      </c>
      <c r="N93" s="6"/>
      <c r="O93" s="6"/>
      <c r="P93" s="6"/>
      <c r="Q93" s="6"/>
      <c r="R93" s="7">
        <v>44715</v>
      </c>
      <c r="S93" s="7" t="s">
        <v>17</v>
      </c>
      <c r="T93" s="7" t="s">
        <v>12</v>
      </c>
    </row>
    <row r="94" spans="1:20" s="5" customFormat="1" ht="24.95" customHeight="1" x14ac:dyDescent="0.3">
      <c r="A94" s="10"/>
      <c r="B94" s="10"/>
      <c r="D94" s="6">
        <f t="shared" si="1"/>
        <v>93</v>
      </c>
      <c r="E94" s="7" t="s">
        <v>236</v>
      </c>
      <c r="F94" s="7" t="s">
        <v>237</v>
      </c>
      <c r="G94" s="7" t="s">
        <v>238</v>
      </c>
      <c r="H94" s="6"/>
      <c r="I94" s="6"/>
      <c r="J94" s="6"/>
      <c r="K94" s="6"/>
      <c r="L94" s="6"/>
      <c r="M94" s="6"/>
      <c r="N94" s="6"/>
      <c r="O94" s="6"/>
      <c r="P94" s="6">
        <v>1</v>
      </c>
      <c r="Q94" s="8" t="s">
        <v>16</v>
      </c>
      <c r="R94" s="7">
        <v>44720</v>
      </c>
      <c r="S94" s="7" t="s">
        <v>17</v>
      </c>
      <c r="T94" s="7" t="s">
        <v>12</v>
      </c>
    </row>
    <row r="95" spans="1:20" s="5" customFormat="1" ht="24.95" customHeight="1" x14ac:dyDescent="0.3">
      <c r="A95" s="10"/>
      <c r="B95" s="10"/>
      <c r="D95" s="6">
        <f t="shared" si="1"/>
        <v>94</v>
      </c>
      <c r="E95" s="7" t="s">
        <v>233</v>
      </c>
      <c r="F95" s="7" t="s">
        <v>239</v>
      </c>
      <c r="G95" s="7" t="s">
        <v>240</v>
      </c>
      <c r="H95" s="6"/>
      <c r="I95" s="6"/>
      <c r="J95" s="6"/>
      <c r="K95" s="6"/>
      <c r="L95" s="6">
        <v>1</v>
      </c>
      <c r="M95" s="8" t="s">
        <v>92</v>
      </c>
      <c r="N95" s="6"/>
      <c r="O95" s="6"/>
      <c r="P95" s="6"/>
      <c r="Q95" s="6"/>
      <c r="R95" s="7">
        <v>44722</v>
      </c>
      <c r="S95" s="7" t="s">
        <v>17</v>
      </c>
      <c r="T95" s="7" t="s">
        <v>12</v>
      </c>
    </row>
    <row r="96" spans="1:20" s="5" customFormat="1" ht="24.95" customHeight="1" x14ac:dyDescent="0.3">
      <c r="A96" s="10"/>
      <c r="B96" s="10"/>
      <c r="D96" s="6">
        <f t="shared" si="1"/>
        <v>95</v>
      </c>
      <c r="E96" s="7" t="s">
        <v>55</v>
      </c>
      <c r="F96" s="7" t="s">
        <v>241</v>
      </c>
      <c r="G96" s="7" t="s">
        <v>242</v>
      </c>
      <c r="H96" s="6"/>
      <c r="I96" s="6"/>
      <c r="J96" s="6"/>
      <c r="K96" s="6"/>
      <c r="L96" s="6"/>
      <c r="M96" s="6"/>
      <c r="N96" s="6"/>
      <c r="O96" s="6"/>
      <c r="P96" s="6">
        <v>1</v>
      </c>
      <c r="Q96" s="8" t="s">
        <v>58</v>
      </c>
      <c r="R96" s="7">
        <v>44726</v>
      </c>
      <c r="S96" s="7" t="s">
        <v>17</v>
      </c>
      <c r="T96" s="7" t="s">
        <v>12</v>
      </c>
    </row>
    <row r="97" spans="1:20" s="5" customFormat="1" ht="24.95" customHeight="1" x14ac:dyDescent="0.3">
      <c r="A97" s="10"/>
      <c r="B97" s="10"/>
      <c r="D97" s="6">
        <f t="shared" si="1"/>
        <v>96</v>
      </c>
      <c r="E97" s="7" t="s">
        <v>55</v>
      </c>
      <c r="F97" s="7" t="s">
        <v>243</v>
      </c>
      <c r="G97" s="7" t="s">
        <v>244</v>
      </c>
      <c r="H97" s="6"/>
      <c r="I97" s="6"/>
      <c r="J97" s="6"/>
      <c r="K97" s="6"/>
      <c r="L97" s="6"/>
      <c r="M97" s="6"/>
      <c r="N97" s="6"/>
      <c r="O97" s="6"/>
      <c r="P97" s="6">
        <v>1</v>
      </c>
      <c r="Q97" s="8" t="s">
        <v>58</v>
      </c>
      <c r="R97" s="7">
        <v>44726</v>
      </c>
      <c r="S97" s="7" t="s">
        <v>17</v>
      </c>
      <c r="T97" s="7" t="s">
        <v>12</v>
      </c>
    </row>
    <row r="98" spans="1:20" s="5" customFormat="1" ht="24.95" customHeight="1" x14ac:dyDescent="0.3">
      <c r="A98" s="10"/>
      <c r="B98" s="10"/>
      <c r="D98" s="6">
        <f t="shared" si="1"/>
        <v>97</v>
      </c>
      <c r="E98" s="7" t="s">
        <v>55</v>
      </c>
      <c r="F98" s="7" t="s">
        <v>245</v>
      </c>
      <c r="G98" s="7" t="s">
        <v>246</v>
      </c>
      <c r="H98" s="6"/>
      <c r="I98" s="6"/>
      <c r="J98" s="6"/>
      <c r="K98" s="6"/>
      <c r="L98" s="6"/>
      <c r="M98" s="6"/>
      <c r="N98" s="6"/>
      <c r="O98" s="6"/>
      <c r="P98" s="6">
        <v>1</v>
      </c>
      <c r="Q98" s="8" t="s">
        <v>58</v>
      </c>
      <c r="R98" s="7">
        <v>44732</v>
      </c>
      <c r="S98" s="7" t="s">
        <v>17</v>
      </c>
      <c r="T98" s="7" t="s">
        <v>12</v>
      </c>
    </row>
    <row r="99" spans="1:20" s="5" customFormat="1" ht="24.95" customHeight="1" x14ac:dyDescent="0.3">
      <c r="A99" s="10"/>
      <c r="B99" s="10"/>
      <c r="D99" s="6">
        <f t="shared" si="1"/>
        <v>98</v>
      </c>
      <c r="E99" s="7" t="s">
        <v>61</v>
      </c>
      <c r="F99" s="7" t="s">
        <v>247</v>
      </c>
      <c r="G99" s="7" t="s">
        <v>248</v>
      </c>
      <c r="H99" s="6"/>
      <c r="I99" s="6"/>
      <c r="J99" s="6"/>
      <c r="K99" s="6"/>
      <c r="L99" s="6"/>
      <c r="M99" s="6"/>
      <c r="N99" s="6"/>
      <c r="O99" s="6"/>
      <c r="P99" s="6">
        <v>1</v>
      </c>
      <c r="Q99" s="8" t="s">
        <v>16</v>
      </c>
      <c r="R99" s="7">
        <v>44736</v>
      </c>
      <c r="S99" s="7" t="s">
        <v>17</v>
      </c>
      <c r="T99" s="7" t="s">
        <v>12</v>
      </c>
    </row>
    <row r="100" spans="1:20" s="5" customFormat="1" ht="24.95" customHeight="1" x14ac:dyDescent="0.3">
      <c r="A100" s="10"/>
      <c r="B100" s="10"/>
      <c r="D100" s="6">
        <f t="shared" si="1"/>
        <v>99</v>
      </c>
      <c r="E100" s="7" t="s">
        <v>233</v>
      </c>
      <c r="F100" s="7" t="s">
        <v>249</v>
      </c>
      <c r="G100" s="7" t="s">
        <v>250</v>
      </c>
      <c r="H100" s="6"/>
      <c r="I100" s="6"/>
      <c r="J100" s="6"/>
      <c r="K100" s="6"/>
      <c r="L100" s="6"/>
      <c r="M100" s="6"/>
      <c r="N100" s="6"/>
      <c r="O100" s="6"/>
      <c r="P100" s="6">
        <v>1</v>
      </c>
      <c r="Q100" s="8" t="s">
        <v>25</v>
      </c>
      <c r="R100" s="7">
        <v>44738</v>
      </c>
      <c r="S100" s="7" t="s">
        <v>17</v>
      </c>
      <c r="T100" s="7" t="s">
        <v>12</v>
      </c>
    </row>
    <row r="101" spans="1:20" s="5" customFormat="1" ht="24.95" customHeight="1" x14ac:dyDescent="0.3">
      <c r="A101" s="10"/>
      <c r="B101" s="10"/>
      <c r="D101" s="6">
        <f t="shared" si="1"/>
        <v>100</v>
      </c>
      <c r="E101" s="7" t="s">
        <v>153</v>
      </c>
      <c r="F101" s="7" t="s">
        <v>251</v>
      </c>
      <c r="G101" s="7" t="s">
        <v>252</v>
      </c>
      <c r="H101" s="6"/>
      <c r="I101" s="6"/>
      <c r="J101" s="6"/>
      <c r="K101" s="6"/>
      <c r="L101" s="6"/>
      <c r="M101" s="6"/>
      <c r="N101" s="6">
        <v>1</v>
      </c>
      <c r="O101" s="8" t="s">
        <v>54</v>
      </c>
      <c r="P101" s="6"/>
      <c r="Q101" s="6"/>
      <c r="R101" s="7">
        <v>44741</v>
      </c>
      <c r="S101" s="7" t="s">
        <v>17</v>
      </c>
      <c r="T101" s="7" t="s">
        <v>12</v>
      </c>
    </row>
    <row r="102" spans="1:20" s="5" customFormat="1" ht="24.95" customHeight="1" x14ac:dyDescent="0.3">
      <c r="A102" s="10"/>
      <c r="B102" s="10"/>
      <c r="D102" s="6">
        <f t="shared" si="1"/>
        <v>101</v>
      </c>
      <c r="E102" s="7" t="s">
        <v>253</v>
      </c>
      <c r="F102" s="7" t="s">
        <v>254</v>
      </c>
      <c r="G102" s="7" t="s">
        <v>255</v>
      </c>
      <c r="H102" s="6"/>
      <c r="I102" s="6"/>
      <c r="J102" s="6"/>
      <c r="K102" s="6"/>
      <c r="L102" s="6"/>
      <c r="M102" s="6"/>
      <c r="N102" s="6">
        <v>1</v>
      </c>
      <c r="O102" s="8" t="s">
        <v>108</v>
      </c>
      <c r="P102" s="6"/>
      <c r="Q102" s="6"/>
      <c r="R102" s="7">
        <v>44756</v>
      </c>
      <c r="S102" s="7" t="s">
        <v>17</v>
      </c>
      <c r="T102" s="7" t="s">
        <v>12</v>
      </c>
    </row>
    <row r="103" spans="1:20" s="5" customFormat="1" ht="24.95" customHeight="1" x14ac:dyDescent="0.3">
      <c r="A103" s="10"/>
      <c r="B103" s="10"/>
      <c r="D103" s="6">
        <f t="shared" si="1"/>
        <v>102</v>
      </c>
      <c r="E103" s="7" t="s">
        <v>169</v>
      </c>
      <c r="F103" s="7" t="s">
        <v>256</v>
      </c>
      <c r="G103" s="7" t="s">
        <v>257</v>
      </c>
      <c r="H103" s="6"/>
      <c r="I103" s="6"/>
      <c r="J103" s="6">
        <v>1</v>
      </c>
      <c r="K103" s="8" t="s">
        <v>80</v>
      </c>
      <c r="L103" s="6"/>
      <c r="M103" s="6"/>
      <c r="N103" s="6"/>
      <c r="O103" s="6"/>
      <c r="P103" s="6"/>
      <c r="Q103" s="6"/>
      <c r="R103" s="7">
        <v>44761</v>
      </c>
      <c r="S103" s="7" t="s">
        <v>17</v>
      </c>
      <c r="T103" s="7" t="s">
        <v>12</v>
      </c>
    </row>
    <row r="104" spans="1:20" s="5" customFormat="1" ht="24.95" customHeight="1" x14ac:dyDescent="0.3">
      <c r="A104" s="10"/>
      <c r="B104" s="10"/>
      <c r="D104" s="6">
        <f t="shared" si="1"/>
        <v>103</v>
      </c>
      <c r="E104" s="7" t="s">
        <v>258</v>
      </c>
      <c r="F104" s="7" t="s">
        <v>259</v>
      </c>
      <c r="G104" s="7" t="s">
        <v>260</v>
      </c>
      <c r="H104" s="6"/>
      <c r="I104" s="6"/>
      <c r="J104" s="6">
        <v>1</v>
      </c>
      <c r="K104" s="8" t="s">
        <v>80</v>
      </c>
      <c r="L104" s="6"/>
      <c r="M104" s="6"/>
      <c r="N104" s="6"/>
      <c r="O104" s="6"/>
      <c r="P104" s="6"/>
      <c r="Q104" s="6"/>
      <c r="R104" s="7">
        <v>44770</v>
      </c>
      <c r="S104" s="7" t="s">
        <v>17</v>
      </c>
      <c r="T104" s="7" t="s">
        <v>12</v>
      </c>
    </row>
    <row r="105" spans="1:20" s="5" customFormat="1" ht="24.95" customHeight="1" x14ac:dyDescent="0.3">
      <c r="A105" s="10"/>
      <c r="B105" s="10"/>
      <c r="D105" s="6">
        <f t="shared" si="1"/>
        <v>104</v>
      </c>
      <c r="E105" s="7" t="s">
        <v>261</v>
      </c>
      <c r="F105" s="7" t="s">
        <v>262</v>
      </c>
      <c r="G105" s="7" t="s">
        <v>263</v>
      </c>
      <c r="H105" s="6"/>
      <c r="I105" s="6"/>
      <c r="J105" s="6"/>
      <c r="K105" s="6"/>
      <c r="L105" s="6"/>
      <c r="M105" s="6"/>
      <c r="N105" s="6"/>
      <c r="O105" s="6"/>
      <c r="P105" s="6">
        <v>1</v>
      </c>
      <c r="Q105" s="8" t="s">
        <v>58</v>
      </c>
      <c r="R105" s="7">
        <v>44774</v>
      </c>
      <c r="S105" s="7" t="s">
        <v>17</v>
      </c>
      <c r="T105" s="7" t="s">
        <v>12</v>
      </c>
    </row>
    <row r="106" spans="1:20" s="5" customFormat="1" ht="24.95" customHeight="1" x14ac:dyDescent="0.3">
      <c r="A106" s="10"/>
      <c r="B106" s="10"/>
      <c r="D106" s="6">
        <f t="shared" si="1"/>
        <v>105</v>
      </c>
      <c r="E106" s="7" t="s">
        <v>261</v>
      </c>
      <c r="F106" s="7" t="s">
        <v>264</v>
      </c>
      <c r="G106" s="7" t="s">
        <v>265</v>
      </c>
      <c r="H106" s="6"/>
      <c r="I106" s="6"/>
      <c r="J106" s="6"/>
      <c r="K106" s="6"/>
      <c r="L106" s="6"/>
      <c r="M106" s="6"/>
      <c r="N106" s="6"/>
      <c r="O106" s="6"/>
      <c r="P106" s="6">
        <v>1</v>
      </c>
      <c r="Q106" s="8" t="s">
        <v>58</v>
      </c>
      <c r="R106" s="7">
        <v>44774</v>
      </c>
      <c r="S106" s="7" t="s">
        <v>17</v>
      </c>
      <c r="T106" s="7" t="s">
        <v>12</v>
      </c>
    </row>
    <row r="107" spans="1:20" s="5" customFormat="1" ht="24.95" customHeight="1" x14ac:dyDescent="0.3">
      <c r="A107" s="10"/>
      <c r="B107" s="10"/>
      <c r="D107" s="6">
        <f t="shared" si="1"/>
        <v>106</v>
      </c>
      <c r="E107" s="7" t="s">
        <v>266</v>
      </c>
      <c r="F107" s="7" t="s">
        <v>267</v>
      </c>
      <c r="G107" s="7" t="s">
        <v>268</v>
      </c>
      <c r="H107" s="6"/>
      <c r="I107" s="6"/>
      <c r="J107" s="6"/>
      <c r="K107" s="6"/>
      <c r="L107" s="6">
        <v>1</v>
      </c>
      <c r="M107" s="8" t="s">
        <v>92</v>
      </c>
      <c r="N107" s="6"/>
      <c r="O107" s="6"/>
      <c r="P107" s="6"/>
      <c r="Q107" s="6"/>
      <c r="R107" s="7">
        <v>44775</v>
      </c>
      <c r="S107" s="7" t="s">
        <v>17</v>
      </c>
      <c r="T107" s="7" t="s">
        <v>12</v>
      </c>
    </row>
    <row r="108" spans="1:20" s="5" customFormat="1" ht="24.95" customHeight="1" x14ac:dyDescent="0.3">
      <c r="A108" s="10"/>
      <c r="B108" s="10"/>
      <c r="D108" s="6">
        <f t="shared" si="1"/>
        <v>107</v>
      </c>
      <c r="E108" s="7" t="s">
        <v>269</v>
      </c>
      <c r="F108" s="7" t="s">
        <v>270</v>
      </c>
      <c r="G108" s="7" t="s">
        <v>271</v>
      </c>
      <c r="H108" s="6"/>
      <c r="I108" s="6"/>
      <c r="J108" s="6"/>
      <c r="K108" s="6"/>
      <c r="L108" s="6"/>
      <c r="M108" s="6"/>
      <c r="N108" s="6"/>
      <c r="O108" s="6"/>
      <c r="P108" s="6">
        <v>1</v>
      </c>
      <c r="Q108" s="8" t="s">
        <v>272</v>
      </c>
      <c r="R108" s="7">
        <v>44785</v>
      </c>
      <c r="S108" s="7" t="s">
        <v>17</v>
      </c>
      <c r="T108" s="7" t="s">
        <v>12</v>
      </c>
    </row>
    <row r="109" spans="1:20" s="5" customFormat="1" ht="24.95" customHeight="1" x14ac:dyDescent="0.3">
      <c r="A109" s="10"/>
      <c r="B109" s="10"/>
      <c r="D109" s="6">
        <f t="shared" si="1"/>
        <v>108</v>
      </c>
      <c r="E109" s="7" t="s">
        <v>65</v>
      </c>
      <c r="F109" s="7" t="s">
        <v>273</v>
      </c>
      <c r="G109" s="7" t="s">
        <v>274</v>
      </c>
      <c r="H109" s="6"/>
      <c r="I109" s="6"/>
      <c r="J109" s="6"/>
      <c r="K109" s="6"/>
      <c r="L109" s="6"/>
      <c r="M109" s="6"/>
      <c r="N109" s="6"/>
      <c r="O109" s="6"/>
      <c r="P109" s="6">
        <v>1</v>
      </c>
      <c r="Q109" s="8" t="s">
        <v>58</v>
      </c>
      <c r="R109" s="7">
        <v>44788</v>
      </c>
      <c r="S109" s="7" t="s">
        <v>17</v>
      </c>
      <c r="T109" s="7" t="s">
        <v>12</v>
      </c>
    </row>
    <row r="110" spans="1:20" s="5" customFormat="1" ht="24.95" customHeight="1" x14ac:dyDescent="0.3">
      <c r="A110" s="10"/>
      <c r="B110" s="10"/>
      <c r="D110" s="6">
        <f t="shared" si="1"/>
        <v>109</v>
      </c>
      <c r="E110" s="7" t="s">
        <v>61</v>
      </c>
      <c r="F110" s="7" t="s">
        <v>275</v>
      </c>
      <c r="G110" s="7" t="s">
        <v>276</v>
      </c>
      <c r="H110" s="6">
        <v>1</v>
      </c>
      <c r="I110" s="8" t="s">
        <v>277</v>
      </c>
      <c r="J110" s="6"/>
      <c r="K110" s="6"/>
      <c r="L110" s="6"/>
      <c r="M110" s="6"/>
      <c r="N110" s="6"/>
      <c r="O110" s="6"/>
      <c r="P110" s="6"/>
      <c r="Q110" s="6"/>
      <c r="R110" s="7">
        <v>44825</v>
      </c>
      <c r="S110" s="7" t="s">
        <v>17</v>
      </c>
      <c r="T110" s="7" t="s">
        <v>12</v>
      </c>
    </row>
    <row r="111" spans="1:20" s="5" customFormat="1" ht="24.95" customHeight="1" x14ac:dyDescent="0.3">
      <c r="A111" s="10"/>
      <c r="B111" s="10"/>
      <c r="D111" s="6">
        <f t="shared" si="1"/>
        <v>110</v>
      </c>
      <c r="E111" s="7" t="s">
        <v>278</v>
      </c>
      <c r="F111" s="7" t="s">
        <v>279</v>
      </c>
      <c r="G111" s="7" t="s">
        <v>280</v>
      </c>
      <c r="H111" s="6">
        <v>1</v>
      </c>
      <c r="I111" s="8" t="s">
        <v>281</v>
      </c>
      <c r="J111" s="6"/>
      <c r="K111" s="6"/>
      <c r="L111" s="6"/>
      <c r="M111" s="6"/>
      <c r="N111" s="6"/>
      <c r="O111" s="6"/>
      <c r="P111" s="6"/>
      <c r="Q111" s="6"/>
      <c r="R111" s="7">
        <v>44825</v>
      </c>
      <c r="S111" s="7" t="s">
        <v>17</v>
      </c>
      <c r="T111" s="7" t="s">
        <v>12</v>
      </c>
    </row>
    <row r="112" spans="1:20" s="5" customFormat="1" ht="24.95" customHeight="1" x14ac:dyDescent="0.3">
      <c r="A112" s="10"/>
      <c r="B112" s="10"/>
      <c r="D112" s="6">
        <f t="shared" si="1"/>
        <v>111</v>
      </c>
      <c r="E112" s="7" t="s">
        <v>278</v>
      </c>
      <c r="F112" s="7" t="s">
        <v>282</v>
      </c>
      <c r="G112" s="7" t="s">
        <v>283</v>
      </c>
      <c r="H112" s="6"/>
      <c r="I112" s="6"/>
      <c r="J112" s="6"/>
      <c r="K112" s="6"/>
      <c r="L112" s="6">
        <v>1</v>
      </c>
      <c r="M112" s="8" t="s">
        <v>48</v>
      </c>
      <c r="N112" s="6"/>
      <c r="O112" s="6"/>
      <c r="P112" s="6"/>
      <c r="Q112" s="6"/>
      <c r="R112" s="7">
        <v>44825</v>
      </c>
      <c r="S112" s="7" t="s">
        <v>17</v>
      </c>
      <c r="T112" s="7" t="s">
        <v>12</v>
      </c>
    </row>
    <row r="113" spans="1:20" s="5" customFormat="1" ht="24.95" customHeight="1" x14ac:dyDescent="0.3">
      <c r="A113" s="10"/>
      <c r="B113" s="10"/>
      <c r="D113" s="6">
        <f t="shared" si="1"/>
        <v>112</v>
      </c>
      <c r="E113" s="7" t="s">
        <v>278</v>
      </c>
      <c r="F113" s="7" t="s">
        <v>284</v>
      </c>
      <c r="G113" s="7" t="s">
        <v>285</v>
      </c>
      <c r="H113" s="6">
        <v>1</v>
      </c>
      <c r="I113" s="8" t="s">
        <v>281</v>
      </c>
      <c r="J113" s="6"/>
      <c r="K113" s="6"/>
      <c r="L113" s="6"/>
      <c r="M113" s="6"/>
      <c r="N113" s="6"/>
      <c r="O113" s="6"/>
      <c r="P113" s="6"/>
      <c r="Q113" s="6"/>
      <c r="R113" s="7">
        <v>44825</v>
      </c>
      <c r="S113" s="7" t="s">
        <v>17</v>
      </c>
      <c r="T113" s="7" t="s">
        <v>12</v>
      </c>
    </row>
    <row r="114" spans="1:20" s="5" customFormat="1" ht="24.95" customHeight="1" x14ac:dyDescent="0.3">
      <c r="A114" s="10"/>
      <c r="B114" s="10"/>
      <c r="D114" s="6">
        <f t="shared" si="1"/>
        <v>113</v>
      </c>
      <c r="E114" s="7" t="s">
        <v>286</v>
      </c>
      <c r="F114" s="7" t="s">
        <v>287</v>
      </c>
      <c r="G114" s="7" t="s">
        <v>288</v>
      </c>
      <c r="H114" s="6"/>
      <c r="I114" s="6"/>
      <c r="J114" s="6"/>
      <c r="K114" s="6"/>
      <c r="L114" s="6">
        <v>1</v>
      </c>
      <c r="M114" s="8" t="s">
        <v>48</v>
      </c>
      <c r="N114" s="6"/>
      <c r="O114" s="6"/>
      <c r="P114" s="6"/>
      <c r="Q114" s="6"/>
      <c r="R114" s="7">
        <v>44845</v>
      </c>
      <c r="S114" s="7" t="s">
        <v>17</v>
      </c>
      <c r="T114" s="7" t="s">
        <v>12</v>
      </c>
    </row>
    <row r="115" spans="1:20" s="5" customFormat="1" ht="24.95" customHeight="1" x14ac:dyDescent="0.3">
      <c r="A115" s="10"/>
      <c r="B115" s="10"/>
      <c r="D115" s="6">
        <f t="shared" si="1"/>
        <v>114</v>
      </c>
      <c r="E115" s="7" t="s">
        <v>61</v>
      </c>
      <c r="F115" s="7" t="s">
        <v>289</v>
      </c>
      <c r="G115" s="7" t="s">
        <v>290</v>
      </c>
      <c r="H115" s="6"/>
      <c r="I115" s="6"/>
      <c r="J115" s="6"/>
      <c r="K115" s="6"/>
      <c r="L115" s="6">
        <v>1</v>
      </c>
      <c r="M115" s="8" t="s">
        <v>92</v>
      </c>
      <c r="N115" s="6"/>
      <c r="O115" s="6"/>
      <c r="P115" s="6"/>
      <c r="Q115" s="6"/>
      <c r="R115" s="7">
        <v>44847</v>
      </c>
      <c r="S115" s="7" t="s">
        <v>17</v>
      </c>
      <c r="T115" s="7" t="s">
        <v>12</v>
      </c>
    </row>
    <row r="116" spans="1:20" s="5" customFormat="1" ht="24.95" customHeight="1" x14ac:dyDescent="0.3">
      <c r="A116" s="10"/>
      <c r="B116" s="10"/>
      <c r="D116" s="6">
        <f t="shared" si="1"/>
        <v>115</v>
      </c>
      <c r="E116" s="7" t="s">
        <v>61</v>
      </c>
      <c r="F116" s="7" t="s">
        <v>291</v>
      </c>
      <c r="G116" s="7" t="s">
        <v>292</v>
      </c>
      <c r="H116" s="6"/>
      <c r="I116" s="6"/>
      <c r="J116" s="6"/>
      <c r="K116" s="6"/>
      <c r="L116" s="6"/>
      <c r="M116" s="6"/>
      <c r="N116" s="6">
        <v>1</v>
      </c>
      <c r="O116" s="8" t="s">
        <v>108</v>
      </c>
      <c r="P116" s="6"/>
      <c r="Q116" s="6"/>
      <c r="R116" s="7">
        <v>44847</v>
      </c>
      <c r="S116" s="7" t="s">
        <v>17</v>
      </c>
      <c r="T116" s="7" t="s">
        <v>12</v>
      </c>
    </row>
    <row r="117" spans="1:20" s="5" customFormat="1" ht="24.95" customHeight="1" x14ac:dyDescent="0.3">
      <c r="A117" s="10"/>
      <c r="B117" s="10"/>
      <c r="D117" s="6">
        <f t="shared" si="1"/>
        <v>116</v>
      </c>
      <c r="E117" s="7" t="s">
        <v>61</v>
      </c>
      <c r="F117" s="7" t="s">
        <v>293</v>
      </c>
      <c r="G117" s="7" t="s">
        <v>294</v>
      </c>
      <c r="H117" s="6"/>
      <c r="I117" s="6"/>
      <c r="J117" s="6"/>
      <c r="K117" s="6"/>
      <c r="L117" s="6"/>
      <c r="M117" s="6"/>
      <c r="N117" s="6">
        <v>1</v>
      </c>
      <c r="O117" s="8" t="s">
        <v>77</v>
      </c>
      <c r="P117" s="6"/>
      <c r="Q117" s="6"/>
      <c r="R117" s="7">
        <v>44847</v>
      </c>
      <c r="S117" s="7" t="s">
        <v>17</v>
      </c>
      <c r="T117" s="7" t="s">
        <v>12</v>
      </c>
    </row>
    <row r="118" spans="1:20" s="5" customFormat="1" ht="24.95" customHeight="1" x14ac:dyDescent="0.3">
      <c r="A118" s="10"/>
      <c r="B118" s="10"/>
      <c r="D118" s="6">
        <f t="shared" si="1"/>
        <v>117</v>
      </c>
      <c r="E118" s="7" t="s">
        <v>61</v>
      </c>
      <c r="F118" s="7" t="s">
        <v>295</v>
      </c>
      <c r="G118" s="7" t="s">
        <v>296</v>
      </c>
      <c r="H118" s="6">
        <v>1</v>
      </c>
      <c r="I118" s="8" t="s">
        <v>281</v>
      </c>
      <c r="J118" s="6"/>
      <c r="K118" s="6"/>
      <c r="L118" s="6"/>
      <c r="M118" s="6"/>
      <c r="N118" s="6"/>
      <c r="O118" s="6"/>
      <c r="P118" s="6"/>
      <c r="Q118" s="6"/>
      <c r="R118" s="7">
        <v>44847</v>
      </c>
      <c r="S118" s="7" t="s">
        <v>17</v>
      </c>
      <c r="T118" s="7" t="s">
        <v>12</v>
      </c>
    </row>
    <row r="119" spans="1:20" s="5" customFormat="1" ht="24.95" customHeight="1" x14ac:dyDescent="0.3">
      <c r="A119" s="10"/>
      <c r="B119" s="10"/>
      <c r="D119" s="6">
        <f t="shared" si="1"/>
        <v>118</v>
      </c>
      <c r="E119" s="7" t="s">
        <v>297</v>
      </c>
      <c r="F119" s="7" t="s">
        <v>298</v>
      </c>
      <c r="G119" s="7" t="s">
        <v>299</v>
      </c>
      <c r="H119" s="6"/>
      <c r="I119" s="6"/>
      <c r="J119" s="6"/>
      <c r="K119" s="6"/>
      <c r="L119" s="6"/>
      <c r="M119" s="6"/>
      <c r="N119" s="6"/>
      <c r="O119" s="6"/>
      <c r="P119" s="6">
        <v>1</v>
      </c>
      <c r="Q119" s="8" t="s">
        <v>58</v>
      </c>
      <c r="R119" s="7">
        <v>44868</v>
      </c>
      <c r="S119" s="7" t="s">
        <v>17</v>
      </c>
      <c r="T119" s="7" t="s">
        <v>12</v>
      </c>
    </row>
    <row r="120" spans="1:20" s="5" customFormat="1" ht="24.95" customHeight="1" x14ac:dyDescent="0.3">
      <c r="A120" s="10"/>
      <c r="B120" s="10"/>
      <c r="D120" s="6">
        <f t="shared" si="1"/>
        <v>119</v>
      </c>
      <c r="E120" s="7" t="s">
        <v>297</v>
      </c>
      <c r="F120" s="7" t="s">
        <v>300</v>
      </c>
      <c r="G120" s="7" t="s">
        <v>301</v>
      </c>
      <c r="H120" s="6"/>
      <c r="I120" s="6"/>
      <c r="J120" s="6"/>
      <c r="K120" s="6"/>
      <c r="L120" s="6"/>
      <c r="M120" s="6"/>
      <c r="N120" s="6"/>
      <c r="O120" s="6"/>
      <c r="P120" s="6">
        <v>1</v>
      </c>
      <c r="Q120" s="8" t="s">
        <v>25</v>
      </c>
      <c r="R120" s="7">
        <v>44868</v>
      </c>
      <c r="S120" s="7" t="s">
        <v>17</v>
      </c>
      <c r="T120" s="7" t="s">
        <v>12</v>
      </c>
    </row>
    <row r="121" spans="1:20" s="5" customFormat="1" ht="24.95" customHeight="1" x14ac:dyDescent="0.3">
      <c r="A121" s="10"/>
      <c r="B121" s="10"/>
      <c r="D121" s="6">
        <f t="shared" si="1"/>
        <v>120</v>
      </c>
      <c r="E121" s="7" t="s">
        <v>269</v>
      </c>
      <c r="F121" s="7" t="s">
        <v>302</v>
      </c>
      <c r="G121" s="7" t="s">
        <v>303</v>
      </c>
      <c r="H121" s="6"/>
      <c r="I121" s="6"/>
      <c r="J121" s="6"/>
      <c r="K121" s="6"/>
      <c r="L121" s="6">
        <v>1</v>
      </c>
      <c r="M121" s="8" t="s">
        <v>48</v>
      </c>
      <c r="N121" s="6"/>
      <c r="O121" s="6"/>
      <c r="P121" s="6"/>
      <c r="Q121" s="6"/>
      <c r="R121" s="7">
        <v>44869</v>
      </c>
      <c r="S121" s="7" t="s">
        <v>17</v>
      </c>
      <c r="T121" s="7" t="s">
        <v>12</v>
      </c>
    </row>
    <row r="122" spans="1:20" s="5" customFormat="1" ht="24.95" customHeight="1" x14ac:dyDescent="0.3">
      <c r="A122" s="10"/>
      <c r="B122" s="10"/>
      <c r="D122" s="6">
        <f t="shared" si="1"/>
        <v>121</v>
      </c>
      <c r="E122" s="7" t="s">
        <v>269</v>
      </c>
      <c r="F122" s="7" t="s">
        <v>304</v>
      </c>
      <c r="G122" s="7" t="s">
        <v>305</v>
      </c>
      <c r="H122" s="6"/>
      <c r="I122" s="6"/>
      <c r="J122" s="6"/>
      <c r="K122" s="6"/>
      <c r="L122" s="6">
        <v>1</v>
      </c>
      <c r="M122" s="8" t="s">
        <v>48</v>
      </c>
      <c r="N122" s="6"/>
      <c r="O122" s="6"/>
      <c r="P122" s="6"/>
      <c r="Q122" s="6"/>
      <c r="R122" s="7">
        <v>44869</v>
      </c>
      <c r="S122" s="7" t="s">
        <v>17</v>
      </c>
      <c r="T122" s="7" t="s">
        <v>12</v>
      </c>
    </row>
    <row r="123" spans="1:20" s="5" customFormat="1" ht="24.95" customHeight="1" x14ac:dyDescent="0.3">
      <c r="A123" s="10"/>
      <c r="B123" s="10"/>
      <c r="D123" s="6">
        <f t="shared" si="1"/>
        <v>122</v>
      </c>
      <c r="E123" s="7" t="s">
        <v>306</v>
      </c>
      <c r="F123" s="7" t="s">
        <v>307</v>
      </c>
      <c r="G123" s="7" t="s">
        <v>308</v>
      </c>
      <c r="H123" s="6"/>
      <c r="I123" s="6"/>
      <c r="J123" s="6"/>
      <c r="K123" s="6"/>
      <c r="L123" s="6"/>
      <c r="M123" s="6"/>
      <c r="N123" s="6">
        <v>1</v>
      </c>
      <c r="O123" s="8" t="s">
        <v>77</v>
      </c>
      <c r="P123" s="6"/>
      <c r="Q123" s="6"/>
      <c r="R123" s="7">
        <v>44873</v>
      </c>
      <c r="S123" s="7" t="s">
        <v>17</v>
      </c>
      <c r="T123" s="7" t="s">
        <v>12</v>
      </c>
    </row>
    <row r="124" spans="1:20" s="5" customFormat="1" ht="24.95" customHeight="1" x14ac:dyDescent="0.3">
      <c r="A124" s="10"/>
      <c r="B124" s="10"/>
      <c r="D124" s="6">
        <f t="shared" si="1"/>
        <v>123</v>
      </c>
      <c r="E124" s="7" t="s">
        <v>72</v>
      </c>
      <c r="F124" s="7" t="s">
        <v>309</v>
      </c>
      <c r="G124" s="7" t="s">
        <v>310</v>
      </c>
      <c r="H124" s="6"/>
      <c r="I124" s="6"/>
      <c r="J124" s="6"/>
      <c r="K124" s="6"/>
      <c r="L124" s="6"/>
      <c r="M124" s="6"/>
      <c r="N124" s="6"/>
      <c r="O124" s="6"/>
      <c r="P124" s="6">
        <v>1</v>
      </c>
      <c r="Q124" s="8" t="s">
        <v>272</v>
      </c>
      <c r="R124" s="7">
        <v>44879</v>
      </c>
      <c r="S124" s="7" t="s">
        <v>17</v>
      </c>
      <c r="T124" s="7" t="s">
        <v>12</v>
      </c>
    </row>
    <row r="125" spans="1:20" s="5" customFormat="1" ht="24.95" customHeight="1" x14ac:dyDescent="0.3">
      <c r="A125" s="10"/>
      <c r="B125" s="10"/>
      <c r="D125" s="6">
        <f t="shared" si="1"/>
        <v>124</v>
      </c>
      <c r="E125" s="7" t="s">
        <v>72</v>
      </c>
      <c r="F125" s="7" t="s">
        <v>311</v>
      </c>
      <c r="G125" s="7" t="s">
        <v>312</v>
      </c>
      <c r="H125" s="6"/>
      <c r="I125" s="6"/>
      <c r="J125" s="6"/>
      <c r="K125" s="6"/>
      <c r="L125" s="6"/>
      <c r="M125" s="6"/>
      <c r="N125" s="6"/>
      <c r="O125" s="6"/>
      <c r="P125" s="6">
        <v>1</v>
      </c>
      <c r="Q125" s="8" t="s">
        <v>272</v>
      </c>
      <c r="R125" s="7">
        <v>44879</v>
      </c>
      <c r="S125" s="7" t="s">
        <v>17</v>
      </c>
      <c r="T125" s="7" t="s">
        <v>12</v>
      </c>
    </row>
    <row r="126" spans="1:20" s="5" customFormat="1" ht="24.95" customHeight="1" x14ac:dyDescent="0.3">
      <c r="A126" s="10"/>
      <c r="B126" s="10"/>
      <c r="D126" s="6">
        <f t="shared" si="1"/>
        <v>125</v>
      </c>
      <c r="E126" s="7" t="s">
        <v>89</v>
      </c>
      <c r="F126" s="7" t="s">
        <v>313</v>
      </c>
      <c r="G126" s="7" t="s">
        <v>314</v>
      </c>
      <c r="H126" s="6"/>
      <c r="I126" s="6"/>
      <c r="J126" s="6"/>
      <c r="K126" s="6"/>
      <c r="L126" s="6">
        <v>1</v>
      </c>
      <c r="M126" s="8" t="s">
        <v>48</v>
      </c>
      <c r="N126" s="6"/>
      <c r="O126" s="6"/>
      <c r="P126" s="6"/>
      <c r="Q126" s="6"/>
      <c r="R126" s="7">
        <v>44910</v>
      </c>
      <c r="S126" s="7" t="s">
        <v>17</v>
      </c>
      <c r="T126" s="7" t="s">
        <v>12</v>
      </c>
    </row>
    <row r="127" spans="1:20" s="5" customFormat="1" ht="24.95" customHeight="1" x14ac:dyDescent="0.3">
      <c r="A127" s="10"/>
      <c r="B127" s="10"/>
      <c r="D127" s="6">
        <f t="shared" si="1"/>
        <v>126</v>
      </c>
      <c r="E127" s="7" t="s">
        <v>89</v>
      </c>
      <c r="F127" s="7" t="s">
        <v>315</v>
      </c>
      <c r="G127" s="7" t="s">
        <v>316</v>
      </c>
      <c r="H127" s="6"/>
      <c r="I127" s="6"/>
      <c r="J127" s="6"/>
      <c r="K127" s="6"/>
      <c r="L127" s="6">
        <v>1</v>
      </c>
      <c r="M127" s="8" t="s">
        <v>48</v>
      </c>
      <c r="N127" s="6"/>
      <c r="O127" s="6"/>
      <c r="P127" s="6"/>
      <c r="Q127" s="6"/>
      <c r="R127" s="7">
        <v>44910</v>
      </c>
      <c r="S127" s="7" t="s">
        <v>17</v>
      </c>
      <c r="T127" s="7" t="s">
        <v>12</v>
      </c>
    </row>
    <row r="128" spans="1:20" s="5" customFormat="1" ht="24.95" customHeight="1" x14ac:dyDescent="0.3">
      <c r="A128" s="10"/>
      <c r="B128" s="10"/>
      <c r="D128" s="6">
        <f t="shared" si="1"/>
        <v>127</v>
      </c>
      <c r="E128" s="7" t="s">
        <v>317</v>
      </c>
      <c r="F128" s="7" t="s">
        <v>318</v>
      </c>
      <c r="G128" s="7" t="s">
        <v>319</v>
      </c>
      <c r="H128" s="6"/>
      <c r="I128" s="6"/>
      <c r="J128" s="6"/>
      <c r="K128" s="6"/>
      <c r="L128" s="6"/>
      <c r="M128" s="6"/>
      <c r="N128" s="6">
        <v>1</v>
      </c>
      <c r="O128" s="8" t="s">
        <v>54</v>
      </c>
      <c r="P128" s="6"/>
      <c r="Q128" s="6"/>
      <c r="R128" s="7">
        <v>44917</v>
      </c>
      <c r="S128" s="7" t="s">
        <v>17</v>
      </c>
      <c r="T128" s="7" t="s">
        <v>12</v>
      </c>
    </row>
    <row r="129" spans="1:20" s="5" customFormat="1" ht="24.95" customHeight="1" x14ac:dyDescent="0.3">
      <c r="A129" s="10"/>
      <c r="B129" s="10"/>
      <c r="D129" s="6">
        <f t="shared" si="1"/>
        <v>128</v>
      </c>
      <c r="E129" s="7" t="s">
        <v>317</v>
      </c>
      <c r="F129" s="7" t="s">
        <v>320</v>
      </c>
      <c r="G129" s="7" t="s">
        <v>321</v>
      </c>
      <c r="H129" s="6"/>
      <c r="I129" s="6"/>
      <c r="J129" s="6"/>
      <c r="K129" s="6"/>
      <c r="L129" s="6"/>
      <c r="M129" s="6"/>
      <c r="N129" s="6"/>
      <c r="O129" s="6"/>
      <c r="P129" s="6">
        <v>1</v>
      </c>
      <c r="Q129" s="8" t="s">
        <v>16</v>
      </c>
      <c r="R129" s="7">
        <v>44917</v>
      </c>
      <c r="S129" s="7" t="s">
        <v>17</v>
      </c>
      <c r="T129" s="7" t="s">
        <v>12</v>
      </c>
    </row>
    <row r="130" spans="1:20" s="5" customFormat="1" ht="24.95" customHeight="1" x14ac:dyDescent="0.3">
      <c r="A130" s="10"/>
      <c r="B130" s="10"/>
      <c r="D130" s="6">
        <f t="shared" si="1"/>
        <v>129</v>
      </c>
      <c r="E130" s="7" t="s">
        <v>317</v>
      </c>
      <c r="F130" s="7" t="s">
        <v>322</v>
      </c>
      <c r="G130" s="7" t="s">
        <v>323</v>
      </c>
      <c r="H130" s="6"/>
      <c r="I130" s="6"/>
      <c r="J130" s="6"/>
      <c r="K130" s="6"/>
      <c r="L130" s="6">
        <v>1</v>
      </c>
      <c r="M130" s="8" t="s">
        <v>48</v>
      </c>
      <c r="N130" s="6"/>
      <c r="O130" s="6"/>
      <c r="P130" s="6"/>
      <c r="Q130" s="6"/>
      <c r="R130" s="7">
        <v>44917</v>
      </c>
      <c r="S130" s="7" t="s">
        <v>17</v>
      </c>
      <c r="T130" s="7" t="s">
        <v>12</v>
      </c>
    </row>
    <row r="131" spans="1:20" s="5" customFormat="1" ht="24.95" customHeight="1" x14ac:dyDescent="0.3">
      <c r="A131" s="10"/>
      <c r="B131" s="10"/>
      <c r="D131" s="6">
        <f t="shared" ref="D131:D194" si="2">ROW()-1</f>
        <v>130</v>
      </c>
      <c r="E131" s="7" t="s">
        <v>269</v>
      </c>
      <c r="F131" s="7" t="s">
        <v>324</v>
      </c>
      <c r="G131" s="7" t="s">
        <v>319</v>
      </c>
      <c r="H131" s="6"/>
      <c r="I131" s="6"/>
      <c r="J131" s="6"/>
      <c r="K131" s="6"/>
      <c r="L131" s="6"/>
      <c r="M131" s="6"/>
      <c r="N131" s="6">
        <v>1</v>
      </c>
      <c r="O131" s="8" t="s">
        <v>54</v>
      </c>
      <c r="P131" s="6"/>
      <c r="Q131" s="6"/>
      <c r="R131" s="7">
        <v>44917</v>
      </c>
      <c r="S131" s="7" t="s">
        <v>17</v>
      </c>
      <c r="T131" s="7" t="s">
        <v>12</v>
      </c>
    </row>
    <row r="132" spans="1:20" s="5" customFormat="1" ht="24.95" customHeight="1" x14ac:dyDescent="0.3">
      <c r="A132" s="10"/>
      <c r="B132" s="10"/>
      <c r="D132" s="6">
        <f t="shared" si="2"/>
        <v>131</v>
      </c>
      <c r="E132" s="7" t="s">
        <v>269</v>
      </c>
      <c r="F132" s="7" t="s">
        <v>325</v>
      </c>
      <c r="G132" s="7" t="s">
        <v>321</v>
      </c>
      <c r="H132" s="6"/>
      <c r="I132" s="6"/>
      <c r="J132" s="6"/>
      <c r="K132" s="6"/>
      <c r="L132" s="6"/>
      <c r="M132" s="6"/>
      <c r="N132" s="6"/>
      <c r="O132" s="6"/>
      <c r="P132" s="6">
        <v>1</v>
      </c>
      <c r="Q132" s="8" t="s">
        <v>16</v>
      </c>
      <c r="R132" s="7">
        <v>44917</v>
      </c>
      <c r="S132" s="7" t="s">
        <v>17</v>
      </c>
      <c r="T132" s="7" t="s">
        <v>12</v>
      </c>
    </row>
    <row r="133" spans="1:20" s="5" customFormat="1" ht="24.95" customHeight="1" x14ac:dyDescent="0.3">
      <c r="A133" s="10"/>
      <c r="B133" s="10"/>
      <c r="D133" s="6">
        <f t="shared" si="2"/>
        <v>132</v>
      </c>
      <c r="E133" s="7" t="s">
        <v>269</v>
      </c>
      <c r="F133" s="7" t="s">
        <v>326</v>
      </c>
      <c r="G133" s="7" t="s">
        <v>323</v>
      </c>
      <c r="H133" s="6"/>
      <c r="I133" s="6"/>
      <c r="J133" s="6"/>
      <c r="K133" s="6"/>
      <c r="L133" s="6">
        <v>1</v>
      </c>
      <c r="M133" s="8" t="s">
        <v>48</v>
      </c>
      <c r="N133" s="6"/>
      <c r="O133" s="6"/>
      <c r="P133" s="6"/>
      <c r="Q133" s="6"/>
      <c r="R133" s="7">
        <v>44917</v>
      </c>
      <c r="S133" s="7" t="s">
        <v>17</v>
      </c>
      <c r="T133" s="7" t="s">
        <v>12</v>
      </c>
    </row>
    <row r="134" spans="1:20" s="5" customFormat="1" ht="24.95" customHeight="1" x14ac:dyDescent="0.3">
      <c r="A134" s="10"/>
      <c r="B134" s="10"/>
      <c r="D134" s="6">
        <f t="shared" si="2"/>
        <v>133</v>
      </c>
      <c r="E134" s="7" t="s">
        <v>327</v>
      </c>
      <c r="F134" s="7" t="s">
        <v>328</v>
      </c>
      <c r="G134" s="7" t="s">
        <v>329</v>
      </c>
      <c r="H134" s="6"/>
      <c r="I134" s="6"/>
      <c r="J134" s="6">
        <v>1</v>
      </c>
      <c r="K134" s="8" t="s">
        <v>80</v>
      </c>
      <c r="L134" s="6"/>
      <c r="M134" s="6"/>
      <c r="N134" s="6"/>
      <c r="O134" s="6"/>
      <c r="P134" s="6"/>
      <c r="Q134" s="6"/>
      <c r="R134" s="7">
        <v>44918</v>
      </c>
      <c r="S134" s="7" t="s">
        <v>17</v>
      </c>
      <c r="T134" s="7" t="s">
        <v>12</v>
      </c>
    </row>
    <row r="135" spans="1:20" s="5" customFormat="1" ht="24.95" customHeight="1" x14ac:dyDescent="0.3">
      <c r="A135" s="10"/>
      <c r="B135" s="10"/>
      <c r="D135" s="6">
        <f t="shared" si="2"/>
        <v>134</v>
      </c>
      <c r="E135" s="7" t="s">
        <v>266</v>
      </c>
      <c r="F135" s="7" t="s">
        <v>330</v>
      </c>
      <c r="G135" s="7" t="s">
        <v>331</v>
      </c>
      <c r="H135" s="6"/>
      <c r="I135" s="6"/>
      <c r="J135" s="6"/>
      <c r="K135" s="6"/>
      <c r="L135" s="6">
        <v>1</v>
      </c>
      <c r="M135" s="8" t="s">
        <v>92</v>
      </c>
      <c r="N135" s="6"/>
      <c r="O135" s="6"/>
      <c r="P135" s="6"/>
      <c r="Q135" s="6"/>
      <c r="R135" s="7">
        <v>44921</v>
      </c>
      <c r="S135" s="7" t="s">
        <v>17</v>
      </c>
      <c r="T135" s="7" t="s">
        <v>12</v>
      </c>
    </row>
    <row r="136" spans="1:20" s="5" customFormat="1" ht="24.95" customHeight="1" x14ac:dyDescent="0.3">
      <c r="A136" s="10"/>
      <c r="B136" s="10"/>
      <c r="D136" s="6">
        <f t="shared" si="2"/>
        <v>135</v>
      </c>
      <c r="E136" s="7" t="s">
        <v>101</v>
      </c>
      <c r="F136" s="7" t="s">
        <v>332</v>
      </c>
      <c r="G136" s="7" t="s">
        <v>333</v>
      </c>
      <c r="H136" s="6">
        <v>1</v>
      </c>
      <c r="I136" s="8" t="s">
        <v>21</v>
      </c>
      <c r="J136" s="6"/>
      <c r="K136" s="6"/>
      <c r="L136" s="6"/>
      <c r="M136" s="6"/>
      <c r="N136" s="6"/>
      <c r="O136" s="6"/>
      <c r="P136" s="6"/>
      <c r="Q136" s="6"/>
      <c r="R136" s="7">
        <v>44921</v>
      </c>
      <c r="S136" s="7" t="s">
        <v>17</v>
      </c>
      <c r="T136" s="7" t="s">
        <v>12</v>
      </c>
    </row>
    <row r="137" spans="1:20" s="5" customFormat="1" ht="24.95" customHeight="1" x14ac:dyDescent="0.3">
      <c r="A137" s="10"/>
      <c r="B137" s="10"/>
      <c r="D137" s="6">
        <f t="shared" si="2"/>
        <v>136</v>
      </c>
      <c r="E137" s="7" t="s">
        <v>334</v>
      </c>
      <c r="F137" s="7" t="s">
        <v>335</v>
      </c>
      <c r="G137" s="7" t="s">
        <v>336</v>
      </c>
      <c r="H137" s="6"/>
      <c r="I137" s="6"/>
      <c r="J137" s="6"/>
      <c r="K137" s="6"/>
      <c r="L137" s="6"/>
      <c r="M137" s="6"/>
      <c r="N137" s="6"/>
      <c r="O137" s="6"/>
      <c r="P137" s="6">
        <v>1</v>
      </c>
      <c r="Q137" s="8" t="s">
        <v>58</v>
      </c>
      <c r="R137" s="7">
        <v>44937</v>
      </c>
      <c r="S137" s="7" t="s">
        <v>17</v>
      </c>
      <c r="T137" s="7" t="s">
        <v>12</v>
      </c>
    </row>
    <row r="138" spans="1:20" s="5" customFormat="1" ht="24.95" customHeight="1" x14ac:dyDescent="0.3">
      <c r="A138" s="10"/>
      <c r="B138" s="10"/>
      <c r="D138" s="6">
        <f t="shared" si="2"/>
        <v>137</v>
      </c>
      <c r="E138" s="7" t="s">
        <v>334</v>
      </c>
      <c r="F138" s="7" t="s">
        <v>337</v>
      </c>
      <c r="G138" s="7" t="s">
        <v>338</v>
      </c>
      <c r="H138" s="6"/>
      <c r="I138" s="6"/>
      <c r="J138" s="6"/>
      <c r="K138" s="6"/>
      <c r="L138" s="6"/>
      <c r="M138" s="6"/>
      <c r="N138" s="6"/>
      <c r="O138" s="6"/>
      <c r="P138" s="6">
        <v>1</v>
      </c>
      <c r="Q138" s="8" t="s">
        <v>58</v>
      </c>
      <c r="R138" s="7">
        <v>44937</v>
      </c>
      <c r="S138" s="7" t="s">
        <v>17</v>
      </c>
      <c r="T138" s="7" t="s">
        <v>12</v>
      </c>
    </row>
    <row r="139" spans="1:20" s="5" customFormat="1" ht="24.95" customHeight="1" x14ac:dyDescent="0.3">
      <c r="A139" s="10"/>
      <c r="B139" s="10"/>
      <c r="D139" s="6">
        <f t="shared" si="2"/>
        <v>138</v>
      </c>
      <c r="E139" s="7" t="s">
        <v>51</v>
      </c>
      <c r="F139" s="7" t="s">
        <v>339</v>
      </c>
      <c r="G139" s="7" t="s">
        <v>340</v>
      </c>
      <c r="H139" s="6"/>
      <c r="I139" s="6"/>
      <c r="J139" s="6"/>
      <c r="K139" s="6"/>
      <c r="L139" s="6">
        <v>1</v>
      </c>
      <c r="M139" s="8" t="s">
        <v>48</v>
      </c>
      <c r="N139" s="6"/>
      <c r="O139" s="6"/>
      <c r="P139" s="6"/>
      <c r="Q139" s="6"/>
      <c r="R139" s="7">
        <v>44944</v>
      </c>
      <c r="S139" s="7" t="s">
        <v>17</v>
      </c>
      <c r="T139" s="7" t="s">
        <v>12</v>
      </c>
    </row>
    <row r="140" spans="1:20" s="5" customFormat="1" ht="24.95" customHeight="1" x14ac:dyDescent="0.3">
      <c r="A140" s="10"/>
      <c r="B140" s="10"/>
      <c r="D140" s="6">
        <f t="shared" si="2"/>
        <v>139</v>
      </c>
      <c r="E140" s="7" t="s">
        <v>185</v>
      </c>
      <c r="F140" s="7" t="s">
        <v>341</v>
      </c>
      <c r="G140" s="7" t="s">
        <v>342</v>
      </c>
      <c r="H140" s="6"/>
      <c r="I140" s="6"/>
      <c r="J140" s="6"/>
      <c r="K140" s="6"/>
      <c r="L140" s="6">
        <v>1</v>
      </c>
      <c r="M140" s="8" t="s">
        <v>64</v>
      </c>
      <c r="N140" s="6"/>
      <c r="O140" s="6"/>
      <c r="P140" s="6"/>
      <c r="Q140" s="6"/>
      <c r="R140" s="7">
        <v>44945</v>
      </c>
      <c r="S140" s="7" t="s">
        <v>17</v>
      </c>
      <c r="T140" s="7" t="s">
        <v>12</v>
      </c>
    </row>
    <row r="141" spans="1:20" s="5" customFormat="1" ht="24.95" customHeight="1" x14ac:dyDescent="0.3">
      <c r="A141" s="10"/>
      <c r="B141" s="10"/>
      <c r="D141" s="6">
        <f t="shared" si="2"/>
        <v>140</v>
      </c>
      <c r="E141" s="7" t="s">
        <v>343</v>
      </c>
      <c r="F141" s="7" t="s">
        <v>344</v>
      </c>
      <c r="G141" s="7" t="s">
        <v>345</v>
      </c>
      <c r="H141" s="6"/>
      <c r="I141" s="6"/>
      <c r="J141" s="6"/>
      <c r="K141" s="6"/>
      <c r="L141" s="6">
        <v>1</v>
      </c>
      <c r="M141" s="8" t="s">
        <v>92</v>
      </c>
      <c r="N141" s="6"/>
      <c r="O141" s="6"/>
      <c r="P141" s="6"/>
      <c r="Q141" s="6"/>
      <c r="R141" s="7">
        <v>44958</v>
      </c>
      <c r="S141" s="7" t="s">
        <v>17</v>
      </c>
      <c r="T141" s="7" t="s">
        <v>12</v>
      </c>
    </row>
    <row r="142" spans="1:20" s="5" customFormat="1" ht="24.95" customHeight="1" x14ac:dyDescent="0.3">
      <c r="A142" s="10"/>
      <c r="B142" s="10"/>
      <c r="D142" s="6">
        <f t="shared" si="2"/>
        <v>141</v>
      </c>
      <c r="E142" s="7" t="s">
        <v>343</v>
      </c>
      <c r="F142" s="7" t="s">
        <v>346</v>
      </c>
      <c r="G142" s="7" t="s">
        <v>347</v>
      </c>
      <c r="H142" s="6"/>
      <c r="I142" s="6"/>
      <c r="J142" s="6"/>
      <c r="K142" s="6"/>
      <c r="L142" s="6"/>
      <c r="M142" s="6"/>
      <c r="N142" s="6">
        <v>1</v>
      </c>
      <c r="O142" s="8" t="s">
        <v>77</v>
      </c>
      <c r="P142" s="6"/>
      <c r="Q142" s="6"/>
      <c r="R142" s="7">
        <v>44958</v>
      </c>
      <c r="S142" s="7" t="s">
        <v>17</v>
      </c>
      <c r="T142" s="7" t="s">
        <v>12</v>
      </c>
    </row>
    <row r="143" spans="1:20" s="5" customFormat="1" ht="24.95" customHeight="1" x14ac:dyDescent="0.3">
      <c r="A143" s="10"/>
      <c r="B143" s="10"/>
      <c r="D143" s="6">
        <f t="shared" si="2"/>
        <v>142</v>
      </c>
      <c r="E143" s="7" t="s">
        <v>26</v>
      </c>
      <c r="F143" s="7" t="s">
        <v>348</v>
      </c>
      <c r="G143" s="7" t="s">
        <v>349</v>
      </c>
      <c r="H143" s="6"/>
      <c r="I143" s="6"/>
      <c r="J143" s="6"/>
      <c r="K143" s="6"/>
      <c r="L143" s="6"/>
      <c r="M143" s="6"/>
      <c r="N143" s="6"/>
      <c r="O143" s="6"/>
      <c r="P143" s="6">
        <v>1</v>
      </c>
      <c r="Q143" s="8" t="s">
        <v>58</v>
      </c>
      <c r="R143" s="7">
        <v>44965</v>
      </c>
      <c r="S143" s="7" t="s">
        <v>17</v>
      </c>
      <c r="T143" s="7" t="s">
        <v>12</v>
      </c>
    </row>
    <row r="144" spans="1:20" s="5" customFormat="1" ht="24.95" customHeight="1" x14ac:dyDescent="0.3">
      <c r="A144" s="10"/>
      <c r="B144" s="10"/>
      <c r="D144" s="6">
        <f t="shared" si="2"/>
        <v>143</v>
      </c>
      <c r="E144" s="7" t="s">
        <v>51</v>
      </c>
      <c r="F144" s="7" t="s">
        <v>350</v>
      </c>
      <c r="G144" s="7" t="s">
        <v>351</v>
      </c>
      <c r="H144" s="6"/>
      <c r="I144" s="6"/>
      <c r="J144" s="6"/>
      <c r="K144" s="6"/>
      <c r="L144" s="6">
        <v>1</v>
      </c>
      <c r="M144" s="8" t="s">
        <v>92</v>
      </c>
      <c r="N144" s="6"/>
      <c r="O144" s="6"/>
      <c r="P144" s="6"/>
      <c r="Q144" s="6"/>
      <c r="R144" s="7">
        <v>44991</v>
      </c>
      <c r="S144" s="7" t="s">
        <v>17</v>
      </c>
      <c r="T144" s="7" t="s">
        <v>12</v>
      </c>
    </row>
    <row r="145" spans="1:20" s="5" customFormat="1" ht="24.95" customHeight="1" x14ac:dyDescent="0.3">
      <c r="A145" s="10"/>
      <c r="B145" s="10"/>
      <c r="D145" s="6">
        <f t="shared" si="2"/>
        <v>144</v>
      </c>
      <c r="E145" s="7" t="s">
        <v>352</v>
      </c>
      <c r="F145" s="7" t="s">
        <v>353</v>
      </c>
      <c r="G145" s="7" t="s">
        <v>354</v>
      </c>
      <c r="H145" s="6"/>
      <c r="I145" s="6"/>
      <c r="J145" s="6"/>
      <c r="K145" s="6"/>
      <c r="L145" s="6"/>
      <c r="M145" s="6"/>
      <c r="N145" s="6"/>
      <c r="O145" s="6"/>
      <c r="P145" s="6">
        <v>1</v>
      </c>
      <c r="Q145" s="8" t="s">
        <v>58</v>
      </c>
      <c r="R145" s="7">
        <v>44999</v>
      </c>
      <c r="S145" s="7" t="s">
        <v>17</v>
      </c>
      <c r="T145" s="7" t="s">
        <v>12</v>
      </c>
    </row>
    <row r="146" spans="1:20" s="5" customFormat="1" ht="24.95" customHeight="1" x14ac:dyDescent="0.3">
      <c r="A146" s="10"/>
      <c r="B146" s="10"/>
      <c r="D146" s="6">
        <f t="shared" si="2"/>
        <v>145</v>
      </c>
      <c r="E146" s="7" t="s">
        <v>269</v>
      </c>
      <c r="F146" s="7" t="s">
        <v>355</v>
      </c>
      <c r="G146" s="7" t="s">
        <v>356</v>
      </c>
      <c r="H146" s="6"/>
      <c r="I146" s="6"/>
      <c r="J146" s="6"/>
      <c r="K146" s="6"/>
      <c r="L146" s="6"/>
      <c r="M146" s="6"/>
      <c r="N146" s="6"/>
      <c r="O146" s="6"/>
      <c r="P146" s="6">
        <v>1</v>
      </c>
      <c r="Q146" s="8" t="s">
        <v>58</v>
      </c>
      <c r="R146" s="7">
        <v>45014</v>
      </c>
      <c r="S146" s="7" t="s">
        <v>17</v>
      </c>
      <c r="T146" s="7" t="s">
        <v>12</v>
      </c>
    </row>
    <row r="147" spans="1:20" s="5" customFormat="1" ht="24.95" customHeight="1" x14ac:dyDescent="0.3">
      <c r="A147" s="10"/>
      <c r="B147" s="10"/>
      <c r="D147" s="6">
        <f t="shared" si="2"/>
        <v>146</v>
      </c>
      <c r="E147" s="7" t="s">
        <v>317</v>
      </c>
      <c r="F147" s="7" t="s">
        <v>357</v>
      </c>
      <c r="G147" s="7" t="s">
        <v>356</v>
      </c>
      <c r="H147" s="6"/>
      <c r="I147" s="6"/>
      <c r="J147" s="6"/>
      <c r="K147" s="6"/>
      <c r="L147" s="6"/>
      <c r="M147" s="6"/>
      <c r="N147" s="6"/>
      <c r="O147" s="6"/>
      <c r="P147" s="6">
        <v>1</v>
      </c>
      <c r="Q147" s="8" t="s">
        <v>58</v>
      </c>
      <c r="R147" s="7">
        <v>45014</v>
      </c>
      <c r="S147" s="7" t="s">
        <v>17</v>
      </c>
      <c r="T147" s="7" t="s">
        <v>12</v>
      </c>
    </row>
    <row r="148" spans="1:20" s="5" customFormat="1" ht="24.95" customHeight="1" x14ac:dyDescent="0.3">
      <c r="A148" s="10"/>
      <c r="B148" s="10"/>
      <c r="D148" s="6">
        <f t="shared" si="2"/>
        <v>147</v>
      </c>
      <c r="E148" s="7" t="s">
        <v>358</v>
      </c>
      <c r="F148" s="7" t="s">
        <v>359</v>
      </c>
      <c r="G148" s="7" t="s">
        <v>360</v>
      </c>
      <c r="H148" s="6"/>
      <c r="I148" s="6"/>
      <c r="J148" s="6"/>
      <c r="K148" s="6"/>
      <c r="L148" s="6"/>
      <c r="M148" s="6"/>
      <c r="N148" s="6"/>
      <c r="O148" s="6"/>
      <c r="P148" s="6">
        <v>1</v>
      </c>
      <c r="Q148" s="8" t="s">
        <v>58</v>
      </c>
      <c r="R148" s="7">
        <v>45014</v>
      </c>
      <c r="S148" s="7" t="s">
        <v>17</v>
      </c>
      <c r="T148" s="7" t="s">
        <v>12</v>
      </c>
    </row>
    <row r="149" spans="1:20" s="5" customFormat="1" ht="24.95" customHeight="1" x14ac:dyDescent="0.3">
      <c r="A149" s="10"/>
      <c r="B149" s="10"/>
      <c r="D149" s="6">
        <f t="shared" si="2"/>
        <v>148</v>
      </c>
      <c r="E149" s="7" t="s">
        <v>358</v>
      </c>
      <c r="F149" s="7" t="s">
        <v>361</v>
      </c>
      <c r="G149" s="7" t="s">
        <v>362</v>
      </c>
      <c r="H149" s="6">
        <v>1</v>
      </c>
      <c r="I149" s="8" t="s">
        <v>277</v>
      </c>
      <c r="J149" s="6"/>
      <c r="K149" s="6"/>
      <c r="L149" s="6"/>
      <c r="M149" s="6"/>
      <c r="N149" s="6"/>
      <c r="O149" s="6"/>
      <c r="P149" s="6"/>
      <c r="Q149" s="6"/>
      <c r="R149" s="7">
        <v>45014</v>
      </c>
      <c r="S149" s="7" t="s">
        <v>17</v>
      </c>
      <c r="T149" s="7" t="s">
        <v>12</v>
      </c>
    </row>
    <row r="150" spans="1:20" s="5" customFormat="1" ht="24.95" customHeight="1" x14ac:dyDescent="0.3">
      <c r="A150" s="10"/>
      <c r="B150" s="10"/>
      <c r="D150" s="6">
        <f t="shared" si="2"/>
        <v>149</v>
      </c>
      <c r="E150" s="7" t="s">
        <v>45</v>
      </c>
      <c r="F150" s="7" t="s">
        <v>363</v>
      </c>
      <c r="G150" s="7" t="s">
        <v>364</v>
      </c>
      <c r="H150" s="6"/>
      <c r="I150" s="6"/>
      <c r="J150" s="6"/>
      <c r="K150" s="6"/>
      <c r="L150" s="6"/>
      <c r="M150" s="6"/>
      <c r="N150" s="6">
        <v>1</v>
      </c>
      <c r="O150" s="8" t="s">
        <v>77</v>
      </c>
      <c r="P150" s="6"/>
      <c r="Q150" s="6"/>
      <c r="R150" s="7">
        <v>45020</v>
      </c>
      <c r="S150" s="7" t="s">
        <v>17</v>
      </c>
      <c r="T150" s="7" t="s">
        <v>12</v>
      </c>
    </row>
    <row r="151" spans="1:20" s="5" customFormat="1" ht="24.95" customHeight="1" x14ac:dyDescent="0.3">
      <c r="A151" s="10"/>
      <c r="B151" s="10"/>
      <c r="D151" s="6">
        <f t="shared" si="2"/>
        <v>150</v>
      </c>
      <c r="E151" s="7" t="s">
        <v>365</v>
      </c>
      <c r="F151" s="7" t="s">
        <v>366</v>
      </c>
      <c r="G151" s="7" t="s">
        <v>367</v>
      </c>
      <c r="H151" s="6"/>
      <c r="I151" s="6"/>
      <c r="J151" s="6"/>
      <c r="K151" s="6"/>
      <c r="L151" s="6">
        <v>1</v>
      </c>
      <c r="M151" s="8" t="s">
        <v>48</v>
      </c>
      <c r="N151" s="6"/>
      <c r="O151" s="6"/>
      <c r="P151" s="6"/>
      <c r="Q151" s="6"/>
      <c r="R151" s="7">
        <v>45022</v>
      </c>
      <c r="S151" s="7" t="s">
        <v>17</v>
      </c>
      <c r="T151" s="7" t="s">
        <v>12</v>
      </c>
    </row>
    <row r="152" spans="1:20" s="5" customFormat="1" ht="24.95" customHeight="1" x14ac:dyDescent="0.3">
      <c r="A152" s="10"/>
      <c r="B152" s="10"/>
      <c r="D152" s="6">
        <f t="shared" si="2"/>
        <v>151</v>
      </c>
      <c r="E152" s="7" t="s">
        <v>368</v>
      </c>
      <c r="F152" s="7" t="s">
        <v>369</v>
      </c>
      <c r="G152" s="7" t="s">
        <v>370</v>
      </c>
      <c r="H152" s="6"/>
      <c r="I152" s="6"/>
      <c r="J152" s="6"/>
      <c r="K152" s="6"/>
      <c r="L152" s="6"/>
      <c r="M152" s="6"/>
      <c r="N152" s="6"/>
      <c r="O152" s="6"/>
      <c r="P152" s="6">
        <v>1</v>
      </c>
      <c r="Q152" s="8" t="s">
        <v>16</v>
      </c>
      <c r="R152" s="7">
        <v>45022</v>
      </c>
      <c r="S152" s="7" t="s">
        <v>17</v>
      </c>
      <c r="T152" s="7" t="s">
        <v>12</v>
      </c>
    </row>
    <row r="153" spans="1:20" s="5" customFormat="1" ht="24.95" customHeight="1" x14ac:dyDescent="0.3">
      <c r="A153" s="10"/>
      <c r="B153" s="10"/>
      <c r="D153" s="6">
        <f t="shared" si="2"/>
        <v>152</v>
      </c>
      <c r="E153" s="7" t="s">
        <v>371</v>
      </c>
      <c r="F153" s="7" t="s">
        <v>372</v>
      </c>
      <c r="G153" s="7" t="s">
        <v>373</v>
      </c>
      <c r="H153" s="6"/>
      <c r="I153" s="6"/>
      <c r="J153" s="6"/>
      <c r="K153" s="6"/>
      <c r="L153" s="6">
        <v>1</v>
      </c>
      <c r="M153" s="8" t="s">
        <v>48</v>
      </c>
      <c r="N153" s="6"/>
      <c r="O153" s="6"/>
      <c r="P153" s="6"/>
      <c r="Q153" s="6"/>
      <c r="R153" s="7">
        <v>45030</v>
      </c>
      <c r="S153" s="7" t="s">
        <v>17</v>
      </c>
      <c r="T153" s="7" t="s">
        <v>12</v>
      </c>
    </row>
    <row r="154" spans="1:20" s="5" customFormat="1" ht="24.95" customHeight="1" x14ac:dyDescent="0.3">
      <c r="A154" s="10"/>
      <c r="B154" s="10"/>
      <c r="D154" s="6">
        <f t="shared" si="2"/>
        <v>153</v>
      </c>
      <c r="E154" s="7" t="s">
        <v>61</v>
      </c>
      <c r="F154" s="7" t="s">
        <v>374</v>
      </c>
      <c r="G154" s="7" t="s">
        <v>375</v>
      </c>
      <c r="H154" s="6">
        <v>1</v>
      </c>
      <c r="I154" s="8" t="s">
        <v>277</v>
      </c>
      <c r="J154" s="6"/>
      <c r="K154" s="6"/>
      <c r="L154" s="6"/>
      <c r="M154" s="6"/>
      <c r="N154" s="6"/>
      <c r="O154" s="6"/>
      <c r="P154" s="6"/>
      <c r="Q154" s="6"/>
      <c r="R154" s="7">
        <v>45039</v>
      </c>
      <c r="S154" s="7" t="s">
        <v>17</v>
      </c>
      <c r="T154" s="7" t="s">
        <v>12</v>
      </c>
    </row>
    <row r="155" spans="1:20" s="5" customFormat="1" ht="24.95" customHeight="1" x14ac:dyDescent="0.3">
      <c r="A155" s="10"/>
      <c r="B155" s="10"/>
      <c r="D155" s="6">
        <f t="shared" si="2"/>
        <v>154</v>
      </c>
      <c r="E155" s="7" t="s">
        <v>61</v>
      </c>
      <c r="F155" s="7" t="s">
        <v>376</v>
      </c>
      <c r="G155" s="7" t="s">
        <v>377</v>
      </c>
      <c r="H155" s="6">
        <v>1</v>
      </c>
      <c r="I155" s="8" t="s">
        <v>21</v>
      </c>
      <c r="J155" s="6"/>
      <c r="K155" s="6"/>
      <c r="L155" s="6"/>
      <c r="M155" s="6"/>
      <c r="N155" s="6"/>
      <c r="O155" s="6"/>
      <c r="P155" s="6"/>
      <c r="Q155" s="6"/>
      <c r="R155" s="7">
        <v>45039</v>
      </c>
      <c r="S155" s="7" t="s">
        <v>17</v>
      </c>
      <c r="T155" s="7" t="s">
        <v>12</v>
      </c>
    </row>
    <row r="156" spans="1:20" s="5" customFormat="1" ht="24.95" customHeight="1" x14ac:dyDescent="0.3">
      <c r="A156" s="10"/>
      <c r="B156" s="10"/>
      <c r="D156" s="6">
        <f t="shared" si="2"/>
        <v>155</v>
      </c>
      <c r="E156" s="7" t="s">
        <v>378</v>
      </c>
      <c r="F156" s="7" t="s">
        <v>379</v>
      </c>
      <c r="G156" s="7" t="s">
        <v>380</v>
      </c>
      <c r="H156" s="6"/>
      <c r="I156" s="6"/>
      <c r="J156" s="6"/>
      <c r="K156" s="6"/>
      <c r="L156" s="6"/>
      <c r="M156" s="6"/>
      <c r="N156" s="6"/>
      <c r="O156" s="6"/>
      <c r="P156" s="6">
        <v>1</v>
      </c>
      <c r="Q156" s="8" t="s">
        <v>16</v>
      </c>
      <c r="R156" s="7">
        <v>45041</v>
      </c>
      <c r="S156" s="7" t="s">
        <v>17</v>
      </c>
      <c r="T156" s="7" t="s">
        <v>12</v>
      </c>
    </row>
    <row r="157" spans="1:20" s="5" customFormat="1" ht="24.95" customHeight="1" x14ac:dyDescent="0.3">
      <c r="A157" s="10"/>
      <c r="B157" s="10"/>
      <c r="D157" s="6">
        <f t="shared" si="2"/>
        <v>156</v>
      </c>
      <c r="E157" s="7" t="s">
        <v>381</v>
      </c>
      <c r="F157" s="7" t="s">
        <v>382</v>
      </c>
      <c r="G157" s="7" t="s">
        <v>383</v>
      </c>
      <c r="H157" s="6"/>
      <c r="I157" s="6"/>
      <c r="J157" s="6"/>
      <c r="K157" s="6"/>
      <c r="L157" s="6"/>
      <c r="M157" s="6"/>
      <c r="N157" s="6"/>
      <c r="O157" s="6"/>
      <c r="P157" s="6">
        <v>1</v>
      </c>
      <c r="Q157" s="8" t="s">
        <v>25</v>
      </c>
      <c r="R157" s="7">
        <v>45051</v>
      </c>
      <c r="S157" s="7" t="s">
        <v>17</v>
      </c>
      <c r="T157" s="7" t="s">
        <v>12</v>
      </c>
    </row>
    <row r="158" spans="1:20" s="5" customFormat="1" ht="24.95" customHeight="1" x14ac:dyDescent="0.3">
      <c r="A158" s="10"/>
      <c r="B158" s="10"/>
      <c r="D158" s="6">
        <f t="shared" si="2"/>
        <v>157</v>
      </c>
      <c r="E158" s="7" t="s">
        <v>384</v>
      </c>
      <c r="F158" s="7" t="s">
        <v>385</v>
      </c>
      <c r="G158" s="7" t="s">
        <v>386</v>
      </c>
      <c r="H158" s="6"/>
      <c r="I158" s="6"/>
      <c r="J158" s="6"/>
      <c r="K158" s="6"/>
      <c r="L158" s="6"/>
      <c r="M158" s="6"/>
      <c r="N158" s="6"/>
      <c r="O158" s="6"/>
      <c r="P158" s="6">
        <v>1</v>
      </c>
      <c r="Q158" s="8" t="s">
        <v>58</v>
      </c>
      <c r="R158" s="7">
        <v>45056</v>
      </c>
      <c r="S158" s="7" t="s">
        <v>17</v>
      </c>
      <c r="T158" s="7" t="s">
        <v>12</v>
      </c>
    </row>
    <row r="159" spans="1:20" s="5" customFormat="1" ht="24.95" customHeight="1" x14ac:dyDescent="0.3">
      <c r="A159" s="10"/>
      <c r="B159" s="10"/>
      <c r="D159" s="6">
        <f t="shared" si="2"/>
        <v>158</v>
      </c>
      <c r="E159" s="7" t="s">
        <v>384</v>
      </c>
      <c r="F159" s="7" t="s">
        <v>387</v>
      </c>
      <c r="G159" s="7" t="s">
        <v>388</v>
      </c>
      <c r="H159" s="6"/>
      <c r="I159" s="6"/>
      <c r="J159" s="6"/>
      <c r="K159" s="6"/>
      <c r="L159" s="6"/>
      <c r="M159" s="6"/>
      <c r="N159" s="6"/>
      <c r="O159" s="6"/>
      <c r="P159" s="6">
        <v>1</v>
      </c>
      <c r="Q159" s="8" t="s">
        <v>58</v>
      </c>
      <c r="R159" s="7">
        <v>45056</v>
      </c>
      <c r="S159" s="7" t="s">
        <v>17</v>
      </c>
      <c r="T159" s="7" t="s">
        <v>12</v>
      </c>
    </row>
    <row r="160" spans="1:20" s="5" customFormat="1" ht="24.95" customHeight="1" x14ac:dyDescent="0.3">
      <c r="A160" s="10"/>
      <c r="B160" s="10"/>
      <c r="D160" s="6">
        <f t="shared" si="2"/>
        <v>159</v>
      </c>
      <c r="E160" s="7" t="s">
        <v>13</v>
      </c>
      <c r="F160" s="7" t="s">
        <v>389</v>
      </c>
      <c r="G160" s="7" t="s">
        <v>390</v>
      </c>
      <c r="H160" s="6"/>
      <c r="I160" s="6"/>
      <c r="J160" s="6"/>
      <c r="K160" s="6"/>
      <c r="L160" s="6"/>
      <c r="M160" s="6"/>
      <c r="N160" s="6"/>
      <c r="O160" s="6"/>
      <c r="P160" s="6">
        <v>1</v>
      </c>
      <c r="Q160" s="8" t="s">
        <v>58</v>
      </c>
      <c r="R160" s="7">
        <v>45065</v>
      </c>
      <c r="S160" s="7" t="s">
        <v>17</v>
      </c>
      <c r="T160" s="7" t="s">
        <v>12</v>
      </c>
    </row>
    <row r="161" spans="1:20" s="5" customFormat="1" ht="24.95" customHeight="1" x14ac:dyDescent="0.3">
      <c r="A161" s="10"/>
      <c r="B161" s="10"/>
      <c r="D161" s="6">
        <f t="shared" si="2"/>
        <v>160</v>
      </c>
      <c r="E161" s="7" t="s">
        <v>391</v>
      </c>
      <c r="F161" s="7" t="s">
        <v>392</v>
      </c>
      <c r="G161" s="7" t="s">
        <v>393</v>
      </c>
      <c r="H161" s="6"/>
      <c r="I161" s="6"/>
      <c r="J161" s="6"/>
      <c r="K161" s="6"/>
      <c r="L161" s="6"/>
      <c r="M161" s="6"/>
      <c r="N161" s="6"/>
      <c r="O161" s="6"/>
      <c r="P161" s="6">
        <v>1</v>
      </c>
      <c r="Q161" s="8" t="s">
        <v>58</v>
      </c>
      <c r="R161" s="7">
        <v>45076</v>
      </c>
      <c r="S161" s="7" t="s">
        <v>17</v>
      </c>
      <c r="T161" s="7" t="s">
        <v>12</v>
      </c>
    </row>
    <row r="162" spans="1:20" s="5" customFormat="1" ht="24.95" customHeight="1" x14ac:dyDescent="0.3">
      <c r="A162" s="10"/>
      <c r="B162" s="10"/>
      <c r="D162" s="6">
        <f t="shared" si="2"/>
        <v>161</v>
      </c>
      <c r="E162" s="7" t="s">
        <v>55</v>
      </c>
      <c r="F162" s="7" t="s">
        <v>394</v>
      </c>
      <c r="G162" s="7" t="s">
        <v>395</v>
      </c>
      <c r="H162" s="6"/>
      <c r="I162" s="6"/>
      <c r="J162" s="6"/>
      <c r="K162" s="6"/>
      <c r="L162" s="6"/>
      <c r="M162" s="6"/>
      <c r="N162" s="6"/>
      <c r="O162" s="6"/>
      <c r="P162" s="6">
        <v>1</v>
      </c>
      <c r="Q162" s="8" t="s">
        <v>58</v>
      </c>
      <c r="R162" s="7">
        <v>45090</v>
      </c>
      <c r="S162" s="7" t="s">
        <v>17</v>
      </c>
      <c r="T162" s="7" t="s">
        <v>12</v>
      </c>
    </row>
    <row r="163" spans="1:20" s="5" customFormat="1" ht="24.95" customHeight="1" x14ac:dyDescent="0.3">
      <c r="A163" s="10"/>
      <c r="B163" s="10"/>
      <c r="D163" s="6">
        <f t="shared" si="2"/>
        <v>162</v>
      </c>
      <c r="E163" s="7" t="s">
        <v>55</v>
      </c>
      <c r="F163" s="7" t="s">
        <v>396</v>
      </c>
      <c r="G163" s="7" t="s">
        <v>397</v>
      </c>
      <c r="H163" s="6"/>
      <c r="I163" s="6"/>
      <c r="J163" s="6"/>
      <c r="K163" s="6"/>
      <c r="L163" s="6"/>
      <c r="M163" s="6"/>
      <c r="N163" s="6"/>
      <c r="O163" s="6"/>
      <c r="P163" s="6">
        <v>1</v>
      </c>
      <c r="Q163" s="8" t="s">
        <v>16</v>
      </c>
      <c r="R163" s="7">
        <v>45090</v>
      </c>
      <c r="S163" s="7" t="s">
        <v>17</v>
      </c>
      <c r="T163" s="7" t="s">
        <v>12</v>
      </c>
    </row>
    <row r="164" spans="1:20" s="5" customFormat="1" ht="24.95" customHeight="1" x14ac:dyDescent="0.3">
      <c r="A164" s="10"/>
      <c r="B164" s="10"/>
      <c r="D164" s="6">
        <f t="shared" si="2"/>
        <v>163</v>
      </c>
      <c r="E164" s="7" t="s">
        <v>144</v>
      </c>
      <c r="F164" s="7" t="s">
        <v>398</v>
      </c>
      <c r="G164" s="7" t="s">
        <v>399</v>
      </c>
      <c r="H164" s="6"/>
      <c r="I164" s="6"/>
      <c r="J164" s="6"/>
      <c r="K164" s="6"/>
      <c r="L164" s="6"/>
      <c r="M164" s="6"/>
      <c r="N164" s="6">
        <v>1</v>
      </c>
      <c r="O164" s="8" t="s">
        <v>77</v>
      </c>
      <c r="P164" s="6"/>
      <c r="Q164" s="6"/>
      <c r="R164" s="7">
        <v>45096</v>
      </c>
      <c r="S164" s="7" t="s">
        <v>17</v>
      </c>
      <c r="T164" s="7" t="s">
        <v>12</v>
      </c>
    </row>
    <row r="165" spans="1:20" s="5" customFormat="1" ht="24.95" customHeight="1" x14ac:dyDescent="0.3">
      <c r="A165" s="10"/>
      <c r="B165" s="10"/>
      <c r="D165" s="6">
        <f t="shared" si="2"/>
        <v>164</v>
      </c>
      <c r="E165" s="7" t="s">
        <v>61</v>
      </c>
      <c r="F165" s="7" t="s">
        <v>400</v>
      </c>
      <c r="G165" s="7" t="s">
        <v>401</v>
      </c>
      <c r="H165" s="6"/>
      <c r="I165" s="6"/>
      <c r="J165" s="6"/>
      <c r="K165" s="6"/>
      <c r="L165" s="6"/>
      <c r="M165" s="6"/>
      <c r="N165" s="6"/>
      <c r="O165" s="6"/>
      <c r="P165" s="6">
        <v>1</v>
      </c>
      <c r="Q165" s="8" t="s">
        <v>25</v>
      </c>
      <c r="R165" s="7">
        <v>45106</v>
      </c>
      <c r="S165" s="7" t="s">
        <v>17</v>
      </c>
      <c r="T165" s="7" t="s">
        <v>12</v>
      </c>
    </row>
    <row r="166" spans="1:20" s="5" customFormat="1" ht="24.95" customHeight="1" x14ac:dyDescent="0.3">
      <c r="A166" s="10"/>
      <c r="B166" s="10"/>
      <c r="D166" s="6">
        <f t="shared" si="2"/>
        <v>165</v>
      </c>
      <c r="E166" s="7" t="s">
        <v>327</v>
      </c>
      <c r="F166" s="7" t="s">
        <v>402</v>
      </c>
      <c r="G166" s="7" t="s">
        <v>403</v>
      </c>
      <c r="H166" s="6"/>
      <c r="I166" s="6"/>
      <c r="J166" s="6"/>
      <c r="K166" s="6"/>
      <c r="L166" s="6"/>
      <c r="M166" s="6"/>
      <c r="N166" s="6"/>
      <c r="O166" s="6"/>
      <c r="P166" s="6">
        <v>1</v>
      </c>
      <c r="Q166" s="8" t="s">
        <v>58</v>
      </c>
      <c r="R166" s="7">
        <v>45115</v>
      </c>
      <c r="S166" s="7" t="s">
        <v>17</v>
      </c>
      <c r="T166" s="7" t="s">
        <v>12</v>
      </c>
    </row>
    <row r="167" spans="1:20" s="5" customFormat="1" ht="24.95" customHeight="1" x14ac:dyDescent="0.3">
      <c r="A167" s="10"/>
      <c r="B167" s="10"/>
      <c r="D167" s="6">
        <f t="shared" si="2"/>
        <v>166</v>
      </c>
      <c r="E167" s="7" t="s">
        <v>404</v>
      </c>
      <c r="F167" s="7" t="s">
        <v>405</v>
      </c>
      <c r="G167" s="7" t="s">
        <v>406</v>
      </c>
      <c r="H167" s="6"/>
      <c r="I167" s="6"/>
      <c r="J167" s="6"/>
      <c r="K167" s="6"/>
      <c r="L167" s="6"/>
      <c r="M167" s="6"/>
      <c r="N167" s="6"/>
      <c r="O167" s="6"/>
      <c r="P167" s="6">
        <v>1</v>
      </c>
      <c r="Q167" s="8" t="s">
        <v>58</v>
      </c>
      <c r="R167" s="7">
        <v>45118</v>
      </c>
      <c r="S167" s="7" t="s">
        <v>17</v>
      </c>
      <c r="T167" s="7" t="s">
        <v>12</v>
      </c>
    </row>
    <row r="168" spans="1:20" s="5" customFormat="1" ht="24.95" customHeight="1" x14ac:dyDescent="0.3">
      <c r="A168" s="10"/>
      <c r="B168" s="10"/>
      <c r="D168" s="6">
        <f t="shared" si="2"/>
        <v>167</v>
      </c>
      <c r="E168" s="7" t="s">
        <v>404</v>
      </c>
      <c r="F168" s="7" t="s">
        <v>407</v>
      </c>
      <c r="G168" s="7" t="s">
        <v>408</v>
      </c>
      <c r="H168" s="6"/>
      <c r="I168" s="6"/>
      <c r="J168" s="6"/>
      <c r="K168" s="6"/>
      <c r="L168" s="6"/>
      <c r="M168" s="6"/>
      <c r="N168" s="6"/>
      <c r="O168" s="6"/>
      <c r="P168" s="6">
        <v>1</v>
      </c>
      <c r="Q168" s="8" t="s">
        <v>58</v>
      </c>
      <c r="R168" s="7">
        <v>45118</v>
      </c>
      <c r="S168" s="7" t="s">
        <v>17</v>
      </c>
      <c r="T168" s="7" t="s">
        <v>12</v>
      </c>
    </row>
    <row r="169" spans="1:20" s="5" customFormat="1" ht="24.95" customHeight="1" x14ac:dyDescent="0.3">
      <c r="A169" s="10"/>
      <c r="B169" s="10"/>
      <c r="D169" s="6">
        <f t="shared" si="2"/>
        <v>168</v>
      </c>
      <c r="E169" s="7" t="s">
        <v>409</v>
      </c>
      <c r="F169" s="7" t="s">
        <v>410</v>
      </c>
      <c r="G169" s="7" t="s">
        <v>411</v>
      </c>
      <c r="H169" s="6"/>
      <c r="I169" s="6"/>
      <c r="J169" s="6"/>
      <c r="K169" s="6"/>
      <c r="L169" s="6"/>
      <c r="M169" s="6"/>
      <c r="N169" s="6"/>
      <c r="O169" s="6"/>
      <c r="P169" s="6">
        <v>1</v>
      </c>
      <c r="Q169" s="8" t="s">
        <v>58</v>
      </c>
      <c r="R169" s="7">
        <v>45119</v>
      </c>
      <c r="S169" s="7" t="s">
        <v>17</v>
      </c>
      <c r="T169" s="7" t="s">
        <v>12</v>
      </c>
    </row>
    <row r="170" spans="1:20" s="5" customFormat="1" ht="24.95" customHeight="1" x14ac:dyDescent="0.3">
      <c r="A170" s="10"/>
      <c r="B170" s="10"/>
      <c r="D170" s="6">
        <f t="shared" si="2"/>
        <v>169</v>
      </c>
      <c r="E170" s="7" t="s">
        <v>412</v>
      </c>
      <c r="F170" s="7" t="s">
        <v>413</v>
      </c>
      <c r="G170" s="7" t="s">
        <v>414</v>
      </c>
      <c r="H170" s="6"/>
      <c r="I170" s="6"/>
      <c r="J170" s="6"/>
      <c r="K170" s="6"/>
      <c r="L170" s="6"/>
      <c r="M170" s="6"/>
      <c r="N170" s="6"/>
      <c r="O170" s="6"/>
      <c r="P170" s="6">
        <v>1</v>
      </c>
      <c r="Q170" s="8" t="s">
        <v>58</v>
      </c>
      <c r="R170" s="7">
        <v>45122</v>
      </c>
      <c r="S170" s="7" t="s">
        <v>17</v>
      </c>
      <c r="T170" s="7" t="s">
        <v>12</v>
      </c>
    </row>
    <row r="171" spans="1:20" s="5" customFormat="1" ht="24.95" customHeight="1" x14ac:dyDescent="0.3">
      <c r="A171" s="10"/>
      <c r="B171" s="10"/>
      <c r="D171" s="6">
        <f t="shared" si="2"/>
        <v>170</v>
      </c>
      <c r="E171" s="7" t="s">
        <v>72</v>
      </c>
      <c r="F171" s="7" t="s">
        <v>415</v>
      </c>
      <c r="G171" s="7" t="s">
        <v>416</v>
      </c>
      <c r="H171" s="6">
        <v>1</v>
      </c>
      <c r="I171" s="8" t="s">
        <v>277</v>
      </c>
      <c r="J171" s="6"/>
      <c r="K171" s="6"/>
      <c r="L171" s="6"/>
      <c r="M171" s="6"/>
      <c r="N171" s="6"/>
      <c r="O171" s="6"/>
      <c r="P171" s="6"/>
      <c r="Q171" s="6"/>
      <c r="R171" s="7">
        <v>45145</v>
      </c>
      <c r="S171" s="7" t="s">
        <v>17</v>
      </c>
      <c r="T171" s="7" t="s">
        <v>12</v>
      </c>
    </row>
    <row r="172" spans="1:20" s="5" customFormat="1" ht="24.95" customHeight="1" x14ac:dyDescent="0.3">
      <c r="A172" s="10"/>
      <c r="B172" s="10"/>
      <c r="D172" s="6">
        <f t="shared" si="2"/>
        <v>171</v>
      </c>
      <c r="E172" s="7" t="s">
        <v>417</v>
      </c>
      <c r="F172" s="7" t="s">
        <v>418</v>
      </c>
      <c r="G172" s="7" t="s">
        <v>419</v>
      </c>
      <c r="H172" s="6"/>
      <c r="I172" s="6"/>
      <c r="J172" s="6">
        <v>1</v>
      </c>
      <c r="K172" s="8" t="s">
        <v>80</v>
      </c>
      <c r="L172" s="6"/>
      <c r="M172" s="6"/>
      <c r="N172" s="6"/>
      <c r="O172" s="6"/>
      <c r="P172" s="6"/>
      <c r="Q172" s="6"/>
      <c r="R172" s="7">
        <v>45156</v>
      </c>
      <c r="S172" s="7" t="s">
        <v>17</v>
      </c>
      <c r="T172" s="7" t="s">
        <v>12</v>
      </c>
    </row>
    <row r="173" spans="1:20" s="5" customFormat="1" ht="24.95" customHeight="1" x14ac:dyDescent="0.3">
      <c r="A173" s="10"/>
      <c r="B173" s="10"/>
      <c r="D173" s="6">
        <f t="shared" si="2"/>
        <v>172</v>
      </c>
      <c r="E173" s="7" t="s">
        <v>420</v>
      </c>
      <c r="F173" s="7" t="s">
        <v>421</v>
      </c>
      <c r="G173" s="7" t="s">
        <v>422</v>
      </c>
      <c r="H173" s="6"/>
      <c r="I173" s="6"/>
      <c r="J173" s="6">
        <v>1</v>
      </c>
      <c r="K173" s="8" t="s">
        <v>80</v>
      </c>
      <c r="L173" s="6"/>
      <c r="M173" s="6"/>
      <c r="N173" s="6"/>
      <c r="O173" s="6"/>
      <c r="P173" s="6"/>
      <c r="Q173" s="6"/>
      <c r="R173" s="7">
        <v>45160</v>
      </c>
      <c r="S173" s="7" t="s">
        <v>17</v>
      </c>
      <c r="T173" s="7" t="s">
        <v>12</v>
      </c>
    </row>
    <row r="174" spans="1:20" s="5" customFormat="1" ht="24.95" customHeight="1" x14ac:dyDescent="0.3">
      <c r="A174" s="10"/>
      <c r="B174" s="10"/>
      <c r="D174" s="6">
        <f t="shared" si="2"/>
        <v>173</v>
      </c>
      <c r="E174" s="7" t="s">
        <v>409</v>
      </c>
      <c r="F174" s="7" t="s">
        <v>423</v>
      </c>
      <c r="G174" s="7" t="s">
        <v>424</v>
      </c>
      <c r="H174" s="6"/>
      <c r="I174" s="6"/>
      <c r="J174" s="6"/>
      <c r="K174" s="6"/>
      <c r="L174" s="6"/>
      <c r="M174" s="6"/>
      <c r="N174" s="6"/>
      <c r="O174" s="6"/>
      <c r="P174" s="6">
        <v>1</v>
      </c>
      <c r="Q174" s="8" t="s">
        <v>58</v>
      </c>
      <c r="R174" s="7">
        <v>45171</v>
      </c>
      <c r="S174" s="7" t="s">
        <v>17</v>
      </c>
      <c r="T174" s="7" t="s">
        <v>12</v>
      </c>
    </row>
    <row r="175" spans="1:20" s="5" customFormat="1" ht="24.95" customHeight="1" x14ac:dyDescent="0.3">
      <c r="A175" s="10"/>
      <c r="B175" s="10"/>
      <c r="D175" s="6">
        <f t="shared" si="2"/>
        <v>174</v>
      </c>
      <c r="E175" s="7" t="s">
        <v>384</v>
      </c>
      <c r="F175" s="7" t="s">
        <v>425</v>
      </c>
      <c r="G175" s="7" t="s">
        <v>426</v>
      </c>
      <c r="H175" s="6"/>
      <c r="I175" s="6"/>
      <c r="J175" s="6"/>
      <c r="K175" s="6"/>
      <c r="L175" s="6"/>
      <c r="M175" s="6"/>
      <c r="N175" s="6"/>
      <c r="O175" s="6"/>
      <c r="P175" s="6">
        <v>1</v>
      </c>
      <c r="Q175" s="8" t="s">
        <v>58</v>
      </c>
      <c r="R175" s="7">
        <v>45174</v>
      </c>
      <c r="S175" s="7" t="s">
        <v>17</v>
      </c>
      <c r="T175" s="7" t="s">
        <v>12</v>
      </c>
    </row>
    <row r="176" spans="1:20" s="5" customFormat="1" ht="24.95" customHeight="1" x14ac:dyDescent="0.3">
      <c r="A176" s="10"/>
      <c r="B176" s="10"/>
      <c r="D176" s="6">
        <f t="shared" si="2"/>
        <v>175</v>
      </c>
      <c r="E176" s="7" t="s">
        <v>185</v>
      </c>
      <c r="F176" s="7" t="s">
        <v>427</v>
      </c>
      <c r="G176" s="7" t="s">
        <v>428</v>
      </c>
      <c r="H176" s="6"/>
      <c r="I176" s="6"/>
      <c r="J176" s="6"/>
      <c r="K176" s="6"/>
      <c r="L176" s="6"/>
      <c r="M176" s="6"/>
      <c r="N176" s="6">
        <v>1</v>
      </c>
      <c r="O176" s="8" t="s">
        <v>54</v>
      </c>
      <c r="P176" s="6"/>
      <c r="Q176" s="6"/>
      <c r="R176" s="7">
        <v>45174</v>
      </c>
      <c r="S176" s="7" t="s">
        <v>17</v>
      </c>
      <c r="T176" s="7" t="s">
        <v>12</v>
      </c>
    </row>
    <row r="177" spans="1:20" s="5" customFormat="1" ht="24.95" customHeight="1" x14ac:dyDescent="0.3">
      <c r="A177" s="10"/>
      <c r="B177" s="10"/>
      <c r="D177" s="6">
        <f t="shared" si="2"/>
        <v>176</v>
      </c>
      <c r="E177" s="7" t="s">
        <v>166</v>
      </c>
      <c r="F177" s="7" t="s">
        <v>429</v>
      </c>
      <c r="G177" s="7" t="s">
        <v>430</v>
      </c>
      <c r="H177" s="6"/>
      <c r="I177" s="6"/>
      <c r="J177" s="6"/>
      <c r="K177" s="6"/>
      <c r="L177" s="6">
        <v>1</v>
      </c>
      <c r="M177" s="8" t="s">
        <v>92</v>
      </c>
      <c r="N177" s="6"/>
      <c r="O177" s="6"/>
      <c r="P177" s="6"/>
      <c r="Q177" s="6"/>
      <c r="R177" s="7">
        <v>45181</v>
      </c>
      <c r="S177" s="7" t="s">
        <v>17</v>
      </c>
      <c r="T177" s="7" t="s">
        <v>12</v>
      </c>
    </row>
    <row r="178" spans="1:20" s="5" customFormat="1" ht="24.95" customHeight="1" x14ac:dyDescent="0.3">
      <c r="A178" s="10"/>
      <c r="B178" s="10"/>
      <c r="D178" s="6">
        <f t="shared" si="2"/>
        <v>177</v>
      </c>
      <c r="E178" s="7" t="s">
        <v>431</v>
      </c>
      <c r="F178" s="7" t="s">
        <v>432</v>
      </c>
      <c r="G178" s="7" t="s">
        <v>433</v>
      </c>
      <c r="H178" s="6"/>
      <c r="I178" s="6"/>
      <c r="J178" s="6"/>
      <c r="K178" s="6"/>
      <c r="L178" s="6">
        <v>1</v>
      </c>
      <c r="M178" s="8" t="s">
        <v>92</v>
      </c>
      <c r="N178" s="6"/>
      <c r="O178" s="6"/>
      <c r="P178" s="6"/>
      <c r="Q178" s="6"/>
      <c r="R178" s="7">
        <v>45189</v>
      </c>
      <c r="S178" s="7" t="s">
        <v>17</v>
      </c>
      <c r="T178" s="7" t="s">
        <v>12</v>
      </c>
    </row>
    <row r="179" spans="1:20" s="5" customFormat="1" ht="24.95" customHeight="1" x14ac:dyDescent="0.3">
      <c r="A179" s="10"/>
      <c r="B179" s="10"/>
      <c r="D179" s="6">
        <f t="shared" si="2"/>
        <v>178</v>
      </c>
      <c r="E179" s="7" t="s">
        <v>431</v>
      </c>
      <c r="F179" s="7" t="s">
        <v>434</v>
      </c>
      <c r="G179" s="7" t="s">
        <v>435</v>
      </c>
      <c r="H179" s="6"/>
      <c r="I179" s="6"/>
      <c r="J179" s="6"/>
      <c r="K179" s="6"/>
      <c r="L179" s="6">
        <v>1</v>
      </c>
      <c r="M179" s="8" t="s">
        <v>92</v>
      </c>
      <c r="N179" s="6"/>
      <c r="O179" s="6"/>
      <c r="P179" s="6"/>
      <c r="Q179" s="6"/>
      <c r="R179" s="7">
        <v>45189</v>
      </c>
      <c r="S179" s="7" t="s">
        <v>17</v>
      </c>
      <c r="T179" s="7" t="s">
        <v>12</v>
      </c>
    </row>
    <row r="180" spans="1:20" s="5" customFormat="1" ht="24.95" customHeight="1" x14ac:dyDescent="0.3">
      <c r="A180" s="10"/>
      <c r="B180" s="10"/>
      <c r="D180" s="6">
        <f t="shared" si="2"/>
        <v>179</v>
      </c>
      <c r="E180" s="7" t="s">
        <v>417</v>
      </c>
      <c r="F180" s="7" t="s">
        <v>436</v>
      </c>
      <c r="G180" s="7" t="s">
        <v>437</v>
      </c>
      <c r="H180" s="6"/>
      <c r="I180" s="6"/>
      <c r="J180" s="6"/>
      <c r="K180" s="6"/>
      <c r="L180" s="6"/>
      <c r="M180" s="6"/>
      <c r="N180" s="6"/>
      <c r="O180" s="6"/>
      <c r="P180" s="6">
        <v>1</v>
      </c>
      <c r="Q180" s="8" t="s">
        <v>16</v>
      </c>
      <c r="R180" s="7">
        <v>45191</v>
      </c>
      <c r="S180" s="7" t="s">
        <v>17</v>
      </c>
      <c r="T180" s="7" t="s">
        <v>12</v>
      </c>
    </row>
    <row r="181" spans="1:20" s="5" customFormat="1" ht="24.95" customHeight="1" x14ac:dyDescent="0.3">
      <c r="A181" s="10"/>
      <c r="B181" s="10"/>
      <c r="D181" s="6">
        <f t="shared" si="2"/>
        <v>180</v>
      </c>
      <c r="E181" s="7" t="s">
        <v>417</v>
      </c>
      <c r="F181" s="7" t="s">
        <v>438</v>
      </c>
      <c r="G181" s="7" t="s">
        <v>439</v>
      </c>
      <c r="H181" s="6"/>
      <c r="I181" s="6"/>
      <c r="J181" s="6"/>
      <c r="K181" s="6"/>
      <c r="L181" s="6"/>
      <c r="M181" s="6"/>
      <c r="N181" s="6"/>
      <c r="O181" s="6"/>
      <c r="P181" s="6">
        <v>1</v>
      </c>
      <c r="Q181" s="8" t="s">
        <v>58</v>
      </c>
      <c r="R181" s="7">
        <v>45194</v>
      </c>
      <c r="S181" s="7" t="s">
        <v>17</v>
      </c>
      <c r="T181" s="7" t="s">
        <v>12</v>
      </c>
    </row>
    <row r="182" spans="1:20" s="5" customFormat="1" ht="24.95" customHeight="1" x14ac:dyDescent="0.3">
      <c r="A182" s="10"/>
      <c r="B182" s="10"/>
      <c r="D182" s="6">
        <f t="shared" si="2"/>
        <v>181</v>
      </c>
      <c r="E182" s="7" t="s">
        <v>417</v>
      </c>
      <c r="F182" s="7" t="s">
        <v>440</v>
      </c>
      <c r="G182" s="7" t="s">
        <v>441</v>
      </c>
      <c r="H182" s="6"/>
      <c r="I182" s="6"/>
      <c r="J182" s="6"/>
      <c r="K182" s="6"/>
      <c r="L182" s="6"/>
      <c r="M182" s="6"/>
      <c r="N182" s="6"/>
      <c r="O182" s="6"/>
      <c r="P182" s="6">
        <v>1</v>
      </c>
      <c r="Q182" s="8" t="s">
        <v>58</v>
      </c>
      <c r="R182" s="7">
        <v>45194</v>
      </c>
      <c r="S182" s="7" t="s">
        <v>17</v>
      </c>
      <c r="T182" s="7" t="s">
        <v>12</v>
      </c>
    </row>
    <row r="183" spans="1:20" s="5" customFormat="1" ht="24.95" customHeight="1" x14ac:dyDescent="0.3">
      <c r="A183" s="10"/>
      <c r="B183" s="10"/>
      <c r="D183" s="6">
        <f t="shared" si="2"/>
        <v>182</v>
      </c>
      <c r="E183" s="7" t="s">
        <v>417</v>
      </c>
      <c r="F183" s="7" t="s">
        <v>442</v>
      </c>
      <c r="G183" s="7" t="s">
        <v>443</v>
      </c>
      <c r="H183" s="6"/>
      <c r="I183" s="6"/>
      <c r="J183" s="6"/>
      <c r="K183" s="6"/>
      <c r="L183" s="6"/>
      <c r="M183" s="6"/>
      <c r="N183" s="6"/>
      <c r="O183" s="6"/>
      <c r="P183" s="6">
        <v>1</v>
      </c>
      <c r="Q183" s="8" t="s">
        <v>58</v>
      </c>
      <c r="R183" s="7">
        <v>45194</v>
      </c>
      <c r="S183" s="7" t="s">
        <v>17</v>
      </c>
      <c r="T183" s="7" t="s">
        <v>12</v>
      </c>
    </row>
    <row r="184" spans="1:20" s="5" customFormat="1" ht="24.95" customHeight="1" x14ac:dyDescent="0.3">
      <c r="A184" s="10"/>
      <c r="B184" s="10"/>
      <c r="D184" s="6">
        <f t="shared" si="2"/>
        <v>183</v>
      </c>
      <c r="E184" s="7" t="s">
        <v>444</v>
      </c>
      <c r="F184" s="7" t="s">
        <v>445</v>
      </c>
      <c r="G184" s="7" t="s">
        <v>446</v>
      </c>
      <c r="H184" s="6"/>
      <c r="I184" s="6"/>
      <c r="J184" s="6"/>
      <c r="K184" s="6"/>
      <c r="L184" s="6">
        <v>1</v>
      </c>
      <c r="M184" s="8" t="s">
        <v>92</v>
      </c>
      <c r="N184" s="6"/>
      <c r="O184" s="6"/>
      <c r="P184" s="6"/>
      <c r="Q184" s="6"/>
      <c r="R184" s="7">
        <v>45195</v>
      </c>
      <c r="S184" s="7" t="s">
        <v>17</v>
      </c>
      <c r="T184" s="7" t="s">
        <v>12</v>
      </c>
    </row>
    <row r="185" spans="1:20" s="5" customFormat="1" ht="24.95" customHeight="1" x14ac:dyDescent="0.3">
      <c r="A185" s="10"/>
      <c r="B185" s="10"/>
      <c r="D185" s="6">
        <f t="shared" si="2"/>
        <v>184</v>
      </c>
      <c r="E185" s="7" t="s">
        <v>447</v>
      </c>
      <c r="F185" s="7" t="s">
        <v>448</v>
      </c>
      <c r="G185" s="7" t="s">
        <v>449</v>
      </c>
      <c r="H185" s="6"/>
      <c r="I185" s="6"/>
      <c r="J185" s="6"/>
      <c r="K185" s="6"/>
      <c r="L185" s="6"/>
      <c r="M185" s="6"/>
      <c r="N185" s="6"/>
      <c r="O185" s="6"/>
      <c r="P185" s="6">
        <v>1</v>
      </c>
      <c r="Q185" s="8" t="s">
        <v>58</v>
      </c>
      <c r="R185" s="7">
        <v>45215</v>
      </c>
      <c r="S185" s="7" t="s">
        <v>17</v>
      </c>
      <c r="T185" s="7" t="s">
        <v>12</v>
      </c>
    </row>
    <row r="186" spans="1:20" s="5" customFormat="1" ht="24.95" customHeight="1" x14ac:dyDescent="0.3">
      <c r="A186" s="10"/>
      <c r="B186" s="10"/>
      <c r="D186" s="6">
        <f t="shared" si="2"/>
        <v>185</v>
      </c>
      <c r="E186" s="7" t="s">
        <v>61</v>
      </c>
      <c r="F186" s="7" t="s">
        <v>450</v>
      </c>
      <c r="G186" s="7" t="s">
        <v>451</v>
      </c>
      <c r="H186" s="6"/>
      <c r="I186" s="6"/>
      <c r="J186" s="6"/>
      <c r="K186" s="6"/>
      <c r="L186" s="6"/>
      <c r="M186" s="6"/>
      <c r="N186" s="6">
        <v>1</v>
      </c>
      <c r="O186" s="8" t="s">
        <v>77</v>
      </c>
      <c r="P186" s="6"/>
      <c r="Q186" s="6"/>
      <c r="R186" s="7">
        <v>45217</v>
      </c>
      <c r="S186" s="7" t="s">
        <v>17</v>
      </c>
      <c r="T186" s="7" t="s">
        <v>12</v>
      </c>
    </row>
    <row r="187" spans="1:20" s="5" customFormat="1" ht="24.95" customHeight="1" x14ac:dyDescent="0.3">
      <c r="A187" s="10"/>
      <c r="B187" s="10"/>
      <c r="D187" s="6">
        <f t="shared" si="2"/>
        <v>186</v>
      </c>
      <c r="E187" s="7" t="s">
        <v>384</v>
      </c>
      <c r="F187" s="7" t="s">
        <v>452</v>
      </c>
      <c r="G187" s="7" t="s">
        <v>453</v>
      </c>
      <c r="H187" s="6"/>
      <c r="I187" s="6"/>
      <c r="J187" s="6"/>
      <c r="K187" s="6"/>
      <c r="L187" s="6"/>
      <c r="M187" s="6"/>
      <c r="N187" s="6">
        <v>1</v>
      </c>
      <c r="O187" s="8" t="s">
        <v>77</v>
      </c>
      <c r="P187" s="6"/>
      <c r="Q187" s="6"/>
      <c r="R187" s="7">
        <v>45224</v>
      </c>
      <c r="S187" s="7" t="s">
        <v>17</v>
      </c>
      <c r="T187" s="7" t="s">
        <v>12</v>
      </c>
    </row>
    <row r="188" spans="1:20" s="5" customFormat="1" ht="24.95" customHeight="1" x14ac:dyDescent="0.3">
      <c r="A188" s="10"/>
      <c r="B188" s="10"/>
      <c r="D188" s="6">
        <f t="shared" si="2"/>
        <v>187</v>
      </c>
      <c r="E188" s="7" t="s">
        <v>454</v>
      </c>
      <c r="F188" s="7" t="s">
        <v>455</v>
      </c>
      <c r="G188" s="7" t="s">
        <v>456</v>
      </c>
      <c r="H188" s="6">
        <v>1</v>
      </c>
      <c r="I188" s="8" t="s">
        <v>130</v>
      </c>
      <c r="J188" s="6"/>
      <c r="K188" s="6"/>
      <c r="L188" s="6"/>
      <c r="M188" s="6"/>
      <c r="N188" s="6"/>
      <c r="O188" s="6"/>
      <c r="P188" s="6"/>
      <c r="Q188" s="6"/>
      <c r="R188" s="7">
        <v>45233</v>
      </c>
      <c r="S188" s="7" t="s">
        <v>17</v>
      </c>
      <c r="T188" s="7" t="s">
        <v>12</v>
      </c>
    </row>
    <row r="189" spans="1:20" s="5" customFormat="1" ht="24.95" customHeight="1" x14ac:dyDescent="0.3">
      <c r="A189" s="10"/>
      <c r="B189" s="10"/>
      <c r="D189" s="6">
        <f t="shared" si="2"/>
        <v>188</v>
      </c>
      <c r="E189" s="7" t="s">
        <v>454</v>
      </c>
      <c r="F189" s="7" t="s">
        <v>457</v>
      </c>
      <c r="G189" s="7" t="s">
        <v>458</v>
      </c>
      <c r="H189" s="6"/>
      <c r="I189" s="6"/>
      <c r="J189" s="6"/>
      <c r="K189" s="6"/>
      <c r="L189" s="6"/>
      <c r="M189" s="6"/>
      <c r="N189" s="6"/>
      <c r="O189" s="6"/>
      <c r="P189" s="6">
        <v>1</v>
      </c>
      <c r="Q189" s="8" t="s">
        <v>58</v>
      </c>
      <c r="R189" s="7">
        <v>45233</v>
      </c>
      <c r="S189" s="7" t="s">
        <v>17</v>
      </c>
      <c r="T189" s="7" t="s">
        <v>12</v>
      </c>
    </row>
    <row r="190" spans="1:20" s="5" customFormat="1" ht="24.95" customHeight="1" x14ac:dyDescent="0.3">
      <c r="A190" s="10"/>
      <c r="B190" s="10"/>
      <c r="D190" s="6">
        <f t="shared" si="2"/>
        <v>189</v>
      </c>
      <c r="E190" s="7" t="s">
        <v>384</v>
      </c>
      <c r="F190" s="7" t="s">
        <v>459</v>
      </c>
      <c r="G190" s="7" t="s">
        <v>148</v>
      </c>
      <c r="H190" s="6"/>
      <c r="I190" s="6"/>
      <c r="J190" s="6"/>
      <c r="K190" s="6"/>
      <c r="L190" s="6"/>
      <c r="M190" s="6"/>
      <c r="N190" s="6">
        <v>1</v>
      </c>
      <c r="O190" s="8" t="s">
        <v>77</v>
      </c>
      <c r="P190" s="6"/>
      <c r="Q190" s="6"/>
      <c r="R190" s="7">
        <v>45243</v>
      </c>
      <c r="S190" s="7" t="s">
        <v>17</v>
      </c>
      <c r="T190" s="7" t="s">
        <v>12</v>
      </c>
    </row>
    <row r="191" spans="1:20" s="5" customFormat="1" ht="24.95" customHeight="1" x14ac:dyDescent="0.3">
      <c r="A191" s="10"/>
      <c r="B191" s="10"/>
      <c r="D191" s="6">
        <f t="shared" si="2"/>
        <v>190</v>
      </c>
      <c r="E191" s="7" t="s">
        <v>358</v>
      </c>
      <c r="F191" s="7" t="s">
        <v>460</v>
      </c>
      <c r="G191" s="7" t="s">
        <v>461</v>
      </c>
      <c r="H191" s="6">
        <v>1</v>
      </c>
      <c r="I191" s="8" t="s">
        <v>130</v>
      </c>
      <c r="J191" s="6"/>
      <c r="K191" s="6"/>
      <c r="L191" s="6"/>
      <c r="M191" s="6"/>
      <c r="N191" s="6"/>
      <c r="O191" s="6"/>
      <c r="P191" s="6"/>
      <c r="Q191" s="6"/>
      <c r="R191" s="7">
        <v>45246</v>
      </c>
      <c r="S191" s="7" t="s">
        <v>17</v>
      </c>
      <c r="T191" s="7" t="s">
        <v>12</v>
      </c>
    </row>
    <row r="192" spans="1:20" s="5" customFormat="1" ht="24.95" customHeight="1" x14ac:dyDescent="0.3">
      <c r="A192" s="10"/>
      <c r="B192" s="10"/>
      <c r="D192" s="6">
        <f t="shared" si="2"/>
        <v>191</v>
      </c>
      <c r="E192" s="7" t="s">
        <v>358</v>
      </c>
      <c r="F192" s="7" t="s">
        <v>462</v>
      </c>
      <c r="G192" s="7" t="s">
        <v>463</v>
      </c>
      <c r="H192" s="6"/>
      <c r="I192" s="6"/>
      <c r="J192" s="6"/>
      <c r="K192" s="6"/>
      <c r="L192" s="6"/>
      <c r="M192" s="6"/>
      <c r="N192" s="6"/>
      <c r="O192" s="6"/>
      <c r="P192" s="6">
        <v>1</v>
      </c>
      <c r="Q192" s="8" t="s">
        <v>58</v>
      </c>
      <c r="R192" s="7">
        <v>45246</v>
      </c>
      <c r="S192" s="7" t="s">
        <v>17</v>
      </c>
      <c r="T192" s="7" t="s">
        <v>12</v>
      </c>
    </row>
    <row r="193" spans="1:20" s="5" customFormat="1" ht="24.95" customHeight="1" x14ac:dyDescent="0.3">
      <c r="A193" s="10"/>
      <c r="B193" s="10"/>
      <c r="D193" s="6">
        <f t="shared" si="2"/>
        <v>192</v>
      </c>
      <c r="E193" s="7" t="s">
        <v>180</v>
      </c>
      <c r="F193" s="7" t="s">
        <v>464</v>
      </c>
      <c r="G193" s="7" t="s">
        <v>414</v>
      </c>
      <c r="H193" s="6"/>
      <c r="I193" s="6"/>
      <c r="J193" s="6"/>
      <c r="K193" s="6"/>
      <c r="L193" s="6"/>
      <c r="M193" s="6"/>
      <c r="N193" s="6"/>
      <c r="O193" s="6"/>
      <c r="P193" s="6">
        <v>1</v>
      </c>
      <c r="Q193" s="8" t="s">
        <v>58</v>
      </c>
      <c r="R193" s="7">
        <v>45246</v>
      </c>
      <c r="S193" s="7" t="s">
        <v>17</v>
      </c>
      <c r="T193" s="7" t="s">
        <v>12</v>
      </c>
    </row>
    <row r="194" spans="1:20" s="5" customFormat="1" ht="24.95" customHeight="1" x14ac:dyDescent="0.3">
      <c r="A194" s="10"/>
      <c r="B194" s="10"/>
      <c r="D194" s="6">
        <f t="shared" si="2"/>
        <v>193</v>
      </c>
      <c r="E194" s="7" t="s">
        <v>327</v>
      </c>
      <c r="F194" s="7" t="s">
        <v>465</v>
      </c>
      <c r="G194" s="7" t="s">
        <v>466</v>
      </c>
      <c r="H194" s="6"/>
      <c r="I194" s="6"/>
      <c r="J194" s="6"/>
      <c r="K194" s="6"/>
      <c r="L194" s="6">
        <v>1</v>
      </c>
      <c r="M194" s="8" t="s">
        <v>92</v>
      </c>
      <c r="N194" s="6"/>
      <c r="O194" s="6"/>
      <c r="P194" s="6"/>
      <c r="Q194" s="6"/>
      <c r="R194" s="7">
        <v>45249</v>
      </c>
      <c r="S194" s="7" t="s">
        <v>17</v>
      </c>
      <c r="T194" s="7" t="s">
        <v>12</v>
      </c>
    </row>
    <row r="195" spans="1:20" s="5" customFormat="1" ht="24.95" customHeight="1" x14ac:dyDescent="0.3">
      <c r="A195" s="10"/>
      <c r="B195" s="10"/>
      <c r="D195" s="6">
        <f t="shared" ref="D195:D258" si="3">ROW()-1</f>
        <v>194</v>
      </c>
      <c r="E195" s="7" t="s">
        <v>467</v>
      </c>
      <c r="F195" s="7" t="s">
        <v>468</v>
      </c>
      <c r="G195" s="7" t="s">
        <v>469</v>
      </c>
      <c r="H195" s="6"/>
      <c r="I195" s="6"/>
      <c r="J195" s="6">
        <v>1</v>
      </c>
      <c r="K195" s="8" t="s">
        <v>80</v>
      </c>
      <c r="L195" s="6"/>
      <c r="M195" s="6"/>
      <c r="N195" s="6"/>
      <c r="O195" s="6"/>
      <c r="P195" s="6"/>
      <c r="Q195" s="6"/>
      <c r="R195" s="7">
        <v>45253</v>
      </c>
      <c r="S195" s="7" t="s">
        <v>17</v>
      </c>
      <c r="T195" s="7" t="s">
        <v>12</v>
      </c>
    </row>
    <row r="196" spans="1:20" s="5" customFormat="1" ht="24.95" customHeight="1" x14ac:dyDescent="0.3">
      <c r="A196" s="10"/>
      <c r="B196" s="10"/>
      <c r="D196" s="6">
        <f t="shared" si="3"/>
        <v>195</v>
      </c>
      <c r="E196" s="7" t="s">
        <v>467</v>
      </c>
      <c r="F196" s="7" t="s">
        <v>470</v>
      </c>
      <c r="G196" s="7" t="s">
        <v>469</v>
      </c>
      <c r="H196" s="6"/>
      <c r="I196" s="6"/>
      <c r="J196" s="6">
        <v>1</v>
      </c>
      <c r="K196" s="8" t="s">
        <v>80</v>
      </c>
      <c r="L196" s="6"/>
      <c r="M196" s="6"/>
      <c r="N196" s="6"/>
      <c r="O196" s="6"/>
      <c r="P196" s="6"/>
      <c r="Q196" s="6"/>
      <c r="R196" s="7">
        <v>45253</v>
      </c>
      <c r="S196" s="7" t="s">
        <v>17</v>
      </c>
      <c r="T196" s="7" t="s">
        <v>12</v>
      </c>
    </row>
    <row r="197" spans="1:20" s="5" customFormat="1" ht="24.95" customHeight="1" x14ac:dyDescent="0.3">
      <c r="A197" s="10"/>
      <c r="B197" s="10"/>
      <c r="D197" s="6">
        <f t="shared" si="3"/>
        <v>196</v>
      </c>
      <c r="E197" s="7" t="s">
        <v>467</v>
      </c>
      <c r="F197" s="7" t="s">
        <v>471</v>
      </c>
      <c r="G197" s="7" t="s">
        <v>472</v>
      </c>
      <c r="H197" s="6"/>
      <c r="I197" s="6"/>
      <c r="J197" s="6"/>
      <c r="K197" s="6"/>
      <c r="L197" s="6"/>
      <c r="M197" s="6"/>
      <c r="N197" s="6"/>
      <c r="O197" s="6"/>
      <c r="P197" s="6">
        <v>1</v>
      </c>
      <c r="Q197" s="8" t="s">
        <v>58</v>
      </c>
      <c r="R197" s="7">
        <v>45253</v>
      </c>
      <c r="S197" s="7" t="s">
        <v>17</v>
      </c>
      <c r="T197" s="7" t="s">
        <v>12</v>
      </c>
    </row>
    <row r="198" spans="1:20" s="5" customFormat="1" ht="24.95" customHeight="1" x14ac:dyDescent="0.3">
      <c r="A198" s="10"/>
      <c r="B198" s="10"/>
      <c r="D198" s="6">
        <f t="shared" si="3"/>
        <v>197</v>
      </c>
      <c r="E198" s="7" t="s">
        <v>467</v>
      </c>
      <c r="F198" s="7" t="s">
        <v>473</v>
      </c>
      <c r="G198" s="7" t="s">
        <v>474</v>
      </c>
      <c r="H198" s="6"/>
      <c r="I198" s="6"/>
      <c r="J198" s="6"/>
      <c r="K198" s="6"/>
      <c r="L198" s="6"/>
      <c r="M198" s="6"/>
      <c r="N198" s="6"/>
      <c r="O198" s="6"/>
      <c r="P198" s="6">
        <v>1</v>
      </c>
      <c r="Q198" s="8" t="s">
        <v>58</v>
      </c>
      <c r="R198" s="7">
        <v>45253</v>
      </c>
      <c r="S198" s="7" t="s">
        <v>17</v>
      </c>
      <c r="T198" s="7" t="s">
        <v>12</v>
      </c>
    </row>
    <row r="199" spans="1:20" s="5" customFormat="1" ht="24.95" customHeight="1" x14ac:dyDescent="0.3">
      <c r="A199" s="10"/>
      <c r="B199" s="10"/>
      <c r="D199" s="6">
        <f t="shared" si="3"/>
        <v>198</v>
      </c>
      <c r="E199" s="7" t="s">
        <v>467</v>
      </c>
      <c r="F199" s="7" t="s">
        <v>475</v>
      </c>
      <c r="G199" s="7" t="s">
        <v>476</v>
      </c>
      <c r="H199" s="6"/>
      <c r="I199" s="6"/>
      <c r="J199" s="6"/>
      <c r="K199" s="6"/>
      <c r="L199" s="6"/>
      <c r="M199" s="6"/>
      <c r="N199" s="6"/>
      <c r="O199" s="6"/>
      <c r="P199" s="6">
        <v>1</v>
      </c>
      <c r="Q199" s="8" t="s">
        <v>58</v>
      </c>
      <c r="R199" s="7">
        <v>45253</v>
      </c>
      <c r="S199" s="7" t="s">
        <v>17</v>
      </c>
      <c r="T199" s="7" t="s">
        <v>12</v>
      </c>
    </row>
    <row r="200" spans="1:20" s="5" customFormat="1" ht="24.95" customHeight="1" x14ac:dyDescent="0.3">
      <c r="A200" s="10"/>
      <c r="B200" s="10"/>
      <c r="D200" s="6">
        <f t="shared" si="3"/>
        <v>199</v>
      </c>
      <c r="E200" s="7" t="s">
        <v>467</v>
      </c>
      <c r="F200" s="7" t="s">
        <v>477</v>
      </c>
      <c r="G200" s="7" t="s">
        <v>478</v>
      </c>
      <c r="H200" s="6"/>
      <c r="I200" s="6"/>
      <c r="J200" s="6"/>
      <c r="K200" s="6"/>
      <c r="L200" s="6"/>
      <c r="M200" s="6"/>
      <c r="N200" s="6"/>
      <c r="O200" s="6"/>
      <c r="P200" s="6">
        <v>1</v>
      </c>
      <c r="Q200" s="8" t="s">
        <v>58</v>
      </c>
      <c r="R200" s="7">
        <v>45253</v>
      </c>
      <c r="S200" s="7" t="s">
        <v>17</v>
      </c>
      <c r="T200" s="7" t="s">
        <v>12</v>
      </c>
    </row>
    <row r="201" spans="1:20" s="5" customFormat="1" ht="24.95" customHeight="1" x14ac:dyDescent="0.3">
      <c r="A201" s="10"/>
      <c r="B201" s="10"/>
      <c r="D201" s="6">
        <f t="shared" si="3"/>
        <v>200</v>
      </c>
      <c r="E201" s="7" t="s">
        <v>467</v>
      </c>
      <c r="F201" s="7" t="s">
        <v>479</v>
      </c>
      <c r="G201" s="7" t="s">
        <v>474</v>
      </c>
      <c r="H201" s="6"/>
      <c r="I201" s="6"/>
      <c r="J201" s="6"/>
      <c r="K201" s="6"/>
      <c r="L201" s="6"/>
      <c r="M201" s="6"/>
      <c r="N201" s="6"/>
      <c r="O201" s="6"/>
      <c r="P201" s="6">
        <v>1</v>
      </c>
      <c r="Q201" s="8" t="s">
        <v>58</v>
      </c>
      <c r="R201" s="7">
        <v>45253</v>
      </c>
      <c r="S201" s="7" t="s">
        <v>17</v>
      </c>
      <c r="T201" s="7" t="s">
        <v>12</v>
      </c>
    </row>
    <row r="202" spans="1:20" s="5" customFormat="1" ht="24.95" customHeight="1" x14ac:dyDescent="0.3">
      <c r="A202" s="10"/>
      <c r="B202" s="10"/>
      <c r="D202" s="6">
        <f t="shared" si="3"/>
        <v>201</v>
      </c>
      <c r="E202" s="7" t="s">
        <v>467</v>
      </c>
      <c r="F202" s="7" t="s">
        <v>480</v>
      </c>
      <c r="G202" s="7" t="s">
        <v>481</v>
      </c>
      <c r="H202" s="6"/>
      <c r="I202" s="6"/>
      <c r="J202" s="6"/>
      <c r="K202" s="6"/>
      <c r="L202" s="6"/>
      <c r="M202" s="6"/>
      <c r="N202" s="6"/>
      <c r="O202" s="6"/>
      <c r="P202" s="6">
        <v>1</v>
      </c>
      <c r="Q202" s="8" t="s">
        <v>58</v>
      </c>
      <c r="R202" s="7">
        <v>45253</v>
      </c>
      <c r="S202" s="7" t="s">
        <v>17</v>
      </c>
      <c r="T202" s="7" t="s">
        <v>12</v>
      </c>
    </row>
    <row r="203" spans="1:20" s="5" customFormat="1" ht="24.95" customHeight="1" x14ac:dyDescent="0.3">
      <c r="A203" s="10"/>
      <c r="B203" s="10"/>
      <c r="D203" s="6">
        <f t="shared" si="3"/>
        <v>202</v>
      </c>
      <c r="E203" s="7" t="s">
        <v>111</v>
      </c>
      <c r="F203" s="7" t="s">
        <v>482</v>
      </c>
      <c r="G203" s="7" t="s">
        <v>483</v>
      </c>
      <c r="H203" s="6"/>
      <c r="I203" s="6"/>
      <c r="J203" s="6">
        <v>1</v>
      </c>
      <c r="K203" s="8" t="s">
        <v>80</v>
      </c>
      <c r="L203" s="6"/>
      <c r="M203" s="6"/>
      <c r="N203" s="6"/>
      <c r="O203" s="6"/>
      <c r="P203" s="6"/>
      <c r="Q203" s="6"/>
      <c r="R203" s="7">
        <v>45265</v>
      </c>
      <c r="S203" s="7" t="s">
        <v>17</v>
      </c>
      <c r="T203" s="7" t="s">
        <v>12</v>
      </c>
    </row>
    <row r="204" spans="1:20" s="5" customFormat="1" ht="24.95" customHeight="1" x14ac:dyDescent="0.3">
      <c r="A204" s="10"/>
      <c r="B204" s="10"/>
      <c r="D204" s="6">
        <f t="shared" si="3"/>
        <v>203</v>
      </c>
      <c r="E204" s="7" t="s">
        <v>417</v>
      </c>
      <c r="F204" s="7" t="s">
        <v>484</v>
      </c>
      <c r="G204" s="7" t="s">
        <v>485</v>
      </c>
      <c r="H204" s="6">
        <v>1</v>
      </c>
      <c r="I204" s="8" t="s">
        <v>130</v>
      </c>
      <c r="J204" s="6"/>
      <c r="K204" s="6"/>
      <c r="L204" s="6"/>
      <c r="M204" s="6"/>
      <c r="N204" s="6"/>
      <c r="O204" s="6"/>
      <c r="P204" s="6"/>
      <c r="Q204" s="6"/>
      <c r="R204" s="7">
        <v>45265</v>
      </c>
      <c r="S204" s="7" t="s">
        <v>17</v>
      </c>
      <c r="T204" s="7" t="s">
        <v>12</v>
      </c>
    </row>
    <row r="205" spans="1:20" s="5" customFormat="1" ht="24.95" customHeight="1" x14ac:dyDescent="0.3">
      <c r="A205" s="10"/>
      <c r="B205" s="10"/>
      <c r="D205" s="6">
        <f t="shared" si="3"/>
        <v>204</v>
      </c>
      <c r="E205" s="7" t="s">
        <v>269</v>
      </c>
      <c r="F205" s="7" t="s">
        <v>486</v>
      </c>
      <c r="G205" s="7" t="s">
        <v>487</v>
      </c>
      <c r="H205" s="6"/>
      <c r="I205" s="6"/>
      <c r="J205" s="6"/>
      <c r="K205" s="6"/>
      <c r="L205" s="6"/>
      <c r="M205" s="6"/>
      <c r="N205" s="6"/>
      <c r="O205" s="6"/>
      <c r="P205" s="6">
        <v>1</v>
      </c>
      <c r="Q205" s="8" t="s">
        <v>58</v>
      </c>
      <c r="R205" s="7">
        <v>45266</v>
      </c>
      <c r="S205" s="7" t="s">
        <v>17</v>
      </c>
      <c r="T205" s="7" t="s">
        <v>12</v>
      </c>
    </row>
    <row r="206" spans="1:20" s="5" customFormat="1" ht="24.95" customHeight="1" x14ac:dyDescent="0.3">
      <c r="A206" s="10"/>
      <c r="B206" s="10"/>
      <c r="D206" s="6">
        <f t="shared" si="3"/>
        <v>205</v>
      </c>
      <c r="E206" s="7" t="s">
        <v>317</v>
      </c>
      <c r="F206" s="7" t="s">
        <v>488</v>
      </c>
      <c r="G206" s="7" t="s">
        <v>487</v>
      </c>
      <c r="H206" s="6"/>
      <c r="I206" s="6"/>
      <c r="J206" s="6"/>
      <c r="K206" s="6"/>
      <c r="L206" s="6"/>
      <c r="M206" s="6"/>
      <c r="N206" s="6"/>
      <c r="O206" s="6"/>
      <c r="P206" s="6">
        <v>1</v>
      </c>
      <c r="Q206" s="8" t="s">
        <v>58</v>
      </c>
      <c r="R206" s="7">
        <v>45266</v>
      </c>
      <c r="S206" s="7" t="s">
        <v>17</v>
      </c>
      <c r="T206" s="7" t="s">
        <v>12</v>
      </c>
    </row>
    <row r="207" spans="1:20" s="5" customFormat="1" ht="24.95" customHeight="1" x14ac:dyDescent="0.3">
      <c r="A207" s="10"/>
      <c r="B207" s="10"/>
      <c r="D207" s="6">
        <f t="shared" si="3"/>
        <v>206</v>
      </c>
      <c r="E207" s="7" t="s">
        <v>384</v>
      </c>
      <c r="F207" s="7" t="s">
        <v>489</v>
      </c>
      <c r="G207" s="7" t="s">
        <v>490</v>
      </c>
      <c r="H207" s="6"/>
      <c r="I207" s="6"/>
      <c r="J207" s="6"/>
      <c r="K207" s="6"/>
      <c r="L207" s="6"/>
      <c r="M207" s="6"/>
      <c r="N207" s="6">
        <v>1</v>
      </c>
      <c r="O207" s="8" t="s">
        <v>54</v>
      </c>
      <c r="P207" s="6"/>
      <c r="Q207" s="6"/>
      <c r="R207" s="7">
        <v>45271</v>
      </c>
      <c r="S207" s="7" t="s">
        <v>17</v>
      </c>
      <c r="T207" s="7" t="s">
        <v>12</v>
      </c>
    </row>
    <row r="208" spans="1:20" s="5" customFormat="1" ht="24.95" customHeight="1" x14ac:dyDescent="0.3">
      <c r="A208" s="10"/>
      <c r="B208" s="10"/>
      <c r="D208" s="6">
        <f t="shared" si="3"/>
        <v>207</v>
      </c>
      <c r="E208" s="7" t="s">
        <v>384</v>
      </c>
      <c r="F208" s="7" t="s">
        <v>491</v>
      </c>
      <c r="G208" s="7" t="s">
        <v>492</v>
      </c>
      <c r="H208" s="6"/>
      <c r="I208" s="6"/>
      <c r="J208" s="6"/>
      <c r="K208" s="6"/>
      <c r="L208" s="6"/>
      <c r="M208" s="6"/>
      <c r="N208" s="6">
        <v>1</v>
      </c>
      <c r="O208" s="8" t="s">
        <v>54</v>
      </c>
      <c r="P208" s="6"/>
      <c r="Q208" s="6"/>
      <c r="R208" s="7">
        <v>45271</v>
      </c>
      <c r="S208" s="7" t="s">
        <v>17</v>
      </c>
      <c r="T208" s="7" t="s">
        <v>12</v>
      </c>
    </row>
    <row r="209" spans="1:20" s="5" customFormat="1" ht="24.95" customHeight="1" x14ac:dyDescent="0.3">
      <c r="A209" s="10"/>
      <c r="B209" s="10"/>
      <c r="D209" s="6">
        <f t="shared" si="3"/>
        <v>208</v>
      </c>
      <c r="E209" s="7" t="s">
        <v>493</v>
      </c>
      <c r="F209" s="7" t="s">
        <v>494</v>
      </c>
      <c r="G209" s="7" t="s">
        <v>495</v>
      </c>
      <c r="H209" s="6"/>
      <c r="I209" s="6"/>
      <c r="J209" s="6"/>
      <c r="K209" s="6"/>
      <c r="L209" s="6"/>
      <c r="M209" s="6"/>
      <c r="N209" s="6"/>
      <c r="O209" s="6"/>
      <c r="P209" s="6">
        <v>1</v>
      </c>
      <c r="Q209" s="8" t="s">
        <v>16</v>
      </c>
      <c r="R209" s="7">
        <v>45273</v>
      </c>
      <c r="S209" s="7" t="s">
        <v>17</v>
      </c>
      <c r="T209" s="7" t="s">
        <v>12</v>
      </c>
    </row>
    <row r="210" spans="1:20" s="5" customFormat="1" ht="24.95" customHeight="1" x14ac:dyDescent="0.3">
      <c r="A210" s="10"/>
      <c r="B210" s="10"/>
      <c r="D210" s="6">
        <f t="shared" si="3"/>
        <v>209</v>
      </c>
      <c r="E210" s="7" t="s">
        <v>493</v>
      </c>
      <c r="F210" s="7" t="s">
        <v>496</v>
      </c>
      <c r="G210" s="7" t="s">
        <v>497</v>
      </c>
      <c r="H210" s="6"/>
      <c r="I210" s="6"/>
      <c r="J210" s="6"/>
      <c r="K210" s="6"/>
      <c r="L210" s="6"/>
      <c r="M210" s="6"/>
      <c r="N210" s="6"/>
      <c r="O210" s="6"/>
      <c r="P210" s="6">
        <v>1</v>
      </c>
      <c r="Q210" s="8" t="s">
        <v>16</v>
      </c>
      <c r="R210" s="7">
        <v>45273</v>
      </c>
      <c r="S210" s="7" t="s">
        <v>17</v>
      </c>
      <c r="T210" s="7" t="s">
        <v>12</v>
      </c>
    </row>
    <row r="211" spans="1:20" s="5" customFormat="1" ht="24.95" customHeight="1" x14ac:dyDescent="0.3">
      <c r="A211" s="10"/>
      <c r="B211" s="10"/>
      <c r="D211" s="6">
        <f t="shared" si="3"/>
        <v>210</v>
      </c>
      <c r="E211" s="7" t="s">
        <v>409</v>
      </c>
      <c r="F211" s="7" t="s">
        <v>498</v>
      </c>
      <c r="G211" s="7" t="s">
        <v>499</v>
      </c>
      <c r="H211" s="6"/>
      <c r="I211" s="6"/>
      <c r="J211" s="6"/>
      <c r="K211" s="6"/>
      <c r="L211" s="6"/>
      <c r="M211" s="6"/>
      <c r="N211" s="6"/>
      <c r="O211" s="6"/>
      <c r="P211" s="6">
        <v>1</v>
      </c>
      <c r="Q211" s="8" t="s">
        <v>58</v>
      </c>
      <c r="R211" s="7">
        <v>45279</v>
      </c>
      <c r="S211" s="7" t="s">
        <v>17</v>
      </c>
      <c r="T211" s="7" t="s">
        <v>12</v>
      </c>
    </row>
    <row r="212" spans="1:20" s="5" customFormat="1" ht="24.95" customHeight="1" x14ac:dyDescent="0.3">
      <c r="A212" s="10"/>
      <c r="B212" s="10"/>
      <c r="D212" s="6">
        <f t="shared" si="3"/>
        <v>211</v>
      </c>
      <c r="E212" s="7" t="s">
        <v>180</v>
      </c>
      <c r="F212" s="7" t="s">
        <v>500</v>
      </c>
      <c r="G212" s="7" t="s">
        <v>501</v>
      </c>
      <c r="H212" s="6"/>
      <c r="I212" s="6"/>
      <c r="J212" s="6"/>
      <c r="K212" s="6"/>
      <c r="L212" s="6"/>
      <c r="M212" s="6"/>
      <c r="N212" s="6"/>
      <c r="O212" s="6"/>
      <c r="P212" s="6">
        <v>1</v>
      </c>
      <c r="Q212" s="8" t="s">
        <v>16</v>
      </c>
      <c r="R212" s="7">
        <v>45279</v>
      </c>
      <c r="S212" s="7" t="s">
        <v>17</v>
      </c>
      <c r="T212" s="7" t="s">
        <v>12</v>
      </c>
    </row>
    <row r="213" spans="1:20" s="5" customFormat="1" ht="24.95" customHeight="1" x14ac:dyDescent="0.3">
      <c r="A213" s="10"/>
      <c r="B213" s="10"/>
      <c r="D213" s="6">
        <f t="shared" si="3"/>
        <v>212</v>
      </c>
      <c r="E213" s="7" t="s">
        <v>180</v>
      </c>
      <c r="F213" s="7" t="s">
        <v>502</v>
      </c>
      <c r="G213" s="7" t="s">
        <v>503</v>
      </c>
      <c r="H213" s="6"/>
      <c r="I213" s="6"/>
      <c r="J213" s="6"/>
      <c r="K213" s="6"/>
      <c r="L213" s="6"/>
      <c r="M213" s="6"/>
      <c r="N213" s="6"/>
      <c r="O213" s="6"/>
      <c r="P213" s="6">
        <v>1</v>
      </c>
      <c r="Q213" s="8" t="s">
        <v>16</v>
      </c>
      <c r="R213" s="7">
        <v>45280</v>
      </c>
      <c r="S213" s="7" t="s">
        <v>17</v>
      </c>
      <c r="T213" s="7" t="s">
        <v>12</v>
      </c>
    </row>
    <row r="214" spans="1:20" s="5" customFormat="1" ht="24.95" customHeight="1" x14ac:dyDescent="0.3">
      <c r="A214" s="10"/>
      <c r="B214" s="10"/>
      <c r="D214" s="6">
        <f t="shared" si="3"/>
        <v>213</v>
      </c>
      <c r="E214" s="7" t="s">
        <v>180</v>
      </c>
      <c r="F214" s="7" t="s">
        <v>504</v>
      </c>
      <c r="G214" s="7" t="s">
        <v>505</v>
      </c>
      <c r="H214" s="6"/>
      <c r="I214" s="6"/>
      <c r="J214" s="6"/>
      <c r="K214" s="6"/>
      <c r="L214" s="6"/>
      <c r="M214" s="6"/>
      <c r="N214" s="6"/>
      <c r="O214" s="6"/>
      <c r="P214" s="6">
        <v>1</v>
      </c>
      <c r="Q214" s="8" t="s">
        <v>16</v>
      </c>
      <c r="R214" s="7">
        <v>45280</v>
      </c>
      <c r="S214" s="7" t="s">
        <v>17</v>
      </c>
      <c r="T214" s="7" t="s">
        <v>12</v>
      </c>
    </row>
    <row r="215" spans="1:20" s="5" customFormat="1" ht="24.95" customHeight="1" x14ac:dyDescent="0.3">
      <c r="A215" s="10"/>
      <c r="B215" s="10"/>
      <c r="D215" s="6">
        <f t="shared" si="3"/>
        <v>214</v>
      </c>
      <c r="E215" s="7" t="s">
        <v>72</v>
      </c>
      <c r="F215" s="7" t="s">
        <v>506</v>
      </c>
      <c r="G215" s="7" t="s">
        <v>507</v>
      </c>
      <c r="H215" s="6"/>
      <c r="I215" s="6"/>
      <c r="J215" s="6"/>
      <c r="K215" s="6"/>
      <c r="L215" s="6">
        <v>1</v>
      </c>
      <c r="M215" s="8" t="s">
        <v>92</v>
      </c>
      <c r="N215" s="6"/>
      <c r="O215" s="6"/>
      <c r="P215" s="6"/>
      <c r="Q215" s="6"/>
      <c r="R215" s="7">
        <v>45286</v>
      </c>
      <c r="S215" s="7" t="s">
        <v>17</v>
      </c>
      <c r="T215" s="7" t="s">
        <v>12</v>
      </c>
    </row>
    <row r="216" spans="1:20" s="5" customFormat="1" ht="24.95" customHeight="1" x14ac:dyDescent="0.3">
      <c r="A216" s="10"/>
      <c r="B216" s="10"/>
      <c r="D216" s="6">
        <f t="shared" si="3"/>
        <v>215</v>
      </c>
      <c r="E216" s="7" t="s">
        <v>72</v>
      </c>
      <c r="F216" s="7" t="s">
        <v>508</v>
      </c>
      <c r="G216" s="7" t="s">
        <v>509</v>
      </c>
      <c r="H216" s="6"/>
      <c r="I216" s="6"/>
      <c r="J216" s="6"/>
      <c r="K216" s="6"/>
      <c r="L216" s="6">
        <v>1</v>
      </c>
      <c r="M216" s="8" t="s">
        <v>92</v>
      </c>
      <c r="N216" s="6"/>
      <c r="O216" s="6"/>
      <c r="P216" s="6"/>
      <c r="Q216" s="6"/>
      <c r="R216" s="7">
        <v>45286</v>
      </c>
      <c r="S216" s="7" t="s">
        <v>17</v>
      </c>
      <c r="T216" s="7" t="s">
        <v>12</v>
      </c>
    </row>
    <row r="217" spans="1:20" s="5" customFormat="1" ht="24.95" customHeight="1" x14ac:dyDescent="0.3">
      <c r="A217" s="10"/>
      <c r="B217" s="10"/>
      <c r="D217" s="6">
        <f t="shared" si="3"/>
        <v>216</v>
      </c>
      <c r="E217" s="7" t="s">
        <v>72</v>
      </c>
      <c r="F217" s="7" t="s">
        <v>510</v>
      </c>
      <c r="G217" s="7" t="s">
        <v>511</v>
      </c>
      <c r="H217" s="6"/>
      <c r="I217" s="6"/>
      <c r="J217" s="6"/>
      <c r="K217" s="6"/>
      <c r="L217" s="6"/>
      <c r="M217" s="6"/>
      <c r="N217" s="6">
        <v>1</v>
      </c>
      <c r="O217" s="8" t="s">
        <v>77</v>
      </c>
      <c r="P217" s="6"/>
      <c r="Q217" s="6"/>
      <c r="R217" s="7">
        <v>45286</v>
      </c>
      <c r="S217" s="7" t="s">
        <v>17</v>
      </c>
      <c r="T217" s="7" t="s">
        <v>12</v>
      </c>
    </row>
    <row r="218" spans="1:20" s="5" customFormat="1" ht="24.95" customHeight="1" x14ac:dyDescent="0.3">
      <c r="A218" s="10"/>
      <c r="B218" s="10"/>
      <c r="D218" s="6">
        <f t="shared" si="3"/>
        <v>217</v>
      </c>
      <c r="E218" s="7" t="s">
        <v>512</v>
      </c>
      <c r="F218" s="7" t="s">
        <v>513</v>
      </c>
      <c r="G218" s="7" t="s">
        <v>514</v>
      </c>
      <c r="H218" s="6"/>
      <c r="I218" s="6"/>
      <c r="J218" s="6"/>
      <c r="K218" s="6"/>
      <c r="L218" s="6"/>
      <c r="M218" s="6"/>
      <c r="N218" s="6"/>
      <c r="O218" s="6"/>
      <c r="P218" s="6">
        <v>1</v>
      </c>
      <c r="Q218" s="8" t="s">
        <v>16</v>
      </c>
      <c r="R218" s="7">
        <v>45288</v>
      </c>
      <c r="S218" s="7" t="s">
        <v>17</v>
      </c>
      <c r="T218" s="7" t="s">
        <v>12</v>
      </c>
    </row>
    <row r="219" spans="1:20" s="5" customFormat="1" ht="24.95" customHeight="1" x14ac:dyDescent="0.3">
      <c r="A219" s="10"/>
      <c r="B219" s="10"/>
      <c r="D219" s="6">
        <f t="shared" si="3"/>
        <v>218</v>
      </c>
      <c r="E219" s="7" t="s">
        <v>515</v>
      </c>
      <c r="F219" s="7" t="s">
        <v>516</v>
      </c>
      <c r="G219" s="7" t="s">
        <v>517</v>
      </c>
      <c r="H219" s="6"/>
      <c r="I219" s="6"/>
      <c r="J219" s="6"/>
      <c r="K219" s="6"/>
      <c r="L219" s="6"/>
      <c r="M219" s="6"/>
      <c r="N219" s="6"/>
      <c r="O219" s="6"/>
      <c r="P219" s="6">
        <v>1</v>
      </c>
      <c r="Q219" s="8" t="s">
        <v>58</v>
      </c>
      <c r="R219" s="7">
        <v>45289</v>
      </c>
      <c r="S219" s="7" t="s">
        <v>17</v>
      </c>
      <c r="T219" s="7" t="s">
        <v>12</v>
      </c>
    </row>
    <row r="220" spans="1:20" s="5" customFormat="1" ht="24.95" customHeight="1" x14ac:dyDescent="0.3">
      <c r="A220" s="10"/>
      <c r="B220" s="10"/>
      <c r="D220" s="6">
        <f t="shared" si="3"/>
        <v>219</v>
      </c>
      <c r="E220" s="7" t="s">
        <v>515</v>
      </c>
      <c r="F220" s="7" t="s">
        <v>518</v>
      </c>
      <c r="G220" s="7" t="s">
        <v>519</v>
      </c>
      <c r="H220" s="6"/>
      <c r="I220" s="6"/>
      <c r="J220" s="6"/>
      <c r="K220" s="6"/>
      <c r="L220" s="6"/>
      <c r="M220" s="6"/>
      <c r="N220" s="6"/>
      <c r="O220" s="6"/>
      <c r="P220" s="6">
        <v>1</v>
      </c>
      <c r="Q220" s="8" t="s">
        <v>58</v>
      </c>
      <c r="R220" s="7">
        <v>45289</v>
      </c>
      <c r="S220" s="7" t="s">
        <v>17</v>
      </c>
      <c r="T220" s="7" t="s">
        <v>12</v>
      </c>
    </row>
    <row r="221" spans="1:20" s="5" customFormat="1" ht="24.95" customHeight="1" x14ac:dyDescent="0.3">
      <c r="A221" s="10"/>
      <c r="B221" s="10"/>
      <c r="D221" s="6">
        <f t="shared" si="3"/>
        <v>220</v>
      </c>
      <c r="E221" s="7" t="s">
        <v>327</v>
      </c>
      <c r="F221" s="7" t="s">
        <v>520</v>
      </c>
      <c r="G221" s="7" t="s">
        <v>521</v>
      </c>
      <c r="H221" s="6"/>
      <c r="I221" s="6"/>
      <c r="J221" s="6"/>
      <c r="K221" s="6"/>
      <c r="L221" s="6"/>
      <c r="M221" s="6"/>
      <c r="N221" s="6"/>
      <c r="O221" s="6"/>
      <c r="P221" s="6">
        <v>1</v>
      </c>
      <c r="Q221" s="8" t="s">
        <v>58</v>
      </c>
      <c r="R221" s="7">
        <v>45289</v>
      </c>
      <c r="S221" s="7" t="s">
        <v>17</v>
      </c>
      <c r="T221" s="7" t="s">
        <v>12</v>
      </c>
    </row>
    <row r="222" spans="1:20" s="5" customFormat="1" ht="24.95" customHeight="1" x14ac:dyDescent="0.3">
      <c r="A222" s="10"/>
      <c r="B222" s="10"/>
      <c r="D222" s="6">
        <f t="shared" si="3"/>
        <v>221</v>
      </c>
      <c r="E222" s="7" t="s">
        <v>358</v>
      </c>
      <c r="F222" s="7" t="s">
        <v>522</v>
      </c>
      <c r="G222" s="7" t="s">
        <v>523</v>
      </c>
      <c r="H222" s="6">
        <v>1</v>
      </c>
      <c r="I222" s="8" t="s">
        <v>130</v>
      </c>
      <c r="J222" s="6"/>
      <c r="K222" s="6"/>
      <c r="L222" s="6"/>
      <c r="M222" s="6"/>
      <c r="N222" s="6"/>
      <c r="O222" s="6"/>
      <c r="P222" s="6"/>
      <c r="Q222" s="6"/>
      <c r="R222" s="7">
        <v>45289</v>
      </c>
      <c r="S222" s="7" t="s">
        <v>17</v>
      </c>
      <c r="T222" s="7" t="s">
        <v>12</v>
      </c>
    </row>
    <row r="223" spans="1:20" s="5" customFormat="1" ht="24.95" customHeight="1" x14ac:dyDescent="0.3">
      <c r="A223" s="10"/>
      <c r="B223" s="10"/>
      <c r="D223" s="6">
        <f t="shared" si="3"/>
        <v>222</v>
      </c>
      <c r="E223" s="7" t="s">
        <v>358</v>
      </c>
      <c r="F223" s="7" t="s">
        <v>524</v>
      </c>
      <c r="G223" s="7" t="s">
        <v>525</v>
      </c>
      <c r="H223" s="6"/>
      <c r="I223" s="6"/>
      <c r="J223" s="6"/>
      <c r="K223" s="6"/>
      <c r="L223" s="6"/>
      <c r="M223" s="6"/>
      <c r="N223" s="6"/>
      <c r="O223" s="6"/>
      <c r="P223" s="6">
        <v>1</v>
      </c>
      <c r="Q223" s="8" t="s">
        <v>25</v>
      </c>
      <c r="R223" s="7">
        <v>45289</v>
      </c>
      <c r="S223" s="7" t="s">
        <v>17</v>
      </c>
      <c r="T223" s="7" t="s">
        <v>12</v>
      </c>
    </row>
    <row r="224" spans="1:20" s="5" customFormat="1" ht="24.95" customHeight="1" x14ac:dyDescent="0.3">
      <c r="A224" s="10"/>
      <c r="B224" s="10"/>
      <c r="D224" s="6">
        <f t="shared" si="3"/>
        <v>223</v>
      </c>
      <c r="E224" s="7" t="s">
        <v>444</v>
      </c>
      <c r="F224" s="7" t="s">
        <v>526</v>
      </c>
      <c r="G224" s="7" t="s">
        <v>527</v>
      </c>
      <c r="H224" s="6"/>
      <c r="I224" s="6"/>
      <c r="J224" s="6"/>
      <c r="K224" s="6"/>
      <c r="L224" s="6">
        <v>1</v>
      </c>
      <c r="M224" s="8" t="s">
        <v>48</v>
      </c>
      <c r="N224" s="6"/>
      <c r="O224" s="6"/>
      <c r="P224" s="6"/>
      <c r="Q224" s="6"/>
      <c r="R224" s="7">
        <v>45289</v>
      </c>
      <c r="S224" s="7" t="s">
        <v>17</v>
      </c>
      <c r="T224" s="7" t="s">
        <v>12</v>
      </c>
    </row>
    <row r="225" spans="1:20" s="5" customFormat="1" ht="24.95" customHeight="1" x14ac:dyDescent="0.3">
      <c r="A225" s="10"/>
      <c r="B225" s="10"/>
      <c r="D225" s="6">
        <f t="shared" si="3"/>
        <v>224</v>
      </c>
      <c r="E225" s="7" t="s">
        <v>358</v>
      </c>
      <c r="F225" s="7" t="s">
        <v>528</v>
      </c>
      <c r="G225" s="7" t="s">
        <v>529</v>
      </c>
      <c r="H225" s="6"/>
      <c r="I225" s="6"/>
      <c r="J225" s="6"/>
      <c r="K225" s="6"/>
      <c r="L225" s="6"/>
      <c r="M225" s="6"/>
      <c r="N225" s="6"/>
      <c r="O225" s="6"/>
      <c r="P225" s="6">
        <v>1</v>
      </c>
      <c r="Q225" s="8" t="s">
        <v>25</v>
      </c>
      <c r="R225" s="7">
        <v>45289</v>
      </c>
      <c r="S225" s="7" t="s">
        <v>17</v>
      </c>
      <c r="T225" s="7" t="s">
        <v>12</v>
      </c>
    </row>
    <row r="226" spans="1:20" s="5" customFormat="1" ht="24.95" customHeight="1" x14ac:dyDescent="0.3">
      <c r="A226" s="10"/>
      <c r="B226" s="10"/>
      <c r="D226" s="6">
        <f t="shared" si="3"/>
        <v>225</v>
      </c>
      <c r="E226" s="7" t="s">
        <v>530</v>
      </c>
      <c r="F226" s="7" t="s">
        <v>531</v>
      </c>
      <c r="G226" s="7" t="s">
        <v>532</v>
      </c>
      <c r="H226" s="6">
        <v>1</v>
      </c>
      <c r="I226" s="8" t="s">
        <v>277</v>
      </c>
      <c r="J226" s="6"/>
      <c r="K226" s="6"/>
      <c r="L226" s="6"/>
      <c r="M226" s="6"/>
      <c r="N226" s="6"/>
      <c r="O226" s="6"/>
      <c r="P226" s="6"/>
      <c r="Q226" s="6"/>
      <c r="R226" s="7">
        <v>45290</v>
      </c>
      <c r="S226" s="7" t="s">
        <v>17</v>
      </c>
      <c r="T226" s="7" t="s">
        <v>12</v>
      </c>
    </row>
    <row r="227" spans="1:20" s="5" customFormat="1" ht="24.95" customHeight="1" x14ac:dyDescent="0.3">
      <c r="A227" s="10"/>
      <c r="B227" s="10"/>
      <c r="D227" s="6">
        <f t="shared" si="3"/>
        <v>226</v>
      </c>
      <c r="E227" s="7" t="s">
        <v>18</v>
      </c>
      <c r="F227" s="7" t="s">
        <v>533</v>
      </c>
      <c r="G227" s="7" t="s">
        <v>534</v>
      </c>
      <c r="H227" s="6"/>
      <c r="I227" s="6"/>
      <c r="J227" s="6"/>
      <c r="K227" s="6"/>
      <c r="L227" s="6"/>
      <c r="M227" s="6"/>
      <c r="N227" s="6"/>
      <c r="O227" s="6"/>
      <c r="P227" s="6">
        <v>1</v>
      </c>
      <c r="Q227" s="8" t="s">
        <v>16</v>
      </c>
      <c r="R227" s="7">
        <v>45298</v>
      </c>
      <c r="S227" s="7" t="s">
        <v>17</v>
      </c>
      <c r="T227" s="7" t="s">
        <v>12</v>
      </c>
    </row>
    <row r="228" spans="1:20" s="5" customFormat="1" ht="24.95" customHeight="1" x14ac:dyDescent="0.3">
      <c r="A228" s="10"/>
      <c r="B228" s="10"/>
      <c r="D228" s="6">
        <f t="shared" si="3"/>
        <v>227</v>
      </c>
      <c r="E228" s="7" t="s">
        <v>18</v>
      </c>
      <c r="F228" s="7" t="s">
        <v>535</v>
      </c>
      <c r="G228" s="7" t="s">
        <v>536</v>
      </c>
      <c r="H228" s="6"/>
      <c r="I228" s="6"/>
      <c r="J228" s="6"/>
      <c r="K228" s="6"/>
      <c r="L228" s="6"/>
      <c r="M228" s="6"/>
      <c r="N228" s="6"/>
      <c r="O228" s="6"/>
      <c r="P228" s="6">
        <v>1</v>
      </c>
      <c r="Q228" s="8" t="s">
        <v>16</v>
      </c>
      <c r="R228" s="7">
        <v>45298</v>
      </c>
      <c r="S228" s="7" t="s">
        <v>17</v>
      </c>
      <c r="T228" s="7" t="s">
        <v>12</v>
      </c>
    </row>
    <row r="229" spans="1:20" s="5" customFormat="1" ht="24.95" customHeight="1" x14ac:dyDescent="0.3">
      <c r="A229" s="10"/>
      <c r="B229" s="10"/>
      <c r="D229" s="6">
        <f t="shared" si="3"/>
        <v>228</v>
      </c>
      <c r="E229" s="7" t="s">
        <v>61</v>
      </c>
      <c r="F229" s="7" t="s">
        <v>537</v>
      </c>
      <c r="G229" s="7" t="s">
        <v>538</v>
      </c>
      <c r="H229" s="6"/>
      <c r="I229" s="6"/>
      <c r="J229" s="6"/>
      <c r="K229" s="6"/>
      <c r="L229" s="6"/>
      <c r="M229" s="6"/>
      <c r="N229" s="6"/>
      <c r="O229" s="6"/>
      <c r="P229" s="6">
        <v>1</v>
      </c>
      <c r="Q229" s="8" t="s">
        <v>16</v>
      </c>
      <c r="R229" s="7">
        <v>45299</v>
      </c>
      <c r="S229" s="7" t="s">
        <v>17</v>
      </c>
      <c r="T229" s="7" t="s">
        <v>12</v>
      </c>
    </row>
    <row r="230" spans="1:20" s="5" customFormat="1" ht="24.95" customHeight="1" x14ac:dyDescent="0.3">
      <c r="A230" s="10"/>
      <c r="B230" s="10"/>
      <c r="D230" s="6">
        <f t="shared" si="3"/>
        <v>229</v>
      </c>
      <c r="E230" s="7" t="s">
        <v>61</v>
      </c>
      <c r="F230" s="7" t="s">
        <v>539</v>
      </c>
      <c r="G230" s="7" t="s">
        <v>540</v>
      </c>
      <c r="H230" s="6">
        <v>1</v>
      </c>
      <c r="I230" s="8" t="s">
        <v>277</v>
      </c>
      <c r="J230" s="6"/>
      <c r="K230" s="6"/>
      <c r="L230" s="6"/>
      <c r="M230" s="6"/>
      <c r="N230" s="6"/>
      <c r="O230" s="6"/>
      <c r="P230" s="6"/>
      <c r="Q230" s="6"/>
      <c r="R230" s="7">
        <v>45299</v>
      </c>
      <c r="S230" s="7" t="s">
        <v>17</v>
      </c>
      <c r="T230" s="7" t="s">
        <v>12</v>
      </c>
    </row>
    <row r="231" spans="1:20" s="5" customFormat="1" ht="24.95" customHeight="1" x14ac:dyDescent="0.3">
      <c r="A231" s="10"/>
      <c r="B231" s="10"/>
      <c r="D231" s="6">
        <f t="shared" si="3"/>
        <v>230</v>
      </c>
      <c r="E231" s="7" t="s">
        <v>384</v>
      </c>
      <c r="F231" s="7" t="s">
        <v>541</v>
      </c>
      <c r="G231" s="7" t="s">
        <v>542</v>
      </c>
      <c r="H231" s="6">
        <v>1</v>
      </c>
      <c r="I231" s="8" t="s">
        <v>130</v>
      </c>
      <c r="J231" s="6"/>
      <c r="K231" s="6"/>
      <c r="L231" s="6"/>
      <c r="M231" s="6"/>
      <c r="N231" s="6"/>
      <c r="O231" s="6"/>
      <c r="P231" s="6"/>
      <c r="Q231" s="6"/>
      <c r="R231" s="7">
        <v>45301</v>
      </c>
      <c r="S231" s="7" t="s">
        <v>17</v>
      </c>
      <c r="T231" s="7" t="s">
        <v>12</v>
      </c>
    </row>
    <row r="232" spans="1:20" s="5" customFormat="1" ht="24.95" customHeight="1" x14ac:dyDescent="0.3">
      <c r="A232" s="10"/>
      <c r="B232" s="10"/>
      <c r="D232" s="6">
        <f t="shared" si="3"/>
        <v>231</v>
      </c>
      <c r="E232" s="7" t="s">
        <v>384</v>
      </c>
      <c r="F232" s="7" t="s">
        <v>543</v>
      </c>
      <c r="G232" s="7" t="s">
        <v>544</v>
      </c>
      <c r="H232" s="6"/>
      <c r="I232" s="6"/>
      <c r="J232" s="6"/>
      <c r="K232" s="6"/>
      <c r="L232" s="6"/>
      <c r="M232" s="6"/>
      <c r="N232" s="6">
        <v>1</v>
      </c>
      <c r="O232" s="8" t="s">
        <v>54</v>
      </c>
      <c r="P232" s="6"/>
      <c r="Q232" s="6"/>
      <c r="R232" s="7">
        <v>45301</v>
      </c>
      <c r="S232" s="7" t="s">
        <v>17</v>
      </c>
      <c r="T232" s="7" t="s">
        <v>12</v>
      </c>
    </row>
    <row r="233" spans="1:20" s="5" customFormat="1" ht="24.95" customHeight="1" x14ac:dyDescent="0.3">
      <c r="A233" s="10"/>
      <c r="B233" s="10"/>
      <c r="D233" s="6">
        <f t="shared" si="3"/>
        <v>232</v>
      </c>
      <c r="E233" s="7" t="s">
        <v>384</v>
      </c>
      <c r="F233" s="7" t="s">
        <v>545</v>
      </c>
      <c r="G233" s="7" t="s">
        <v>546</v>
      </c>
      <c r="H233" s="6"/>
      <c r="I233" s="6"/>
      <c r="J233" s="6">
        <v>1</v>
      </c>
      <c r="K233" s="8" t="s">
        <v>80</v>
      </c>
      <c r="L233" s="6"/>
      <c r="M233" s="6"/>
      <c r="N233" s="6"/>
      <c r="O233" s="6"/>
      <c r="P233" s="6"/>
      <c r="Q233" s="6"/>
      <c r="R233" s="7">
        <v>45301</v>
      </c>
      <c r="S233" s="7" t="s">
        <v>17</v>
      </c>
      <c r="T233" s="7" t="s">
        <v>12</v>
      </c>
    </row>
    <row r="234" spans="1:20" s="5" customFormat="1" ht="24.95" customHeight="1" x14ac:dyDescent="0.3">
      <c r="A234" s="10"/>
      <c r="B234" s="10"/>
      <c r="D234" s="6">
        <f t="shared" si="3"/>
        <v>233</v>
      </c>
      <c r="E234" s="7" t="s">
        <v>384</v>
      </c>
      <c r="F234" s="7" t="s">
        <v>547</v>
      </c>
      <c r="G234" s="7" t="s">
        <v>548</v>
      </c>
      <c r="H234" s="6"/>
      <c r="I234" s="6"/>
      <c r="J234" s="6">
        <v>1</v>
      </c>
      <c r="K234" s="8" t="s">
        <v>80</v>
      </c>
      <c r="L234" s="6"/>
      <c r="M234" s="6"/>
      <c r="N234" s="6"/>
      <c r="O234" s="6"/>
      <c r="P234" s="6"/>
      <c r="Q234" s="6"/>
      <c r="R234" s="7">
        <v>45301</v>
      </c>
      <c r="S234" s="7" t="s">
        <v>17</v>
      </c>
      <c r="T234" s="7" t="s">
        <v>12</v>
      </c>
    </row>
    <row r="235" spans="1:20" s="5" customFormat="1" ht="24.95" customHeight="1" x14ac:dyDescent="0.3">
      <c r="A235" s="10"/>
      <c r="B235" s="10"/>
      <c r="D235" s="6">
        <f t="shared" si="3"/>
        <v>234</v>
      </c>
      <c r="E235" s="7" t="s">
        <v>384</v>
      </c>
      <c r="F235" s="7" t="s">
        <v>549</v>
      </c>
      <c r="G235" s="7" t="s">
        <v>550</v>
      </c>
      <c r="H235" s="6"/>
      <c r="I235" s="6"/>
      <c r="J235" s="6"/>
      <c r="K235" s="6"/>
      <c r="L235" s="6"/>
      <c r="M235" s="6"/>
      <c r="N235" s="6">
        <v>1</v>
      </c>
      <c r="O235" s="8" t="s">
        <v>54</v>
      </c>
      <c r="P235" s="6"/>
      <c r="Q235" s="6"/>
      <c r="R235" s="7">
        <v>45301</v>
      </c>
      <c r="S235" s="7" t="s">
        <v>17</v>
      </c>
      <c r="T235" s="7" t="s">
        <v>12</v>
      </c>
    </row>
    <row r="236" spans="1:20" s="5" customFormat="1" ht="24.95" customHeight="1" x14ac:dyDescent="0.3">
      <c r="A236" s="10"/>
      <c r="B236" s="10"/>
      <c r="D236" s="6">
        <f t="shared" si="3"/>
        <v>235</v>
      </c>
      <c r="E236" s="7" t="s">
        <v>384</v>
      </c>
      <c r="F236" s="7" t="s">
        <v>551</v>
      </c>
      <c r="G236" s="7" t="s">
        <v>552</v>
      </c>
      <c r="H236" s="6"/>
      <c r="I236" s="6"/>
      <c r="J236" s="6">
        <v>1</v>
      </c>
      <c r="K236" s="8" t="s">
        <v>80</v>
      </c>
      <c r="L236" s="6"/>
      <c r="M236" s="6"/>
      <c r="N236" s="6"/>
      <c r="O236" s="6"/>
      <c r="P236" s="6"/>
      <c r="Q236" s="6"/>
      <c r="R236" s="7">
        <v>45301</v>
      </c>
      <c r="S236" s="7" t="s">
        <v>17</v>
      </c>
      <c r="T236" s="7" t="s">
        <v>12</v>
      </c>
    </row>
    <row r="237" spans="1:20" s="5" customFormat="1" ht="24.95" customHeight="1" x14ac:dyDescent="0.3">
      <c r="A237" s="10"/>
      <c r="B237" s="10"/>
      <c r="D237" s="6">
        <f t="shared" si="3"/>
        <v>236</v>
      </c>
      <c r="E237" s="7" t="s">
        <v>384</v>
      </c>
      <c r="F237" s="7" t="s">
        <v>553</v>
      </c>
      <c r="G237" s="7" t="s">
        <v>554</v>
      </c>
      <c r="H237" s="6"/>
      <c r="I237" s="6"/>
      <c r="J237" s="6"/>
      <c r="K237" s="6"/>
      <c r="L237" s="6"/>
      <c r="M237" s="6"/>
      <c r="N237" s="6"/>
      <c r="O237" s="6"/>
      <c r="P237" s="6">
        <v>1</v>
      </c>
      <c r="Q237" s="8" t="s">
        <v>16</v>
      </c>
      <c r="R237" s="7">
        <v>45301</v>
      </c>
      <c r="S237" s="7" t="s">
        <v>17</v>
      </c>
      <c r="T237" s="7" t="s">
        <v>12</v>
      </c>
    </row>
    <row r="238" spans="1:20" s="5" customFormat="1" ht="24.95" customHeight="1" x14ac:dyDescent="0.3">
      <c r="A238" s="10"/>
      <c r="B238" s="10"/>
      <c r="D238" s="6">
        <f t="shared" si="3"/>
        <v>237</v>
      </c>
      <c r="E238" s="7" t="s">
        <v>384</v>
      </c>
      <c r="F238" s="7" t="s">
        <v>555</v>
      </c>
      <c r="G238" s="7" t="s">
        <v>556</v>
      </c>
      <c r="H238" s="6">
        <v>1</v>
      </c>
      <c r="I238" s="8" t="s">
        <v>130</v>
      </c>
      <c r="J238" s="6"/>
      <c r="K238" s="6"/>
      <c r="L238" s="6"/>
      <c r="M238" s="6"/>
      <c r="N238" s="6"/>
      <c r="O238" s="6"/>
      <c r="P238" s="6"/>
      <c r="Q238" s="6"/>
      <c r="R238" s="7">
        <v>45301</v>
      </c>
      <c r="S238" s="7" t="s">
        <v>17</v>
      </c>
      <c r="T238" s="7" t="s">
        <v>12</v>
      </c>
    </row>
    <row r="239" spans="1:20" s="5" customFormat="1" ht="24.95" customHeight="1" x14ac:dyDescent="0.3">
      <c r="A239" s="10"/>
      <c r="B239" s="10"/>
      <c r="D239" s="6">
        <f t="shared" si="3"/>
        <v>238</v>
      </c>
      <c r="E239" s="7" t="s">
        <v>557</v>
      </c>
      <c r="F239" s="7" t="s">
        <v>558</v>
      </c>
      <c r="G239" s="7" t="s">
        <v>559</v>
      </c>
      <c r="H239" s="6">
        <v>1</v>
      </c>
      <c r="I239" s="8" t="s">
        <v>130</v>
      </c>
      <c r="J239" s="6"/>
      <c r="K239" s="6"/>
      <c r="L239" s="6"/>
      <c r="M239" s="6"/>
      <c r="N239" s="6"/>
      <c r="O239" s="6"/>
      <c r="P239" s="6"/>
      <c r="Q239" s="6"/>
      <c r="R239" s="7">
        <v>45302</v>
      </c>
      <c r="S239" s="7" t="s">
        <v>17</v>
      </c>
      <c r="T239" s="7" t="s">
        <v>12</v>
      </c>
    </row>
    <row r="240" spans="1:20" s="5" customFormat="1" ht="24.95" customHeight="1" x14ac:dyDescent="0.3">
      <c r="A240" s="10"/>
      <c r="B240" s="10"/>
      <c r="D240" s="6">
        <f t="shared" si="3"/>
        <v>239</v>
      </c>
      <c r="E240" s="7" t="s">
        <v>560</v>
      </c>
      <c r="F240" s="7" t="s">
        <v>561</v>
      </c>
      <c r="G240" s="7" t="s">
        <v>562</v>
      </c>
      <c r="H240" s="6"/>
      <c r="I240" s="6"/>
      <c r="J240" s="6"/>
      <c r="K240" s="6"/>
      <c r="L240" s="6"/>
      <c r="M240" s="6"/>
      <c r="N240" s="6"/>
      <c r="O240" s="6"/>
      <c r="P240" s="6">
        <v>1</v>
      </c>
      <c r="Q240" s="8" t="s">
        <v>16</v>
      </c>
      <c r="R240" s="7">
        <v>45306</v>
      </c>
      <c r="S240" s="7" t="s">
        <v>17</v>
      </c>
      <c r="T240" s="7" t="s">
        <v>12</v>
      </c>
    </row>
    <row r="241" spans="1:20" s="5" customFormat="1" ht="24.95" customHeight="1" x14ac:dyDescent="0.3">
      <c r="A241" s="10"/>
      <c r="B241" s="10"/>
      <c r="D241" s="6">
        <f t="shared" si="3"/>
        <v>240</v>
      </c>
      <c r="E241" s="7" t="s">
        <v>384</v>
      </c>
      <c r="F241" s="7" t="s">
        <v>563</v>
      </c>
      <c r="G241" s="7" t="s">
        <v>564</v>
      </c>
      <c r="H241" s="6">
        <v>1</v>
      </c>
      <c r="I241" s="8" t="s">
        <v>130</v>
      </c>
      <c r="J241" s="6"/>
      <c r="K241" s="6"/>
      <c r="L241" s="6"/>
      <c r="M241" s="6"/>
      <c r="N241" s="6"/>
      <c r="O241" s="6"/>
      <c r="P241" s="6"/>
      <c r="Q241" s="6"/>
      <c r="R241" s="7">
        <v>45312</v>
      </c>
      <c r="S241" s="7" t="s">
        <v>17</v>
      </c>
      <c r="T241" s="7" t="s">
        <v>12</v>
      </c>
    </row>
    <row r="242" spans="1:20" s="5" customFormat="1" ht="24.95" customHeight="1" x14ac:dyDescent="0.3">
      <c r="A242" s="10"/>
      <c r="B242" s="10"/>
      <c r="D242" s="6">
        <f t="shared" si="3"/>
        <v>241</v>
      </c>
      <c r="E242" s="7" t="s">
        <v>565</v>
      </c>
      <c r="F242" s="7" t="s">
        <v>566</v>
      </c>
      <c r="G242" s="7" t="s">
        <v>567</v>
      </c>
      <c r="H242" s="6"/>
      <c r="I242" s="6"/>
      <c r="J242" s="6"/>
      <c r="K242" s="6"/>
      <c r="L242" s="6">
        <v>1</v>
      </c>
      <c r="M242" s="8" t="s">
        <v>48</v>
      </c>
      <c r="N242" s="6"/>
      <c r="O242" s="6"/>
      <c r="P242" s="6"/>
      <c r="Q242" s="6"/>
      <c r="R242" s="7">
        <v>45317</v>
      </c>
      <c r="S242" s="7" t="s">
        <v>17</v>
      </c>
      <c r="T242" s="7" t="s">
        <v>12</v>
      </c>
    </row>
    <row r="243" spans="1:20" s="5" customFormat="1" ht="24.95" customHeight="1" x14ac:dyDescent="0.3">
      <c r="A243" s="10"/>
      <c r="B243" s="10"/>
      <c r="D243" s="6">
        <f t="shared" si="3"/>
        <v>242</v>
      </c>
      <c r="E243" s="7" t="s">
        <v>327</v>
      </c>
      <c r="F243" s="7" t="s">
        <v>568</v>
      </c>
      <c r="G243" s="7" t="s">
        <v>569</v>
      </c>
      <c r="H243" s="6"/>
      <c r="I243" s="6"/>
      <c r="J243" s="6"/>
      <c r="K243" s="6"/>
      <c r="L243" s="6">
        <v>1</v>
      </c>
      <c r="M243" s="8" t="s">
        <v>48</v>
      </c>
      <c r="N243" s="6"/>
      <c r="O243" s="6"/>
      <c r="P243" s="6"/>
      <c r="Q243" s="6"/>
      <c r="R243" s="7">
        <v>45317</v>
      </c>
      <c r="S243" s="7" t="s">
        <v>17</v>
      </c>
      <c r="T243" s="7" t="s">
        <v>12</v>
      </c>
    </row>
    <row r="244" spans="1:20" s="5" customFormat="1" ht="24.95" customHeight="1" x14ac:dyDescent="0.3">
      <c r="A244" s="10"/>
      <c r="B244" s="10"/>
      <c r="D244" s="6">
        <f t="shared" si="3"/>
        <v>243</v>
      </c>
      <c r="E244" s="7" t="s">
        <v>261</v>
      </c>
      <c r="F244" s="7" t="s">
        <v>570</v>
      </c>
      <c r="G244" s="7" t="s">
        <v>571</v>
      </c>
      <c r="H244" s="6"/>
      <c r="I244" s="6"/>
      <c r="J244" s="6"/>
      <c r="K244" s="6"/>
      <c r="L244" s="6"/>
      <c r="M244" s="6"/>
      <c r="N244" s="6"/>
      <c r="O244" s="6"/>
      <c r="P244" s="6">
        <v>1</v>
      </c>
      <c r="Q244" s="8" t="s">
        <v>16</v>
      </c>
      <c r="R244" s="7">
        <v>45317</v>
      </c>
      <c r="S244" s="7" t="s">
        <v>17</v>
      </c>
      <c r="T244" s="7" t="s">
        <v>12</v>
      </c>
    </row>
    <row r="245" spans="1:20" s="5" customFormat="1" ht="24.95" customHeight="1" x14ac:dyDescent="0.3">
      <c r="A245" s="10"/>
      <c r="B245" s="10"/>
      <c r="D245" s="6">
        <f t="shared" si="3"/>
        <v>244</v>
      </c>
      <c r="E245" s="7" t="s">
        <v>261</v>
      </c>
      <c r="F245" s="7" t="s">
        <v>572</v>
      </c>
      <c r="G245" s="7" t="s">
        <v>573</v>
      </c>
      <c r="H245" s="6"/>
      <c r="I245" s="6"/>
      <c r="J245" s="6"/>
      <c r="K245" s="6"/>
      <c r="L245" s="6"/>
      <c r="M245" s="6"/>
      <c r="N245" s="6"/>
      <c r="O245" s="6"/>
      <c r="P245" s="6">
        <v>1</v>
      </c>
      <c r="Q245" s="8" t="s">
        <v>16</v>
      </c>
      <c r="R245" s="7">
        <v>45317</v>
      </c>
      <c r="S245" s="7" t="s">
        <v>17</v>
      </c>
      <c r="T245" s="7" t="s">
        <v>12</v>
      </c>
    </row>
    <row r="246" spans="1:20" s="5" customFormat="1" ht="24.95" customHeight="1" x14ac:dyDescent="0.3">
      <c r="A246" s="10"/>
      <c r="B246" s="10"/>
      <c r="D246" s="6">
        <f t="shared" si="3"/>
        <v>245</v>
      </c>
      <c r="E246" s="7" t="s">
        <v>261</v>
      </c>
      <c r="F246" s="7" t="s">
        <v>574</v>
      </c>
      <c r="G246" s="7" t="s">
        <v>575</v>
      </c>
      <c r="H246" s="6"/>
      <c r="I246" s="6"/>
      <c r="J246" s="6"/>
      <c r="K246" s="6"/>
      <c r="L246" s="6"/>
      <c r="M246" s="6"/>
      <c r="N246" s="6"/>
      <c r="O246" s="6"/>
      <c r="P246" s="6">
        <v>1</v>
      </c>
      <c r="Q246" s="8" t="s">
        <v>16</v>
      </c>
      <c r="R246" s="7">
        <v>45317</v>
      </c>
      <c r="S246" s="7" t="s">
        <v>17</v>
      </c>
      <c r="T246" s="7" t="s">
        <v>12</v>
      </c>
    </row>
    <row r="247" spans="1:20" s="5" customFormat="1" ht="24.95" customHeight="1" x14ac:dyDescent="0.3">
      <c r="A247" s="10"/>
      <c r="B247" s="10"/>
      <c r="D247" s="6">
        <f t="shared" si="3"/>
        <v>246</v>
      </c>
      <c r="E247" s="7" t="s">
        <v>261</v>
      </c>
      <c r="F247" s="7" t="s">
        <v>576</v>
      </c>
      <c r="G247" s="7" t="s">
        <v>577</v>
      </c>
      <c r="H247" s="6"/>
      <c r="I247" s="6"/>
      <c r="J247" s="6"/>
      <c r="K247" s="6"/>
      <c r="L247" s="6"/>
      <c r="M247" s="6"/>
      <c r="N247" s="6"/>
      <c r="O247" s="6"/>
      <c r="P247" s="6">
        <v>1</v>
      </c>
      <c r="Q247" s="8" t="s">
        <v>16</v>
      </c>
      <c r="R247" s="7">
        <v>45317</v>
      </c>
      <c r="S247" s="7" t="s">
        <v>17</v>
      </c>
      <c r="T247" s="7" t="s">
        <v>12</v>
      </c>
    </row>
    <row r="248" spans="1:20" s="5" customFormat="1" ht="24.95" customHeight="1" x14ac:dyDescent="0.3">
      <c r="A248" s="10"/>
      <c r="B248" s="10"/>
      <c r="D248" s="6">
        <f t="shared" si="3"/>
        <v>247</v>
      </c>
      <c r="E248" s="7" t="s">
        <v>578</v>
      </c>
      <c r="F248" s="7" t="s">
        <v>579</v>
      </c>
      <c r="G248" s="7" t="s">
        <v>580</v>
      </c>
      <c r="H248" s="6"/>
      <c r="I248" s="6"/>
      <c r="J248" s="6"/>
      <c r="K248" s="6"/>
      <c r="L248" s="6"/>
      <c r="M248" s="6"/>
      <c r="N248" s="6">
        <v>1</v>
      </c>
      <c r="O248" s="8" t="s">
        <v>54</v>
      </c>
      <c r="P248" s="6"/>
      <c r="Q248" s="6"/>
      <c r="R248" s="7">
        <v>45320</v>
      </c>
      <c r="S248" s="7" t="s">
        <v>17</v>
      </c>
      <c r="T248" s="7" t="s">
        <v>12</v>
      </c>
    </row>
    <row r="249" spans="1:20" s="5" customFormat="1" ht="24.95" customHeight="1" x14ac:dyDescent="0.3">
      <c r="A249" s="10"/>
      <c r="B249" s="10"/>
      <c r="D249" s="6">
        <f t="shared" si="3"/>
        <v>248</v>
      </c>
      <c r="E249" s="7" t="s">
        <v>581</v>
      </c>
      <c r="F249" s="7" t="s">
        <v>582</v>
      </c>
      <c r="G249" s="7" t="s">
        <v>583</v>
      </c>
      <c r="H249" s="6"/>
      <c r="I249" s="6"/>
      <c r="J249" s="6"/>
      <c r="K249" s="6"/>
      <c r="L249" s="6"/>
      <c r="M249" s="6"/>
      <c r="N249" s="6"/>
      <c r="O249" s="6"/>
      <c r="P249" s="6">
        <v>1</v>
      </c>
      <c r="Q249" s="8" t="s">
        <v>16</v>
      </c>
      <c r="R249" s="7">
        <v>45321</v>
      </c>
      <c r="S249" s="7" t="s">
        <v>17</v>
      </c>
      <c r="T249" s="7" t="s">
        <v>12</v>
      </c>
    </row>
    <row r="250" spans="1:20" s="5" customFormat="1" ht="24.95" customHeight="1" x14ac:dyDescent="0.3">
      <c r="A250" s="10"/>
      <c r="B250" s="10"/>
      <c r="D250" s="6">
        <f t="shared" si="3"/>
        <v>249</v>
      </c>
      <c r="E250" s="7" t="s">
        <v>584</v>
      </c>
      <c r="F250" s="7" t="s">
        <v>585</v>
      </c>
      <c r="G250" s="7" t="s">
        <v>586</v>
      </c>
      <c r="H250" s="6"/>
      <c r="I250" s="6"/>
      <c r="J250" s="6"/>
      <c r="K250" s="6"/>
      <c r="L250" s="6"/>
      <c r="M250" s="6"/>
      <c r="N250" s="6"/>
      <c r="O250" s="6"/>
      <c r="P250" s="6">
        <v>1</v>
      </c>
      <c r="Q250" s="8" t="s">
        <v>16</v>
      </c>
      <c r="R250" s="7">
        <v>45327</v>
      </c>
      <c r="S250" s="7" t="s">
        <v>17</v>
      </c>
      <c r="T250" s="7" t="s">
        <v>12</v>
      </c>
    </row>
    <row r="251" spans="1:20" s="5" customFormat="1" ht="24.95" customHeight="1" x14ac:dyDescent="0.3">
      <c r="A251" s="10"/>
      <c r="B251" s="10"/>
      <c r="D251" s="6">
        <f t="shared" si="3"/>
        <v>250</v>
      </c>
      <c r="E251" s="7" t="s">
        <v>404</v>
      </c>
      <c r="F251" s="7" t="s">
        <v>587</v>
      </c>
      <c r="G251" s="7" t="s">
        <v>588</v>
      </c>
      <c r="H251" s="6"/>
      <c r="I251" s="6"/>
      <c r="J251" s="6"/>
      <c r="K251" s="6"/>
      <c r="L251" s="6"/>
      <c r="M251" s="6"/>
      <c r="N251" s="6"/>
      <c r="O251" s="6"/>
      <c r="P251" s="6">
        <v>1</v>
      </c>
      <c r="Q251" s="8" t="s">
        <v>16</v>
      </c>
      <c r="R251" s="7">
        <v>45341</v>
      </c>
      <c r="S251" s="7" t="s">
        <v>17</v>
      </c>
      <c r="T251" s="7" t="s">
        <v>12</v>
      </c>
    </row>
    <row r="252" spans="1:20" s="5" customFormat="1" ht="24.95" customHeight="1" x14ac:dyDescent="0.3">
      <c r="A252" s="10"/>
      <c r="B252" s="10"/>
      <c r="D252" s="6">
        <f t="shared" si="3"/>
        <v>251</v>
      </c>
      <c r="E252" s="7" t="s">
        <v>589</v>
      </c>
      <c r="F252" s="7" t="s">
        <v>590</v>
      </c>
      <c r="G252" s="7" t="s">
        <v>591</v>
      </c>
      <c r="H252" s="6"/>
      <c r="I252" s="6"/>
      <c r="J252" s="6">
        <v>1</v>
      </c>
      <c r="K252" s="8" t="s">
        <v>80</v>
      </c>
      <c r="L252" s="6"/>
      <c r="M252" s="6"/>
      <c r="N252" s="6"/>
      <c r="O252" s="6"/>
      <c r="P252" s="6"/>
      <c r="Q252" s="6"/>
      <c r="R252" s="7">
        <v>45341</v>
      </c>
      <c r="S252" s="7" t="s">
        <v>17</v>
      </c>
      <c r="T252" s="7" t="s">
        <v>12</v>
      </c>
    </row>
    <row r="253" spans="1:20" s="5" customFormat="1" ht="24.95" customHeight="1" x14ac:dyDescent="0.3">
      <c r="A253" s="10"/>
      <c r="B253" s="10"/>
      <c r="D253" s="6">
        <f t="shared" si="3"/>
        <v>252</v>
      </c>
      <c r="E253" s="7" t="s">
        <v>269</v>
      </c>
      <c r="F253" s="7" t="s">
        <v>592</v>
      </c>
      <c r="G253" s="7" t="s">
        <v>303</v>
      </c>
      <c r="H253" s="6"/>
      <c r="I253" s="6"/>
      <c r="J253" s="6"/>
      <c r="K253" s="6"/>
      <c r="L253" s="6">
        <v>1</v>
      </c>
      <c r="M253" s="8" t="s">
        <v>48</v>
      </c>
      <c r="N253" s="6"/>
      <c r="O253" s="6"/>
      <c r="P253" s="6"/>
      <c r="Q253" s="6"/>
      <c r="R253" s="7">
        <v>45341</v>
      </c>
      <c r="S253" s="7" t="s">
        <v>17</v>
      </c>
      <c r="T253" s="7" t="s">
        <v>12</v>
      </c>
    </row>
    <row r="254" spans="1:20" s="5" customFormat="1" ht="24.95" customHeight="1" x14ac:dyDescent="0.3">
      <c r="A254" s="10"/>
      <c r="B254" s="10"/>
      <c r="D254" s="6">
        <f t="shared" si="3"/>
        <v>253</v>
      </c>
      <c r="E254" s="7" t="s">
        <v>384</v>
      </c>
      <c r="F254" s="7" t="s">
        <v>593</v>
      </c>
      <c r="G254" s="7" t="s">
        <v>594</v>
      </c>
      <c r="H254" s="6"/>
      <c r="I254" s="6"/>
      <c r="J254" s="6">
        <v>1</v>
      </c>
      <c r="K254" s="8" t="s">
        <v>80</v>
      </c>
      <c r="L254" s="6"/>
      <c r="M254" s="6"/>
      <c r="N254" s="6"/>
      <c r="O254" s="6"/>
      <c r="P254" s="6"/>
      <c r="Q254" s="6"/>
      <c r="R254" s="7">
        <v>45344</v>
      </c>
      <c r="S254" s="7" t="s">
        <v>17</v>
      </c>
      <c r="T254" s="7" t="s">
        <v>12</v>
      </c>
    </row>
    <row r="255" spans="1:20" s="5" customFormat="1" ht="24.95" customHeight="1" x14ac:dyDescent="0.3">
      <c r="A255" s="10"/>
      <c r="B255" s="10"/>
      <c r="D255" s="6">
        <f t="shared" si="3"/>
        <v>254</v>
      </c>
      <c r="E255" s="7" t="s">
        <v>557</v>
      </c>
      <c r="F255" s="7" t="s">
        <v>595</v>
      </c>
      <c r="G255" s="7" t="s">
        <v>596</v>
      </c>
      <c r="H255" s="6">
        <v>1</v>
      </c>
      <c r="I255" s="8" t="s">
        <v>130</v>
      </c>
      <c r="J255" s="6"/>
      <c r="K255" s="6"/>
      <c r="L255" s="6"/>
      <c r="M255" s="6"/>
      <c r="N255" s="6"/>
      <c r="O255" s="6"/>
      <c r="P255" s="6"/>
      <c r="Q255" s="6"/>
      <c r="R255" s="7">
        <v>45352</v>
      </c>
      <c r="S255" s="7" t="s">
        <v>17</v>
      </c>
      <c r="T255" s="7" t="s">
        <v>12</v>
      </c>
    </row>
    <row r="256" spans="1:20" s="5" customFormat="1" ht="24.95" customHeight="1" x14ac:dyDescent="0.3">
      <c r="A256" s="10"/>
      <c r="B256" s="10"/>
      <c r="D256" s="6">
        <f t="shared" si="3"/>
        <v>255</v>
      </c>
      <c r="E256" s="7" t="s">
        <v>61</v>
      </c>
      <c r="F256" s="7" t="s">
        <v>597</v>
      </c>
      <c r="G256" s="7" t="s">
        <v>598</v>
      </c>
      <c r="H256" s="6"/>
      <c r="I256" s="6"/>
      <c r="J256" s="6"/>
      <c r="K256" s="6"/>
      <c r="L256" s="6">
        <v>1</v>
      </c>
      <c r="M256" s="8" t="s">
        <v>48</v>
      </c>
      <c r="N256" s="6"/>
      <c r="O256" s="6"/>
      <c r="P256" s="6"/>
      <c r="Q256" s="6"/>
      <c r="R256" s="7">
        <v>45372</v>
      </c>
      <c r="S256" s="7" t="s">
        <v>17</v>
      </c>
      <c r="T256" s="7" t="s">
        <v>12</v>
      </c>
    </row>
    <row r="257" spans="1:20" s="5" customFormat="1" ht="24.95" customHeight="1" x14ac:dyDescent="0.3">
      <c r="A257" s="10"/>
      <c r="B257" s="10"/>
      <c r="D257" s="6">
        <f t="shared" si="3"/>
        <v>256</v>
      </c>
      <c r="E257" s="7" t="s">
        <v>61</v>
      </c>
      <c r="F257" s="7" t="s">
        <v>599</v>
      </c>
      <c r="G257" s="7" t="s">
        <v>600</v>
      </c>
      <c r="H257" s="6"/>
      <c r="I257" s="6"/>
      <c r="J257" s="6"/>
      <c r="K257" s="6"/>
      <c r="L257" s="6">
        <v>1</v>
      </c>
      <c r="M257" s="8" t="s">
        <v>48</v>
      </c>
      <c r="N257" s="6"/>
      <c r="O257" s="6"/>
      <c r="P257" s="6"/>
      <c r="Q257" s="6"/>
      <c r="R257" s="7">
        <v>45372</v>
      </c>
      <c r="S257" s="7" t="s">
        <v>17</v>
      </c>
      <c r="T257" s="7" t="s">
        <v>12</v>
      </c>
    </row>
    <row r="258" spans="1:20" s="5" customFormat="1" ht="24.95" customHeight="1" x14ac:dyDescent="0.3">
      <c r="A258" s="10"/>
      <c r="B258" s="10"/>
      <c r="D258" s="6">
        <f t="shared" si="3"/>
        <v>257</v>
      </c>
      <c r="E258" s="7" t="s">
        <v>61</v>
      </c>
      <c r="F258" s="7" t="s">
        <v>601</v>
      </c>
      <c r="G258" s="7" t="s">
        <v>602</v>
      </c>
      <c r="H258" s="6"/>
      <c r="I258" s="6"/>
      <c r="J258" s="6"/>
      <c r="K258" s="6"/>
      <c r="L258" s="6">
        <v>1</v>
      </c>
      <c r="M258" s="8" t="s">
        <v>48</v>
      </c>
      <c r="N258" s="6"/>
      <c r="O258" s="6"/>
      <c r="P258" s="6"/>
      <c r="Q258" s="6"/>
      <c r="R258" s="7">
        <v>45372</v>
      </c>
      <c r="S258" s="7" t="s">
        <v>17</v>
      </c>
      <c r="T258" s="7" t="s">
        <v>12</v>
      </c>
    </row>
    <row r="259" spans="1:20" s="5" customFormat="1" ht="24.95" customHeight="1" x14ac:dyDescent="0.3">
      <c r="A259" s="10"/>
      <c r="B259" s="10"/>
      <c r="D259" s="6">
        <f t="shared" ref="D259:D322" si="4">ROW()-1</f>
        <v>258</v>
      </c>
      <c r="E259" s="7" t="s">
        <v>61</v>
      </c>
      <c r="F259" s="7" t="s">
        <v>603</v>
      </c>
      <c r="G259" s="7" t="s">
        <v>604</v>
      </c>
      <c r="H259" s="6"/>
      <c r="I259" s="6"/>
      <c r="J259" s="6"/>
      <c r="K259" s="6"/>
      <c r="L259" s="6">
        <v>1</v>
      </c>
      <c r="M259" s="8" t="s">
        <v>48</v>
      </c>
      <c r="N259" s="6"/>
      <c r="O259" s="6"/>
      <c r="P259" s="6"/>
      <c r="Q259" s="6"/>
      <c r="R259" s="7">
        <v>45372</v>
      </c>
      <c r="S259" s="7" t="s">
        <v>17</v>
      </c>
      <c r="T259" s="7" t="s">
        <v>12</v>
      </c>
    </row>
    <row r="260" spans="1:20" s="5" customFormat="1" ht="24.95" customHeight="1" x14ac:dyDescent="0.3">
      <c r="A260" s="10"/>
      <c r="B260" s="10"/>
      <c r="D260" s="6">
        <f t="shared" si="4"/>
        <v>259</v>
      </c>
      <c r="E260" s="7" t="s">
        <v>412</v>
      </c>
      <c r="F260" s="7" t="s">
        <v>605</v>
      </c>
      <c r="G260" s="7" t="s">
        <v>606</v>
      </c>
      <c r="H260" s="6">
        <v>1</v>
      </c>
      <c r="I260" s="8" t="s">
        <v>130</v>
      </c>
      <c r="J260" s="6"/>
      <c r="K260" s="6"/>
      <c r="L260" s="6"/>
      <c r="M260" s="6"/>
      <c r="N260" s="6"/>
      <c r="O260" s="6"/>
      <c r="P260" s="6"/>
      <c r="Q260" s="6"/>
      <c r="R260" s="7">
        <v>45376</v>
      </c>
      <c r="S260" s="7" t="s">
        <v>17</v>
      </c>
      <c r="T260" s="7" t="s">
        <v>12</v>
      </c>
    </row>
    <row r="261" spans="1:20" s="5" customFormat="1" ht="24.95" customHeight="1" x14ac:dyDescent="0.3">
      <c r="A261" s="10"/>
      <c r="B261" s="10"/>
      <c r="D261" s="6">
        <f t="shared" si="4"/>
        <v>260</v>
      </c>
      <c r="E261" s="7" t="s">
        <v>412</v>
      </c>
      <c r="F261" s="7" t="s">
        <v>607</v>
      </c>
      <c r="G261" s="7" t="s">
        <v>608</v>
      </c>
      <c r="H261" s="6">
        <v>1</v>
      </c>
      <c r="I261" s="8" t="s">
        <v>609</v>
      </c>
      <c r="J261" s="6"/>
      <c r="K261" s="6"/>
      <c r="L261" s="6"/>
      <c r="M261" s="6"/>
      <c r="N261" s="6"/>
      <c r="O261" s="6"/>
      <c r="P261" s="6"/>
      <c r="Q261" s="6"/>
      <c r="R261" s="7">
        <v>45376</v>
      </c>
      <c r="S261" s="7" t="s">
        <v>17</v>
      </c>
      <c r="T261" s="7" t="s">
        <v>12</v>
      </c>
    </row>
    <row r="262" spans="1:20" s="5" customFormat="1" ht="24.95" customHeight="1" x14ac:dyDescent="0.3">
      <c r="A262" s="10"/>
      <c r="B262" s="10"/>
      <c r="D262" s="6">
        <f t="shared" si="4"/>
        <v>261</v>
      </c>
      <c r="E262" s="7" t="s">
        <v>412</v>
      </c>
      <c r="F262" s="7" t="s">
        <v>610</v>
      </c>
      <c r="G262" s="7" t="s">
        <v>611</v>
      </c>
      <c r="H262" s="6"/>
      <c r="I262" s="6"/>
      <c r="J262" s="6"/>
      <c r="K262" s="6"/>
      <c r="L262" s="6"/>
      <c r="M262" s="6"/>
      <c r="N262" s="6"/>
      <c r="O262" s="6"/>
      <c r="P262" s="6">
        <v>1</v>
      </c>
      <c r="Q262" s="8" t="s">
        <v>16</v>
      </c>
      <c r="R262" s="7">
        <v>45376</v>
      </c>
      <c r="S262" s="7" t="s">
        <v>17</v>
      </c>
      <c r="T262" s="7" t="s">
        <v>12</v>
      </c>
    </row>
    <row r="263" spans="1:20" s="5" customFormat="1" ht="24.95" customHeight="1" x14ac:dyDescent="0.3">
      <c r="A263" s="10"/>
      <c r="B263" s="10"/>
      <c r="D263" s="6">
        <f t="shared" si="4"/>
        <v>262</v>
      </c>
      <c r="E263" s="7" t="s">
        <v>412</v>
      </c>
      <c r="F263" s="7" t="s">
        <v>612</v>
      </c>
      <c r="G263" s="7" t="s">
        <v>613</v>
      </c>
      <c r="H263" s="6"/>
      <c r="I263" s="6"/>
      <c r="J263" s="6"/>
      <c r="K263" s="6"/>
      <c r="L263" s="6"/>
      <c r="M263" s="6"/>
      <c r="N263" s="6"/>
      <c r="O263" s="6"/>
      <c r="P263" s="6">
        <v>1</v>
      </c>
      <c r="Q263" s="8" t="s">
        <v>25</v>
      </c>
      <c r="R263" s="7">
        <v>45376</v>
      </c>
      <c r="S263" s="7" t="s">
        <v>17</v>
      </c>
      <c r="T263" s="7" t="s">
        <v>12</v>
      </c>
    </row>
    <row r="264" spans="1:20" s="5" customFormat="1" ht="24.95" customHeight="1" x14ac:dyDescent="0.3">
      <c r="A264" s="10"/>
      <c r="B264" s="10"/>
      <c r="D264" s="6">
        <f t="shared" si="4"/>
        <v>263</v>
      </c>
      <c r="E264" s="7" t="s">
        <v>412</v>
      </c>
      <c r="F264" s="7" t="s">
        <v>614</v>
      </c>
      <c r="G264" s="7" t="s">
        <v>615</v>
      </c>
      <c r="H264" s="6"/>
      <c r="I264" s="6"/>
      <c r="J264" s="6"/>
      <c r="K264" s="6"/>
      <c r="L264" s="6"/>
      <c r="M264" s="6"/>
      <c r="N264" s="6"/>
      <c r="O264" s="6"/>
      <c r="P264" s="6">
        <v>1</v>
      </c>
      <c r="Q264" s="8" t="s">
        <v>25</v>
      </c>
      <c r="R264" s="7">
        <v>45376</v>
      </c>
      <c r="S264" s="7" t="s">
        <v>17</v>
      </c>
      <c r="T264" s="7" t="s">
        <v>12</v>
      </c>
    </row>
    <row r="265" spans="1:20" s="5" customFormat="1" ht="24.95" customHeight="1" x14ac:dyDescent="0.3">
      <c r="A265" s="10"/>
      <c r="B265" s="10"/>
      <c r="D265" s="6">
        <f t="shared" si="4"/>
        <v>264</v>
      </c>
      <c r="E265" s="7" t="s">
        <v>384</v>
      </c>
      <c r="F265" s="7" t="s">
        <v>616</v>
      </c>
      <c r="G265" s="7" t="s">
        <v>617</v>
      </c>
      <c r="H265" s="6"/>
      <c r="I265" s="6"/>
      <c r="J265" s="6">
        <v>1</v>
      </c>
      <c r="K265" s="8" t="s">
        <v>80</v>
      </c>
      <c r="L265" s="6"/>
      <c r="M265" s="6"/>
      <c r="N265" s="6"/>
      <c r="O265" s="6"/>
      <c r="P265" s="6"/>
      <c r="Q265" s="6"/>
      <c r="R265" s="7">
        <v>45380</v>
      </c>
      <c r="S265" s="7" t="s">
        <v>17</v>
      </c>
      <c r="T265" s="7" t="s">
        <v>12</v>
      </c>
    </row>
    <row r="266" spans="1:20" s="5" customFormat="1" ht="24.95" customHeight="1" x14ac:dyDescent="0.3">
      <c r="A266" s="10"/>
      <c r="B266" s="10"/>
      <c r="D266" s="6">
        <f t="shared" si="4"/>
        <v>265</v>
      </c>
      <c r="E266" s="7" t="s">
        <v>384</v>
      </c>
      <c r="F266" s="7" t="s">
        <v>618</v>
      </c>
      <c r="G266" s="7" t="s">
        <v>619</v>
      </c>
      <c r="H266" s="6"/>
      <c r="I266" s="6"/>
      <c r="J266" s="6"/>
      <c r="K266" s="6"/>
      <c r="L266" s="6"/>
      <c r="M266" s="6"/>
      <c r="N266" s="6"/>
      <c r="O266" s="6"/>
      <c r="P266" s="6">
        <v>1</v>
      </c>
      <c r="Q266" s="8" t="s">
        <v>272</v>
      </c>
      <c r="R266" s="7">
        <v>45411</v>
      </c>
      <c r="S266" s="7" t="s">
        <v>17</v>
      </c>
      <c r="T266" s="7" t="s">
        <v>12</v>
      </c>
    </row>
    <row r="267" spans="1:20" s="5" customFormat="1" ht="24.95" customHeight="1" x14ac:dyDescent="0.3">
      <c r="A267" s="10"/>
      <c r="B267" s="10"/>
      <c r="D267" s="6">
        <f t="shared" si="4"/>
        <v>266</v>
      </c>
      <c r="E267" s="7" t="s">
        <v>384</v>
      </c>
      <c r="F267" s="7" t="s">
        <v>620</v>
      </c>
      <c r="G267" s="7" t="s">
        <v>621</v>
      </c>
      <c r="H267" s="6"/>
      <c r="I267" s="6"/>
      <c r="J267" s="6"/>
      <c r="K267" s="6"/>
      <c r="L267" s="6">
        <v>1</v>
      </c>
      <c r="M267" s="8" t="s">
        <v>92</v>
      </c>
      <c r="N267" s="6"/>
      <c r="O267" s="6"/>
      <c r="P267" s="6"/>
      <c r="Q267" s="6"/>
      <c r="R267" s="7">
        <v>45411</v>
      </c>
      <c r="S267" s="7" t="s">
        <v>17</v>
      </c>
      <c r="T267" s="7" t="s">
        <v>12</v>
      </c>
    </row>
    <row r="268" spans="1:20" s="5" customFormat="1" ht="24.95" customHeight="1" x14ac:dyDescent="0.3">
      <c r="A268" s="10"/>
      <c r="B268" s="10"/>
      <c r="D268" s="6">
        <f t="shared" si="4"/>
        <v>267</v>
      </c>
      <c r="E268" s="7" t="s">
        <v>384</v>
      </c>
      <c r="F268" s="7" t="s">
        <v>622</v>
      </c>
      <c r="G268" s="7" t="s">
        <v>623</v>
      </c>
      <c r="H268" s="6"/>
      <c r="I268" s="6"/>
      <c r="J268" s="6"/>
      <c r="K268" s="6"/>
      <c r="L268" s="6">
        <v>1</v>
      </c>
      <c r="M268" s="8" t="s">
        <v>48</v>
      </c>
      <c r="N268" s="6"/>
      <c r="O268" s="6"/>
      <c r="P268" s="6"/>
      <c r="Q268" s="6"/>
      <c r="R268" s="7">
        <v>45411</v>
      </c>
      <c r="S268" s="7" t="s">
        <v>17</v>
      </c>
      <c r="T268" s="7" t="s">
        <v>12</v>
      </c>
    </row>
    <row r="269" spans="1:20" s="5" customFormat="1" ht="24.95" customHeight="1" x14ac:dyDescent="0.3">
      <c r="A269" s="10"/>
      <c r="B269" s="10"/>
      <c r="D269" s="6">
        <f t="shared" si="4"/>
        <v>268</v>
      </c>
      <c r="E269" s="7" t="s">
        <v>384</v>
      </c>
      <c r="F269" s="7" t="s">
        <v>624</v>
      </c>
      <c r="G269" s="7" t="s">
        <v>625</v>
      </c>
      <c r="H269" s="6"/>
      <c r="I269" s="6"/>
      <c r="J269" s="6"/>
      <c r="K269" s="6"/>
      <c r="L269" s="6"/>
      <c r="M269" s="6"/>
      <c r="N269" s="6"/>
      <c r="O269" s="6"/>
      <c r="P269" s="6">
        <v>1</v>
      </c>
      <c r="Q269" s="8" t="s">
        <v>58</v>
      </c>
      <c r="R269" s="7">
        <v>45411</v>
      </c>
      <c r="S269" s="7" t="s">
        <v>17</v>
      </c>
      <c r="T269" s="7" t="s">
        <v>12</v>
      </c>
    </row>
    <row r="270" spans="1:20" s="5" customFormat="1" ht="24.95" customHeight="1" x14ac:dyDescent="0.3">
      <c r="A270" s="10"/>
      <c r="B270" s="10"/>
      <c r="D270" s="6">
        <f t="shared" si="4"/>
        <v>269</v>
      </c>
      <c r="E270" s="7" t="s">
        <v>565</v>
      </c>
      <c r="F270" s="7" t="s">
        <v>626</v>
      </c>
      <c r="G270" s="7" t="s">
        <v>627</v>
      </c>
      <c r="H270" s="6"/>
      <c r="I270" s="6"/>
      <c r="J270" s="6"/>
      <c r="K270" s="6"/>
      <c r="L270" s="6">
        <v>1</v>
      </c>
      <c r="M270" s="8" t="s">
        <v>92</v>
      </c>
      <c r="N270" s="6"/>
      <c r="O270" s="6"/>
      <c r="P270" s="6"/>
      <c r="Q270" s="6"/>
      <c r="R270" s="7">
        <v>45412</v>
      </c>
      <c r="S270" s="7" t="s">
        <v>17</v>
      </c>
      <c r="T270" s="7" t="s">
        <v>12</v>
      </c>
    </row>
    <row r="271" spans="1:20" s="5" customFormat="1" ht="24.95" customHeight="1" x14ac:dyDescent="0.3">
      <c r="A271" s="10"/>
      <c r="B271" s="10"/>
      <c r="D271" s="6">
        <f t="shared" si="4"/>
        <v>270</v>
      </c>
      <c r="E271" s="7" t="s">
        <v>565</v>
      </c>
      <c r="F271" s="7" t="s">
        <v>628</v>
      </c>
      <c r="G271" s="7" t="s">
        <v>629</v>
      </c>
      <c r="H271" s="6"/>
      <c r="I271" s="6"/>
      <c r="J271" s="6"/>
      <c r="K271" s="6"/>
      <c r="L271" s="6">
        <v>1</v>
      </c>
      <c r="M271" s="8" t="s">
        <v>92</v>
      </c>
      <c r="N271" s="6"/>
      <c r="O271" s="6"/>
      <c r="P271" s="6"/>
      <c r="Q271" s="6"/>
      <c r="R271" s="7">
        <v>45412</v>
      </c>
      <c r="S271" s="7" t="s">
        <v>17</v>
      </c>
      <c r="T271" s="7" t="s">
        <v>12</v>
      </c>
    </row>
    <row r="272" spans="1:20" s="5" customFormat="1" ht="24.95" customHeight="1" x14ac:dyDescent="0.3">
      <c r="A272" s="10"/>
      <c r="B272" s="10"/>
      <c r="D272" s="6">
        <f t="shared" si="4"/>
        <v>271</v>
      </c>
      <c r="E272" s="7" t="s">
        <v>565</v>
      </c>
      <c r="F272" s="7" t="s">
        <v>630</v>
      </c>
      <c r="G272" s="7" t="s">
        <v>631</v>
      </c>
      <c r="H272" s="6"/>
      <c r="I272" s="6"/>
      <c r="J272" s="6"/>
      <c r="K272" s="6"/>
      <c r="L272" s="6">
        <v>1</v>
      </c>
      <c r="M272" s="8" t="s">
        <v>92</v>
      </c>
      <c r="N272" s="6"/>
      <c r="O272" s="6"/>
      <c r="P272" s="6"/>
      <c r="Q272" s="6"/>
      <c r="R272" s="7">
        <v>45412</v>
      </c>
      <c r="S272" s="7" t="s">
        <v>17</v>
      </c>
      <c r="T272" s="7" t="s">
        <v>12</v>
      </c>
    </row>
    <row r="273" spans="1:21" s="5" customFormat="1" ht="24.95" customHeight="1" x14ac:dyDescent="0.3">
      <c r="A273" s="10"/>
      <c r="B273" s="10"/>
      <c r="D273" s="6">
        <f t="shared" si="4"/>
        <v>272</v>
      </c>
      <c r="E273" s="7" t="s">
        <v>327</v>
      </c>
      <c r="F273" s="7" t="s">
        <v>632</v>
      </c>
      <c r="G273" s="7" t="s">
        <v>633</v>
      </c>
      <c r="H273" s="6"/>
      <c r="I273" s="6"/>
      <c r="J273" s="6"/>
      <c r="K273" s="6"/>
      <c r="L273" s="6"/>
      <c r="M273" s="6"/>
      <c r="N273" s="6"/>
      <c r="O273" s="6"/>
      <c r="P273" s="6">
        <v>1</v>
      </c>
      <c r="Q273" s="8" t="s">
        <v>25</v>
      </c>
      <c r="R273" s="7">
        <v>45423</v>
      </c>
      <c r="S273" s="7" t="s">
        <v>17</v>
      </c>
      <c r="T273" s="7" t="s">
        <v>12</v>
      </c>
    </row>
    <row r="274" spans="1:21" s="5" customFormat="1" ht="24.95" customHeight="1" x14ac:dyDescent="0.3">
      <c r="A274" s="10"/>
      <c r="B274" s="10"/>
      <c r="D274" s="6">
        <f t="shared" si="4"/>
        <v>273</v>
      </c>
      <c r="E274" s="7" t="s">
        <v>72</v>
      </c>
      <c r="F274" s="7" t="s">
        <v>634</v>
      </c>
      <c r="G274" s="7" t="s">
        <v>635</v>
      </c>
      <c r="H274" s="6"/>
      <c r="I274" s="6"/>
      <c r="J274" s="6"/>
      <c r="K274" s="6"/>
      <c r="L274" s="6">
        <v>1</v>
      </c>
      <c r="M274" s="8" t="s">
        <v>92</v>
      </c>
      <c r="N274" s="6"/>
      <c r="O274" s="6"/>
      <c r="P274" s="6"/>
      <c r="Q274" s="6"/>
      <c r="R274" s="7">
        <v>45425</v>
      </c>
      <c r="S274" s="7" t="s">
        <v>17</v>
      </c>
      <c r="T274" s="7" t="s">
        <v>12</v>
      </c>
    </row>
    <row r="275" spans="1:21" s="5" customFormat="1" ht="24.95" customHeight="1" x14ac:dyDescent="0.3">
      <c r="A275" s="10"/>
      <c r="B275" s="10"/>
      <c r="D275" s="6">
        <f t="shared" si="4"/>
        <v>274</v>
      </c>
      <c r="E275" s="7" t="s">
        <v>72</v>
      </c>
      <c r="F275" s="7" t="s">
        <v>636</v>
      </c>
      <c r="G275" s="7" t="s">
        <v>637</v>
      </c>
      <c r="H275" s="6"/>
      <c r="I275" s="6"/>
      <c r="J275" s="6"/>
      <c r="K275" s="6"/>
      <c r="L275" s="6">
        <v>1</v>
      </c>
      <c r="M275" s="8" t="s">
        <v>92</v>
      </c>
      <c r="N275" s="6"/>
      <c r="O275" s="6"/>
      <c r="P275" s="6"/>
      <c r="Q275" s="6"/>
      <c r="R275" s="7">
        <v>45425</v>
      </c>
      <c r="S275" s="7" t="s">
        <v>17</v>
      </c>
      <c r="T275" s="7" t="s">
        <v>12</v>
      </c>
    </row>
    <row r="276" spans="1:21" s="5" customFormat="1" ht="24.95" customHeight="1" x14ac:dyDescent="0.3">
      <c r="A276" s="10"/>
      <c r="B276" s="10"/>
      <c r="D276" s="6">
        <f t="shared" si="4"/>
        <v>275</v>
      </c>
      <c r="E276" s="7" t="s">
        <v>278</v>
      </c>
      <c r="F276" s="7" t="s">
        <v>638</v>
      </c>
      <c r="G276" s="7" t="s">
        <v>639</v>
      </c>
      <c r="H276" s="6">
        <v>1</v>
      </c>
      <c r="I276" s="8" t="s">
        <v>281</v>
      </c>
      <c r="J276" s="6"/>
      <c r="K276" s="6"/>
      <c r="L276" s="6"/>
      <c r="M276" s="6"/>
      <c r="N276" s="6"/>
      <c r="O276" s="6"/>
      <c r="P276" s="6"/>
      <c r="Q276" s="6"/>
      <c r="R276" s="7">
        <v>45426</v>
      </c>
      <c r="S276" s="7" t="s">
        <v>17</v>
      </c>
      <c r="T276" s="7" t="s">
        <v>12</v>
      </c>
    </row>
    <row r="277" spans="1:21" s="5" customFormat="1" ht="24.95" customHeight="1" x14ac:dyDescent="0.3">
      <c r="A277" s="10"/>
      <c r="B277" s="10"/>
      <c r="D277" s="6">
        <f t="shared" si="4"/>
        <v>276</v>
      </c>
      <c r="E277" s="7" t="s">
        <v>236</v>
      </c>
      <c r="F277" s="7" t="s">
        <v>640</v>
      </c>
      <c r="G277" s="7" t="s">
        <v>641</v>
      </c>
      <c r="H277" s="6"/>
      <c r="I277" s="6"/>
      <c r="J277" s="6"/>
      <c r="K277" s="6"/>
      <c r="L277" s="6">
        <v>1</v>
      </c>
      <c r="M277" s="8" t="s">
        <v>77</v>
      </c>
      <c r="N277" s="6"/>
      <c r="O277" s="6"/>
      <c r="P277" s="6"/>
      <c r="Q277" s="6"/>
      <c r="R277" s="7">
        <v>45426</v>
      </c>
      <c r="S277" s="7" t="s">
        <v>17</v>
      </c>
      <c r="T277" s="7" t="s">
        <v>12</v>
      </c>
    </row>
    <row r="278" spans="1:21" s="5" customFormat="1" ht="24.95" customHeight="1" x14ac:dyDescent="0.3">
      <c r="A278" s="10"/>
      <c r="B278" s="10"/>
      <c r="D278" s="6">
        <f t="shared" si="4"/>
        <v>277</v>
      </c>
      <c r="E278" s="7" t="s">
        <v>642</v>
      </c>
      <c r="F278" s="7" t="s">
        <v>643</v>
      </c>
      <c r="G278" s="7" t="s">
        <v>644</v>
      </c>
      <c r="H278" s="6"/>
      <c r="I278" s="6"/>
      <c r="J278" s="6"/>
      <c r="K278" s="6"/>
      <c r="L278" s="6"/>
      <c r="M278" s="6"/>
      <c r="N278" s="6"/>
      <c r="O278" s="6"/>
      <c r="P278" s="6">
        <v>1</v>
      </c>
      <c r="Q278" s="8" t="s">
        <v>16</v>
      </c>
      <c r="R278" s="7">
        <v>45429</v>
      </c>
      <c r="S278" s="7" t="s">
        <v>17</v>
      </c>
      <c r="T278" s="7" t="s">
        <v>12</v>
      </c>
      <c r="U278" s="11"/>
    </row>
    <row r="279" spans="1:21" s="5" customFormat="1" ht="24.95" customHeight="1" x14ac:dyDescent="0.3">
      <c r="A279" s="10"/>
      <c r="B279" s="10"/>
      <c r="D279" s="6">
        <f t="shared" si="4"/>
        <v>278</v>
      </c>
      <c r="E279" s="7" t="s">
        <v>645</v>
      </c>
      <c r="F279" s="7" t="s">
        <v>646</v>
      </c>
      <c r="G279" s="7" t="s">
        <v>647</v>
      </c>
      <c r="H279" s="6"/>
      <c r="I279" s="6"/>
      <c r="J279" s="6"/>
      <c r="K279" s="6"/>
      <c r="L279" s="6"/>
      <c r="M279" s="6"/>
      <c r="N279" s="6"/>
      <c r="O279" s="6"/>
      <c r="P279" s="6">
        <v>1</v>
      </c>
      <c r="Q279" s="8" t="s">
        <v>16</v>
      </c>
      <c r="R279" s="7">
        <v>45432</v>
      </c>
      <c r="S279" s="7" t="s">
        <v>17</v>
      </c>
      <c r="T279" s="7" t="s">
        <v>12</v>
      </c>
      <c r="U279" s="11"/>
    </row>
    <row r="280" spans="1:21" s="5" customFormat="1" ht="24.95" customHeight="1" x14ac:dyDescent="0.3">
      <c r="A280" s="10"/>
      <c r="B280" s="10"/>
      <c r="D280" s="6">
        <f t="shared" si="4"/>
        <v>279</v>
      </c>
      <c r="E280" s="7" t="s">
        <v>384</v>
      </c>
      <c r="F280" s="7" t="s">
        <v>648</v>
      </c>
      <c r="G280" s="7" t="s">
        <v>649</v>
      </c>
      <c r="H280" s="6"/>
      <c r="I280" s="6"/>
      <c r="J280" s="6"/>
      <c r="K280" s="6"/>
      <c r="L280" s="6"/>
      <c r="M280" s="6"/>
      <c r="N280" s="6"/>
      <c r="O280" s="6"/>
      <c r="P280" s="6">
        <v>1</v>
      </c>
      <c r="Q280" s="8" t="s">
        <v>16</v>
      </c>
      <c r="R280" s="7">
        <v>45433</v>
      </c>
      <c r="S280" s="7" t="s">
        <v>17</v>
      </c>
      <c r="T280" s="7" t="s">
        <v>12</v>
      </c>
      <c r="U280" s="11"/>
    </row>
    <row r="281" spans="1:21" s="5" customFormat="1" ht="24.95" customHeight="1" x14ac:dyDescent="0.3">
      <c r="A281" s="10"/>
      <c r="B281" s="10"/>
      <c r="D281" s="6">
        <f t="shared" si="4"/>
        <v>280</v>
      </c>
      <c r="E281" s="7" t="s">
        <v>55</v>
      </c>
      <c r="F281" s="7" t="s">
        <v>650</v>
      </c>
      <c r="G281" s="7" t="s">
        <v>651</v>
      </c>
      <c r="H281" s="6"/>
      <c r="I281" s="6"/>
      <c r="J281" s="6"/>
      <c r="K281" s="6"/>
      <c r="L281" s="6"/>
      <c r="M281" s="6"/>
      <c r="N281" s="6"/>
      <c r="O281" s="6"/>
      <c r="P281" s="6">
        <v>1</v>
      </c>
      <c r="Q281" s="8" t="s">
        <v>16</v>
      </c>
      <c r="R281" s="7">
        <v>45433</v>
      </c>
      <c r="S281" s="7" t="s">
        <v>17</v>
      </c>
      <c r="T281" s="7" t="s">
        <v>12</v>
      </c>
      <c r="U281" s="11"/>
    </row>
    <row r="282" spans="1:21" s="5" customFormat="1" ht="24.95" customHeight="1" x14ac:dyDescent="0.3">
      <c r="A282" s="10"/>
      <c r="B282" s="10"/>
      <c r="D282" s="6">
        <f t="shared" si="4"/>
        <v>281</v>
      </c>
      <c r="E282" s="7" t="s">
        <v>55</v>
      </c>
      <c r="F282" s="7" t="s">
        <v>652</v>
      </c>
      <c r="G282" s="7" t="s">
        <v>653</v>
      </c>
      <c r="H282" s="6"/>
      <c r="I282" s="6"/>
      <c r="J282" s="6"/>
      <c r="K282" s="6"/>
      <c r="L282" s="6"/>
      <c r="M282" s="6"/>
      <c r="N282" s="6"/>
      <c r="O282" s="6"/>
      <c r="P282" s="6">
        <v>1</v>
      </c>
      <c r="Q282" s="8" t="s">
        <v>16</v>
      </c>
      <c r="R282" s="7">
        <v>45433</v>
      </c>
      <c r="S282" s="7" t="s">
        <v>17</v>
      </c>
      <c r="T282" s="7" t="s">
        <v>12</v>
      </c>
      <c r="U282" s="11"/>
    </row>
    <row r="283" spans="1:21" s="5" customFormat="1" ht="24.95" customHeight="1" x14ac:dyDescent="0.3">
      <c r="A283" s="10"/>
      <c r="B283" s="10"/>
      <c r="D283" s="6">
        <f t="shared" si="4"/>
        <v>282</v>
      </c>
      <c r="E283" s="7" t="s">
        <v>654</v>
      </c>
      <c r="F283" s="7" t="s">
        <v>655</v>
      </c>
      <c r="G283" s="7" t="s">
        <v>656</v>
      </c>
      <c r="H283" s="6"/>
      <c r="I283" s="6"/>
      <c r="J283" s="6"/>
      <c r="K283" s="6"/>
      <c r="L283" s="6"/>
      <c r="M283" s="6"/>
      <c r="N283" s="6"/>
      <c r="O283" s="6"/>
      <c r="P283" s="6">
        <v>1</v>
      </c>
      <c r="Q283" s="8" t="s">
        <v>16</v>
      </c>
      <c r="R283" s="7">
        <v>45434</v>
      </c>
      <c r="S283" s="7" t="s">
        <v>17</v>
      </c>
      <c r="T283" s="7" t="s">
        <v>12</v>
      </c>
      <c r="U283" s="11"/>
    </row>
    <row r="284" spans="1:21" s="5" customFormat="1" ht="24.95" customHeight="1" x14ac:dyDescent="0.3">
      <c r="A284" s="10"/>
      <c r="B284" s="10"/>
      <c r="D284" s="6">
        <f t="shared" si="4"/>
        <v>283</v>
      </c>
      <c r="E284" s="7" t="s">
        <v>327</v>
      </c>
      <c r="F284" s="7" t="s">
        <v>657</v>
      </c>
      <c r="G284" s="7" t="s">
        <v>658</v>
      </c>
      <c r="H284" s="6"/>
      <c r="I284" s="6"/>
      <c r="J284" s="6"/>
      <c r="K284" s="6"/>
      <c r="L284" s="6"/>
      <c r="M284" s="6"/>
      <c r="N284" s="6"/>
      <c r="O284" s="6"/>
      <c r="P284" s="6">
        <v>1</v>
      </c>
      <c r="Q284" s="8" t="s">
        <v>16</v>
      </c>
      <c r="R284" s="7">
        <v>45435</v>
      </c>
      <c r="S284" s="7" t="s">
        <v>17</v>
      </c>
      <c r="T284" s="7" t="s">
        <v>12</v>
      </c>
      <c r="U284" s="11"/>
    </row>
    <row r="285" spans="1:21" s="5" customFormat="1" ht="24.95" customHeight="1" x14ac:dyDescent="0.3">
      <c r="A285" s="10"/>
      <c r="B285" s="10"/>
      <c r="D285" s="6">
        <f t="shared" si="4"/>
        <v>284</v>
      </c>
      <c r="E285" s="7" t="s">
        <v>384</v>
      </c>
      <c r="F285" s="7" t="s">
        <v>659</v>
      </c>
      <c r="G285" s="7" t="s">
        <v>660</v>
      </c>
      <c r="H285" s="6">
        <v>1</v>
      </c>
      <c r="I285" s="8" t="s">
        <v>130</v>
      </c>
      <c r="J285" s="6"/>
      <c r="K285" s="6"/>
      <c r="L285" s="6"/>
      <c r="M285" s="6"/>
      <c r="N285" s="6"/>
      <c r="O285" s="6"/>
      <c r="P285" s="6"/>
      <c r="Q285" s="6"/>
      <c r="R285" s="7">
        <v>45440</v>
      </c>
      <c r="S285" s="7" t="s">
        <v>17</v>
      </c>
      <c r="T285" s="7" t="s">
        <v>12</v>
      </c>
      <c r="U285" s="11"/>
    </row>
    <row r="286" spans="1:21" s="5" customFormat="1" ht="24.95" customHeight="1" x14ac:dyDescent="0.3">
      <c r="A286" s="10"/>
      <c r="B286" s="10"/>
      <c r="D286" s="6">
        <f t="shared" si="4"/>
        <v>285</v>
      </c>
      <c r="E286" s="7" t="s">
        <v>210</v>
      </c>
      <c r="F286" s="7" t="s">
        <v>661</v>
      </c>
      <c r="G286" s="7" t="s">
        <v>662</v>
      </c>
      <c r="H286" s="6"/>
      <c r="I286" s="6"/>
      <c r="J286" s="6">
        <v>1</v>
      </c>
      <c r="K286" s="8" t="s">
        <v>80</v>
      </c>
      <c r="L286" s="6"/>
      <c r="M286" s="6"/>
      <c r="N286" s="6"/>
      <c r="O286" s="6"/>
      <c r="P286" s="6"/>
      <c r="Q286" s="6"/>
      <c r="R286" s="7">
        <v>45446</v>
      </c>
      <c r="S286" s="7" t="s">
        <v>17</v>
      </c>
      <c r="T286" s="7" t="s">
        <v>12</v>
      </c>
      <c r="U286" s="11"/>
    </row>
    <row r="287" spans="1:21" s="5" customFormat="1" ht="24.95" customHeight="1" x14ac:dyDescent="0.3">
      <c r="A287" s="10"/>
      <c r="B287" s="10"/>
      <c r="D287" s="6">
        <f t="shared" si="4"/>
        <v>286</v>
      </c>
      <c r="E287" s="7" t="s">
        <v>384</v>
      </c>
      <c r="F287" s="7" t="s">
        <v>663</v>
      </c>
      <c r="G287" s="7" t="s">
        <v>664</v>
      </c>
      <c r="H287" s="6"/>
      <c r="I287" s="6"/>
      <c r="J287" s="6"/>
      <c r="K287" s="6"/>
      <c r="L287" s="6">
        <v>1</v>
      </c>
      <c r="M287" s="8" t="s">
        <v>92</v>
      </c>
      <c r="N287" s="6"/>
      <c r="O287" s="6"/>
      <c r="P287" s="6"/>
      <c r="Q287" s="6"/>
      <c r="R287" s="7">
        <v>45455</v>
      </c>
      <c r="S287" s="7" t="s">
        <v>17</v>
      </c>
      <c r="T287" s="7" t="s">
        <v>12</v>
      </c>
      <c r="U287" s="11"/>
    </row>
    <row r="288" spans="1:21" s="5" customFormat="1" ht="24.95" customHeight="1" x14ac:dyDescent="0.3">
      <c r="A288" s="10"/>
      <c r="B288" s="10"/>
      <c r="D288" s="6">
        <f t="shared" si="4"/>
        <v>287</v>
      </c>
      <c r="E288" s="7" t="s">
        <v>665</v>
      </c>
      <c r="F288" s="7" t="s">
        <v>666</v>
      </c>
      <c r="G288" s="7" t="s">
        <v>667</v>
      </c>
      <c r="H288" s="6"/>
      <c r="I288" s="6"/>
      <c r="J288" s="6"/>
      <c r="K288" s="6"/>
      <c r="L288" s="6"/>
      <c r="M288" s="6"/>
      <c r="N288" s="6"/>
      <c r="O288" s="6"/>
      <c r="P288" s="6">
        <v>1</v>
      </c>
      <c r="Q288" s="8" t="s">
        <v>16</v>
      </c>
      <c r="R288" s="7">
        <v>45456</v>
      </c>
      <c r="S288" s="7" t="s">
        <v>17</v>
      </c>
      <c r="T288" s="7" t="s">
        <v>12</v>
      </c>
      <c r="U288" s="11"/>
    </row>
    <row r="289" spans="1:21" s="5" customFormat="1" ht="24.95" customHeight="1" x14ac:dyDescent="0.3">
      <c r="A289" s="10"/>
      <c r="B289" s="10"/>
      <c r="D289" s="6">
        <f t="shared" si="4"/>
        <v>288</v>
      </c>
      <c r="E289" s="7" t="s">
        <v>65</v>
      </c>
      <c r="F289" s="7" t="s">
        <v>668</v>
      </c>
      <c r="G289" s="7" t="s">
        <v>669</v>
      </c>
      <c r="H289" s="6"/>
      <c r="I289" s="6"/>
      <c r="J289" s="6"/>
      <c r="K289" s="6"/>
      <c r="L289" s="6"/>
      <c r="M289" s="6"/>
      <c r="N289" s="6">
        <v>1</v>
      </c>
      <c r="O289" s="8" t="s">
        <v>108</v>
      </c>
      <c r="P289" s="6"/>
      <c r="Q289" s="6"/>
      <c r="R289" s="7">
        <v>45457</v>
      </c>
      <c r="S289" s="7" t="s">
        <v>17</v>
      </c>
      <c r="T289" s="7" t="s">
        <v>12</v>
      </c>
      <c r="U289" s="11"/>
    </row>
    <row r="290" spans="1:21" s="5" customFormat="1" ht="24.95" customHeight="1" x14ac:dyDescent="0.3">
      <c r="A290" s="10"/>
      <c r="B290" s="10"/>
      <c r="D290" s="6">
        <f t="shared" si="4"/>
        <v>289</v>
      </c>
      <c r="E290" s="7" t="s">
        <v>65</v>
      </c>
      <c r="F290" s="7" t="s">
        <v>670</v>
      </c>
      <c r="G290" s="7" t="s">
        <v>671</v>
      </c>
      <c r="H290" s="6"/>
      <c r="I290" s="6"/>
      <c r="J290" s="6"/>
      <c r="K290" s="6"/>
      <c r="L290" s="6"/>
      <c r="M290" s="6"/>
      <c r="N290" s="6"/>
      <c r="O290" s="6"/>
      <c r="P290" s="6">
        <v>1</v>
      </c>
      <c r="Q290" s="8" t="s">
        <v>58</v>
      </c>
      <c r="R290" s="7">
        <v>45462</v>
      </c>
      <c r="S290" s="7" t="s">
        <v>17</v>
      </c>
      <c r="T290" s="7" t="s">
        <v>12</v>
      </c>
      <c r="U290" s="11"/>
    </row>
    <row r="291" spans="1:21" s="5" customFormat="1" ht="24.95" customHeight="1" x14ac:dyDescent="0.3">
      <c r="A291" s="10"/>
      <c r="B291" s="10"/>
      <c r="D291" s="6">
        <f t="shared" si="4"/>
        <v>290</v>
      </c>
      <c r="E291" s="7" t="s">
        <v>412</v>
      </c>
      <c r="F291" s="7" t="s">
        <v>672</v>
      </c>
      <c r="G291" s="7" t="s">
        <v>673</v>
      </c>
      <c r="H291" s="6"/>
      <c r="I291" s="6"/>
      <c r="J291" s="6"/>
      <c r="K291" s="6"/>
      <c r="L291" s="6"/>
      <c r="M291" s="6"/>
      <c r="N291" s="6"/>
      <c r="O291" s="6"/>
      <c r="P291" s="6">
        <v>1</v>
      </c>
      <c r="Q291" s="8" t="s">
        <v>16</v>
      </c>
      <c r="R291" s="7">
        <v>45464</v>
      </c>
      <c r="S291" s="7" t="s">
        <v>17</v>
      </c>
      <c r="T291" s="7" t="s">
        <v>12</v>
      </c>
      <c r="U291" s="11"/>
    </row>
    <row r="292" spans="1:21" s="5" customFormat="1" ht="24.95" customHeight="1" x14ac:dyDescent="0.3">
      <c r="A292" s="10"/>
      <c r="B292" s="10"/>
      <c r="D292" s="6">
        <f t="shared" si="4"/>
        <v>291</v>
      </c>
      <c r="E292" s="7" t="s">
        <v>412</v>
      </c>
      <c r="F292" s="7" t="s">
        <v>674</v>
      </c>
      <c r="G292" s="7" t="s">
        <v>675</v>
      </c>
      <c r="H292" s="6"/>
      <c r="I292" s="6"/>
      <c r="J292" s="6"/>
      <c r="K292" s="6"/>
      <c r="L292" s="6"/>
      <c r="M292" s="6"/>
      <c r="N292" s="6"/>
      <c r="O292" s="6"/>
      <c r="P292" s="6">
        <v>1</v>
      </c>
      <c r="Q292" s="8" t="s">
        <v>16</v>
      </c>
      <c r="R292" s="7">
        <v>45464</v>
      </c>
      <c r="S292" s="7" t="s">
        <v>17</v>
      </c>
      <c r="T292" s="7" t="s">
        <v>12</v>
      </c>
      <c r="U292" s="11"/>
    </row>
    <row r="293" spans="1:21" s="5" customFormat="1" ht="24.95" customHeight="1" x14ac:dyDescent="0.3">
      <c r="A293" s="10"/>
      <c r="B293" s="10"/>
      <c r="D293" s="6">
        <f t="shared" si="4"/>
        <v>292</v>
      </c>
      <c r="E293" s="7" t="s">
        <v>65</v>
      </c>
      <c r="F293" s="7" t="s">
        <v>676</v>
      </c>
      <c r="G293" s="7" t="s">
        <v>677</v>
      </c>
      <c r="H293" s="6"/>
      <c r="I293" s="6"/>
      <c r="J293" s="6"/>
      <c r="K293" s="6"/>
      <c r="L293" s="6"/>
      <c r="M293" s="6"/>
      <c r="N293" s="6"/>
      <c r="O293" s="6"/>
      <c r="P293" s="6">
        <v>1</v>
      </c>
      <c r="Q293" s="8" t="s">
        <v>58</v>
      </c>
      <c r="R293" s="7">
        <v>45467</v>
      </c>
      <c r="S293" s="7" t="s">
        <v>17</v>
      </c>
      <c r="T293" s="7" t="s">
        <v>12</v>
      </c>
      <c r="U293" s="11"/>
    </row>
    <row r="294" spans="1:21" s="5" customFormat="1" ht="24.95" customHeight="1" x14ac:dyDescent="0.3">
      <c r="A294" s="10"/>
      <c r="B294" s="10"/>
      <c r="D294" s="6">
        <f t="shared" si="4"/>
        <v>293</v>
      </c>
      <c r="E294" s="7" t="s">
        <v>65</v>
      </c>
      <c r="F294" s="7" t="s">
        <v>678</v>
      </c>
      <c r="G294" s="7" t="s">
        <v>679</v>
      </c>
      <c r="H294" s="6"/>
      <c r="I294" s="6"/>
      <c r="J294" s="6">
        <v>1</v>
      </c>
      <c r="K294" s="8" t="s">
        <v>80</v>
      </c>
      <c r="L294" s="6"/>
      <c r="M294" s="6"/>
      <c r="N294" s="6"/>
      <c r="O294" s="6"/>
      <c r="P294" s="6"/>
      <c r="Q294" s="6"/>
      <c r="R294" s="7">
        <v>45467</v>
      </c>
      <c r="S294" s="7" t="s">
        <v>17</v>
      </c>
      <c r="T294" s="7" t="s">
        <v>12</v>
      </c>
      <c r="U294" s="11"/>
    </row>
    <row r="295" spans="1:21" s="5" customFormat="1" ht="24.95" customHeight="1" x14ac:dyDescent="0.3">
      <c r="A295" s="10"/>
      <c r="B295" s="10"/>
      <c r="D295" s="6">
        <f t="shared" si="4"/>
        <v>294</v>
      </c>
      <c r="E295" s="7" t="s">
        <v>65</v>
      </c>
      <c r="F295" s="7" t="s">
        <v>680</v>
      </c>
      <c r="G295" s="7" t="s">
        <v>681</v>
      </c>
      <c r="H295" s="6"/>
      <c r="I295" s="6"/>
      <c r="J295" s="6">
        <v>1</v>
      </c>
      <c r="K295" s="8" t="s">
        <v>80</v>
      </c>
      <c r="L295" s="6"/>
      <c r="M295" s="6"/>
      <c r="N295" s="6"/>
      <c r="O295" s="6"/>
      <c r="P295" s="6"/>
      <c r="Q295" s="6"/>
      <c r="R295" s="7">
        <v>45467</v>
      </c>
      <c r="S295" s="7" t="s">
        <v>17</v>
      </c>
      <c r="T295" s="7" t="s">
        <v>12</v>
      </c>
      <c r="U295" s="11"/>
    </row>
    <row r="296" spans="1:21" s="5" customFormat="1" ht="24.95" customHeight="1" x14ac:dyDescent="0.3">
      <c r="A296" s="10"/>
      <c r="B296" s="10"/>
      <c r="D296" s="6">
        <f t="shared" si="4"/>
        <v>295</v>
      </c>
      <c r="E296" s="7" t="s">
        <v>65</v>
      </c>
      <c r="F296" s="7" t="s">
        <v>682</v>
      </c>
      <c r="G296" s="7" t="s">
        <v>683</v>
      </c>
      <c r="H296" s="6"/>
      <c r="I296" s="6"/>
      <c r="J296" s="6">
        <v>1</v>
      </c>
      <c r="K296" s="8" t="s">
        <v>80</v>
      </c>
      <c r="L296" s="6"/>
      <c r="M296" s="6"/>
      <c r="N296" s="6"/>
      <c r="O296" s="6"/>
      <c r="P296" s="6"/>
      <c r="Q296" s="6"/>
      <c r="R296" s="7">
        <v>45467</v>
      </c>
      <c r="S296" s="7" t="s">
        <v>17</v>
      </c>
      <c r="T296" s="7" t="s">
        <v>12</v>
      </c>
      <c r="U296" s="11"/>
    </row>
    <row r="297" spans="1:21" s="5" customFormat="1" ht="24.95" customHeight="1" x14ac:dyDescent="0.3">
      <c r="A297" s="10"/>
      <c r="B297" s="10"/>
      <c r="D297" s="6">
        <f t="shared" si="4"/>
        <v>296</v>
      </c>
      <c r="E297" s="7" t="s">
        <v>65</v>
      </c>
      <c r="F297" s="7" t="s">
        <v>684</v>
      </c>
      <c r="G297" s="7" t="s">
        <v>685</v>
      </c>
      <c r="H297" s="6"/>
      <c r="I297" s="6"/>
      <c r="J297" s="6">
        <v>1</v>
      </c>
      <c r="K297" s="8" t="s">
        <v>80</v>
      </c>
      <c r="L297" s="6"/>
      <c r="M297" s="6"/>
      <c r="N297" s="6"/>
      <c r="O297" s="6"/>
      <c r="P297" s="6"/>
      <c r="Q297" s="6"/>
      <c r="R297" s="7">
        <v>45467</v>
      </c>
      <c r="S297" s="7" t="s">
        <v>17</v>
      </c>
      <c r="T297" s="7" t="s">
        <v>12</v>
      </c>
      <c r="U297" s="11"/>
    </row>
    <row r="298" spans="1:21" s="5" customFormat="1" ht="24.95" customHeight="1" x14ac:dyDescent="0.3">
      <c r="A298" s="10"/>
      <c r="B298" s="10"/>
      <c r="D298" s="6">
        <f t="shared" si="4"/>
        <v>297</v>
      </c>
      <c r="E298" s="7" t="s">
        <v>686</v>
      </c>
      <c r="F298" s="7" t="s">
        <v>687</v>
      </c>
      <c r="G298" s="7" t="s">
        <v>688</v>
      </c>
      <c r="H298" s="6"/>
      <c r="I298" s="6"/>
      <c r="J298" s="6"/>
      <c r="K298" s="6"/>
      <c r="L298" s="6">
        <v>1</v>
      </c>
      <c r="M298" s="8" t="s">
        <v>48</v>
      </c>
      <c r="N298" s="6"/>
      <c r="O298" s="6"/>
      <c r="P298" s="6"/>
      <c r="Q298" s="6"/>
      <c r="R298" s="7">
        <v>45467</v>
      </c>
      <c r="S298" s="7" t="s">
        <v>17</v>
      </c>
      <c r="T298" s="7" t="s">
        <v>12</v>
      </c>
      <c r="U298" s="11"/>
    </row>
    <row r="299" spans="1:21" s="5" customFormat="1" ht="24.95" customHeight="1" x14ac:dyDescent="0.3">
      <c r="A299" s="10"/>
      <c r="B299" s="10"/>
      <c r="D299" s="6">
        <f t="shared" si="4"/>
        <v>298</v>
      </c>
      <c r="E299" s="7" t="s">
        <v>65</v>
      </c>
      <c r="F299" s="7" t="s">
        <v>689</v>
      </c>
      <c r="G299" s="7" t="s">
        <v>175</v>
      </c>
      <c r="H299" s="6"/>
      <c r="I299" s="6"/>
      <c r="J299" s="6"/>
      <c r="K299" s="6"/>
      <c r="L299" s="6"/>
      <c r="M299" s="6"/>
      <c r="N299" s="6"/>
      <c r="O299" s="6"/>
      <c r="P299" s="6">
        <v>1</v>
      </c>
      <c r="Q299" s="8" t="s">
        <v>58</v>
      </c>
      <c r="R299" s="7">
        <v>45467</v>
      </c>
      <c r="S299" s="7" t="s">
        <v>17</v>
      </c>
      <c r="T299" s="7" t="s">
        <v>12</v>
      </c>
      <c r="U299" s="11"/>
    </row>
    <row r="300" spans="1:21" s="5" customFormat="1" ht="24.95" customHeight="1" x14ac:dyDescent="0.3">
      <c r="A300" s="10"/>
      <c r="B300" s="10"/>
      <c r="D300" s="6">
        <f t="shared" si="4"/>
        <v>299</v>
      </c>
      <c r="E300" s="7" t="s">
        <v>65</v>
      </c>
      <c r="F300" s="7" t="s">
        <v>690</v>
      </c>
      <c r="G300" s="7" t="s">
        <v>177</v>
      </c>
      <c r="H300" s="6"/>
      <c r="I300" s="6"/>
      <c r="J300" s="6"/>
      <c r="K300" s="6"/>
      <c r="L300" s="6"/>
      <c r="M300" s="6"/>
      <c r="N300" s="6"/>
      <c r="O300" s="6"/>
      <c r="P300" s="6">
        <v>1</v>
      </c>
      <c r="Q300" s="8" t="s">
        <v>16</v>
      </c>
      <c r="R300" s="7">
        <v>45467</v>
      </c>
      <c r="S300" s="7" t="s">
        <v>17</v>
      </c>
      <c r="T300" s="7" t="s">
        <v>12</v>
      </c>
      <c r="U300" s="11"/>
    </row>
    <row r="301" spans="1:21" s="5" customFormat="1" ht="24.95" customHeight="1" x14ac:dyDescent="0.3">
      <c r="A301" s="10"/>
      <c r="B301" s="10"/>
      <c r="D301" s="6">
        <f t="shared" si="4"/>
        <v>300</v>
      </c>
      <c r="E301" s="7" t="s">
        <v>65</v>
      </c>
      <c r="F301" s="7" t="s">
        <v>691</v>
      </c>
      <c r="G301" s="7" t="s">
        <v>692</v>
      </c>
      <c r="H301" s="6"/>
      <c r="I301" s="6"/>
      <c r="J301" s="6"/>
      <c r="K301" s="6"/>
      <c r="L301" s="6"/>
      <c r="M301" s="6"/>
      <c r="N301" s="6"/>
      <c r="O301" s="6"/>
      <c r="P301" s="6">
        <v>1</v>
      </c>
      <c r="Q301" s="8" t="s">
        <v>58</v>
      </c>
      <c r="R301" s="7">
        <v>45467</v>
      </c>
      <c r="S301" s="7" t="s">
        <v>17</v>
      </c>
      <c r="T301" s="7" t="s">
        <v>12</v>
      </c>
      <c r="U301" s="11"/>
    </row>
    <row r="302" spans="1:21" s="5" customFormat="1" ht="24.95" customHeight="1" x14ac:dyDescent="0.3">
      <c r="A302" s="10"/>
      <c r="B302" s="10"/>
      <c r="D302" s="6">
        <f t="shared" si="4"/>
        <v>301</v>
      </c>
      <c r="E302" s="7" t="s">
        <v>61</v>
      </c>
      <c r="F302" s="7" t="s">
        <v>693</v>
      </c>
      <c r="G302" s="7" t="s">
        <v>694</v>
      </c>
      <c r="H302" s="6"/>
      <c r="I302" s="6"/>
      <c r="J302" s="6"/>
      <c r="K302" s="6"/>
      <c r="L302" s="6"/>
      <c r="M302" s="6"/>
      <c r="N302" s="6"/>
      <c r="O302" s="6"/>
      <c r="P302" s="6">
        <v>1</v>
      </c>
      <c r="Q302" s="8" t="s">
        <v>25</v>
      </c>
      <c r="R302" s="7">
        <v>45467</v>
      </c>
      <c r="S302" s="7" t="s">
        <v>17</v>
      </c>
      <c r="T302" s="7" t="s">
        <v>12</v>
      </c>
      <c r="U302" s="11"/>
    </row>
    <row r="303" spans="1:21" s="5" customFormat="1" ht="24.95" customHeight="1" x14ac:dyDescent="0.3">
      <c r="A303" s="10"/>
      <c r="B303" s="10"/>
      <c r="D303" s="6">
        <f t="shared" si="4"/>
        <v>302</v>
      </c>
      <c r="E303" s="7" t="s">
        <v>65</v>
      </c>
      <c r="F303" s="7" t="s">
        <v>695</v>
      </c>
      <c r="G303" s="7" t="s">
        <v>696</v>
      </c>
      <c r="H303" s="6"/>
      <c r="I303" s="6"/>
      <c r="J303" s="6"/>
      <c r="K303" s="6"/>
      <c r="L303" s="6"/>
      <c r="M303" s="6"/>
      <c r="N303" s="6"/>
      <c r="O303" s="6"/>
      <c r="P303" s="6">
        <v>1</v>
      </c>
      <c r="Q303" s="8" t="s">
        <v>58</v>
      </c>
      <c r="R303" s="7">
        <v>45467</v>
      </c>
      <c r="S303" s="7" t="s">
        <v>17</v>
      </c>
      <c r="T303" s="7" t="s">
        <v>12</v>
      </c>
      <c r="U303" s="11"/>
    </row>
    <row r="304" spans="1:21" s="5" customFormat="1" ht="24.95" customHeight="1" x14ac:dyDescent="0.3">
      <c r="A304" s="10"/>
      <c r="B304" s="10"/>
      <c r="D304" s="6">
        <f t="shared" si="4"/>
        <v>303</v>
      </c>
      <c r="E304" s="7" t="s">
        <v>65</v>
      </c>
      <c r="F304" s="7" t="s">
        <v>697</v>
      </c>
      <c r="G304" s="7" t="s">
        <v>698</v>
      </c>
      <c r="H304" s="6"/>
      <c r="I304" s="6"/>
      <c r="J304" s="6"/>
      <c r="K304" s="6"/>
      <c r="L304" s="6"/>
      <c r="M304" s="6"/>
      <c r="N304" s="6"/>
      <c r="O304" s="6"/>
      <c r="P304" s="6">
        <v>1</v>
      </c>
      <c r="Q304" s="8" t="s">
        <v>58</v>
      </c>
      <c r="R304" s="7">
        <v>45467</v>
      </c>
      <c r="S304" s="7" t="s">
        <v>17</v>
      </c>
      <c r="T304" s="7" t="s">
        <v>12</v>
      </c>
      <c r="U304" s="11"/>
    </row>
    <row r="305" spans="1:21" s="5" customFormat="1" ht="24.95" customHeight="1" x14ac:dyDescent="0.3">
      <c r="A305" s="10"/>
      <c r="B305" s="10"/>
      <c r="D305" s="6">
        <f t="shared" si="4"/>
        <v>304</v>
      </c>
      <c r="E305" s="7" t="s">
        <v>65</v>
      </c>
      <c r="F305" s="7" t="s">
        <v>699</v>
      </c>
      <c r="G305" s="7" t="s">
        <v>700</v>
      </c>
      <c r="H305" s="6"/>
      <c r="I305" s="6"/>
      <c r="J305" s="6"/>
      <c r="K305" s="6"/>
      <c r="L305" s="6"/>
      <c r="M305" s="6"/>
      <c r="N305" s="6"/>
      <c r="O305" s="6"/>
      <c r="P305" s="6">
        <v>1</v>
      </c>
      <c r="Q305" s="8" t="s">
        <v>58</v>
      </c>
      <c r="R305" s="7">
        <v>45467</v>
      </c>
      <c r="S305" s="7" t="s">
        <v>17</v>
      </c>
      <c r="T305" s="7" t="s">
        <v>12</v>
      </c>
      <c r="U305" s="11"/>
    </row>
    <row r="306" spans="1:21" s="5" customFormat="1" ht="24.95" customHeight="1" x14ac:dyDescent="0.3">
      <c r="A306" s="10"/>
      <c r="B306" s="10"/>
      <c r="D306" s="6">
        <f t="shared" si="4"/>
        <v>305</v>
      </c>
      <c r="E306" s="7" t="s">
        <v>701</v>
      </c>
      <c r="F306" s="7" t="s">
        <v>702</v>
      </c>
      <c r="G306" s="7" t="s">
        <v>703</v>
      </c>
      <c r="H306" s="6"/>
      <c r="I306" s="6"/>
      <c r="J306" s="6"/>
      <c r="K306" s="6"/>
      <c r="L306" s="6"/>
      <c r="M306" s="6"/>
      <c r="N306" s="6"/>
      <c r="O306" s="6"/>
      <c r="P306" s="6">
        <v>1</v>
      </c>
      <c r="Q306" s="8" t="s">
        <v>16</v>
      </c>
      <c r="R306" s="7">
        <v>45468</v>
      </c>
      <c r="S306" s="7" t="s">
        <v>17</v>
      </c>
      <c r="T306" s="7" t="s">
        <v>12</v>
      </c>
      <c r="U306" s="11"/>
    </row>
    <row r="307" spans="1:21" s="5" customFormat="1" ht="24.95" customHeight="1" x14ac:dyDescent="0.3">
      <c r="A307" s="10"/>
      <c r="B307" s="10"/>
      <c r="D307" s="6">
        <f t="shared" si="4"/>
        <v>306</v>
      </c>
      <c r="E307" s="7" t="s">
        <v>701</v>
      </c>
      <c r="F307" s="7" t="s">
        <v>704</v>
      </c>
      <c r="G307" s="7" t="s">
        <v>705</v>
      </c>
      <c r="H307" s="6"/>
      <c r="I307" s="6"/>
      <c r="J307" s="6"/>
      <c r="K307" s="6"/>
      <c r="L307" s="6"/>
      <c r="M307" s="6"/>
      <c r="N307" s="6"/>
      <c r="O307" s="6"/>
      <c r="P307" s="6">
        <v>1</v>
      </c>
      <c r="Q307" s="8" t="s">
        <v>16</v>
      </c>
      <c r="R307" s="7">
        <v>45468</v>
      </c>
      <c r="S307" s="7" t="s">
        <v>17</v>
      </c>
      <c r="T307" s="7" t="s">
        <v>12</v>
      </c>
      <c r="U307" s="11"/>
    </row>
    <row r="308" spans="1:21" s="5" customFormat="1" ht="24.95" customHeight="1" x14ac:dyDescent="0.3">
      <c r="A308" s="10"/>
      <c r="B308" s="10"/>
      <c r="D308" s="6">
        <f t="shared" si="4"/>
        <v>307</v>
      </c>
      <c r="E308" s="7" t="s">
        <v>701</v>
      </c>
      <c r="F308" s="7" t="s">
        <v>706</v>
      </c>
      <c r="G308" s="7" t="s">
        <v>707</v>
      </c>
      <c r="H308" s="6"/>
      <c r="I308" s="6"/>
      <c r="J308" s="6"/>
      <c r="K308" s="6"/>
      <c r="L308" s="6"/>
      <c r="M308" s="6"/>
      <c r="N308" s="6"/>
      <c r="O308" s="6"/>
      <c r="P308" s="6">
        <v>1</v>
      </c>
      <c r="Q308" s="8" t="s">
        <v>58</v>
      </c>
      <c r="R308" s="7">
        <v>45468</v>
      </c>
      <c r="S308" s="7" t="s">
        <v>17</v>
      </c>
      <c r="T308" s="7" t="s">
        <v>12</v>
      </c>
      <c r="U308" s="11"/>
    </row>
    <row r="309" spans="1:21" s="5" customFormat="1" ht="24.95" customHeight="1" x14ac:dyDescent="0.3">
      <c r="A309" s="10"/>
      <c r="B309" s="10"/>
      <c r="D309" s="6">
        <f t="shared" si="4"/>
        <v>308</v>
      </c>
      <c r="E309" s="7" t="s">
        <v>701</v>
      </c>
      <c r="F309" s="7" t="s">
        <v>708</v>
      </c>
      <c r="G309" s="7" t="s">
        <v>709</v>
      </c>
      <c r="H309" s="6"/>
      <c r="I309" s="6"/>
      <c r="J309" s="6"/>
      <c r="K309" s="6"/>
      <c r="L309" s="6">
        <v>1</v>
      </c>
      <c r="M309" s="8" t="s">
        <v>92</v>
      </c>
      <c r="N309" s="6"/>
      <c r="O309" s="6"/>
      <c r="P309" s="6"/>
      <c r="Q309" s="6"/>
      <c r="R309" s="7">
        <v>45468</v>
      </c>
      <c r="S309" s="7" t="s">
        <v>17</v>
      </c>
      <c r="T309" s="7" t="s">
        <v>12</v>
      </c>
      <c r="U309" s="11"/>
    </row>
    <row r="310" spans="1:21" s="5" customFormat="1" ht="24.95" customHeight="1" x14ac:dyDescent="0.3">
      <c r="A310" s="10"/>
      <c r="B310" s="10"/>
      <c r="D310" s="6">
        <f t="shared" si="4"/>
        <v>309</v>
      </c>
      <c r="E310" s="7" t="s">
        <v>701</v>
      </c>
      <c r="F310" s="7" t="s">
        <v>710</v>
      </c>
      <c r="G310" s="7" t="s">
        <v>711</v>
      </c>
      <c r="H310" s="6"/>
      <c r="I310" s="6"/>
      <c r="J310" s="6"/>
      <c r="K310" s="6"/>
      <c r="L310" s="6"/>
      <c r="M310" s="6"/>
      <c r="N310" s="6"/>
      <c r="O310" s="6"/>
      <c r="P310" s="6">
        <v>1</v>
      </c>
      <c r="Q310" s="8" t="s">
        <v>58</v>
      </c>
      <c r="R310" s="7">
        <v>45468</v>
      </c>
      <c r="S310" s="7" t="s">
        <v>17</v>
      </c>
      <c r="T310" s="7" t="s">
        <v>12</v>
      </c>
      <c r="U310" s="11"/>
    </row>
    <row r="311" spans="1:21" s="5" customFormat="1" ht="24.95" customHeight="1" x14ac:dyDescent="0.3">
      <c r="A311" s="10"/>
      <c r="B311" s="10"/>
      <c r="D311" s="6">
        <f t="shared" si="4"/>
        <v>310</v>
      </c>
      <c r="E311" s="7" t="s">
        <v>701</v>
      </c>
      <c r="F311" s="7" t="s">
        <v>712</v>
      </c>
      <c r="G311" s="7" t="s">
        <v>713</v>
      </c>
      <c r="H311" s="6"/>
      <c r="I311" s="6"/>
      <c r="J311" s="6"/>
      <c r="K311" s="6"/>
      <c r="L311" s="6"/>
      <c r="M311" s="6"/>
      <c r="N311" s="6"/>
      <c r="O311" s="6"/>
      <c r="P311" s="6">
        <v>1</v>
      </c>
      <c r="Q311" s="8" t="s">
        <v>58</v>
      </c>
      <c r="R311" s="7">
        <v>45468</v>
      </c>
      <c r="S311" s="7" t="s">
        <v>17</v>
      </c>
      <c r="T311" s="7" t="s">
        <v>12</v>
      </c>
      <c r="U311" s="11"/>
    </row>
    <row r="312" spans="1:21" s="5" customFormat="1" ht="24.95" customHeight="1" x14ac:dyDescent="0.3">
      <c r="A312" s="10"/>
      <c r="B312" s="10"/>
      <c r="D312" s="6">
        <f t="shared" si="4"/>
        <v>311</v>
      </c>
      <c r="E312" s="7" t="s">
        <v>384</v>
      </c>
      <c r="F312" s="7" t="s">
        <v>714</v>
      </c>
      <c r="G312" s="7" t="s">
        <v>715</v>
      </c>
      <c r="H312" s="6"/>
      <c r="I312" s="6"/>
      <c r="J312" s="6"/>
      <c r="K312" s="6"/>
      <c r="L312" s="6"/>
      <c r="M312" s="6"/>
      <c r="N312" s="6"/>
      <c r="O312" s="6"/>
      <c r="P312" s="6">
        <v>1</v>
      </c>
      <c r="Q312" s="8" t="s">
        <v>272</v>
      </c>
      <c r="R312" s="7">
        <v>45470</v>
      </c>
      <c r="S312" s="7" t="s">
        <v>17</v>
      </c>
      <c r="T312" s="7" t="s">
        <v>12</v>
      </c>
      <c r="U312" s="11"/>
    </row>
    <row r="313" spans="1:21" s="5" customFormat="1" ht="24.95" customHeight="1" x14ac:dyDescent="0.3">
      <c r="A313" s="10"/>
      <c r="B313" s="10"/>
      <c r="D313" s="6">
        <f t="shared" si="4"/>
        <v>312</v>
      </c>
      <c r="E313" s="7" t="s">
        <v>384</v>
      </c>
      <c r="F313" s="7" t="s">
        <v>716</v>
      </c>
      <c r="G313" s="7" t="s">
        <v>717</v>
      </c>
      <c r="H313" s="6"/>
      <c r="I313" s="6"/>
      <c r="J313" s="6">
        <v>1</v>
      </c>
      <c r="K313" s="8" t="s">
        <v>80</v>
      </c>
      <c r="L313" s="6"/>
      <c r="M313" s="6"/>
      <c r="N313" s="6"/>
      <c r="O313" s="6"/>
      <c r="P313" s="6"/>
      <c r="Q313" s="6"/>
      <c r="R313" s="7">
        <v>45470</v>
      </c>
      <c r="S313" s="7" t="s">
        <v>17</v>
      </c>
      <c r="T313" s="7" t="s">
        <v>12</v>
      </c>
      <c r="U313" s="11"/>
    </row>
    <row r="314" spans="1:21" s="5" customFormat="1" ht="24.95" customHeight="1" x14ac:dyDescent="0.3">
      <c r="A314" s="10"/>
      <c r="B314" s="10"/>
      <c r="D314" s="6">
        <f t="shared" si="4"/>
        <v>313</v>
      </c>
      <c r="E314" s="7" t="s">
        <v>65</v>
      </c>
      <c r="F314" s="7" t="s">
        <v>718</v>
      </c>
      <c r="G314" s="7" t="s">
        <v>719</v>
      </c>
      <c r="H314" s="6"/>
      <c r="I314" s="6"/>
      <c r="J314" s="6"/>
      <c r="K314" s="6"/>
      <c r="L314" s="6"/>
      <c r="M314" s="6"/>
      <c r="N314" s="6"/>
      <c r="O314" s="6"/>
      <c r="P314" s="6">
        <v>1</v>
      </c>
      <c r="Q314" s="8" t="s">
        <v>16</v>
      </c>
      <c r="R314" s="7">
        <v>45471</v>
      </c>
      <c r="S314" s="7" t="s">
        <v>17</v>
      </c>
      <c r="T314" s="7" t="s">
        <v>12</v>
      </c>
      <c r="U314" s="11"/>
    </row>
    <row r="315" spans="1:21" s="5" customFormat="1" ht="24.95" customHeight="1" x14ac:dyDescent="0.3">
      <c r="A315" s="10"/>
      <c r="B315" s="10"/>
      <c r="D315" s="6">
        <f t="shared" si="4"/>
        <v>314</v>
      </c>
      <c r="E315" s="7" t="s">
        <v>384</v>
      </c>
      <c r="F315" s="7" t="s">
        <v>720</v>
      </c>
      <c r="G315" s="7" t="s">
        <v>721</v>
      </c>
      <c r="H315" s="6"/>
      <c r="I315" s="6"/>
      <c r="J315" s="6">
        <v>1</v>
      </c>
      <c r="K315" s="8" t="s">
        <v>80</v>
      </c>
      <c r="L315" s="6"/>
      <c r="M315" s="6"/>
      <c r="N315" s="6"/>
      <c r="O315" s="6"/>
      <c r="P315" s="6"/>
      <c r="Q315" s="6"/>
      <c r="R315" s="7">
        <v>45475</v>
      </c>
      <c r="S315" s="7" t="s">
        <v>17</v>
      </c>
      <c r="T315" s="7" t="s">
        <v>12</v>
      </c>
      <c r="U315" s="11"/>
    </row>
    <row r="316" spans="1:21" s="5" customFormat="1" ht="24.95" customHeight="1" x14ac:dyDescent="0.3">
      <c r="A316" s="10"/>
      <c r="B316" s="10"/>
      <c r="D316" s="6">
        <f t="shared" si="4"/>
        <v>315</v>
      </c>
      <c r="E316" s="7" t="s">
        <v>722</v>
      </c>
      <c r="F316" s="7" t="s">
        <v>723</v>
      </c>
      <c r="G316" s="7" t="s">
        <v>724</v>
      </c>
      <c r="H316" s="6">
        <v>1</v>
      </c>
      <c r="I316" s="8" t="s">
        <v>277</v>
      </c>
      <c r="J316" s="6"/>
      <c r="K316" s="6"/>
      <c r="L316" s="6"/>
      <c r="M316" s="6"/>
      <c r="N316" s="6"/>
      <c r="O316" s="6"/>
      <c r="P316" s="6"/>
      <c r="Q316" s="6"/>
      <c r="R316" s="7">
        <v>45477</v>
      </c>
      <c r="S316" s="7" t="s">
        <v>17</v>
      </c>
      <c r="T316" s="7" t="s">
        <v>12</v>
      </c>
      <c r="U316" s="11"/>
    </row>
    <row r="317" spans="1:21" s="5" customFormat="1" ht="24.95" customHeight="1" x14ac:dyDescent="0.3">
      <c r="A317" s="10"/>
      <c r="B317" s="10"/>
      <c r="D317" s="6">
        <f t="shared" si="4"/>
        <v>316</v>
      </c>
      <c r="E317" s="7" t="s">
        <v>61</v>
      </c>
      <c r="F317" s="7" t="s">
        <v>725</v>
      </c>
      <c r="G317" s="7" t="s">
        <v>726</v>
      </c>
      <c r="H317" s="6"/>
      <c r="I317" s="6"/>
      <c r="J317" s="6"/>
      <c r="K317" s="6"/>
      <c r="L317" s="6"/>
      <c r="M317" s="6"/>
      <c r="N317" s="6">
        <v>1</v>
      </c>
      <c r="O317" s="8" t="s">
        <v>77</v>
      </c>
      <c r="P317" s="6"/>
      <c r="Q317" s="6"/>
      <c r="R317" s="7">
        <v>45481</v>
      </c>
      <c r="S317" s="7" t="s">
        <v>17</v>
      </c>
      <c r="T317" s="7" t="s">
        <v>12</v>
      </c>
      <c r="U317" s="11"/>
    </row>
    <row r="318" spans="1:21" s="5" customFormat="1" ht="24.95" customHeight="1" x14ac:dyDescent="0.3">
      <c r="A318" s="10"/>
      <c r="B318" s="10"/>
      <c r="D318" s="6">
        <f t="shared" si="4"/>
        <v>317</v>
      </c>
      <c r="E318" s="7" t="s">
        <v>384</v>
      </c>
      <c r="F318" s="7" t="s">
        <v>727</v>
      </c>
      <c r="G318" s="7" t="s">
        <v>728</v>
      </c>
      <c r="H318" s="6"/>
      <c r="I318" s="6"/>
      <c r="J318" s="6"/>
      <c r="K318" s="6"/>
      <c r="L318" s="6">
        <v>1</v>
      </c>
      <c r="M318" s="8" t="s">
        <v>92</v>
      </c>
      <c r="N318" s="6"/>
      <c r="O318" s="6"/>
      <c r="P318" s="6"/>
      <c r="Q318" s="6"/>
      <c r="R318" s="7">
        <v>45488</v>
      </c>
      <c r="S318" s="7" t="s">
        <v>17</v>
      </c>
      <c r="T318" s="7" t="s">
        <v>12</v>
      </c>
      <c r="U318" s="11"/>
    </row>
    <row r="319" spans="1:21" s="5" customFormat="1" ht="24.95" customHeight="1" x14ac:dyDescent="0.3">
      <c r="A319" s="10"/>
      <c r="B319" s="10"/>
      <c r="D319" s="6">
        <f t="shared" si="4"/>
        <v>318</v>
      </c>
      <c r="E319" s="7" t="s">
        <v>261</v>
      </c>
      <c r="F319" s="7" t="s">
        <v>729</v>
      </c>
      <c r="G319" s="7" t="s">
        <v>730</v>
      </c>
      <c r="H319" s="6"/>
      <c r="I319" s="6"/>
      <c r="J319" s="6"/>
      <c r="K319" s="6"/>
      <c r="L319" s="6"/>
      <c r="M319" s="6"/>
      <c r="N319" s="6"/>
      <c r="O319" s="6"/>
      <c r="P319" s="6">
        <v>1</v>
      </c>
      <c r="Q319" s="8" t="s">
        <v>16</v>
      </c>
      <c r="R319" s="7">
        <v>45490</v>
      </c>
      <c r="S319" s="7" t="s">
        <v>17</v>
      </c>
      <c r="T319" s="7" t="s">
        <v>12</v>
      </c>
      <c r="U319" s="11"/>
    </row>
    <row r="320" spans="1:21" s="5" customFormat="1" ht="24.95" customHeight="1" x14ac:dyDescent="0.3">
      <c r="A320" s="10"/>
      <c r="B320" s="10"/>
      <c r="D320" s="6">
        <f t="shared" si="4"/>
        <v>319</v>
      </c>
      <c r="E320" s="7" t="s">
        <v>261</v>
      </c>
      <c r="F320" s="7" t="s">
        <v>731</v>
      </c>
      <c r="G320" s="7" t="s">
        <v>732</v>
      </c>
      <c r="H320" s="6"/>
      <c r="I320" s="6"/>
      <c r="J320" s="6"/>
      <c r="K320" s="6"/>
      <c r="L320" s="6"/>
      <c r="M320" s="6"/>
      <c r="N320" s="6"/>
      <c r="O320" s="6"/>
      <c r="P320" s="6">
        <v>1</v>
      </c>
      <c r="Q320" s="8" t="s">
        <v>58</v>
      </c>
      <c r="R320" s="7">
        <v>45490</v>
      </c>
      <c r="S320" s="7" t="s">
        <v>17</v>
      </c>
      <c r="T320" s="7" t="s">
        <v>12</v>
      </c>
      <c r="U320" s="11"/>
    </row>
    <row r="321" spans="1:21" s="5" customFormat="1" ht="24.95" customHeight="1" x14ac:dyDescent="0.3">
      <c r="A321" s="10"/>
      <c r="B321" s="10"/>
      <c r="D321" s="6">
        <f t="shared" si="4"/>
        <v>320</v>
      </c>
      <c r="E321" s="7" t="s">
        <v>261</v>
      </c>
      <c r="F321" s="7" t="s">
        <v>733</v>
      </c>
      <c r="G321" s="7" t="s">
        <v>734</v>
      </c>
      <c r="H321" s="6"/>
      <c r="I321" s="6"/>
      <c r="J321" s="6"/>
      <c r="K321" s="6"/>
      <c r="L321" s="6"/>
      <c r="M321" s="6"/>
      <c r="N321" s="6"/>
      <c r="O321" s="6"/>
      <c r="P321" s="6">
        <v>1</v>
      </c>
      <c r="Q321" s="8" t="s">
        <v>58</v>
      </c>
      <c r="R321" s="7">
        <v>45490</v>
      </c>
      <c r="S321" s="7" t="s">
        <v>17</v>
      </c>
      <c r="T321" s="7" t="s">
        <v>12</v>
      </c>
      <c r="U321" s="11"/>
    </row>
    <row r="322" spans="1:21" s="5" customFormat="1" ht="24.95" customHeight="1" x14ac:dyDescent="0.3">
      <c r="A322" s="10"/>
      <c r="B322" s="10"/>
      <c r="D322" s="6">
        <f t="shared" si="4"/>
        <v>321</v>
      </c>
      <c r="E322" s="7" t="s">
        <v>261</v>
      </c>
      <c r="F322" s="7" t="s">
        <v>735</v>
      </c>
      <c r="G322" s="7" t="s">
        <v>736</v>
      </c>
      <c r="H322" s="6"/>
      <c r="I322" s="6"/>
      <c r="J322" s="6"/>
      <c r="K322" s="6"/>
      <c r="L322" s="6"/>
      <c r="M322" s="6"/>
      <c r="N322" s="6"/>
      <c r="O322" s="6"/>
      <c r="P322" s="6">
        <v>1</v>
      </c>
      <c r="Q322" s="8" t="s">
        <v>58</v>
      </c>
      <c r="R322" s="7">
        <v>45490</v>
      </c>
      <c r="S322" s="7" t="s">
        <v>17</v>
      </c>
      <c r="T322" s="7" t="s">
        <v>12</v>
      </c>
      <c r="U322" s="11"/>
    </row>
    <row r="323" spans="1:21" s="5" customFormat="1" ht="24.95" customHeight="1" x14ac:dyDescent="0.3">
      <c r="A323" s="10"/>
      <c r="B323" s="10"/>
      <c r="D323" s="6">
        <f t="shared" ref="D323:D386" si="5">ROW()-1</f>
        <v>322</v>
      </c>
      <c r="E323" s="7" t="s">
        <v>261</v>
      </c>
      <c r="F323" s="7" t="s">
        <v>737</v>
      </c>
      <c r="G323" s="7" t="s">
        <v>738</v>
      </c>
      <c r="H323" s="6"/>
      <c r="I323" s="6"/>
      <c r="J323" s="6"/>
      <c r="K323" s="6"/>
      <c r="L323" s="6"/>
      <c r="M323" s="6"/>
      <c r="N323" s="6"/>
      <c r="O323" s="6"/>
      <c r="P323" s="6">
        <v>1</v>
      </c>
      <c r="Q323" s="8" t="s">
        <v>58</v>
      </c>
      <c r="R323" s="7">
        <v>45490</v>
      </c>
      <c r="S323" s="7" t="s">
        <v>17</v>
      </c>
      <c r="T323" s="7" t="s">
        <v>12</v>
      </c>
      <c r="U323" s="11"/>
    </row>
    <row r="324" spans="1:21" s="5" customFormat="1" ht="24.95" customHeight="1" x14ac:dyDescent="0.3">
      <c r="A324" s="10"/>
      <c r="B324" s="10"/>
      <c r="D324" s="6">
        <f t="shared" si="5"/>
        <v>323</v>
      </c>
      <c r="E324" s="7" t="s">
        <v>45</v>
      </c>
      <c r="F324" s="7" t="s">
        <v>739</v>
      </c>
      <c r="G324" s="7" t="s">
        <v>740</v>
      </c>
      <c r="H324" s="6"/>
      <c r="I324" s="6"/>
      <c r="J324" s="6"/>
      <c r="K324" s="6"/>
      <c r="L324" s="6"/>
      <c r="M324" s="6"/>
      <c r="N324" s="6"/>
      <c r="O324" s="6"/>
      <c r="P324" s="6">
        <v>1</v>
      </c>
      <c r="Q324" s="8" t="s">
        <v>58</v>
      </c>
      <c r="R324" s="7">
        <v>45491</v>
      </c>
      <c r="S324" s="7" t="s">
        <v>17</v>
      </c>
      <c r="T324" s="7" t="s">
        <v>12</v>
      </c>
      <c r="U324" s="11"/>
    </row>
    <row r="325" spans="1:21" s="5" customFormat="1" ht="24.95" customHeight="1" x14ac:dyDescent="0.3">
      <c r="A325" s="10"/>
      <c r="B325" s="10"/>
      <c r="D325" s="6">
        <f t="shared" si="5"/>
        <v>324</v>
      </c>
      <c r="E325" s="7" t="s">
        <v>384</v>
      </c>
      <c r="F325" s="7" t="s">
        <v>741</v>
      </c>
      <c r="G325" s="7" t="s">
        <v>742</v>
      </c>
      <c r="H325" s="6"/>
      <c r="I325" s="6"/>
      <c r="J325" s="6"/>
      <c r="K325" s="6"/>
      <c r="L325" s="6"/>
      <c r="M325" s="6"/>
      <c r="N325" s="6"/>
      <c r="O325" s="6"/>
      <c r="P325" s="6">
        <v>1</v>
      </c>
      <c r="Q325" s="8" t="s">
        <v>272</v>
      </c>
      <c r="R325" s="7">
        <v>45492</v>
      </c>
      <c r="S325" s="7" t="s">
        <v>17</v>
      </c>
      <c r="T325" s="7" t="s">
        <v>12</v>
      </c>
      <c r="U325" s="11"/>
    </row>
    <row r="326" spans="1:21" s="5" customFormat="1" ht="24.95" customHeight="1" x14ac:dyDescent="0.3">
      <c r="A326" s="10"/>
      <c r="B326" s="10"/>
      <c r="D326" s="6">
        <f t="shared" si="5"/>
        <v>325</v>
      </c>
      <c r="E326" s="7" t="s">
        <v>384</v>
      </c>
      <c r="F326" s="7" t="s">
        <v>743</v>
      </c>
      <c r="G326" s="7" t="s">
        <v>744</v>
      </c>
      <c r="H326" s="6"/>
      <c r="I326" s="6"/>
      <c r="J326" s="6"/>
      <c r="K326" s="6"/>
      <c r="L326" s="6"/>
      <c r="M326" s="6"/>
      <c r="N326" s="6"/>
      <c r="O326" s="6"/>
      <c r="P326" s="6">
        <v>1</v>
      </c>
      <c r="Q326" s="8" t="s">
        <v>58</v>
      </c>
      <c r="R326" s="7">
        <v>45496</v>
      </c>
      <c r="S326" s="7" t="s">
        <v>17</v>
      </c>
      <c r="T326" s="7" t="s">
        <v>12</v>
      </c>
      <c r="U326" s="11"/>
    </row>
    <row r="327" spans="1:21" s="5" customFormat="1" ht="24.95" customHeight="1" x14ac:dyDescent="0.3">
      <c r="A327" s="10"/>
      <c r="B327" s="10"/>
      <c r="D327" s="6">
        <f t="shared" si="5"/>
        <v>326</v>
      </c>
      <c r="E327" s="7" t="s">
        <v>72</v>
      </c>
      <c r="F327" s="7" t="s">
        <v>745</v>
      </c>
      <c r="G327" s="7" t="s">
        <v>746</v>
      </c>
      <c r="H327" s="6"/>
      <c r="I327" s="6"/>
      <c r="J327" s="6"/>
      <c r="K327" s="6"/>
      <c r="L327" s="6"/>
      <c r="M327" s="6"/>
      <c r="N327" s="6">
        <v>1</v>
      </c>
      <c r="O327" s="8" t="s">
        <v>77</v>
      </c>
      <c r="P327" s="6"/>
      <c r="Q327" s="6"/>
      <c r="R327" s="7">
        <v>45498</v>
      </c>
      <c r="S327" s="7" t="s">
        <v>17</v>
      </c>
      <c r="T327" s="7" t="s">
        <v>12</v>
      </c>
      <c r="U327" s="11"/>
    </row>
    <row r="328" spans="1:21" s="5" customFormat="1" ht="24.95" customHeight="1" x14ac:dyDescent="0.3">
      <c r="A328" s="10"/>
      <c r="B328" s="10"/>
      <c r="D328" s="6">
        <f t="shared" si="5"/>
        <v>327</v>
      </c>
      <c r="E328" s="7" t="s">
        <v>747</v>
      </c>
      <c r="F328" s="7" t="s">
        <v>748</v>
      </c>
      <c r="G328" s="7" t="s">
        <v>749</v>
      </c>
      <c r="H328" s="6">
        <v>1</v>
      </c>
      <c r="I328" s="8" t="s">
        <v>277</v>
      </c>
      <c r="J328" s="6"/>
      <c r="K328" s="6"/>
      <c r="L328" s="6"/>
      <c r="M328" s="6"/>
      <c r="N328" s="6"/>
      <c r="O328" s="6"/>
      <c r="P328" s="6"/>
      <c r="Q328" s="6"/>
      <c r="R328" s="7">
        <v>45498</v>
      </c>
      <c r="S328" s="7" t="s">
        <v>17</v>
      </c>
      <c r="T328" s="7" t="s">
        <v>12</v>
      </c>
      <c r="U328" s="11"/>
    </row>
    <row r="329" spans="1:21" s="5" customFormat="1" ht="24.95" customHeight="1" x14ac:dyDescent="0.3">
      <c r="A329" s="10"/>
      <c r="B329" s="10"/>
      <c r="D329" s="6">
        <f t="shared" si="5"/>
        <v>328</v>
      </c>
      <c r="E329" s="7" t="s">
        <v>750</v>
      </c>
      <c r="F329" s="7" t="s">
        <v>751</v>
      </c>
      <c r="G329" s="7" t="s">
        <v>752</v>
      </c>
      <c r="H329" s="6">
        <v>1</v>
      </c>
      <c r="I329" s="8" t="s">
        <v>21</v>
      </c>
      <c r="J329" s="6"/>
      <c r="K329" s="6"/>
      <c r="L329" s="6"/>
      <c r="M329" s="6"/>
      <c r="N329" s="6"/>
      <c r="O329" s="6"/>
      <c r="P329" s="6"/>
      <c r="Q329" s="6"/>
      <c r="R329" s="7">
        <v>45499</v>
      </c>
      <c r="S329" s="7" t="s">
        <v>17</v>
      </c>
      <c r="T329" s="7" t="s">
        <v>12</v>
      </c>
      <c r="U329" s="11"/>
    </row>
    <row r="330" spans="1:21" s="5" customFormat="1" ht="24.95" customHeight="1" x14ac:dyDescent="0.3">
      <c r="A330" s="10"/>
      <c r="B330" s="10"/>
      <c r="D330" s="6">
        <f t="shared" si="5"/>
        <v>329</v>
      </c>
      <c r="E330" s="7" t="s">
        <v>409</v>
      </c>
      <c r="F330" s="7" t="s">
        <v>753</v>
      </c>
      <c r="G330" s="7" t="s">
        <v>754</v>
      </c>
      <c r="H330" s="6"/>
      <c r="I330" s="6"/>
      <c r="J330" s="6">
        <v>1</v>
      </c>
      <c r="K330" s="8" t="s">
        <v>130</v>
      </c>
      <c r="L330" s="6"/>
      <c r="M330" s="6"/>
      <c r="N330" s="6"/>
      <c r="O330" s="6"/>
      <c r="P330" s="6"/>
      <c r="Q330" s="6"/>
      <c r="R330" s="7">
        <v>45502</v>
      </c>
      <c r="S330" s="7" t="s">
        <v>17</v>
      </c>
      <c r="T330" s="7" t="s">
        <v>12</v>
      </c>
      <c r="U330" s="11"/>
    </row>
    <row r="331" spans="1:21" s="5" customFormat="1" ht="24.95" customHeight="1" x14ac:dyDescent="0.3">
      <c r="A331" s="10"/>
      <c r="B331" s="10"/>
      <c r="D331" s="6">
        <f t="shared" si="5"/>
        <v>330</v>
      </c>
      <c r="E331" s="7" t="s">
        <v>384</v>
      </c>
      <c r="F331" s="7" t="s">
        <v>755</v>
      </c>
      <c r="G331" s="7" t="s">
        <v>756</v>
      </c>
      <c r="H331" s="6">
        <v>1</v>
      </c>
      <c r="I331" s="8" t="s">
        <v>281</v>
      </c>
      <c r="J331" s="6"/>
      <c r="K331" s="7"/>
      <c r="L331" s="6"/>
      <c r="M331" s="7"/>
      <c r="N331" s="6"/>
      <c r="O331" s="7"/>
      <c r="P331" s="6"/>
      <c r="Q331" s="7"/>
      <c r="R331" s="7">
        <v>45506</v>
      </c>
      <c r="S331" s="7" t="s">
        <v>17</v>
      </c>
      <c r="T331" s="7" t="s">
        <v>12</v>
      </c>
    </row>
    <row r="332" spans="1:21" s="5" customFormat="1" ht="24.95" customHeight="1" x14ac:dyDescent="0.3">
      <c r="A332" s="10"/>
      <c r="B332" s="10"/>
      <c r="D332" s="6">
        <f t="shared" si="5"/>
        <v>331</v>
      </c>
      <c r="E332" s="7" t="s">
        <v>327</v>
      </c>
      <c r="F332" s="7" t="s">
        <v>757</v>
      </c>
      <c r="G332" s="7" t="s">
        <v>758</v>
      </c>
      <c r="H332" s="6"/>
      <c r="I332" s="7"/>
      <c r="J332" s="6"/>
      <c r="K332" s="7"/>
      <c r="L332" s="6"/>
      <c r="M332" s="7"/>
      <c r="N332" s="6"/>
      <c r="O332" s="7"/>
      <c r="P332" s="6">
        <v>1</v>
      </c>
      <c r="Q332" s="8" t="s">
        <v>759</v>
      </c>
      <c r="R332" s="7">
        <v>45508</v>
      </c>
      <c r="S332" s="7" t="s">
        <v>17</v>
      </c>
      <c r="T332" s="7" t="s">
        <v>12</v>
      </c>
    </row>
    <row r="333" spans="1:21" s="5" customFormat="1" ht="24.95" customHeight="1" x14ac:dyDescent="0.3">
      <c r="A333" s="10"/>
      <c r="B333" s="10"/>
      <c r="D333" s="6">
        <f t="shared" si="5"/>
        <v>332</v>
      </c>
      <c r="E333" s="7" t="s">
        <v>760</v>
      </c>
      <c r="F333" s="7" t="s">
        <v>761</v>
      </c>
      <c r="G333" s="7" t="s">
        <v>762</v>
      </c>
      <c r="H333" s="6"/>
      <c r="I333" s="7"/>
      <c r="J333" s="6"/>
      <c r="K333" s="7"/>
      <c r="L333" s="6"/>
      <c r="M333" s="7"/>
      <c r="N333" s="6"/>
      <c r="O333" s="7"/>
      <c r="P333" s="6">
        <v>1</v>
      </c>
      <c r="Q333" s="8" t="s">
        <v>16</v>
      </c>
      <c r="R333" s="7">
        <v>45509</v>
      </c>
      <c r="S333" s="7" t="s">
        <v>17</v>
      </c>
      <c r="T333" s="7" t="s">
        <v>12</v>
      </c>
    </row>
    <row r="334" spans="1:21" s="5" customFormat="1" ht="24.95" customHeight="1" x14ac:dyDescent="0.3">
      <c r="A334" s="10"/>
      <c r="B334" s="10"/>
      <c r="D334" s="6">
        <f t="shared" si="5"/>
        <v>333</v>
      </c>
      <c r="E334" s="7" t="s">
        <v>557</v>
      </c>
      <c r="F334" s="7" t="s">
        <v>763</v>
      </c>
      <c r="G334" s="7" t="s">
        <v>764</v>
      </c>
      <c r="H334" s="7"/>
      <c r="I334" s="7"/>
      <c r="J334" s="6">
        <v>1</v>
      </c>
      <c r="K334" s="8" t="s">
        <v>130</v>
      </c>
      <c r="L334" s="6"/>
      <c r="M334" s="7"/>
      <c r="N334" s="6"/>
      <c r="O334" s="7"/>
      <c r="P334" s="6"/>
      <c r="Q334" s="7"/>
      <c r="R334" s="7">
        <v>45513</v>
      </c>
      <c r="S334" s="7" t="s">
        <v>17</v>
      </c>
      <c r="T334" s="7" t="s">
        <v>12</v>
      </c>
    </row>
    <row r="335" spans="1:21" s="5" customFormat="1" ht="24.95" customHeight="1" x14ac:dyDescent="0.3">
      <c r="A335" s="10"/>
      <c r="B335" s="10"/>
      <c r="D335" s="6">
        <f t="shared" si="5"/>
        <v>334</v>
      </c>
      <c r="E335" s="7" t="s">
        <v>765</v>
      </c>
      <c r="F335" s="7" t="s">
        <v>766</v>
      </c>
      <c r="G335" s="7" t="s">
        <v>767</v>
      </c>
      <c r="H335" s="6"/>
      <c r="I335" s="7"/>
      <c r="J335" s="6"/>
      <c r="K335" s="7"/>
      <c r="L335" s="6">
        <v>1</v>
      </c>
      <c r="M335" s="8" t="s">
        <v>48</v>
      </c>
      <c r="N335" s="6"/>
      <c r="O335" s="7"/>
      <c r="P335" s="6"/>
      <c r="Q335" s="7"/>
      <c r="R335" s="7">
        <v>45513</v>
      </c>
      <c r="S335" s="7" t="s">
        <v>17</v>
      </c>
      <c r="T335" s="7" t="s">
        <v>12</v>
      </c>
    </row>
    <row r="336" spans="1:21" s="5" customFormat="1" ht="24.95" customHeight="1" x14ac:dyDescent="0.3">
      <c r="A336" s="10"/>
      <c r="B336" s="10"/>
      <c r="D336" s="6">
        <f t="shared" si="5"/>
        <v>335</v>
      </c>
      <c r="E336" s="7" t="s">
        <v>327</v>
      </c>
      <c r="F336" s="7" t="s">
        <v>768</v>
      </c>
      <c r="G336" s="7" t="s">
        <v>769</v>
      </c>
      <c r="H336" s="6"/>
      <c r="I336" s="7"/>
      <c r="J336" s="6"/>
      <c r="K336" s="7"/>
      <c r="L336" s="6"/>
      <c r="M336" s="7"/>
      <c r="N336" s="6"/>
      <c r="O336" s="7"/>
      <c r="P336" s="6">
        <v>1</v>
      </c>
      <c r="Q336" s="8" t="s">
        <v>16</v>
      </c>
      <c r="R336" s="7">
        <v>45514</v>
      </c>
      <c r="S336" s="7" t="s">
        <v>17</v>
      </c>
      <c r="T336" s="7" t="s">
        <v>12</v>
      </c>
    </row>
    <row r="337" spans="1:20" s="5" customFormat="1" ht="24.95" customHeight="1" x14ac:dyDescent="0.3">
      <c r="A337" s="10"/>
      <c r="B337" s="10"/>
      <c r="D337" s="6">
        <f t="shared" si="5"/>
        <v>336</v>
      </c>
      <c r="E337" s="7" t="s">
        <v>515</v>
      </c>
      <c r="F337" s="7" t="s">
        <v>770</v>
      </c>
      <c r="G337" s="7" t="s">
        <v>771</v>
      </c>
      <c r="H337" s="6"/>
      <c r="I337" s="7"/>
      <c r="J337" s="6"/>
      <c r="K337" s="7"/>
      <c r="L337" s="6"/>
      <c r="M337" s="7"/>
      <c r="N337" s="6"/>
      <c r="O337" s="7"/>
      <c r="P337" s="6">
        <v>1</v>
      </c>
      <c r="Q337" s="8" t="s">
        <v>16</v>
      </c>
      <c r="R337" s="7">
        <v>45524</v>
      </c>
      <c r="S337" s="7" t="s">
        <v>17</v>
      </c>
      <c r="T337" s="7" t="s">
        <v>12</v>
      </c>
    </row>
    <row r="338" spans="1:20" s="5" customFormat="1" ht="24.95" customHeight="1" x14ac:dyDescent="0.3">
      <c r="A338" s="10"/>
      <c r="B338" s="10"/>
      <c r="D338" s="6">
        <f t="shared" si="5"/>
        <v>337</v>
      </c>
      <c r="E338" s="7" t="s">
        <v>515</v>
      </c>
      <c r="F338" s="7" t="s">
        <v>772</v>
      </c>
      <c r="G338" s="7" t="s">
        <v>773</v>
      </c>
      <c r="H338" s="6"/>
      <c r="I338" s="7"/>
      <c r="J338" s="6"/>
      <c r="K338" s="7"/>
      <c r="L338" s="6"/>
      <c r="M338" s="7"/>
      <c r="N338" s="6"/>
      <c r="O338" s="7"/>
      <c r="P338" s="6">
        <v>1</v>
      </c>
      <c r="Q338" s="8" t="s">
        <v>16</v>
      </c>
      <c r="R338" s="7">
        <v>45524</v>
      </c>
      <c r="S338" s="7" t="s">
        <v>17</v>
      </c>
      <c r="T338" s="7" t="s">
        <v>12</v>
      </c>
    </row>
    <row r="339" spans="1:20" s="5" customFormat="1" ht="24.95" customHeight="1" x14ac:dyDescent="0.3">
      <c r="A339" s="10"/>
      <c r="B339" s="10"/>
      <c r="D339" s="6">
        <f t="shared" si="5"/>
        <v>338</v>
      </c>
      <c r="E339" s="7" t="s">
        <v>515</v>
      </c>
      <c r="F339" s="7" t="s">
        <v>774</v>
      </c>
      <c r="G339" s="7" t="s">
        <v>775</v>
      </c>
      <c r="H339" s="6"/>
      <c r="I339" s="7"/>
      <c r="J339" s="6"/>
      <c r="K339" s="7"/>
      <c r="L339" s="6"/>
      <c r="M339" s="7"/>
      <c r="N339" s="6"/>
      <c r="O339" s="7"/>
      <c r="P339" s="6">
        <v>1</v>
      </c>
      <c r="Q339" s="8" t="s">
        <v>16</v>
      </c>
      <c r="R339" s="7">
        <v>45524</v>
      </c>
      <c r="S339" s="7" t="s">
        <v>17</v>
      </c>
      <c r="T339" s="7" t="s">
        <v>12</v>
      </c>
    </row>
    <row r="340" spans="1:20" s="5" customFormat="1" ht="24.95" customHeight="1" x14ac:dyDescent="0.3">
      <c r="A340" s="10"/>
      <c r="B340" s="10"/>
      <c r="D340" s="6">
        <f t="shared" si="5"/>
        <v>339</v>
      </c>
      <c r="E340" s="7" t="s">
        <v>515</v>
      </c>
      <c r="F340" s="7" t="s">
        <v>776</v>
      </c>
      <c r="G340" s="7" t="s">
        <v>777</v>
      </c>
      <c r="H340" s="6"/>
      <c r="I340" s="7"/>
      <c r="J340" s="6"/>
      <c r="K340" s="7"/>
      <c r="L340" s="6"/>
      <c r="M340" s="7"/>
      <c r="N340" s="6"/>
      <c r="O340" s="7"/>
      <c r="P340" s="6">
        <v>1</v>
      </c>
      <c r="Q340" s="8" t="s">
        <v>16</v>
      </c>
      <c r="R340" s="7">
        <v>45524</v>
      </c>
      <c r="S340" s="7" t="s">
        <v>17</v>
      </c>
      <c r="T340" s="7" t="s">
        <v>12</v>
      </c>
    </row>
    <row r="341" spans="1:20" s="5" customFormat="1" ht="24.95" customHeight="1" x14ac:dyDescent="0.3">
      <c r="A341" s="10"/>
      <c r="B341" s="10"/>
      <c r="D341" s="6">
        <f t="shared" si="5"/>
        <v>340</v>
      </c>
      <c r="E341" s="7" t="s">
        <v>515</v>
      </c>
      <c r="F341" s="7" t="s">
        <v>778</v>
      </c>
      <c r="G341" s="7" t="s">
        <v>779</v>
      </c>
      <c r="H341" s="6"/>
      <c r="I341" s="7"/>
      <c r="J341" s="6"/>
      <c r="K341" s="7"/>
      <c r="L341" s="6"/>
      <c r="M341" s="7"/>
      <c r="N341" s="6"/>
      <c r="O341" s="7"/>
      <c r="P341" s="6">
        <v>1</v>
      </c>
      <c r="Q341" s="8" t="s">
        <v>16</v>
      </c>
      <c r="R341" s="7">
        <v>45524</v>
      </c>
      <c r="S341" s="7" t="s">
        <v>17</v>
      </c>
      <c r="T341" s="7" t="s">
        <v>12</v>
      </c>
    </row>
    <row r="342" spans="1:20" s="5" customFormat="1" ht="24.95" customHeight="1" x14ac:dyDescent="0.3">
      <c r="A342" s="10"/>
      <c r="B342" s="10"/>
      <c r="D342" s="6">
        <f t="shared" si="5"/>
        <v>341</v>
      </c>
      <c r="E342" s="7" t="s">
        <v>515</v>
      </c>
      <c r="F342" s="7" t="s">
        <v>780</v>
      </c>
      <c r="G342" s="7" t="s">
        <v>781</v>
      </c>
      <c r="H342" s="6"/>
      <c r="I342" s="7"/>
      <c r="J342" s="6"/>
      <c r="K342" s="7"/>
      <c r="L342" s="6"/>
      <c r="M342" s="7"/>
      <c r="N342" s="6"/>
      <c r="O342" s="7"/>
      <c r="P342" s="6">
        <v>1</v>
      </c>
      <c r="Q342" s="8" t="s">
        <v>16</v>
      </c>
      <c r="R342" s="7">
        <v>45524</v>
      </c>
      <c r="S342" s="7" t="s">
        <v>17</v>
      </c>
      <c r="T342" s="7" t="s">
        <v>12</v>
      </c>
    </row>
    <row r="343" spans="1:20" s="5" customFormat="1" ht="24.95" customHeight="1" x14ac:dyDescent="0.3">
      <c r="A343" s="10"/>
      <c r="B343" s="10"/>
      <c r="D343" s="6">
        <f t="shared" si="5"/>
        <v>342</v>
      </c>
      <c r="E343" s="7" t="s">
        <v>72</v>
      </c>
      <c r="F343" s="7" t="s">
        <v>782</v>
      </c>
      <c r="G343" s="7" t="s">
        <v>783</v>
      </c>
      <c r="H343" s="6"/>
      <c r="I343" s="7"/>
      <c r="J343" s="6">
        <v>1</v>
      </c>
      <c r="K343" s="8" t="s">
        <v>130</v>
      </c>
      <c r="L343" s="6"/>
      <c r="M343" s="7"/>
      <c r="N343" s="6"/>
      <c r="O343" s="7"/>
      <c r="P343" s="6"/>
      <c r="Q343" s="7"/>
      <c r="R343" s="7">
        <v>45527</v>
      </c>
      <c r="S343" s="7" t="s">
        <v>17</v>
      </c>
      <c r="T343" s="7" t="s">
        <v>12</v>
      </c>
    </row>
    <row r="344" spans="1:20" s="5" customFormat="1" ht="24.95" customHeight="1" x14ac:dyDescent="0.3">
      <c r="A344" s="10"/>
      <c r="B344" s="10"/>
      <c r="D344" s="6">
        <f t="shared" si="5"/>
        <v>343</v>
      </c>
      <c r="E344" s="7" t="s">
        <v>384</v>
      </c>
      <c r="F344" s="7" t="s">
        <v>784</v>
      </c>
      <c r="G344" s="7" t="s">
        <v>785</v>
      </c>
      <c r="H344" s="6"/>
      <c r="I344" s="7"/>
      <c r="J344" s="6">
        <v>1</v>
      </c>
      <c r="K344" s="8" t="s">
        <v>80</v>
      </c>
      <c r="L344" s="6"/>
      <c r="M344" s="7"/>
      <c r="N344" s="6"/>
      <c r="O344" s="7"/>
      <c r="P344" s="6"/>
      <c r="Q344" s="7"/>
      <c r="R344" s="7">
        <v>45531</v>
      </c>
      <c r="S344" s="7" t="s">
        <v>17</v>
      </c>
      <c r="T344" s="7" t="s">
        <v>12</v>
      </c>
    </row>
    <row r="345" spans="1:20" s="5" customFormat="1" ht="24.95" customHeight="1" x14ac:dyDescent="0.3">
      <c r="A345" s="10"/>
      <c r="B345" s="10"/>
      <c r="D345" s="6">
        <f t="shared" si="5"/>
        <v>344</v>
      </c>
      <c r="E345" s="7" t="s">
        <v>786</v>
      </c>
      <c r="F345" s="7" t="s">
        <v>787</v>
      </c>
      <c r="G345" s="7" t="s">
        <v>788</v>
      </c>
      <c r="H345" s="6"/>
      <c r="I345" s="7"/>
      <c r="J345" s="6">
        <v>1</v>
      </c>
      <c r="K345" s="8" t="s">
        <v>130</v>
      </c>
      <c r="L345" s="6"/>
      <c r="M345" s="7"/>
      <c r="N345" s="6"/>
      <c r="O345" s="7"/>
      <c r="P345" s="6"/>
      <c r="Q345" s="7"/>
      <c r="R345" s="7">
        <v>45531</v>
      </c>
      <c r="S345" s="7" t="s">
        <v>17</v>
      </c>
      <c r="T345" s="7" t="s">
        <v>12</v>
      </c>
    </row>
    <row r="346" spans="1:20" s="5" customFormat="1" ht="24.95" customHeight="1" x14ac:dyDescent="0.3">
      <c r="A346" s="10"/>
      <c r="B346" s="10"/>
      <c r="D346" s="6">
        <f t="shared" si="5"/>
        <v>345</v>
      </c>
      <c r="E346" s="7" t="s">
        <v>18</v>
      </c>
      <c r="F346" s="7" t="s">
        <v>789</v>
      </c>
      <c r="G346" s="7" t="s">
        <v>790</v>
      </c>
      <c r="H346" s="6"/>
      <c r="I346" s="7"/>
      <c r="J346" s="6">
        <v>1</v>
      </c>
      <c r="K346" s="8" t="s">
        <v>130</v>
      </c>
      <c r="L346" s="6"/>
      <c r="M346" s="7"/>
      <c r="N346" s="6"/>
      <c r="O346" s="7"/>
      <c r="P346" s="6"/>
      <c r="Q346" s="7"/>
      <c r="R346" s="7">
        <v>45531</v>
      </c>
      <c r="S346" s="7" t="s">
        <v>17</v>
      </c>
      <c r="T346" s="7" t="s">
        <v>12</v>
      </c>
    </row>
    <row r="347" spans="1:20" s="5" customFormat="1" ht="24.95" customHeight="1" x14ac:dyDescent="0.3">
      <c r="A347" s="10"/>
      <c r="B347" s="10"/>
      <c r="D347" s="6">
        <f t="shared" si="5"/>
        <v>346</v>
      </c>
      <c r="E347" s="7" t="s">
        <v>786</v>
      </c>
      <c r="F347" s="7" t="s">
        <v>791</v>
      </c>
      <c r="G347" s="7" t="s">
        <v>792</v>
      </c>
      <c r="H347" s="6"/>
      <c r="I347" s="7"/>
      <c r="J347" s="6">
        <v>1</v>
      </c>
      <c r="K347" s="8" t="s">
        <v>130</v>
      </c>
      <c r="L347" s="6"/>
      <c r="M347" s="7"/>
      <c r="N347" s="6"/>
      <c r="O347" s="7"/>
      <c r="P347" s="6"/>
      <c r="Q347" s="7"/>
      <c r="R347" s="7">
        <v>45532</v>
      </c>
      <c r="S347" s="7" t="s">
        <v>17</v>
      </c>
      <c r="T347" s="7" t="s">
        <v>12</v>
      </c>
    </row>
    <row r="348" spans="1:20" s="5" customFormat="1" ht="24.95" customHeight="1" x14ac:dyDescent="0.3">
      <c r="A348" s="10"/>
      <c r="B348" s="10"/>
      <c r="D348" s="6">
        <f t="shared" si="5"/>
        <v>347</v>
      </c>
      <c r="E348" s="7" t="s">
        <v>412</v>
      </c>
      <c r="F348" s="7" t="s">
        <v>793</v>
      </c>
      <c r="G348" s="7" t="s">
        <v>794</v>
      </c>
      <c r="H348" s="6"/>
      <c r="I348" s="7"/>
      <c r="J348" s="6"/>
      <c r="K348" s="7"/>
      <c r="L348" s="6"/>
      <c r="M348" s="7"/>
      <c r="N348" s="6"/>
      <c r="O348" s="7"/>
      <c r="P348" s="6">
        <v>1</v>
      </c>
      <c r="Q348" s="8" t="s">
        <v>16</v>
      </c>
      <c r="R348" s="7">
        <v>45533</v>
      </c>
      <c r="S348" s="7" t="s">
        <v>17</v>
      </c>
      <c r="T348" s="7" t="s">
        <v>12</v>
      </c>
    </row>
    <row r="349" spans="1:20" s="5" customFormat="1" ht="24.95" customHeight="1" x14ac:dyDescent="0.3">
      <c r="A349" s="10"/>
      <c r="B349" s="10"/>
      <c r="D349" s="6">
        <f t="shared" si="5"/>
        <v>348</v>
      </c>
      <c r="E349" s="7" t="s">
        <v>384</v>
      </c>
      <c r="F349" s="7" t="s">
        <v>795</v>
      </c>
      <c r="G349" s="7" t="s">
        <v>796</v>
      </c>
      <c r="H349" s="6"/>
      <c r="I349" s="7"/>
      <c r="J349" s="6">
        <v>1</v>
      </c>
      <c r="K349" s="8" t="s">
        <v>80</v>
      </c>
      <c r="L349" s="6"/>
      <c r="M349" s="7"/>
      <c r="N349" s="6"/>
      <c r="O349" s="7"/>
      <c r="P349" s="6"/>
      <c r="Q349" s="7"/>
      <c r="R349" s="7">
        <v>45534</v>
      </c>
      <c r="S349" s="7" t="s">
        <v>17</v>
      </c>
      <c r="T349" s="7" t="s">
        <v>12</v>
      </c>
    </row>
    <row r="350" spans="1:20" s="5" customFormat="1" ht="24.95" customHeight="1" x14ac:dyDescent="0.3">
      <c r="A350" s="10"/>
      <c r="B350" s="10"/>
      <c r="D350" s="6">
        <f t="shared" si="5"/>
        <v>349</v>
      </c>
      <c r="E350" s="7" t="s">
        <v>797</v>
      </c>
      <c r="F350" s="7" t="s">
        <v>798</v>
      </c>
      <c r="G350" s="7" t="s">
        <v>799</v>
      </c>
      <c r="H350" s="6"/>
      <c r="I350" s="7"/>
      <c r="J350" s="6"/>
      <c r="K350" s="7"/>
      <c r="L350" s="6"/>
      <c r="M350" s="7"/>
      <c r="N350" s="6"/>
      <c r="O350" s="7"/>
      <c r="P350" s="6">
        <v>1</v>
      </c>
      <c r="Q350" s="8" t="s">
        <v>759</v>
      </c>
      <c r="R350" s="7">
        <v>45538</v>
      </c>
      <c r="S350" s="7" t="s">
        <v>17</v>
      </c>
      <c r="T350" s="7" t="s">
        <v>12</v>
      </c>
    </row>
    <row r="351" spans="1:20" s="5" customFormat="1" ht="24.95" customHeight="1" x14ac:dyDescent="0.3">
      <c r="A351" s="10"/>
      <c r="B351" s="10"/>
      <c r="D351" s="6">
        <f t="shared" si="5"/>
        <v>350</v>
      </c>
      <c r="E351" s="7" t="s">
        <v>384</v>
      </c>
      <c r="F351" s="7" t="s">
        <v>800</v>
      </c>
      <c r="G351" s="7" t="s">
        <v>801</v>
      </c>
      <c r="H351" s="6"/>
      <c r="I351" s="7"/>
      <c r="J351" s="6">
        <v>1</v>
      </c>
      <c r="K351" s="8" t="s">
        <v>130</v>
      </c>
      <c r="L351" s="6"/>
      <c r="M351" s="7"/>
      <c r="N351" s="6"/>
      <c r="O351" s="7"/>
      <c r="P351" s="6"/>
      <c r="Q351" s="7"/>
      <c r="R351" s="7">
        <v>45539</v>
      </c>
      <c r="S351" s="7" t="s">
        <v>17</v>
      </c>
      <c r="T351" s="7" t="s">
        <v>12</v>
      </c>
    </row>
    <row r="352" spans="1:20" s="5" customFormat="1" ht="24.95" customHeight="1" x14ac:dyDescent="0.3">
      <c r="A352" s="11"/>
      <c r="B352" s="11"/>
      <c r="D352" s="6">
        <f t="shared" si="5"/>
        <v>351</v>
      </c>
      <c r="E352" s="7" t="s">
        <v>802</v>
      </c>
      <c r="F352" s="7" t="s">
        <v>803</v>
      </c>
      <c r="G352" s="7" t="s">
        <v>804</v>
      </c>
      <c r="H352" s="6"/>
      <c r="I352" s="7"/>
      <c r="J352" s="6">
        <v>1</v>
      </c>
      <c r="K352" s="8" t="s">
        <v>130</v>
      </c>
      <c r="L352" s="6"/>
      <c r="M352" s="7"/>
      <c r="N352" s="6"/>
      <c r="O352" s="7"/>
      <c r="P352" s="6"/>
      <c r="Q352" s="7"/>
      <c r="R352" s="7">
        <v>45541</v>
      </c>
      <c r="S352" s="7" t="s">
        <v>17</v>
      </c>
      <c r="T352" s="7" t="s">
        <v>12</v>
      </c>
    </row>
    <row r="353" spans="1:20" s="5" customFormat="1" ht="24.95" customHeight="1" x14ac:dyDescent="0.3">
      <c r="A353" s="11"/>
      <c r="B353" s="11"/>
      <c r="D353" s="6">
        <f t="shared" si="5"/>
        <v>352</v>
      </c>
      <c r="E353" s="7" t="s">
        <v>802</v>
      </c>
      <c r="F353" s="7" t="s">
        <v>805</v>
      </c>
      <c r="G353" s="7" t="s">
        <v>806</v>
      </c>
      <c r="H353" s="6"/>
      <c r="I353" s="7"/>
      <c r="J353" s="6"/>
      <c r="K353" s="7"/>
      <c r="L353" s="6"/>
      <c r="M353" s="7"/>
      <c r="N353" s="6">
        <v>1</v>
      </c>
      <c r="O353" s="8" t="s">
        <v>77</v>
      </c>
      <c r="P353" s="6"/>
      <c r="Q353" s="7"/>
      <c r="R353" s="7">
        <v>45541</v>
      </c>
      <c r="S353" s="7" t="s">
        <v>17</v>
      </c>
      <c r="T353" s="7" t="s">
        <v>12</v>
      </c>
    </row>
    <row r="354" spans="1:20" s="5" customFormat="1" ht="24.95" customHeight="1" x14ac:dyDescent="0.3">
      <c r="A354" s="11"/>
      <c r="B354" s="11"/>
      <c r="D354" s="6">
        <f t="shared" si="5"/>
        <v>353</v>
      </c>
      <c r="E354" s="7" t="s">
        <v>802</v>
      </c>
      <c r="F354" s="7" t="s">
        <v>807</v>
      </c>
      <c r="G354" s="7" t="s">
        <v>808</v>
      </c>
      <c r="H354" s="6"/>
      <c r="I354" s="7"/>
      <c r="J354" s="6">
        <v>1</v>
      </c>
      <c r="K354" s="8" t="s">
        <v>80</v>
      </c>
      <c r="L354" s="6"/>
      <c r="M354" s="7"/>
      <c r="N354" s="6"/>
      <c r="O354" s="7"/>
      <c r="P354" s="6"/>
      <c r="Q354" s="7"/>
      <c r="R354" s="7">
        <v>45541</v>
      </c>
      <c r="S354" s="7" t="s">
        <v>17</v>
      </c>
      <c r="T354" s="7" t="s">
        <v>12</v>
      </c>
    </row>
    <row r="355" spans="1:20" s="5" customFormat="1" ht="24.95" customHeight="1" x14ac:dyDescent="0.3">
      <c r="A355" s="11"/>
      <c r="B355" s="11"/>
      <c r="D355" s="6">
        <f t="shared" si="5"/>
        <v>354</v>
      </c>
      <c r="E355" s="7" t="s">
        <v>417</v>
      </c>
      <c r="F355" s="7" t="s">
        <v>809</v>
      </c>
      <c r="G355" s="7" t="s">
        <v>810</v>
      </c>
      <c r="H355" s="6"/>
      <c r="I355" s="7"/>
      <c r="J355" s="6"/>
      <c r="K355" s="7"/>
      <c r="L355" s="6">
        <v>1</v>
      </c>
      <c r="M355" s="8" t="s">
        <v>48</v>
      </c>
      <c r="N355" s="6"/>
      <c r="O355" s="7"/>
      <c r="P355" s="6"/>
      <c r="Q355" s="7"/>
      <c r="R355" s="7">
        <v>45541</v>
      </c>
      <c r="S355" s="7" t="s">
        <v>17</v>
      </c>
      <c r="T355" s="7" t="s">
        <v>12</v>
      </c>
    </row>
    <row r="356" spans="1:20" s="5" customFormat="1" ht="24.95" customHeight="1" x14ac:dyDescent="0.3">
      <c r="A356" s="11"/>
      <c r="B356" s="11"/>
      <c r="D356" s="6">
        <f t="shared" si="5"/>
        <v>355</v>
      </c>
      <c r="E356" s="7" t="s">
        <v>166</v>
      </c>
      <c r="F356" s="7" t="s">
        <v>811</v>
      </c>
      <c r="G356" s="7" t="s">
        <v>812</v>
      </c>
      <c r="H356" s="6"/>
      <c r="I356" s="7"/>
      <c r="J356" s="6"/>
      <c r="K356" s="7"/>
      <c r="L356" s="6">
        <v>1</v>
      </c>
      <c r="M356" s="8" t="s">
        <v>92</v>
      </c>
      <c r="N356" s="6"/>
      <c r="O356" s="7"/>
      <c r="P356" s="6"/>
      <c r="Q356" s="7"/>
      <c r="R356" s="7">
        <v>45545</v>
      </c>
      <c r="S356" s="7" t="s">
        <v>17</v>
      </c>
      <c r="T356" s="7" t="s">
        <v>12</v>
      </c>
    </row>
    <row r="357" spans="1:20" s="5" customFormat="1" ht="24.95" customHeight="1" x14ac:dyDescent="0.3">
      <c r="A357" s="11"/>
      <c r="B357" s="11"/>
      <c r="D357" s="6">
        <f t="shared" si="5"/>
        <v>356</v>
      </c>
      <c r="E357" s="7" t="s">
        <v>384</v>
      </c>
      <c r="F357" s="7" t="s">
        <v>813</v>
      </c>
      <c r="G357" s="7" t="s">
        <v>814</v>
      </c>
      <c r="H357" s="6"/>
      <c r="I357" s="7"/>
      <c r="J357" s="6">
        <v>1</v>
      </c>
      <c r="K357" s="8" t="s">
        <v>80</v>
      </c>
      <c r="L357" s="6"/>
      <c r="M357" s="7"/>
      <c r="N357" s="6"/>
      <c r="O357" s="7"/>
      <c r="P357" s="6"/>
      <c r="Q357" s="7"/>
      <c r="R357" s="7">
        <v>45547</v>
      </c>
      <c r="S357" s="7" t="s">
        <v>17</v>
      </c>
      <c r="T357" s="7" t="s">
        <v>12</v>
      </c>
    </row>
    <row r="358" spans="1:20" s="5" customFormat="1" ht="24.95" customHeight="1" x14ac:dyDescent="0.3">
      <c r="A358" s="11"/>
      <c r="B358" s="11"/>
      <c r="D358" s="6">
        <f t="shared" si="5"/>
        <v>357</v>
      </c>
      <c r="E358" s="7" t="s">
        <v>384</v>
      </c>
      <c r="F358" s="7" t="s">
        <v>815</v>
      </c>
      <c r="G358" s="7" t="s">
        <v>816</v>
      </c>
      <c r="H358" s="6"/>
      <c r="I358" s="7"/>
      <c r="J358" s="6">
        <v>1</v>
      </c>
      <c r="K358" s="8" t="s">
        <v>130</v>
      </c>
      <c r="L358" s="6"/>
      <c r="M358" s="7"/>
      <c r="N358" s="6"/>
      <c r="O358" s="7"/>
      <c r="P358" s="6"/>
      <c r="Q358" s="7"/>
      <c r="R358" s="7">
        <v>45547</v>
      </c>
      <c r="S358" s="7" t="s">
        <v>17</v>
      </c>
      <c r="T358" s="7" t="s">
        <v>12</v>
      </c>
    </row>
    <row r="359" spans="1:20" s="5" customFormat="1" ht="24.95" customHeight="1" x14ac:dyDescent="0.3">
      <c r="A359" s="11"/>
      <c r="B359" s="11"/>
      <c r="D359" s="6">
        <f t="shared" si="5"/>
        <v>358</v>
      </c>
      <c r="E359" s="7" t="s">
        <v>384</v>
      </c>
      <c r="F359" s="7" t="s">
        <v>817</v>
      </c>
      <c r="G359" s="7" t="s">
        <v>818</v>
      </c>
      <c r="H359" s="6"/>
      <c r="I359" s="7"/>
      <c r="J359" s="6">
        <v>1</v>
      </c>
      <c r="K359" s="8" t="s">
        <v>130</v>
      </c>
      <c r="L359" s="6"/>
      <c r="M359" s="7"/>
      <c r="N359" s="6"/>
      <c r="O359" s="7"/>
      <c r="P359" s="6"/>
      <c r="Q359" s="7"/>
      <c r="R359" s="7">
        <v>45554</v>
      </c>
      <c r="S359" s="7" t="s">
        <v>17</v>
      </c>
      <c r="T359" s="7" t="s">
        <v>12</v>
      </c>
    </row>
    <row r="360" spans="1:20" s="5" customFormat="1" ht="24.95" customHeight="1" x14ac:dyDescent="0.3">
      <c r="A360" s="11"/>
      <c r="B360" s="11"/>
      <c r="D360" s="6">
        <f t="shared" si="5"/>
        <v>359</v>
      </c>
      <c r="E360" s="7" t="s">
        <v>384</v>
      </c>
      <c r="F360" s="7" t="s">
        <v>819</v>
      </c>
      <c r="G360" s="7" t="s">
        <v>820</v>
      </c>
      <c r="H360" s="6"/>
      <c r="I360" s="7"/>
      <c r="J360" s="6"/>
      <c r="K360" s="7"/>
      <c r="L360" s="6"/>
      <c r="M360" s="7"/>
      <c r="N360" s="6"/>
      <c r="O360" s="7"/>
      <c r="P360" s="6">
        <v>1</v>
      </c>
      <c r="Q360" s="8" t="s">
        <v>25</v>
      </c>
      <c r="R360" s="7">
        <v>45554</v>
      </c>
      <c r="S360" s="7" t="s">
        <v>17</v>
      </c>
      <c r="T360" s="7" t="s">
        <v>12</v>
      </c>
    </row>
    <row r="361" spans="1:20" s="5" customFormat="1" ht="24.95" customHeight="1" x14ac:dyDescent="0.3">
      <c r="A361" s="11"/>
      <c r="B361" s="11"/>
      <c r="D361" s="6">
        <f t="shared" si="5"/>
        <v>360</v>
      </c>
      <c r="E361" s="7" t="s">
        <v>765</v>
      </c>
      <c r="F361" s="7" t="s">
        <v>821</v>
      </c>
      <c r="G361" s="7" t="s">
        <v>822</v>
      </c>
      <c r="H361" s="6"/>
      <c r="I361" s="7"/>
      <c r="J361" s="6"/>
      <c r="K361" s="7"/>
      <c r="L361" s="6">
        <v>1</v>
      </c>
      <c r="M361" s="8" t="s">
        <v>48</v>
      </c>
      <c r="N361" s="6"/>
      <c r="O361" s="7"/>
      <c r="P361" s="6"/>
      <c r="Q361" s="7"/>
      <c r="R361" s="7">
        <v>45558</v>
      </c>
      <c r="S361" s="7" t="s">
        <v>17</v>
      </c>
      <c r="T361" s="7" t="s">
        <v>12</v>
      </c>
    </row>
    <row r="362" spans="1:20" s="5" customFormat="1" ht="24.95" customHeight="1" x14ac:dyDescent="0.3">
      <c r="A362" s="11"/>
      <c r="B362" s="11"/>
      <c r="D362" s="6">
        <f t="shared" si="5"/>
        <v>361</v>
      </c>
      <c r="E362" s="7" t="s">
        <v>765</v>
      </c>
      <c r="F362" s="7" t="s">
        <v>823</v>
      </c>
      <c r="G362" s="7" t="s">
        <v>824</v>
      </c>
      <c r="H362" s="6"/>
      <c r="I362" s="7"/>
      <c r="J362" s="6">
        <v>1</v>
      </c>
      <c r="K362" s="8" t="s">
        <v>130</v>
      </c>
      <c r="L362" s="6"/>
      <c r="M362" s="7"/>
      <c r="N362" s="6"/>
      <c r="O362" s="7"/>
      <c r="P362" s="6"/>
      <c r="Q362" s="7"/>
      <c r="R362" s="7">
        <v>45558</v>
      </c>
      <c r="S362" s="7" t="s">
        <v>17</v>
      </c>
      <c r="T362" s="7" t="s">
        <v>12</v>
      </c>
    </row>
    <row r="363" spans="1:20" s="5" customFormat="1" ht="24.95" customHeight="1" x14ac:dyDescent="0.3">
      <c r="A363" s="11"/>
      <c r="B363" s="11"/>
      <c r="D363" s="6">
        <f t="shared" si="5"/>
        <v>362</v>
      </c>
      <c r="E363" s="7" t="s">
        <v>642</v>
      </c>
      <c r="F363" s="7" t="s">
        <v>825</v>
      </c>
      <c r="G363" s="7" t="s">
        <v>826</v>
      </c>
      <c r="H363" s="6"/>
      <c r="I363" s="7"/>
      <c r="J363" s="6">
        <v>1</v>
      </c>
      <c r="K363" s="8" t="s">
        <v>130</v>
      </c>
      <c r="L363" s="6"/>
      <c r="M363" s="7"/>
      <c r="N363" s="6"/>
      <c r="O363" s="7"/>
      <c r="P363" s="6"/>
      <c r="Q363" s="7"/>
      <c r="R363" s="7">
        <v>45559</v>
      </c>
      <c r="S363" s="7" t="s">
        <v>17</v>
      </c>
      <c r="T363" s="7" t="s">
        <v>12</v>
      </c>
    </row>
    <row r="364" spans="1:20" s="5" customFormat="1" ht="24.95" customHeight="1" x14ac:dyDescent="0.3">
      <c r="A364" s="11"/>
      <c r="B364" s="11"/>
      <c r="D364" s="6">
        <f t="shared" si="5"/>
        <v>363</v>
      </c>
      <c r="E364" s="7" t="s">
        <v>765</v>
      </c>
      <c r="F364" s="7" t="s">
        <v>827</v>
      </c>
      <c r="G364" s="7" t="s">
        <v>828</v>
      </c>
      <c r="H364" s="6"/>
      <c r="I364" s="7"/>
      <c r="J364" s="6"/>
      <c r="K364" s="7"/>
      <c r="L364" s="6"/>
      <c r="M364" s="7"/>
      <c r="N364" s="6"/>
      <c r="O364" s="7"/>
      <c r="P364" s="6">
        <v>1</v>
      </c>
      <c r="Q364" s="8" t="s">
        <v>58</v>
      </c>
      <c r="R364" s="7">
        <v>45565</v>
      </c>
      <c r="S364" s="7" t="s">
        <v>17</v>
      </c>
      <c r="T364" s="7" t="s">
        <v>12</v>
      </c>
    </row>
    <row r="365" spans="1:20" s="5" customFormat="1" ht="24.95" customHeight="1" x14ac:dyDescent="0.3">
      <c r="A365" s="11"/>
      <c r="B365" s="11"/>
      <c r="D365" s="6">
        <f t="shared" si="5"/>
        <v>364</v>
      </c>
      <c r="E365" s="7" t="s">
        <v>765</v>
      </c>
      <c r="F365" s="7" t="s">
        <v>829</v>
      </c>
      <c r="G365" s="7" t="s">
        <v>830</v>
      </c>
      <c r="H365" s="6"/>
      <c r="I365" s="7"/>
      <c r="J365" s="6"/>
      <c r="K365" s="7"/>
      <c r="L365" s="6"/>
      <c r="M365" s="7"/>
      <c r="N365" s="6"/>
      <c r="O365" s="7"/>
      <c r="P365" s="6">
        <v>1</v>
      </c>
      <c r="Q365" s="8" t="s">
        <v>58</v>
      </c>
      <c r="R365" s="7">
        <v>45565</v>
      </c>
      <c r="S365" s="7" t="s">
        <v>17</v>
      </c>
      <c r="T365" s="7" t="s">
        <v>12</v>
      </c>
    </row>
    <row r="366" spans="1:20" s="5" customFormat="1" ht="24.95" customHeight="1" x14ac:dyDescent="0.3">
      <c r="A366" s="11"/>
      <c r="B366" s="11"/>
      <c r="D366" s="6">
        <f t="shared" si="5"/>
        <v>365</v>
      </c>
      <c r="E366" s="7" t="s">
        <v>384</v>
      </c>
      <c r="F366" s="7" t="s">
        <v>831</v>
      </c>
      <c r="G366" s="7" t="s">
        <v>832</v>
      </c>
      <c r="H366" s="6"/>
      <c r="I366" s="7"/>
      <c r="J366" s="6">
        <v>1</v>
      </c>
      <c r="K366" s="8" t="s">
        <v>80</v>
      </c>
      <c r="L366" s="6"/>
      <c r="M366" s="7"/>
      <c r="N366" s="6"/>
      <c r="O366" s="7"/>
      <c r="P366" s="6"/>
      <c r="Q366" s="7"/>
      <c r="R366" s="7">
        <v>45566</v>
      </c>
      <c r="S366" s="7" t="s">
        <v>17</v>
      </c>
      <c r="T366" s="7" t="s">
        <v>12</v>
      </c>
    </row>
    <row r="367" spans="1:20" s="5" customFormat="1" ht="24.95" customHeight="1" x14ac:dyDescent="0.3">
      <c r="A367" s="10"/>
      <c r="B367" s="10"/>
      <c r="D367" s="6">
        <f t="shared" si="5"/>
        <v>366</v>
      </c>
      <c r="E367" s="7" t="s">
        <v>384</v>
      </c>
      <c r="F367" s="7" t="s">
        <v>833</v>
      </c>
      <c r="G367" s="7" t="s">
        <v>834</v>
      </c>
      <c r="H367" s="6"/>
      <c r="I367" s="7"/>
      <c r="J367" s="6"/>
      <c r="K367" s="7"/>
      <c r="L367" s="6"/>
      <c r="M367" s="7"/>
      <c r="N367" s="6"/>
      <c r="O367" s="7"/>
      <c r="P367" s="6">
        <v>1</v>
      </c>
      <c r="Q367" s="8" t="s">
        <v>58</v>
      </c>
      <c r="R367" s="7">
        <v>45566</v>
      </c>
      <c r="S367" s="7" t="s">
        <v>17</v>
      </c>
      <c r="T367" s="7" t="s">
        <v>12</v>
      </c>
    </row>
    <row r="368" spans="1:20" s="5" customFormat="1" ht="24.95" customHeight="1" x14ac:dyDescent="0.3">
      <c r="A368" s="10"/>
      <c r="B368" s="10"/>
      <c r="D368" s="6">
        <f t="shared" si="5"/>
        <v>367</v>
      </c>
      <c r="E368" s="7" t="s">
        <v>384</v>
      </c>
      <c r="F368" s="7" t="s">
        <v>835</v>
      </c>
      <c r="G368" s="7" t="s">
        <v>836</v>
      </c>
      <c r="H368" s="6"/>
      <c r="I368" s="7"/>
      <c r="J368" s="6">
        <v>1</v>
      </c>
      <c r="K368" s="8" t="s">
        <v>80</v>
      </c>
      <c r="L368" s="6"/>
      <c r="M368" s="7"/>
      <c r="N368" s="6"/>
      <c r="O368" s="7"/>
      <c r="P368" s="6"/>
      <c r="Q368" s="7"/>
      <c r="R368" s="7">
        <v>45566</v>
      </c>
      <c r="S368" s="7" t="s">
        <v>17</v>
      </c>
      <c r="T368" s="7" t="s">
        <v>12</v>
      </c>
    </row>
    <row r="369" spans="1:20" s="5" customFormat="1" ht="24.95" customHeight="1" x14ac:dyDescent="0.3">
      <c r="A369" s="10"/>
      <c r="B369" s="10"/>
      <c r="D369" s="6">
        <f t="shared" si="5"/>
        <v>368</v>
      </c>
      <c r="E369" s="7" t="s">
        <v>837</v>
      </c>
      <c r="F369" s="7" t="s">
        <v>838</v>
      </c>
      <c r="G369" s="7" t="s">
        <v>839</v>
      </c>
      <c r="H369" s="6"/>
      <c r="I369" s="7"/>
      <c r="J369" s="6">
        <v>1</v>
      </c>
      <c r="K369" s="8" t="s">
        <v>130</v>
      </c>
      <c r="L369" s="6"/>
      <c r="M369" s="7"/>
      <c r="N369" s="6"/>
      <c r="O369" s="7"/>
      <c r="P369" s="6"/>
      <c r="Q369" s="7"/>
      <c r="R369" s="7">
        <v>45576</v>
      </c>
      <c r="S369" s="7" t="s">
        <v>17</v>
      </c>
      <c r="T369" s="7" t="s">
        <v>12</v>
      </c>
    </row>
    <row r="370" spans="1:20" s="5" customFormat="1" ht="24.95" customHeight="1" x14ac:dyDescent="0.3">
      <c r="A370" s="10"/>
      <c r="B370" s="10"/>
      <c r="D370" s="6">
        <f t="shared" si="5"/>
        <v>369</v>
      </c>
      <c r="E370" s="7" t="s">
        <v>412</v>
      </c>
      <c r="F370" s="7" t="s">
        <v>840</v>
      </c>
      <c r="G370" s="7" t="s">
        <v>841</v>
      </c>
      <c r="H370" s="6"/>
      <c r="I370" s="7"/>
      <c r="J370" s="6"/>
      <c r="K370" s="7"/>
      <c r="L370" s="6"/>
      <c r="M370" s="7"/>
      <c r="N370" s="6"/>
      <c r="O370" s="7"/>
      <c r="P370" s="6">
        <v>1</v>
      </c>
      <c r="Q370" s="8" t="s">
        <v>16</v>
      </c>
      <c r="R370" s="7">
        <v>45582</v>
      </c>
      <c r="S370" s="7" t="s">
        <v>17</v>
      </c>
      <c r="T370" s="7" t="s">
        <v>12</v>
      </c>
    </row>
    <row r="371" spans="1:20" s="5" customFormat="1" ht="24.95" customHeight="1" x14ac:dyDescent="0.3">
      <c r="A371" s="10"/>
      <c r="B371" s="10"/>
      <c r="D371" s="6">
        <f t="shared" si="5"/>
        <v>370</v>
      </c>
      <c r="E371" s="7" t="s">
        <v>412</v>
      </c>
      <c r="F371" s="7" t="s">
        <v>842</v>
      </c>
      <c r="G371" s="7" t="s">
        <v>843</v>
      </c>
      <c r="H371" s="6"/>
      <c r="I371" s="7"/>
      <c r="J371" s="6"/>
      <c r="K371" s="7"/>
      <c r="L371" s="6"/>
      <c r="M371" s="7"/>
      <c r="N371" s="6"/>
      <c r="O371" s="7"/>
      <c r="P371" s="6">
        <v>1</v>
      </c>
      <c r="Q371" s="8" t="s">
        <v>16</v>
      </c>
      <c r="R371" s="7">
        <v>45582</v>
      </c>
      <c r="S371" s="7" t="s">
        <v>17</v>
      </c>
      <c r="T371" s="7" t="s">
        <v>12</v>
      </c>
    </row>
    <row r="372" spans="1:20" s="5" customFormat="1" ht="24.95" customHeight="1" x14ac:dyDescent="0.3">
      <c r="A372" s="10"/>
      <c r="B372" s="10"/>
      <c r="D372" s="6">
        <f t="shared" si="5"/>
        <v>371</v>
      </c>
      <c r="E372" s="7" t="s">
        <v>412</v>
      </c>
      <c r="F372" s="7" t="s">
        <v>844</v>
      </c>
      <c r="G372" s="7" t="s">
        <v>845</v>
      </c>
      <c r="H372" s="6"/>
      <c r="I372" s="7"/>
      <c r="J372" s="6"/>
      <c r="K372" s="7"/>
      <c r="L372" s="6"/>
      <c r="M372" s="7"/>
      <c r="N372" s="6"/>
      <c r="O372" s="7"/>
      <c r="P372" s="6">
        <v>1</v>
      </c>
      <c r="Q372" s="8" t="s">
        <v>16</v>
      </c>
      <c r="R372" s="7">
        <v>45582</v>
      </c>
      <c r="S372" s="7" t="s">
        <v>17</v>
      </c>
      <c r="T372" s="7" t="s">
        <v>12</v>
      </c>
    </row>
    <row r="373" spans="1:20" s="5" customFormat="1" ht="24.95" customHeight="1" x14ac:dyDescent="0.3">
      <c r="A373" s="10"/>
      <c r="B373" s="10"/>
      <c r="D373" s="6">
        <f t="shared" si="5"/>
        <v>372</v>
      </c>
      <c r="E373" s="7" t="s">
        <v>412</v>
      </c>
      <c r="F373" s="7" t="s">
        <v>846</v>
      </c>
      <c r="G373" s="7" t="s">
        <v>847</v>
      </c>
      <c r="H373" s="6"/>
      <c r="I373" s="7"/>
      <c r="J373" s="6"/>
      <c r="K373" s="7"/>
      <c r="L373" s="6"/>
      <c r="M373" s="7"/>
      <c r="N373" s="6"/>
      <c r="O373" s="7"/>
      <c r="P373" s="6">
        <v>1</v>
      </c>
      <c r="Q373" s="8" t="s">
        <v>16</v>
      </c>
      <c r="R373" s="7">
        <v>45582</v>
      </c>
      <c r="S373" s="7" t="s">
        <v>17</v>
      </c>
      <c r="T373" s="7" t="s">
        <v>12</v>
      </c>
    </row>
    <row r="374" spans="1:20" s="5" customFormat="1" ht="24.95" customHeight="1" x14ac:dyDescent="0.3">
      <c r="A374" s="10"/>
      <c r="B374" s="10"/>
      <c r="D374" s="6">
        <f t="shared" si="5"/>
        <v>373</v>
      </c>
      <c r="E374" s="7" t="s">
        <v>412</v>
      </c>
      <c r="F374" s="7" t="s">
        <v>848</v>
      </c>
      <c r="G374" s="7" t="s">
        <v>849</v>
      </c>
      <c r="H374" s="6"/>
      <c r="I374" s="7"/>
      <c r="J374" s="6"/>
      <c r="K374" s="7"/>
      <c r="L374" s="6"/>
      <c r="M374" s="7"/>
      <c r="N374" s="6"/>
      <c r="O374" s="7"/>
      <c r="P374" s="6">
        <v>1</v>
      </c>
      <c r="Q374" s="8" t="s">
        <v>25</v>
      </c>
      <c r="R374" s="7">
        <v>45583</v>
      </c>
      <c r="S374" s="7" t="s">
        <v>17</v>
      </c>
      <c r="T374" s="7" t="s">
        <v>12</v>
      </c>
    </row>
    <row r="375" spans="1:20" s="5" customFormat="1" ht="24.95" customHeight="1" x14ac:dyDescent="0.3">
      <c r="A375" s="10"/>
      <c r="B375" s="10"/>
      <c r="D375" s="6">
        <f t="shared" si="5"/>
        <v>374</v>
      </c>
      <c r="E375" s="7" t="s">
        <v>412</v>
      </c>
      <c r="F375" s="7" t="s">
        <v>850</v>
      </c>
      <c r="G375" s="7" t="s">
        <v>851</v>
      </c>
      <c r="H375" s="6"/>
      <c r="I375" s="7"/>
      <c r="J375" s="6"/>
      <c r="K375" s="7"/>
      <c r="L375" s="6"/>
      <c r="M375" s="7"/>
      <c r="N375" s="6"/>
      <c r="O375" s="7"/>
      <c r="P375" s="6">
        <v>1</v>
      </c>
      <c r="Q375" s="8" t="s">
        <v>25</v>
      </c>
      <c r="R375" s="7">
        <v>45583</v>
      </c>
      <c r="S375" s="7" t="s">
        <v>17</v>
      </c>
      <c r="T375" s="7" t="s">
        <v>12</v>
      </c>
    </row>
    <row r="376" spans="1:20" s="5" customFormat="1" ht="24.95" customHeight="1" x14ac:dyDescent="0.3">
      <c r="A376" s="10"/>
      <c r="B376" s="10"/>
      <c r="D376" s="6">
        <f t="shared" si="5"/>
        <v>375</v>
      </c>
      <c r="E376" s="7" t="s">
        <v>412</v>
      </c>
      <c r="F376" s="7" t="s">
        <v>852</v>
      </c>
      <c r="G376" s="7" t="s">
        <v>853</v>
      </c>
      <c r="H376" s="6"/>
      <c r="I376" s="7"/>
      <c r="J376" s="6"/>
      <c r="K376" s="7"/>
      <c r="L376" s="6"/>
      <c r="M376" s="7"/>
      <c r="N376" s="6"/>
      <c r="O376" s="7"/>
      <c r="P376" s="6">
        <v>1</v>
      </c>
      <c r="Q376" s="8" t="s">
        <v>25</v>
      </c>
      <c r="R376" s="7">
        <v>45583</v>
      </c>
      <c r="S376" s="7" t="s">
        <v>17</v>
      </c>
      <c r="T376" s="7" t="s">
        <v>12</v>
      </c>
    </row>
    <row r="377" spans="1:20" s="5" customFormat="1" ht="24.95" customHeight="1" x14ac:dyDescent="0.3">
      <c r="A377" s="10"/>
      <c r="B377" s="10"/>
      <c r="D377" s="6">
        <f t="shared" si="5"/>
        <v>376</v>
      </c>
      <c r="E377" s="7" t="s">
        <v>412</v>
      </c>
      <c r="F377" s="7" t="s">
        <v>854</v>
      </c>
      <c r="G377" s="7" t="s">
        <v>855</v>
      </c>
      <c r="H377" s="6"/>
      <c r="I377" s="7"/>
      <c r="J377" s="6"/>
      <c r="K377" s="7"/>
      <c r="L377" s="6"/>
      <c r="M377" s="7"/>
      <c r="N377" s="6"/>
      <c r="O377" s="7"/>
      <c r="P377" s="6">
        <v>1</v>
      </c>
      <c r="Q377" s="8" t="s">
        <v>25</v>
      </c>
      <c r="R377" s="7">
        <v>45583</v>
      </c>
      <c r="S377" s="7" t="s">
        <v>17</v>
      </c>
      <c r="T377" s="7" t="s">
        <v>12</v>
      </c>
    </row>
    <row r="378" spans="1:20" s="5" customFormat="1" ht="24.95" customHeight="1" x14ac:dyDescent="0.3">
      <c r="A378" s="10"/>
      <c r="B378" s="10"/>
      <c r="D378" s="6">
        <f t="shared" si="5"/>
        <v>377</v>
      </c>
      <c r="E378" s="7" t="s">
        <v>856</v>
      </c>
      <c r="F378" s="7" t="s">
        <v>857</v>
      </c>
      <c r="G378" s="7" t="s">
        <v>858</v>
      </c>
      <c r="H378" s="6"/>
      <c r="I378" s="7"/>
      <c r="J378" s="6"/>
      <c r="K378" s="7"/>
      <c r="L378" s="6"/>
      <c r="M378" s="7"/>
      <c r="N378" s="6"/>
      <c r="O378" s="7"/>
      <c r="P378" s="6">
        <v>1</v>
      </c>
      <c r="Q378" s="8" t="s">
        <v>16</v>
      </c>
      <c r="R378" s="7">
        <v>45586</v>
      </c>
      <c r="S378" s="7" t="s">
        <v>17</v>
      </c>
      <c r="T378" s="7" t="s">
        <v>12</v>
      </c>
    </row>
    <row r="379" spans="1:20" s="5" customFormat="1" ht="24.95" customHeight="1" x14ac:dyDescent="0.3">
      <c r="A379" s="10"/>
      <c r="B379" s="10"/>
      <c r="D379" s="6">
        <f t="shared" si="5"/>
        <v>378</v>
      </c>
      <c r="E379" s="7" t="s">
        <v>45</v>
      </c>
      <c r="F379" s="7" t="s">
        <v>859</v>
      </c>
      <c r="G379" s="7" t="s">
        <v>860</v>
      </c>
      <c r="H379" s="6"/>
      <c r="I379" s="7"/>
      <c r="J379" s="6"/>
      <c r="K379" s="7"/>
      <c r="L379" s="6">
        <v>1</v>
      </c>
      <c r="M379" s="8" t="s">
        <v>48</v>
      </c>
      <c r="N379" s="6"/>
      <c r="O379" s="7"/>
      <c r="P379" s="6"/>
      <c r="Q379" s="7"/>
      <c r="R379" s="7">
        <v>45593</v>
      </c>
      <c r="S379" s="7" t="s">
        <v>17</v>
      </c>
      <c r="T379" s="7" t="s">
        <v>12</v>
      </c>
    </row>
    <row r="380" spans="1:20" s="5" customFormat="1" ht="24.95" customHeight="1" x14ac:dyDescent="0.3">
      <c r="A380" s="10"/>
      <c r="B380" s="10"/>
      <c r="D380" s="6">
        <f t="shared" si="5"/>
        <v>379</v>
      </c>
      <c r="E380" s="7" t="s">
        <v>837</v>
      </c>
      <c r="F380" s="7" t="s">
        <v>861</v>
      </c>
      <c r="G380" s="7" t="s">
        <v>862</v>
      </c>
      <c r="H380" s="6"/>
      <c r="I380" s="7"/>
      <c r="J380" s="6"/>
      <c r="K380" s="7"/>
      <c r="L380" s="6">
        <v>1</v>
      </c>
      <c r="M380" s="8" t="s">
        <v>92</v>
      </c>
      <c r="N380" s="6"/>
      <c r="O380" s="7"/>
      <c r="P380" s="6"/>
      <c r="Q380" s="7"/>
      <c r="R380" s="7">
        <v>45593</v>
      </c>
      <c r="S380" s="7" t="s">
        <v>17</v>
      </c>
      <c r="T380" s="7" t="s">
        <v>12</v>
      </c>
    </row>
    <row r="381" spans="1:20" s="5" customFormat="1" ht="24.95" customHeight="1" x14ac:dyDescent="0.3">
      <c r="A381" s="10"/>
      <c r="B381" s="10"/>
      <c r="D381" s="6">
        <f t="shared" si="5"/>
        <v>380</v>
      </c>
      <c r="E381" s="7" t="s">
        <v>261</v>
      </c>
      <c r="F381" s="7" t="s">
        <v>863</v>
      </c>
      <c r="G381" s="7" t="s">
        <v>864</v>
      </c>
      <c r="H381" s="6"/>
      <c r="I381" s="7"/>
      <c r="J381" s="6"/>
      <c r="K381" s="7"/>
      <c r="L381" s="6"/>
      <c r="M381" s="7"/>
      <c r="N381" s="6">
        <v>1</v>
      </c>
      <c r="O381" s="8" t="s">
        <v>77</v>
      </c>
      <c r="P381" s="6"/>
      <c r="Q381" s="7"/>
      <c r="R381" s="7">
        <v>45595</v>
      </c>
      <c r="S381" s="7" t="s">
        <v>17</v>
      </c>
      <c r="T381" s="7" t="s">
        <v>12</v>
      </c>
    </row>
    <row r="382" spans="1:20" s="5" customFormat="1" ht="24.95" customHeight="1" x14ac:dyDescent="0.3">
      <c r="A382" s="10"/>
      <c r="B382" s="10"/>
      <c r="D382" s="6">
        <f t="shared" si="5"/>
        <v>381</v>
      </c>
      <c r="E382" s="7" t="s">
        <v>261</v>
      </c>
      <c r="F382" s="7" t="s">
        <v>865</v>
      </c>
      <c r="G382" s="7" t="s">
        <v>866</v>
      </c>
      <c r="H382" s="6"/>
      <c r="I382" s="7"/>
      <c r="J382" s="6">
        <v>1</v>
      </c>
      <c r="K382" s="8" t="s">
        <v>130</v>
      </c>
      <c r="L382" s="6"/>
      <c r="M382" s="7"/>
      <c r="N382" s="6"/>
      <c r="O382" s="7"/>
      <c r="P382" s="6"/>
      <c r="Q382" s="7"/>
      <c r="R382" s="7">
        <v>45595</v>
      </c>
      <c r="S382" s="7" t="s">
        <v>17</v>
      </c>
      <c r="T382" s="7" t="s">
        <v>12</v>
      </c>
    </row>
    <row r="383" spans="1:20" s="5" customFormat="1" ht="24.95" customHeight="1" x14ac:dyDescent="0.3">
      <c r="A383" s="10"/>
      <c r="B383" s="10"/>
      <c r="D383" s="6">
        <f t="shared" si="5"/>
        <v>382</v>
      </c>
      <c r="E383" s="7" t="s">
        <v>261</v>
      </c>
      <c r="F383" s="7" t="s">
        <v>867</v>
      </c>
      <c r="G383" s="7" t="s">
        <v>868</v>
      </c>
      <c r="H383" s="6"/>
      <c r="I383" s="7"/>
      <c r="J383" s="6"/>
      <c r="K383" s="7"/>
      <c r="L383" s="6"/>
      <c r="M383" s="7"/>
      <c r="N383" s="6"/>
      <c r="O383" s="7"/>
      <c r="P383" s="6">
        <v>1</v>
      </c>
      <c r="Q383" s="8" t="s">
        <v>58</v>
      </c>
      <c r="R383" s="7">
        <v>45595</v>
      </c>
      <c r="S383" s="7" t="s">
        <v>17</v>
      </c>
      <c r="T383" s="7" t="s">
        <v>12</v>
      </c>
    </row>
    <row r="384" spans="1:20" s="5" customFormat="1" ht="24.95" customHeight="1" x14ac:dyDescent="0.3">
      <c r="A384" s="10"/>
      <c r="B384" s="10"/>
      <c r="D384" s="6">
        <f t="shared" si="5"/>
        <v>383</v>
      </c>
      <c r="E384" s="7" t="s">
        <v>261</v>
      </c>
      <c r="F384" s="7" t="s">
        <v>869</v>
      </c>
      <c r="G384" s="7" t="s">
        <v>870</v>
      </c>
      <c r="H384" s="6"/>
      <c r="I384" s="7"/>
      <c r="J384" s="6"/>
      <c r="K384" s="7"/>
      <c r="L384" s="6"/>
      <c r="M384" s="7"/>
      <c r="N384" s="6"/>
      <c r="O384" s="7"/>
      <c r="P384" s="6">
        <v>1</v>
      </c>
      <c r="Q384" s="8" t="s">
        <v>58</v>
      </c>
      <c r="R384" s="7">
        <v>45595</v>
      </c>
      <c r="S384" s="7" t="s">
        <v>17</v>
      </c>
      <c r="T384" s="7" t="s">
        <v>12</v>
      </c>
    </row>
    <row r="385" spans="1:20" s="5" customFormat="1" ht="24.95" customHeight="1" x14ac:dyDescent="0.3">
      <c r="A385" s="10"/>
      <c r="B385" s="10"/>
      <c r="D385" s="6">
        <f t="shared" si="5"/>
        <v>384</v>
      </c>
      <c r="E385" s="7" t="s">
        <v>261</v>
      </c>
      <c r="F385" s="7" t="s">
        <v>871</v>
      </c>
      <c r="G385" s="7" t="s">
        <v>872</v>
      </c>
      <c r="H385" s="6"/>
      <c r="I385" s="7"/>
      <c r="J385" s="6"/>
      <c r="K385" s="7"/>
      <c r="L385" s="6"/>
      <c r="M385" s="7"/>
      <c r="N385" s="6"/>
      <c r="O385" s="7"/>
      <c r="P385" s="6">
        <v>1</v>
      </c>
      <c r="Q385" s="8" t="s">
        <v>58</v>
      </c>
      <c r="R385" s="7">
        <v>45595</v>
      </c>
      <c r="S385" s="7" t="s">
        <v>17</v>
      </c>
      <c r="T385" s="7" t="s">
        <v>12</v>
      </c>
    </row>
    <row r="386" spans="1:20" s="5" customFormat="1" ht="24.95" customHeight="1" x14ac:dyDescent="0.3">
      <c r="A386" s="10"/>
      <c r="B386" s="10"/>
      <c r="D386" s="6">
        <f t="shared" si="5"/>
        <v>385</v>
      </c>
      <c r="E386" s="7" t="s">
        <v>261</v>
      </c>
      <c r="F386" s="7" t="s">
        <v>873</v>
      </c>
      <c r="G386" s="7" t="s">
        <v>874</v>
      </c>
      <c r="H386" s="6"/>
      <c r="I386" s="7"/>
      <c r="J386" s="6"/>
      <c r="K386" s="7"/>
      <c r="L386" s="6"/>
      <c r="M386" s="7"/>
      <c r="N386" s="6"/>
      <c r="O386" s="7"/>
      <c r="P386" s="6">
        <v>1</v>
      </c>
      <c r="Q386" s="8" t="s">
        <v>58</v>
      </c>
      <c r="R386" s="7">
        <v>45595</v>
      </c>
      <c r="S386" s="7" t="s">
        <v>17</v>
      </c>
      <c r="T386" s="7" t="s">
        <v>12</v>
      </c>
    </row>
    <row r="387" spans="1:20" s="5" customFormat="1" ht="24.95" customHeight="1" x14ac:dyDescent="0.3">
      <c r="A387" s="10"/>
      <c r="B387" s="10"/>
      <c r="D387" s="6">
        <f t="shared" ref="D387:D450" si="6">ROW()-1</f>
        <v>386</v>
      </c>
      <c r="E387" s="7" t="s">
        <v>261</v>
      </c>
      <c r="F387" s="7" t="s">
        <v>875</v>
      </c>
      <c r="G387" s="7" t="s">
        <v>876</v>
      </c>
      <c r="H387" s="6"/>
      <c r="I387" s="7"/>
      <c r="J387" s="6"/>
      <c r="K387" s="7"/>
      <c r="L387" s="6"/>
      <c r="M387" s="7"/>
      <c r="N387" s="6"/>
      <c r="O387" s="7"/>
      <c r="P387" s="6">
        <v>1</v>
      </c>
      <c r="Q387" s="8" t="s">
        <v>58</v>
      </c>
      <c r="R387" s="7">
        <v>45595</v>
      </c>
      <c r="S387" s="7" t="s">
        <v>17</v>
      </c>
      <c r="T387" s="7" t="s">
        <v>12</v>
      </c>
    </row>
    <row r="388" spans="1:20" s="5" customFormat="1" ht="24.95" customHeight="1" x14ac:dyDescent="0.3">
      <c r="A388" s="10"/>
      <c r="B388" s="10"/>
      <c r="D388" s="6">
        <f t="shared" si="6"/>
        <v>387</v>
      </c>
      <c r="E388" s="7" t="s">
        <v>765</v>
      </c>
      <c r="F388" s="7" t="s">
        <v>877</v>
      </c>
      <c r="G388" s="7" t="s">
        <v>878</v>
      </c>
      <c r="H388" s="6"/>
      <c r="I388" s="7"/>
      <c r="J388" s="6"/>
      <c r="K388" s="7"/>
      <c r="L388" s="6"/>
      <c r="M388" s="7"/>
      <c r="N388" s="6"/>
      <c r="O388" s="7"/>
      <c r="P388" s="6">
        <v>1</v>
      </c>
      <c r="Q388" s="8" t="s">
        <v>58</v>
      </c>
      <c r="R388" s="7">
        <v>45597</v>
      </c>
      <c r="S388" s="7" t="s">
        <v>17</v>
      </c>
      <c r="T388" s="7" t="s">
        <v>12</v>
      </c>
    </row>
    <row r="389" spans="1:20" s="5" customFormat="1" ht="24.95" customHeight="1" x14ac:dyDescent="0.3">
      <c r="A389" s="10"/>
      <c r="B389" s="10"/>
      <c r="D389" s="6">
        <f t="shared" si="6"/>
        <v>388</v>
      </c>
      <c r="E389" s="7" t="s">
        <v>765</v>
      </c>
      <c r="F389" s="7" t="s">
        <v>879</v>
      </c>
      <c r="G389" s="7" t="s">
        <v>880</v>
      </c>
      <c r="H389" s="6"/>
      <c r="I389" s="7"/>
      <c r="J389" s="6"/>
      <c r="K389" s="7"/>
      <c r="L389" s="6"/>
      <c r="M389" s="7"/>
      <c r="N389" s="6"/>
      <c r="O389" s="7"/>
      <c r="P389" s="6">
        <v>1</v>
      </c>
      <c r="Q389" s="8" t="s">
        <v>58</v>
      </c>
      <c r="R389" s="7">
        <v>45597</v>
      </c>
      <c r="S389" s="7" t="s">
        <v>17</v>
      </c>
      <c r="T389" s="7" t="s">
        <v>12</v>
      </c>
    </row>
    <row r="390" spans="1:20" s="5" customFormat="1" ht="24.95" customHeight="1" x14ac:dyDescent="0.3">
      <c r="A390" s="10"/>
      <c r="B390" s="10"/>
      <c r="D390" s="6">
        <f t="shared" si="6"/>
        <v>389</v>
      </c>
      <c r="E390" s="7" t="s">
        <v>765</v>
      </c>
      <c r="F390" s="7" t="s">
        <v>881</v>
      </c>
      <c r="G390" s="7" t="s">
        <v>882</v>
      </c>
      <c r="H390" s="6"/>
      <c r="I390" s="7"/>
      <c r="J390" s="6"/>
      <c r="K390" s="7"/>
      <c r="L390" s="6"/>
      <c r="M390" s="7"/>
      <c r="N390" s="6"/>
      <c r="O390" s="7"/>
      <c r="P390" s="6">
        <v>1</v>
      </c>
      <c r="Q390" s="8" t="s">
        <v>58</v>
      </c>
      <c r="R390" s="7">
        <v>45597</v>
      </c>
      <c r="S390" s="7" t="s">
        <v>17</v>
      </c>
      <c r="T390" s="7" t="s">
        <v>12</v>
      </c>
    </row>
    <row r="391" spans="1:20" s="5" customFormat="1" ht="24.95" customHeight="1" x14ac:dyDescent="0.3">
      <c r="A391" s="10"/>
      <c r="B391" s="10"/>
      <c r="D391" s="6">
        <f t="shared" si="6"/>
        <v>390</v>
      </c>
      <c r="E391" s="7" t="s">
        <v>765</v>
      </c>
      <c r="F391" s="7" t="s">
        <v>883</v>
      </c>
      <c r="G391" s="7" t="s">
        <v>884</v>
      </c>
      <c r="H391" s="6"/>
      <c r="I391" s="7"/>
      <c r="J391" s="6"/>
      <c r="K391" s="7"/>
      <c r="L391" s="6"/>
      <c r="M391" s="7"/>
      <c r="N391" s="6"/>
      <c r="O391" s="7"/>
      <c r="P391" s="6">
        <v>1</v>
      </c>
      <c r="Q391" s="8" t="s">
        <v>25</v>
      </c>
      <c r="R391" s="7">
        <v>45597</v>
      </c>
      <c r="S391" s="7" t="s">
        <v>17</v>
      </c>
      <c r="T391" s="7" t="s">
        <v>12</v>
      </c>
    </row>
    <row r="392" spans="1:20" s="5" customFormat="1" ht="24.95" customHeight="1" x14ac:dyDescent="0.3">
      <c r="A392" s="10"/>
      <c r="B392" s="10"/>
      <c r="D392" s="6">
        <f t="shared" si="6"/>
        <v>391</v>
      </c>
      <c r="E392" s="7" t="s">
        <v>765</v>
      </c>
      <c r="F392" s="7" t="s">
        <v>885</v>
      </c>
      <c r="G392" s="7" t="s">
        <v>886</v>
      </c>
      <c r="H392" s="6"/>
      <c r="I392" s="7"/>
      <c r="J392" s="6"/>
      <c r="K392" s="7"/>
      <c r="L392" s="6"/>
      <c r="M392" s="7"/>
      <c r="N392" s="6"/>
      <c r="O392" s="7"/>
      <c r="P392" s="6">
        <v>1</v>
      </c>
      <c r="Q392" s="8" t="s">
        <v>25</v>
      </c>
      <c r="R392" s="7">
        <v>45597</v>
      </c>
      <c r="S392" s="7" t="s">
        <v>17</v>
      </c>
      <c r="T392" s="7" t="s">
        <v>12</v>
      </c>
    </row>
    <row r="393" spans="1:20" s="5" customFormat="1" ht="24.95" customHeight="1" x14ac:dyDescent="0.3">
      <c r="A393" s="10"/>
      <c r="B393" s="10"/>
      <c r="D393" s="6">
        <f t="shared" si="6"/>
        <v>392</v>
      </c>
      <c r="E393" s="7" t="s">
        <v>765</v>
      </c>
      <c r="F393" s="7" t="s">
        <v>887</v>
      </c>
      <c r="G393" s="7" t="s">
        <v>888</v>
      </c>
      <c r="H393" s="6"/>
      <c r="I393" s="7"/>
      <c r="J393" s="6"/>
      <c r="K393" s="7"/>
      <c r="L393" s="6"/>
      <c r="M393" s="7"/>
      <c r="N393" s="6"/>
      <c r="O393" s="7"/>
      <c r="P393" s="6">
        <v>1</v>
      </c>
      <c r="Q393" s="8" t="s">
        <v>25</v>
      </c>
      <c r="R393" s="7">
        <v>45597</v>
      </c>
      <c r="S393" s="7" t="s">
        <v>17</v>
      </c>
      <c r="T393" s="7" t="s">
        <v>12</v>
      </c>
    </row>
    <row r="394" spans="1:20" s="5" customFormat="1" ht="24.95" customHeight="1" x14ac:dyDescent="0.3">
      <c r="A394" s="10"/>
      <c r="B394" s="10"/>
      <c r="D394" s="6">
        <f t="shared" si="6"/>
        <v>393</v>
      </c>
      <c r="E394" s="7" t="s">
        <v>384</v>
      </c>
      <c r="F394" s="7" t="s">
        <v>889</v>
      </c>
      <c r="G394" s="7" t="s">
        <v>890</v>
      </c>
      <c r="H394" s="6"/>
      <c r="I394" s="7"/>
      <c r="J394" s="6"/>
      <c r="K394" s="7"/>
      <c r="L394" s="6">
        <v>1</v>
      </c>
      <c r="M394" s="8" t="s">
        <v>92</v>
      </c>
      <c r="N394" s="6"/>
      <c r="O394" s="7"/>
      <c r="P394" s="6"/>
      <c r="Q394" s="7"/>
      <c r="R394" s="7">
        <v>45600</v>
      </c>
      <c r="S394" s="7" t="s">
        <v>17</v>
      </c>
      <c r="T394" s="7" t="s">
        <v>12</v>
      </c>
    </row>
    <row r="395" spans="1:20" s="5" customFormat="1" ht="24.95" customHeight="1" x14ac:dyDescent="0.3">
      <c r="A395" s="10"/>
      <c r="B395" s="10"/>
      <c r="D395" s="6">
        <f t="shared" si="6"/>
        <v>394</v>
      </c>
      <c r="E395" s="7" t="s">
        <v>384</v>
      </c>
      <c r="F395" s="7" t="s">
        <v>891</v>
      </c>
      <c r="G395" s="7" t="s">
        <v>892</v>
      </c>
      <c r="H395" s="6"/>
      <c r="I395" s="7"/>
      <c r="J395" s="6"/>
      <c r="K395" s="7"/>
      <c r="L395" s="6"/>
      <c r="M395" s="7"/>
      <c r="N395" s="6"/>
      <c r="O395" s="7"/>
      <c r="P395" s="6">
        <v>1</v>
      </c>
      <c r="Q395" s="8" t="s">
        <v>25</v>
      </c>
      <c r="R395" s="7">
        <v>45600</v>
      </c>
      <c r="S395" s="7" t="s">
        <v>17</v>
      </c>
      <c r="T395" s="7" t="s">
        <v>12</v>
      </c>
    </row>
    <row r="396" spans="1:20" s="5" customFormat="1" ht="24.95" customHeight="1" x14ac:dyDescent="0.3">
      <c r="A396" s="10"/>
      <c r="B396" s="10"/>
      <c r="D396" s="6">
        <f t="shared" si="6"/>
        <v>395</v>
      </c>
      <c r="E396" s="7" t="s">
        <v>384</v>
      </c>
      <c r="F396" s="7" t="s">
        <v>893</v>
      </c>
      <c r="G396" s="7" t="s">
        <v>894</v>
      </c>
      <c r="H396" s="6"/>
      <c r="I396" s="7"/>
      <c r="J396" s="6"/>
      <c r="K396" s="7"/>
      <c r="L396" s="6"/>
      <c r="M396" s="7"/>
      <c r="N396" s="6"/>
      <c r="O396" s="7"/>
      <c r="P396" s="6">
        <v>1</v>
      </c>
      <c r="Q396" s="8" t="s">
        <v>58</v>
      </c>
      <c r="R396" s="7">
        <v>45600</v>
      </c>
      <c r="S396" s="7" t="s">
        <v>17</v>
      </c>
      <c r="T396" s="7" t="s">
        <v>12</v>
      </c>
    </row>
    <row r="397" spans="1:20" s="5" customFormat="1" ht="24.95" customHeight="1" x14ac:dyDescent="0.3">
      <c r="A397" s="10"/>
      <c r="B397" s="10"/>
      <c r="D397" s="6">
        <f t="shared" si="6"/>
        <v>396</v>
      </c>
      <c r="E397" s="7" t="s">
        <v>895</v>
      </c>
      <c r="F397" s="7" t="s">
        <v>896</v>
      </c>
      <c r="G397" s="7" t="s">
        <v>897</v>
      </c>
      <c r="H397" s="6"/>
      <c r="I397" s="7"/>
      <c r="J397" s="6"/>
      <c r="K397" s="7"/>
      <c r="L397" s="6"/>
      <c r="M397" s="7"/>
      <c r="N397" s="6"/>
      <c r="O397" s="7"/>
      <c r="P397" s="6">
        <v>1</v>
      </c>
      <c r="Q397" s="8" t="s">
        <v>25</v>
      </c>
      <c r="R397" s="7">
        <v>45602</v>
      </c>
      <c r="S397" s="7" t="s">
        <v>17</v>
      </c>
      <c r="T397" s="7" t="s">
        <v>12</v>
      </c>
    </row>
    <row r="398" spans="1:20" s="5" customFormat="1" ht="24.95" customHeight="1" x14ac:dyDescent="0.3">
      <c r="A398" s="10"/>
      <c r="B398" s="10"/>
      <c r="D398" s="6">
        <f t="shared" si="6"/>
        <v>397</v>
      </c>
      <c r="E398" s="7" t="s">
        <v>898</v>
      </c>
      <c r="F398" s="7" t="s">
        <v>899</v>
      </c>
      <c r="G398" s="7" t="s">
        <v>900</v>
      </c>
      <c r="H398" s="6"/>
      <c r="I398" s="7"/>
      <c r="J398" s="6"/>
      <c r="K398" s="7"/>
      <c r="L398" s="6"/>
      <c r="M398" s="7"/>
      <c r="N398" s="6"/>
      <c r="O398" s="7"/>
      <c r="P398" s="6">
        <v>1</v>
      </c>
      <c r="Q398" s="8" t="s">
        <v>16</v>
      </c>
      <c r="R398" s="7">
        <v>45604</v>
      </c>
      <c r="S398" s="7" t="s">
        <v>17</v>
      </c>
      <c r="T398" s="7" t="s">
        <v>12</v>
      </c>
    </row>
    <row r="399" spans="1:20" s="5" customFormat="1" ht="24.95" customHeight="1" x14ac:dyDescent="0.3">
      <c r="A399" s="10"/>
      <c r="B399" s="10"/>
      <c r="D399" s="6">
        <f t="shared" si="6"/>
        <v>398</v>
      </c>
      <c r="E399" s="7" t="s">
        <v>409</v>
      </c>
      <c r="F399" s="7" t="s">
        <v>901</v>
      </c>
      <c r="G399" s="7" t="s">
        <v>902</v>
      </c>
      <c r="H399" s="6"/>
      <c r="I399" s="7"/>
      <c r="J399" s="6"/>
      <c r="K399" s="7"/>
      <c r="L399" s="6"/>
      <c r="M399" s="7"/>
      <c r="N399" s="6"/>
      <c r="O399" s="7"/>
      <c r="P399" s="6">
        <v>1</v>
      </c>
      <c r="Q399" s="8" t="s">
        <v>16</v>
      </c>
      <c r="R399" s="7">
        <v>45605</v>
      </c>
      <c r="S399" s="7" t="s">
        <v>17</v>
      </c>
      <c r="T399" s="7" t="s">
        <v>12</v>
      </c>
    </row>
    <row r="400" spans="1:20" s="5" customFormat="1" ht="24.95" customHeight="1" x14ac:dyDescent="0.3">
      <c r="A400" s="10"/>
      <c r="B400" s="10"/>
      <c r="D400" s="6">
        <f t="shared" si="6"/>
        <v>399</v>
      </c>
      <c r="E400" s="7" t="s">
        <v>384</v>
      </c>
      <c r="F400" s="7" t="s">
        <v>903</v>
      </c>
      <c r="G400" s="7" t="s">
        <v>904</v>
      </c>
      <c r="H400" s="6"/>
      <c r="I400" s="7"/>
      <c r="J400" s="6"/>
      <c r="K400" s="7"/>
      <c r="L400" s="6"/>
      <c r="M400" s="7"/>
      <c r="N400" s="6">
        <v>1</v>
      </c>
      <c r="O400" s="8" t="s">
        <v>77</v>
      </c>
      <c r="P400" s="6"/>
      <c r="Q400" s="7"/>
      <c r="R400" s="7">
        <v>45607</v>
      </c>
      <c r="S400" s="7" t="s">
        <v>17</v>
      </c>
      <c r="T400" s="7" t="s">
        <v>12</v>
      </c>
    </row>
    <row r="401" spans="1:20" s="5" customFormat="1" ht="24.95" customHeight="1" x14ac:dyDescent="0.3">
      <c r="A401" s="10"/>
      <c r="B401" s="10"/>
      <c r="D401" s="6">
        <f t="shared" si="6"/>
        <v>400</v>
      </c>
      <c r="E401" s="7" t="s">
        <v>905</v>
      </c>
      <c r="F401" s="7" t="s">
        <v>906</v>
      </c>
      <c r="G401" s="7" t="s">
        <v>907</v>
      </c>
      <c r="H401" s="6"/>
      <c r="I401" s="7"/>
      <c r="J401" s="6"/>
      <c r="K401" s="7"/>
      <c r="L401" s="6"/>
      <c r="M401" s="7"/>
      <c r="N401" s="6"/>
      <c r="O401" s="7"/>
      <c r="P401" s="6">
        <v>1</v>
      </c>
      <c r="Q401" s="8" t="s">
        <v>272</v>
      </c>
      <c r="R401" s="7">
        <v>45608</v>
      </c>
      <c r="S401" s="7" t="s">
        <v>17</v>
      </c>
      <c r="T401" s="7" t="s">
        <v>12</v>
      </c>
    </row>
    <row r="402" spans="1:20" s="5" customFormat="1" ht="24.95" customHeight="1" x14ac:dyDescent="0.3">
      <c r="A402" s="10"/>
      <c r="B402" s="10"/>
      <c r="D402" s="6">
        <f t="shared" si="6"/>
        <v>401</v>
      </c>
      <c r="E402" s="7" t="s">
        <v>722</v>
      </c>
      <c r="F402" s="7" t="s">
        <v>908</v>
      </c>
      <c r="G402" s="7" t="s">
        <v>909</v>
      </c>
      <c r="H402" s="6"/>
      <c r="I402" s="7"/>
      <c r="J402" s="6"/>
      <c r="K402" s="7"/>
      <c r="L402" s="6"/>
      <c r="M402" s="7"/>
      <c r="N402" s="6"/>
      <c r="O402" s="7"/>
      <c r="P402" s="6">
        <v>1</v>
      </c>
      <c r="Q402" s="8" t="s">
        <v>272</v>
      </c>
      <c r="R402" s="7">
        <v>45608</v>
      </c>
      <c r="S402" s="7" t="s">
        <v>17</v>
      </c>
      <c r="T402" s="7" t="s">
        <v>12</v>
      </c>
    </row>
    <row r="403" spans="1:20" s="5" customFormat="1" ht="24.95" customHeight="1" x14ac:dyDescent="0.3">
      <c r="A403" s="10"/>
      <c r="B403" s="10"/>
      <c r="D403" s="6">
        <f t="shared" si="6"/>
        <v>402</v>
      </c>
      <c r="E403" s="7" t="s">
        <v>358</v>
      </c>
      <c r="F403" s="7" t="s">
        <v>910</v>
      </c>
      <c r="G403" s="7" t="s">
        <v>911</v>
      </c>
      <c r="H403" s="6"/>
      <c r="I403" s="7"/>
      <c r="J403" s="6"/>
      <c r="K403" s="7"/>
      <c r="L403" s="6"/>
      <c r="M403" s="7"/>
      <c r="N403" s="6"/>
      <c r="O403" s="7"/>
      <c r="P403" s="6">
        <v>1</v>
      </c>
      <c r="Q403" s="8" t="s">
        <v>25</v>
      </c>
      <c r="R403" s="7">
        <v>45609</v>
      </c>
      <c r="S403" s="7" t="s">
        <v>17</v>
      </c>
      <c r="T403" s="7" t="s">
        <v>12</v>
      </c>
    </row>
    <row r="404" spans="1:20" s="5" customFormat="1" ht="24.95" customHeight="1" x14ac:dyDescent="0.3">
      <c r="A404" s="10"/>
      <c r="B404" s="10"/>
      <c r="D404" s="6">
        <f t="shared" si="6"/>
        <v>403</v>
      </c>
      <c r="E404" s="7" t="s">
        <v>557</v>
      </c>
      <c r="F404" s="7" t="s">
        <v>912</v>
      </c>
      <c r="G404" s="7" t="s">
        <v>913</v>
      </c>
      <c r="H404" s="6"/>
      <c r="I404" s="7"/>
      <c r="J404" s="6">
        <v>1</v>
      </c>
      <c r="K404" s="8" t="s">
        <v>130</v>
      </c>
      <c r="L404" s="6"/>
      <c r="M404" s="7"/>
      <c r="N404" s="6"/>
      <c r="O404" s="7"/>
      <c r="P404" s="6"/>
      <c r="Q404" s="7"/>
      <c r="R404" s="7">
        <v>45611</v>
      </c>
      <c r="S404" s="7" t="s">
        <v>17</v>
      </c>
      <c r="T404" s="7" t="s">
        <v>12</v>
      </c>
    </row>
    <row r="405" spans="1:20" s="5" customFormat="1" ht="24.95" customHeight="1" x14ac:dyDescent="0.3">
      <c r="A405" s="10"/>
      <c r="B405" s="10"/>
      <c r="D405" s="6">
        <f t="shared" si="6"/>
        <v>404</v>
      </c>
      <c r="E405" s="7" t="s">
        <v>557</v>
      </c>
      <c r="F405" s="7" t="s">
        <v>914</v>
      </c>
      <c r="G405" s="7" t="s">
        <v>915</v>
      </c>
      <c r="H405" s="6"/>
      <c r="I405" s="7"/>
      <c r="J405" s="6">
        <v>1</v>
      </c>
      <c r="K405" s="8" t="s">
        <v>130</v>
      </c>
      <c r="L405" s="6"/>
      <c r="M405" s="7"/>
      <c r="N405" s="6"/>
      <c r="O405" s="7"/>
      <c r="P405" s="6"/>
      <c r="Q405" s="7"/>
      <c r="R405" s="7">
        <v>45611</v>
      </c>
      <c r="S405" s="7" t="s">
        <v>17</v>
      </c>
      <c r="T405" s="7" t="s">
        <v>12</v>
      </c>
    </row>
    <row r="406" spans="1:20" s="5" customFormat="1" ht="24.95" customHeight="1" x14ac:dyDescent="0.3">
      <c r="A406" s="10"/>
      <c r="B406" s="10"/>
      <c r="D406" s="6">
        <f t="shared" si="6"/>
        <v>405</v>
      </c>
      <c r="E406" s="7" t="s">
        <v>557</v>
      </c>
      <c r="F406" s="7" t="s">
        <v>916</v>
      </c>
      <c r="G406" s="7" t="s">
        <v>917</v>
      </c>
      <c r="H406" s="6"/>
      <c r="I406" s="7"/>
      <c r="J406" s="6">
        <v>1</v>
      </c>
      <c r="K406" s="8" t="s">
        <v>130</v>
      </c>
      <c r="L406" s="6"/>
      <c r="M406" s="7"/>
      <c r="N406" s="6"/>
      <c r="O406" s="7"/>
      <c r="P406" s="6"/>
      <c r="Q406" s="7"/>
      <c r="R406" s="7">
        <v>45611</v>
      </c>
      <c r="S406" s="7" t="s">
        <v>17</v>
      </c>
      <c r="T406" s="7" t="s">
        <v>12</v>
      </c>
    </row>
    <row r="407" spans="1:20" s="5" customFormat="1" ht="24.95" customHeight="1" x14ac:dyDescent="0.3">
      <c r="A407" s="10"/>
      <c r="B407" s="10"/>
      <c r="D407" s="6">
        <f t="shared" si="6"/>
        <v>406</v>
      </c>
      <c r="E407" s="7" t="s">
        <v>557</v>
      </c>
      <c r="F407" s="7" t="s">
        <v>918</v>
      </c>
      <c r="G407" s="7" t="s">
        <v>919</v>
      </c>
      <c r="H407" s="6"/>
      <c r="I407" s="7"/>
      <c r="J407" s="6"/>
      <c r="K407" s="7"/>
      <c r="L407" s="6"/>
      <c r="M407" s="7"/>
      <c r="N407" s="6">
        <v>1</v>
      </c>
      <c r="O407" s="8" t="s">
        <v>108</v>
      </c>
      <c r="P407" s="6"/>
      <c r="Q407" s="7"/>
      <c r="R407" s="7">
        <v>45611</v>
      </c>
      <c r="S407" s="7" t="s">
        <v>17</v>
      </c>
      <c r="T407" s="7" t="s">
        <v>12</v>
      </c>
    </row>
    <row r="408" spans="1:20" s="5" customFormat="1" ht="24.95" customHeight="1" x14ac:dyDescent="0.3">
      <c r="A408" s="10"/>
      <c r="B408" s="10"/>
      <c r="D408" s="6">
        <f t="shared" si="6"/>
        <v>407</v>
      </c>
      <c r="E408" s="7" t="s">
        <v>557</v>
      </c>
      <c r="F408" s="7" t="s">
        <v>920</v>
      </c>
      <c r="G408" s="7" t="s">
        <v>921</v>
      </c>
      <c r="H408" s="6"/>
      <c r="I408" s="7"/>
      <c r="J408" s="6">
        <v>1</v>
      </c>
      <c r="K408" s="8" t="s">
        <v>130</v>
      </c>
      <c r="L408" s="6"/>
      <c r="M408" s="7"/>
      <c r="N408" s="6"/>
      <c r="O408" s="7"/>
      <c r="P408" s="6"/>
      <c r="Q408" s="7"/>
      <c r="R408" s="7">
        <v>45611</v>
      </c>
      <c r="S408" s="7" t="s">
        <v>17</v>
      </c>
      <c r="T408" s="7" t="s">
        <v>12</v>
      </c>
    </row>
    <row r="409" spans="1:20" s="5" customFormat="1" ht="24.95" customHeight="1" x14ac:dyDescent="0.3">
      <c r="A409" s="10"/>
      <c r="B409" s="10"/>
      <c r="D409" s="6">
        <f t="shared" si="6"/>
        <v>408</v>
      </c>
      <c r="E409" s="7" t="s">
        <v>409</v>
      </c>
      <c r="F409" s="7" t="s">
        <v>922</v>
      </c>
      <c r="G409" s="7" t="s">
        <v>923</v>
      </c>
      <c r="H409" s="6"/>
      <c r="I409" s="7"/>
      <c r="J409" s="6">
        <v>1</v>
      </c>
      <c r="K409" s="8" t="s">
        <v>130</v>
      </c>
      <c r="L409" s="6"/>
      <c r="M409" s="7"/>
      <c r="N409" s="6"/>
      <c r="O409" s="7"/>
      <c r="P409" s="6"/>
      <c r="Q409" s="7"/>
      <c r="R409" s="7">
        <v>45614</v>
      </c>
      <c r="S409" s="7" t="s">
        <v>17</v>
      </c>
      <c r="T409" s="7" t="s">
        <v>12</v>
      </c>
    </row>
    <row r="410" spans="1:20" s="5" customFormat="1" ht="24.95" customHeight="1" x14ac:dyDescent="0.3">
      <c r="A410" s="10"/>
      <c r="B410" s="10"/>
      <c r="D410" s="6">
        <f t="shared" si="6"/>
        <v>409</v>
      </c>
      <c r="E410" s="7" t="s">
        <v>384</v>
      </c>
      <c r="F410" s="7" t="s">
        <v>924</v>
      </c>
      <c r="G410" s="7" t="s">
        <v>925</v>
      </c>
      <c r="H410" s="6"/>
      <c r="I410" s="7"/>
      <c r="J410" s="6">
        <v>1</v>
      </c>
      <c r="K410" s="8" t="s">
        <v>80</v>
      </c>
      <c r="L410" s="6"/>
      <c r="M410" s="7"/>
      <c r="N410" s="6"/>
      <c r="O410" s="7"/>
      <c r="P410" s="6"/>
      <c r="Q410" s="7"/>
      <c r="R410" s="7">
        <v>45615</v>
      </c>
      <c r="S410" s="7" t="s">
        <v>17</v>
      </c>
      <c r="T410" s="7" t="s">
        <v>12</v>
      </c>
    </row>
    <row r="411" spans="1:20" s="5" customFormat="1" ht="24.95" customHeight="1" x14ac:dyDescent="0.3">
      <c r="A411" s="10"/>
      <c r="B411" s="10"/>
      <c r="D411" s="6">
        <f t="shared" si="6"/>
        <v>410</v>
      </c>
      <c r="E411" s="7" t="s">
        <v>384</v>
      </c>
      <c r="F411" s="7" t="s">
        <v>926</v>
      </c>
      <c r="G411" s="7" t="s">
        <v>927</v>
      </c>
      <c r="H411" s="6"/>
      <c r="I411" s="7"/>
      <c r="J411" s="6">
        <v>1</v>
      </c>
      <c r="K411" s="8" t="s">
        <v>130</v>
      </c>
      <c r="L411" s="6"/>
      <c r="M411" s="7"/>
      <c r="N411" s="6"/>
      <c r="O411" s="7"/>
      <c r="P411" s="6"/>
      <c r="Q411" s="7"/>
      <c r="R411" s="7">
        <v>45615</v>
      </c>
      <c r="S411" s="7" t="s">
        <v>17</v>
      </c>
      <c r="T411" s="7" t="s">
        <v>12</v>
      </c>
    </row>
    <row r="412" spans="1:20" s="5" customFormat="1" ht="24.95" customHeight="1" x14ac:dyDescent="0.3">
      <c r="A412" s="10"/>
      <c r="B412" s="10"/>
      <c r="D412" s="6">
        <f t="shared" si="6"/>
        <v>411</v>
      </c>
      <c r="E412" s="7" t="s">
        <v>253</v>
      </c>
      <c r="F412" s="7" t="s">
        <v>928</v>
      </c>
      <c r="G412" s="7" t="s">
        <v>929</v>
      </c>
      <c r="H412" s="6"/>
      <c r="I412" s="7"/>
      <c r="J412" s="6"/>
      <c r="K412" s="7"/>
      <c r="L412" s="6">
        <v>1</v>
      </c>
      <c r="M412" s="8" t="s">
        <v>64</v>
      </c>
      <c r="N412" s="6"/>
      <c r="O412" s="7"/>
      <c r="P412" s="6"/>
      <c r="Q412" s="7"/>
      <c r="R412" s="7">
        <v>45615</v>
      </c>
      <c r="S412" s="7" t="s">
        <v>17</v>
      </c>
      <c r="T412" s="7" t="s">
        <v>12</v>
      </c>
    </row>
    <row r="413" spans="1:20" s="5" customFormat="1" ht="24.95" customHeight="1" x14ac:dyDescent="0.3">
      <c r="A413" s="10"/>
      <c r="B413" s="10"/>
      <c r="D413" s="6">
        <f t="shared" si="6"/>
        <v>412</v>
      </c>
      <c r="E413" s="7" t="s">
        <v>930</v>
      </c>
      <c r="F413" s="7" t="s">
        <v>931</v>
      </c>
      <c r="G413" s="7" t="s">
        <v>932</v>
      </c>
      <c r="H413" s="6"/>
      <c r="I413" s="7"/>
      <c r="J413" s="6"/>
      <c r="K413" s="7"/>
      <c r="L413" s="6">
        <v>1</v>
      </c>
      <c r="M413" s="8" t="s">
        <v>92</v>
      </c>
      <c r="N413" s="6"/>
      <c r="O413" s="7"/>
      <c r="P413" s="6"/>
      <c r="Q413" s="7"/>
      <c r="R413" s="7">
        <v>45616</v>
      </c>
      <c r="S413" s="7" t="s">
        <v>17</v>
      </c>
      <c r="T413" s="7" t="s">
        <v>12</v>
      </c>
    </row>
    <row r="414" spans="1:20" s="5" customFormat="1" ht="24.95" customHeight="1" x14ac:dyDescent="0.3">
      <c r="A414" s="10"/>
      <c r="B414" s="10"/>
      <c r="D414" s="6">
        <f t="shared" si="6"/>
        <v>413</v>
      </c>
      <c r="E414" s="7" t="s">
        <v>930</v>
      </c>
      <c r="F414" s="7" t="s">
        <v>933</v>
      </c>
      <c r="G414" s="7" t="s">
        <v>139</v>
      </c>
      <c r="H414" s="6"/>
      <c r="I414" s="7"/>
      <c r="J414" s="6"/>
      <c r="K414" s="7"/>
      <c r="L414" s="6">
        <v>1</v>
      </c>
      <c r="M414" s="8" t="s">
        <v>92</v>
      </c>
      <c r="N414" s="6"/>
      <c r="O414" s="7"/>
      <c r="P414" s="6"/>
      <c r="Q414" s="7"/>
      <c r="R414" s="7">
        <v>45616</v>
      </c>
      <c r="S414" s="7" t="s">
        <v>17</v>
      </c>
      <c r="T414" s="7" t="s">
        <v>12</v>
      </c>
    </row>
    <row r="415" spans="1:20" s="5" customFormat="1" ht="24.95" customHeight="1" x14ac:dyDescent="0.3">
      <c r="A415" s="10"/>
      <c r="B415" s="10"/>
      <c r="D415" s="6">
        <f t="shared" si="6"/>
        <v>414</v>
      </c>
      <c r="E415" s="7" t="s">
        <v>934</v>
      </c>
      <c r="F415" s="7" t="s">
        <v>935</v>
      </c>
      <c r="G415" s="7" t="s">
        <v>936</v>
      </c>
      <c r="H415" s="6"/>
      <c r="I415" s="7"/>
      <c r="J415" s="6"/>
      <c r="K415" s="7"/>
      <c r="L415" s="6"/>
      <c r="M415" s="7"/>
      <c r="N415" s="6"/>
      <c r="O415" s="7"/>
      <c r="P415" s="6">
        <v>1</v>
      </c>
      <c r="Q415" s="8" t="s">
        <v>272</v>
      </c>
      <c r="R415" s="7">
        <v>45629</v>
      </c>
      <c r="S415" s="7" t="s">
        <v>17</v>
      </c>
      <c r="T415" s="7" t="s">
        <v>12</v>
      </c>
    </row>
    <row r="416" spans="1:20" s="5" customFormat="1" ht="24.95" customHeight="1" x14ac:dyDescent="0.3">
      <c r="A416" s="10"/>
      <c r="B416" s="10"/>
      <c r="D416" s="6">
        <f t="shared" si="6"/>
        <v>415</v>
      </c>
      <c r="E416" s="7" t="s">
        <v>384</v>
      </c>
      <c r="F416" s="7" t="s">
        <v>937</v>
      </c>
      <c r="G416" s="7" t="s">
        <v>938</v>
      </c>
      <c r="H416" s="6"/>
      <c r="I416" s="7"/>
      <c r="J416" s="6"/>
      <c r="K416" s="7"/>
      <c r="L416" s="6">
        <v>1</v>
      </c>
      <c r="M416" s="8" t="s">
        <v>92</v>
      </c>
      <c r="N416" s="6"/>
      <c r="O416" s="7"/>
      <c r="P416" s="6"/>
      <c r="Q416" s="7"/>
      <c r="R416" s="7">
        <v>45630</v>
      </c>
      <c r="S416" s="7" t="s">
        <v>17</v>
      </c>
      <c r="T416" s="7" t="s">
        <v>12</v>
      </c>
    </row>
    <row r="417" spans="4:20" s="5" customFormat="1" ht="24.95" customHeight="1" x14ac:dyDescent="0.3">
      <c r="D417" s="6">
        <f t="shared" si="6"/>
        <v>416</v>
      </c>
      <c r="E417" s="7" t="s">
        <v>384</v>
      </c>
      <c r="F417" s="7" t="s">
        <v>939</v>
      </c>
      <c r="G417" s="7" t="s">
        <v>940</v>
      </c>
      <c r="H417" s="6"/>
      <c r="I417" s="7"/>
      <c r="J417" s="6"/>
      <c r="K417" s="7"/>
      <c r="L417" s="6"/>
      <c r="M417" s="7"/>
      <c r="N417" s="6"/>
      <c r="O417" s="7"/>
      <c r="P417" s="6">
        <v>1</v>
      </c>
      <c r="Q417" s="8" t="s">
        <v>272</v>
      </c>
      <c r="R417" s="7">
        <v>45630</v>
      </c>
      <c r="S417" s="7" t="s">
        <v>17</v>
      </c>
      <c r="T417" s="7" t="s">
        <v>12</v>
      </c>
    </row>
    <row r="418" spans="4:20" s="5" customFormat="1" ht="24.95" customHeight="1" x14ac:dyDescent="0.3">
      <c r="D418" s="6">
        <f t="shared" si="6"/>
        <v>417</v>
      </c>
      <c r="E418" s="7" t="s">
        <v>384</v>
      </c>
      <c r="F418" s="7" t="s">
        <v>941</v>
      </c>
      <c r="G418" s="7" t="s">
        <v>942</v>
      </c>
      <c r="H418" s="6"/>
      <c r="I418" s="7"/>
      <c r="J418" s="6"/>
      <c r="K418" s="7"/>
      <c r="L418" s="6">
        <v>1</v>
      </c>
      <c r="M418" s="8" t="s">
        <v>92</v>
      </c>
      <c r="N418" s="6"/>
      <c r="O418" s="7"/>
      <c r="P418" s="6"/>
      <c r="Q418" s="7"/>
      <c r="R418" s="7">
        <v>45630</v>
      </c>
      <c r="S418" s="7" t="s">
        <v>17</v>
      </c>
      <c r="T418" s="7" t="s">
        <v>12</v>
      </c>
    </row>
    <row r="419" spans="4:20" s="5" customFormat="1" ht="24.95" customHeight="1" x14ac:dyDescent="0.3">
      <c r="D419" s="6">
        <f t="shared" si="6"/>
        <v>418</v>
      </c>
      <c r="E419" s="7" t="s">
        <v>384</v>
      </c>
      <c r="F419" s="7" t="s">
        <v>943</v>
      </c>
      <c r="G419" s="7" t="s">
        <v>944</v>
      </c>
      <c r="H419" s="6"/>
      <c r="I419" s="7"/>
      <c r="J419" s="6">
        <v>1</v>
      </c>
      <c r="K419" s="8" t="s">
        <v>80</v>
      </c>
      <c r="L419" s="6"/>
      <c r="M419" s="7"/>
      <c r="N419" s="6"/>
      <c r="O419" s="7"/>
      <c r="P419" s="6"/>
      <c r="Q419" s="7"/>
      <c r="R419" s="7">
        <v>45630</v>
      </c>
      <c r="S419" s="7" t="s">
        <v>17</v>
      </c>
      <c r="T419" s="7" t="s">
        <v>12</v>
      </c>
    </row>
    <row r="420" spans="4:20" s="5" customFormat="1" ht="24.95" customHeight="1" x14ac:dyDescent="0.3">
      <c r="D420" s="6">
        <f t="shared" si="6"/>
        <v>419</v>
      </c>
      <c r="E420" s="7" t="s">
        <v>765</v>
      </c>
      <c r="F420" s="7" t="s">
        <v>945</v>
      </c>
      <c r="G420" s="7" t="s">
        <v>946</v>
      </c>
      <c r="H420" s="6"/>
      <c r="I420" s="7"/>
      <c r="J420" s="6"/>
      <c r="K420" s="7"/>
      <c r="L420" s="6"/>
      <c r="M420" s="7"/>
      <c r="N420" s="6"/>
      <c r="O420" s="7"/>
      <c r="P420" s="6">
        <v>1</v>
      </c>
      <c r="Q420" s="8" t="s">
        <v>25</v>
      </c>
      <c r="R420" s="7">
        <v>45630</v>
      </c>
      <c r="S420" s="7" t="s">
        <v>17</v>
      </c>
      <c r="T420" s="7" t="s">
        <v>12</v>
      </c>
    </row>
    <row r="421" spans="4:20" s="5" customFormat="1" ht="24.95" customHeight="1" x14ac:dyDescent="0.3">
      <c r="D421" s="6">
        <f t="shared" si="6"/>
        <v>420</v>
      </c>
      <c r="E421" s="7" t="s">
        <v>947</v>
      </c>
      <c r="F421" s="7" t="s">
        <v>948</v>
      </c>
      <c r="G421" s="7" t="s">
        <v>949</v>
      </c>
      <c r="H421" s="6"/>
      <c r="I421" s="7"/>
      <c r="J421" s="6"/>
      <c r="K421" s="7"/>
      <c r="L421" s="6">
        <v>1</v>
      </c>
      <c r="M421" s="8" t="s">
        <v>92</v>
      </c>
      <c r="N421" s="6"/>
      <c r="O421" s="7"/>
      <c r="P421" s="6"/>
      <c r="Q421" s="7"/>
      <c r="R421" s="7">
        <v>45631</v>
      </c>
      <c r="S421" s="7" t="s">
        <v>17</v>
      </c>
      <c r="T421" s="7" t="s">
        <v>12</v>
      </c>
    </row>
    <row r="422" spans="4:20" s="5" customFormat="1" ht="24.95" customHeight="1" x14ac:dyDescent="0.3">
      <c r="D422" s="6">
        <f t="shared" si="6"/>
        <v>421</v>
      </c>
      <c r="E422" s="7" t="s">
        <v>412</v>
      </c>
      <c r="F422" s="7" t="s">
        <v>950</v>
      </c>
      <c r="G422" s="7" t="s">
        <v>951</v>
      </c>
      <c r="H422" s="6"/>
      <c r="I422" s="7"/>
      <c r="J422" s="6"/>
      <c r="K422" s="7"/>
      <c r="L422" s="6"/>
      <c r="M422" s="7"/>
      <c r="N422" s="6"/>
      <c r="O422" s="7"/>
      <c r="P422" s="6">
        <v>1</v>
      </c>
      <c r="Q422" s="8" t="s">
        <v>16</v>
      </c>
      <c r="R422" s="7">
        <v>45631</v>
      </c>
      <c r="S422" s="7" t="s">
        <v>17</v>
      </c>
      <c r="T422" s="7" t="s">
        <v>12</v>
      </c>
    </row>
    <row r="423" spans="4:20" s="5" customFormat="1" ht="24.95" customHeight="1" x14ac:dyDescent="0.3">
      <c r="D423" s="6">
        <f t="shared" si="6"/>
        <v>422</v>
      </c>
      <c r="E423" s="7" t="s">
        <v>72</v>
      </c>
      <c r="F423" s="7" t="s">
        <v>952</v>
      </c>
      <c r="G423" s="7" t="s">
        <v>953</v>
      </c>
      <c r="H423" s="6"/>
      <c r="I423" s="7"/>
      <c r="J423" s="6"/>
      <c r="K423" s="7"/>
      <c r="L423" s="6">
        <v>1</v>
      </c>
      <c r="M423" s="8" t="s">
        <v>92</v>
      </c>
      <c r="N423" s="6"/>
      <c r="O423" s="7"/>
      <c r="P423" s="6"/>
      <c r="Q423" s="7"/>
      <c r="R423" s="7">
        <v>45637</v>
      </c>
      <c r="S423" s="7" t="s">
        <v>17</v>
      </c>
      <c r="T423" s="7" t="s">
        <v>12</v>
      </c>
    </row>
    <row r="424" spans="4:20" s="5" customFormat="1" ht="24.95" customHeight="1" x14ac:dyDescent="0.3">
      <c r="D424" s="6">
        <f t="shared" si="6"/>
        <v>423</v>
      </c>
      <c r="E424" s="7" t="s">
        <v>384</v>
      </c>
      <c r="F424" s="7" t="s">
        <v>954</v>
      </c>
      <c r="G424" s="7" t="s">
        <v>955</v>
      </c>
      <c r="H424" s="6"/>
      <c r="I424" s="7"/>
      <c r="J424" s="6"/>
      <c r="K424" s="7"/>
      <c r="L424" s="6">
        <v>1</v>
      </c>
      <c r="M424" s="8" t="s">
        <v>92</v>
      </c>
      <c r="N424" s="6"/>
      <c r="O424" s="7"/>
      <c r="P424" s="6"/>
      <c r="Q424" s="7"/>
      <c r="R424" s="7">
        <v>45637</v>
      </c>
      <c r="S424" s="7" t="s">
        <v>17</v>
      </c>
      <c r="T424" s="7" t="s">
        <v>12</v>
      </c>
    </row>
    <row r="425" spans="4:20" s="5" customFormat="1" ht="24.95" customHeight="1" x14ac:dyDescent="0.3">
      <c r="D425" s="6">
        <f t="shared" si="6"/>
        <v>424</v>
      </c>
      <c r="E425" s="7" t="s">
        <v>384</v>
      </c>
      <c r="F425" s="7" t="s">
        <v>956</v>
      </c>
      <c r="G425" s="7" t="s">
        <v>957</v>
      </c>
      <c r="H425" s="6"/>
      <c r="I425" s="7"/>
      <c r="J425" s="6">
        <v>1</v>
      </c>
      <c r="K425" s="8" t="s">
        <v>130</v>
      </c>
      <c r="L425" s="6"/>
      <c r="M425" s="7"/>
      <c r="N425" s="6"/>
      <c r="O425" s="7"/>
      <c r="P425" s="6"/>
      <c r="Q425" s="7"/>
      <c r="R425" s="7">
        <v>45637</v>
      </c>
      <c r="S425" s="7" t="s">
        <v>17</v>
      </c>
      <c r="T425" s="7" t="s">
        <v>12</v>
      </c>
    </row>
    <row r="426" spans="4:20" s="5" customFormat="1" ht="24.95" customHeight="1" x14ac:dyDescent="0.3">
      <c r="D426" s="6">
        <f t="shared" si="6"/>
        <v>425</v>
      </c>
      <c r="E426" s="7" t="s">
        <v>837</v>
      </c>
      <c r="F426" s="7" t="s">
        <v>958</v>
      </c>
      <c r="G426" s="7" t="s">
        <v>959</v>
      </c>
      <c r="H426" s="6"/>
      <c r="I426" s="7"/>
      <c r="J426" s="6"/>
      <c r="K426" s="7"/>
      <c r="L426" s="6">
        <v>1</v>
      </c>
      <c r="M426" s="8" t="s">
        <v>92</v>
      </c>
      <c r="N426" s="6"/>
      <c r="O426" s="7"/>
      <c r="P426" s="6"/>
      <c r="Q426" s="7"/>
      <c r="R426" s="7">
        <v>45637</v>
      </c>
      <c r="S426" s="7" t="s">
        <v>17</v>
      </c>
      <c r="T426" s="7" t="s">
        <v>12</v>
      </c>
    </row>
    <row r="427" spans="4:20" s="5" customFormat="1" ht="24.95" customHeight="1" x14ac:dyDescent="0.3">
      <c r="D427" s="6">
        <f t="shared" si="6"/>
        <v>426</v>
      </c>
      <c r="E427" s="7" t="s">
        <v>156</v>
      </c>
      <c r="F427" s="7" t="s">
        <v>960</v>
      </c>
      <c r="G427" s="7" t="s">
        <v>961</v>
      </c>
      <c r="H427" s="6"/>
      <c r="I427" s="7"/>
      <c r="J427" s="6"/>
      <c r="K427" s="7"/>
      <c r="L427" s="6">
        <v>1</v>
      </c>
      <c r="M427" s="8" t="s">
        <v>92</v>
      </c>
      <c r="N427" s="6"/>
      <c r="O427" s="7"/>
      <c r="P427" s="6"/>
      <c r="Q427" s="7"/>
      <c r="R427" s="7">
        <v>45638</v>
      </c>
      <c r="S427" s="7" t="s">
        <v>17</v>
      </c>
      <c r="T427" s="7" t="s">
        <v>12</v>
      </c>
    </row>
    <row r="428" spans="4:20" s="5" customFormat="1" ht="24.95" customHeight="1" x14ac:dyDescent="0.3">
      <c r="D428" s="6">
        <f t="shared" si="6"/>
        <v>427</v>
      </c>
      <c r="E428" s="7" t="s">
        <v>327</v>
      </c>
      <c r="F428" s="7" t="s">
        <v>962</v>
      </c>
      <c r="G428" s="7" t="s">
        <v>963</v>
      </c>
      <c r="H428" s="6"/>
      <c r="I428" s="7"/>
      <c r="J428" s="6"/>
      <c r="K428" s="7"/>
      <c r="L428" s="6">
        <v>1</v>
      </c>
      <c r="M428" s="8" t="s">
        <v>92</v>
      </c>
      <c r="N428" s="6"/>
      <c r="O428" s="7"/>
      <c r="P428" s="6"/>
      <c r="Q428" s="7"/>
      <c r="R428" s="7">
        <v>45638</v>
      </c>
      <c r="S428" s="7" t="s">
        <v>17</v>
      </c>
      <c r="T428" s="7" t="s">
        <v>12</v>
      </c>
    </row>
    <row r="429" spans="4:20" s="5" customFormat="1" ht="24.95" customHeight="1" x14ac:dyDescent="0.3">
      <c r="D429" s="6">
        <f t="shared" si="6"/>
        <v>428</v>
      </c>
      <c r="E429" s="7" t="s">
        <v>964</v>
      </c>
      <c r="F429" s="7" t="s">
        <v>965</v>
      </c>
      <c r="G429" s="7" t="s">
        <v>966</v>
      </c>
      <c r="H429" s="6"/>
      <c r="I429" s="7"/>
      <c r="J429" s="6"/>
      <c r="K429" s="7"/>
      <c r="L429" s="6">
        <v>1</v>
      </c>
      <c r="M429" s="8" t="s">
        <v>92</v>
      </c>
      <c r="N429" s="6"/>
      <c r="O429" s="7"/>
      <c r="P429" s="6"/>
      <c r="Q429" s="7"/>
      <c r="R429" s="7">
        <v>45638</v>
      </c>
      <c r="S429" s="7" t="s">
        <v>17</v>
      </c>
      <c r="T429" s="7" t="s">
        <v>12</v>
      </c>
    </row>
    <row r="430" spans="4:20" s="5" customFormat="1" ht="24.95" customHeight="1" x14ac:dyDescent="0.3">
      <c r="D430" s="6">
        <f t="shared" si="6"/>
        <v>429</v>
      </c>
      <c r="E430" s="7" t="s">
        <v>765</v>
      </c>
      <c r="F430" s="7" t="s">
        <v>967</v>
      </c>
      <c r="G430" s="7" t="s">
        <v>968</v>
      </c>
      <c r="H430" s="6"/>
      <c r="I430" s="7"/>
      <c r="J430" s="6"/>
      <c r="K430" s="7"/>
      <c r="L430" s="6"/>
      <c r="M430" s="7"/>
      <c r="N430" s="6"/>
      <c r="O430" s="7"/>
      <c r="P430" s="6">
        <v>1</v>
      </c>
      <c r="Q430" s="8" t="s">
        <v>58</v>
      </c>
      <c r="R430" s="7">
        <v>45638</v>
      </c>
      <c r="S430" s="7" t="s">
        <v>17</v>
      </c>
      <c r="T430" s="7" t="s">
        <v>12</v>
      </c>
    </row>
    <row r="431" spans="4:20" s="5" customFormat="1" ht="24.95" customHeight="1" x14ac:dyDescent="0.3">
      <c r="D431" s="6">
        <f t="shared" si="6"/>
        <v>430</v>
      </c>
      <c r="E431" s="7" t="s">
        <v>765</v>
      </c>
      <c r="F431" s="7" t="s">
        <v>969</v>
      </c>
      <c r="G431" s="7" t="s">
        <v>970</v>
      </c>
      <c r="H431" s="6"/>
      <c r="I431" s="7"/>
      <c r="J431" s="6"/>
      <c r="K431" s="7"/>
      <c r="L431" s="6">
        <v>1</v>
      </c>
      <c r="M431" s="8" t="s">
        <v>92</v>
      </c>
      <c r="N431" s="6"/>
      <c r="O431" s="7"/>
      <c r="P431" s="6"/>
      <c r="Q431" s="7"/>
      <c r="R431" s="7">
        <v>45638</v>
      </c>
      <c r="S431" s="7" t="s">
        <v>17</v>
      </c>
      <c r="T431" s="7" t="s">
        <v>12</v>
      </c>
    </row>
    <row r="432" spans="4:20" s="5" customFormat="1" ht="24.95" customHeight="1" x14ac:dyDescent="0.3">
      <c r="D432" s="6">
        <f t="shared" si="6"/>
        <v>431</v>
      </c>
      <c r="E432" s="7" t="s">
        <v>765</v>
      </c>
      <c r="F432" s="7" t="s">
        <v>971</v>
      </c>
      <c r="G432" s="7" t="s">
        <v>972</v>
      </c>
      <c r="H432" s="6"/>
      <c r="I432" s="7"/>
      <c r="J432" s="6"/>
      <c r="K432" s="7"/>
      <c r="L432" s="6"/>
      <c r="M432" s="7"/>
      <c r="N432" s="6"/>
      <c r="O432" s="7"/>
      <c r="P432" s="6">
        <v>1</v>
      </c>
      <c r="Q432" s="8" t="s">
        <v>16</v>
      </c>
      <c r="R432" s="7">
        <v>45638</v>
      </c>
      <c r="S432" s="7" t="s">
        <v>17</v>
      </c>
      <c r="T432" s="7" t="s">
        <v>12</v>
      </c>
    </row>
    <row r="433" spans="1:20" s="5" customFormat="1" ht="24.95" customHeight="1" x14ac:dyDescent="0.3">
      <c r="D433" s="6">
        <f t="shared" si="6"/>
        <v>432</v>
      </c>
      <c r="E433" s="7" t="s">
        <v>765</v>
      </c>
      <c r="F433" s="7" t="s">
        <v>973</v>
      </c>
      <c r="G433" s="7" t="s">
        <v>974</v>
      </c>
      <c r="H433" s="6"/>
      <c r="I433" s="7"/>
      <c r="J433" s="6"/>
      <c r="K433" s="7"/>
      <c r="L433" s="6"/>
      <c r="M433" s="7"/>
      <c r="N433" s="6"/>
      <c r="O433" s="7"/>
      <c r="P433" s="6">
        <v>1</v>
      </c>
      <c r="Q433" s="8" t="s">
        <v>25</v>
      </c>
      <c r="R433" s="7">
        <v>45638</v>
      </c>
      <c r="S433" s="7" t="s">
        <v>17</v>
      </c>
      <c r="T433" s="7" t="s">
        <v>12</v>
      </c>
    </row>
    <row r="434" spans="1:20" s="5" customFormat="1" ht="24.95" customHeight="1" x14ac:dyDescent="0.3">
      <c r="D434" s="6">
        <f t="shared" si="6"/>
        <v>433</v>
      </c>
      <c r="E434" s="7" t="s">
        <v>765</v>
      </c>
      <c r="F434" s="7" t="s">
        <v>975</v>
      </c>
      <c r="G434" s="7" t="s">
        <v>976</v>
      </c>
      <c r="H434" s="6"/>
      <c r="I434" s="7"/>
      <c r="J434" s="6"/>
      <c r="K434" s="7"/>
      <c r="L434" s="6"/>
      <c r="M434" s="7"/>
      <c r="N434" s="6"/>
      <c r="O434" s="7"/>
      <c r="P434" s="6">
        <v>1</v>
      </c>
      <c r="Q434" s="8" t="s">
        <v>16</v>
      </c>
      <c r="R434" s="7">
        <v>45638</v>
      </c>
      <c r="S434" s="7" t="s">
        <v>17</v>
      </c>
      <c r="T434" s="7" t="s">
        <v>12</v>
      </c>
    </row>
    <row r="435" spans="1:20" s="5" customFormat="1" ht="24.95" customHeight="1" x14ac:dyDescent="0.3">
      <c r="D435" s="6">
        <f t="shared" si="6"/>
        <v>434</v>
      </c>
      <c r="E435" s="7" t="s">
        <v>327</v>
      </c>
      <c r="F435" s="7" t="s">
        <v>977</v>
      </c>
      <c r="G435" s="7" t="s">
        <v>978</v>
      </c>
      <c r="H435" s="6"/>
      <c r="I435" s="7"/>
      <c r="J435" s="6"/>
      <c r="K435" s="7"/>
      <c r="L435" s="6"/>
      <c r="M435" s="7"/>
      <c r="N435" s="6"/>
      <c r="O435" s="7"/>
      <c r="P435" s="6">
        <v>1</v>
      </c>
      <c r="Q435" s="8" t="s">
        <v>16</v>
      </c>
      <c r="R435" s="7">
        <v>45642</v>
      </c>
      <c r="S435" s="7" t="s">
        <v>17</v>
      </c>
      <c r="T435" s="7" t="s">
        <v>12</v>
      </c>
    </row>
    <row r="436" spans="1:20" s="5" customFormat="1" ht="24.95" customHeight="1" x14ac:dyDescent="0.3">
      <c r="D436" s="6">
        <f t="shared" si="6"/>
        <v>435</v>
      </c>
      <c r="E436" s="7" t="s">
        <v>327</v>
      </c>
      <c r="F436" s="7" t="s">
        <v>979</v>
      </c>
      <c r="G436" s="7" t="s">
        <v>980</v>
      </c>
      <c r="H436" s="6"/>
      <c r="I436" s="7"/>
      <c r="J436" s="6"/>
      <c r="K436" s="7"/>
      <c r="L436" s="6"/>
      <c r="M436" s="7"/>
      <c r="N436" s="6"/>
      <c r="O436" s="7"/>
      <c r="P436" s="6">
        <v>1</v>
      </c>
      <c r="Q436" s="8" t="s">
        <v>16</v>
      </c>
      <c r="R436" s="7">
        <v>45642</v>
      </c>
      <c r="S436" s="7" t="s">
        <v>17</v>
      </c>
      <c r="T436" s="7" t="s">
        <v>12</v>
      </c>
    </row>
    <row r="437" spans="1:20" s="5" customFormat="1" ht="24.95" customHeight="1" x14ac:dyDescent="0.3">
      <c r="A437" s="10"/>
      <c r="B437" s="10"/>
      <c r="D437" s="6">
        <f t="shared" si="6"/>
        <v>436</v>
      </c>
      <c r="E437" s="7" t="s">
        <v>515</v>
      </c>
      <c r="F437" s="7" t="s">
        <v>981</v>
      </c>
      <c r="G437" s="7" t="s">
        <v>982</v>
      </c>
      <c r="H437" s="6"/>
      <c r="I437" s="7"/>
      <c r="J437" s="6"/>
      <c r="K437" s="7"/>
      <c r="L437" s="6"/>
      <c r="M437" s="7"/>
      <c r="N437" s="6"/>
      <c r="O437" s="7"/>
      <c r="P437" s="6">
        <v>1</v>
      </c>
      <c r="Q437" s="8" t="s">
        <v>16</v>
      </c>
      <c r="R437" s="7">
        <v>45643</v>
      </c>
      <c r="S437" s="7" t="s">
        <v>17</v>
      </c>
      <c r="T437" s="7" t="s">
        <v>12</v>
      </c>
    </row>
    <row r="438" spans="1:20" s="5" customFormat="1" ht="24.95" customHeight="1" x14ac:dyDescent="0.3">
      <c r="A438" s="10"/>
      <c r="B438" s="10"/>
      <c r="D438" s="6">
        <f t="shared" si="6"/>
        <v>437</v>
      </c>
      <c r="E438" s="7" t="s">
        <v>89</v>
      </c>
      <c r="F438" s="7" t="s">
        <v>983</v>
      </c>
      <c r="G438" s="7" t="s">
        <v>984</v>
      </c>
      <c r="H438" s="6"/>
      <c r="I438" s="7"/>
      <c r="J438" s="6"/>
      <c r="K438" s="7"/>
      <c r="L438" s="6"/>
      <c r="M438" s="7"/>
      <c r="N438" s="6"/>
      <c r="O438" s="7"/>
      <c r="P438" s="6">
        <v>1</v>
      </c>
      <c r="Q438" s="8" t="s">
        <v>58</v>
      </c>
      <c r="R438" s="7">
        <v>45645</v>
      </c>
      <c r="S438" s="7" t="s">
        <v>17</v>
      </c>
      <c r="T438" s="7" t="s">
        <v>12</v>
      </c>
    </row>
    <row r="439" spans="1:20" s="5" customFormat="1" ht="24.95" customHeight="1" x14ac:dyDescent="0.3">
      <c r="A439" s="10"/>
      <c r="B439" s="10"/>
      <c r="D439" s="6">
        <f t="shared" si="6"/>
        <v>438</v>
      </c>
      <c r="E439" s="7" t="s">
        <v>334</v>
      </c>
      <c r="F439" s="7" t="s">
        <v>985</v>
      </c>
      <c r="G439" s="7" t="s">
        <v>986</v>
      </c>
      <c r="H439" s="6"/>
      <c r="I439" s="7"/>
      <c r="J439" s="6"/>
      <c r="K439" s="7"/>
      <c r="L439" s="6"/>
      <c r="M439" s="7"/>
      <c r="N439" s="6"/>
      <c r="O439" s="7"/>
      <c r="P439" s="6">
        <v>1</v>
      </c>
      <c r="Q439" s="8" t="s">
        <v>16</v>
      </c>
      <c r="R439" s="7">
        <v>45645</v>
      </c>
      <c r="S439" s="7" t="s">
        <v>17</v>
      </c>
      <c r="T439" s="7" t="s">
        <v>12</v>
      </c>
    </row>
    <row r="440" spans="1:20" s="5" customFormat="1" ht="24.95" customHeight="1" x14ac:dyDescent="0.3">
      <c r="A440" s="10"/>
      <c r="B440" s="10"/>
      <c r="D440" s="6">
        <f t="shared" si="6"/>
        <v>439</v>
      </c>
      <c r="E440" s="7" t="s">
        <v>987</v>
      </c>
      <c r="F440" s="7" t="s">
        <v>988</v>
      </c>
      <c r="G440" s="7" t="s">
        <v>989</v>
      </c>
      <c r="H440" s="6"/>
      <c r="I440" s="7"/>
      <c r="J440" s="6"/>
      <c r="K440" s="7"/>
      <c r="L440" s="6"/>
      <c r="M440" s="7"/>
      <c r="N440" s="6"/>
      <c r="O440" s="7"/>
      <c r="P440" s="6">
        <v>1</v>
      </c>
      <c r="Q440" s="8" t="s">
        <v>272</v>
      </c>
      <c r="R440" s="7">
        <v>45645</v>
      </c>
      <c r="S440" s="7" t="s">
        <v>17</v>
      </c>
      <c r="T440" s="7" t="s">
        <v>12</v>
      </c>
    </row>
    <row r="441" spans="1:20" s="5" customFormat="1" ht="24.95" customHeight="1" x14ac:dyDescent="0.3">
      <c r="A441" s="10"/>
      <c r="B441" s="10"/>
      <c r="D441" s="6">
        <f t="shared" si="6"/>
        <v>440</v>
      </c>
      <c r="E441" s="7" t="s">
        <v>987</v>
      </c>
      <c r="F441" s="7" t="s">
        <v>990</v>
      </c>
      <c r="G441" s="7" t="s">
        <v>991</v>
      </c>
      <c r="H441" s="6"/>
      <c r="I441" s="7"/>
      <c r="J441" s="6"/>
      <c r="K441" s="7"/>
      <c r="L441" s="6"/>
      <c r="M441" s="7"/>
      <c r="N441" s="6"/>
      <c r="O441" s="7"/>
      <c r="P441" s="6">
        <v>1</v>
      </c>
      <c r="Q441" s="8" t="s">
        <v>272</v>
      </c>
      <c r="R441" s="7">
        <v>45645</v>
      </c>
      <c r="S441" s="7" t="s">
        <v>17</v>
      </c>
      <c r="T441" s="7" t="s">
        <v>12</v>
      </c>
    </row>
    <row r="442" spans="1:20" s="5" customFormat="1" ht="24.95" customHeight="1" x14ac:dyDescent="0.3">
      <c r="A442" s="10"/>
      <c r="B442" s="10"/>
      <c r="D442" s="6">
        <f t="shared" si="6"/>
        <v>441</v>
      </c>
      <c r="E442" s="7" t="s">
        <v>384</v>
      </c>
      <c r="F442" s="7" t="s">
        <v>992</v>
      </c>
      <c r="G442" s="7" t="s">
        <v>993</v>
      </c>
      <c r="H442" s="6"/>
      <c r="I442" s="7"/>
      <c r="J442" s="6">
        <v>1</v>
      </c>
      <c r="K442" s="8" t="s">
        <v>80</v>
      </c>
      <c r="L442" s="6"/>
      <c r="M442" s="7"/>
      <c r="N442" s="6"/>
      <c r="O442" s="7"/>
      <c r="P442" s="6"/>
      <c r="Q442" s="7"/>
      <c r="R442" s="7">
        <v>45647</v>
      </c>
      <c r="S442" s="7" t="s">
        <v>17</v>
      </c>
      <c r="T442" s="7" t="s">
        <v>12</v>
      </c>
    </row>
    <row r="443" spans="1:20" s="5" customFormat="1" ht="24.95" customHeight="1" x14ac:dyDescent="0.3">
      <c r="A443" s="10"/>
      <c r="B443" s="10"/>
      <c r="D443" s="6">
        <f t="shared" si="6"/>
        <v>442</v>
      </c>
      <c r="E443" s="7" t="s">
        <v>180</v>
      </c>
      <c r="F443" s="7" t="s">
        <v>994</v>
      </c>
      <c r="G443" s="7" t="s">
        <v>608</v>
      </c>
      <c r="H443" s="6"/>
      <c r="I443" s="7"/>
      <c r="J443" s="6"/>
      <c r="K443" s="6"/>
      <c r="L443" s="6"/>
      <c r="M443" s="7"/>
      <c r="N443" s="6">
        <v>1</v>
      </c>
      <c r="O443" s="8" t="s">
        <v>108</v>
      </c>
      <c r="P443" s="6"/>
      <c r="Q443" s="7"/>
      <c r="R443" s="7">
        <v>45649</v>
      </c>
      <c r="S443" s="7" t="s">
        <v>17</v>
      </c>
      <c r="T443" s="7" t="s">
        <v>12</v>
      </c>
    </row>
    <row r="444" spans="1:20" s="5" customFormat="1" ht="24.95" customHeight="1" x14ac:dyDescent="0.3">
      <c r="A444" s="10"/>
      <c r="B444" s="10"/>
      <c r="D444" s="6">
        <f t="shared" si="6"/>
        <v>443</v>
      </c>
      <c r="E444" s="7" t="s">
        <v>180</v>
      </c>
      <c r="F444" s="7" t="s">
        <v>995</v>
      </c>
      <c r="G444" s="7" t="s">
        <v>606</v>
      </c>
      <c r="H444" s="6"/>
      <c r="I444" s="7"/>
      <c r="J444" s="6">
        <v>1</v>
      </c>
      <c r="K444" s="8" t="s">
        <v>130</v>
      </c>
      <c r="L444" s="6"/>
      <c r="M444" s="7"/>
      <c r="N444" s="6"/>
      <c r="O444" s="7"/>
      <c r="P444" s="6"/>
      <c r="Q444" s="7"/>
      <c r="R444" s="7">
        <v>45649</v>
      </c>
      <c r="S444" s="7" t="s">
        <v>17</v>
      </c>
      <c r="T444" s="7" t="s">
        <v>12</v>
      </c>
    </row>
    <row r="445" spans="1:20" s="5" customFormat="1" ht="24.95" customHeight="1" x14ac:dyDescent="0.3">
      <c r="A445" s="10"/>
      <c r="B445" s="10"/>
      <c r="D445" s="6">
        <f t="shared" si="6"/>
        <v>444</v>
      </c>
      <c r="E445" s="7" t="s">
        <v>72</v>
      </c>
      <c r="F445" s="7" t="s">
        <v>996</v>
      </c>
      <c r="G445" s="7" t="s">
        <v>997</v>
      </c>
      <c r="H445" s="6"/>
      <c r="I445" s="7"/>
      <c r="J445" s="6"/>
      <c r="K445" s="6"/>
      <c r="L445" s="6"/>
      <c r="M445" s="7"/>
      <c r="N445" s="6">
        <v>1</v>
      </c>
      <c r="O445" s="8" t="s">
        <v>77</v>
      </c>
      <c r="P445" s="6"/>
      <c r="Q445" s="7"/>
      <c r="R445" s="7">
        <v>45649</v>
      </c>
      <c r="S445" s="7" t="s">
        <v>17</v>
      </c>
      <c r="T445" s="7" t="s">
        <v>12</v>
      </c>
    </row>
    <row r="446" spans="1:20" s="5" customFormat="1" ht="24.95" customHeight="1" x14ac:dyDescent="0.3">
      <c r="A446" s="10"/>
      <c r="B446" s="10"/>
      <c r="D446" s="6">
        <f t="shared" si="6"/>
        <v>445</v>
      </c>
      <c r="E446" s="7" t="s">
        <v>998</v>
      </c>
      <c r="F446" s="7" t="s">
        <v>999</v>
      </c>
      <c r="G446" s="7" t="s">
        <v>1000</v>
      </c>
      <c r="H446" s="6"/>
      <c r="I446" s="7"/>
      <c r="J446" s="6"/>
      <c r="K446" s="6"/>
      <c r="L446" s="6"/>
      <c r="M446" s="7"/>
      <c r="N446" s="6"/>
      <c r="O446" s="7"/>
      <c r="P446" s="6">
        <v>1</v>
      </c>
      <c r="Q446" s="8" t="s">
        <v>58</v>
      </c>
      <c r="R446" s="7">
        <v>45649</v>
      </c>
      <c r="S446" s="7" t="s">
        <v>17</v>
      </c>
      <c r="T446" s="7" t="s">
        <v>12</v>
      </c>
    </row>
    <row r="447" spans="1:20" s="5" customFormat="1" ht="24.95" customHeight="1" x14ac:dyDescent="0.3">
      <c r="A447" s="10"/>
      <c r="B447" s="10"/>
      <c r="D447" s="6">
        <f t="shared" si="6"/>
        <v>446</v>
      </c>
      <c r="E447" s="7" t="s">
        <v>1001</v>
      </c>
      <c r="F447" s="7" t="s">
        <v>1002</v>
      </c>
      <c r="G447" s="7" t="s">
        <v>1003</v>
      </c>
      <c r="H447" s="6"/>
      <c r="I447" s="7"/>
      <c r="J447" s="6"/>
      <c r="K447" s="6"/>
      <c r="L447" s="6"/>
      <c r="M447" s="7"/>
      <c r="N447" s="6"/>
      <c r="O447" s="7"/>
      <c r="P447" s="6">
        <v>1</v>
      </c>
      <c r="Q447" s="8" t="s">
        <v>272</v>
      </c>
      <c r="R447" s="7">
        <v>45650</v>
      </c>
      <c r="S447" s="7" t="s">
        <v>17</v>
      </c>
      <c r="T447" s="7" t="s">
        <v>12</v>
      </c>
    </row>
    <row r="448" spans="1:20" s="5" customFormat="1" ht="24.95" customHeight="1" x14ac:dyDescent="0.3">
      <c r="A448" s="10"/>
      <c r="B448" s="10"/>
      <c r="D448" s="6">
        <f t="shared" si="6"/>
        <v>447</v>
      </c>
      <c r="E448" s="7" t="s">
        <v>18</v>
      </c>
      <c r="F448" s="7" t="s">
        <v>1004</v>
      </c>
      <c r="G448" s="7" t="s">
        <v>997</v>
      </c>
      <c r="H448" s="6"/>
      <c r="I448" s="7"/>
      <c r="J448" s="6"/>
      <c r="K448" s="6"/>
      <c r="L448" s="6"/>
      <c r="M448" s="7"/>
      <c r="N448" s="6">
        <v>1</v>
      </c>
      <c r="O448" s="8" t="s">
        <v>77</v>
      </c>
      <c r="P448" s="6"/>
      <c r="Q448" s="7"/>
      <c r="R448" s="7">
        <v>45650</v>
      </c>
      <c r="S448" s="7" t="s">
        <v>17</v>
      </c>
      <c r="T448" s="7" t="s">
        <v>12</v>
      </c>
    </row>
    <row r="449" spans="1:20" s="5" customFormat="1" ht="24.95" customHeight="1" x14ac:dyDescent="0.3">
      <c r="A449" s="10"/>
      <c r="B449" s="10"/>
      <c r="D449" s="6">
        <f t="shared" si="6"/>
        <v>448</v>
      </c>
      <c r="E449" s="7" t="s">
        <v>654</v>
      </c>
      <c r="F449" s="7" t="s">
        <v>1005</v>
      </c>
      <c r="G449" s="7" t="s">
        <v>656</v>
      </c>
      <c r="H449" s="6"/>
      <c r="I449" s="7"/>
      <c r="J449" s="6"/>
      <c r="K449" s="6"/>
      <c r="L449" s="6"/>
      <c r="M449" s="7"/>
      <c r="N449" s="6"/>
      <c r="O449" s="7"/>
      <c r="P449" s="6">
        <v>1</v>
      </c>
      <c r="Q449" s="8" t="s">
        <v>16</v>
      </c>
      <c r="R449" s="7">
        <v>45651</v>
      </c>
      <c r="S449" s="7" t="s">
        <v>17</v>
      </c>
      <c r="T449" s="7" t="s">
        <v>12</v>
      </c>
    </row>
    <row r="450" spans="1:20" s="5" customFormat="1" ht="24.95" customHeight="1" x14ac:dyDescent="0.3">
      <c r="A450" s="10"/>
      <c r="B450" s="10"/>
      <c r="D450" s="6">
        <f t="shared" si="6"/>
        <v>449</v>
      </c>
      <c r="E450" s="7" t="s">
        <v>1006</v>
      </c>
      <c r="F450" s="7" t="s">
        <v>1007</v>
      </c>
      <c r="G450" s="7" t="s">
        <v>1008</v>
      </c>
      <c r="H450" s="6"/>
      <c r="I450" s="7"/>
      <c r="J450" s="6"/>
      <c r="K450" s="6"/>
      <c r="L450" s="6">
        <v>1</v>
      </c>
      <c r="M450" s="8" t="s">
        <v>92</v>
      </c>
      <c r="N450" s="6"/>
      <c r="O450" s="7"/>
      <c r="P450" s="6"/>
      <c r="Q450" s="7"/>
      <c r="R450" s="7">
        <v>45651</v>
      </c>
      <c r="S450" s="7" t="s">
        <v>17</v>
      </c>
      <c r="T450" s="7" t="s">
        <v>12</v>
      </c>
    </row>
    <row r="451" spans="1:20" s="5" customFormat="1" ht="24.95" customHeight="1" x14ac:dyDescent="0.3">
      <c r="A451" s="10"/>
      <c r="B451" s="10"/>
      <c r="D451" s="6">
        <f t="shared" ref="D451:D514" si="7">ROW()-1</f>
        <v>450</v>
      </c>
      <c r="E451" s="7" t="s">
        <v>898</v>
      </c>
      <c r="F451" s="7" t="s">
        <v>1009</v>
      </c>
      <c r="G451" s="7" t="s">
        <v>1010</v>
      </c>
      <c r="H451" s="6"/>
      <c r="I451" s="7"/>
      <c r="J451" s="6">
        <v>1</v>
      </c>
      <c r="K451" s="8" t="s">
        <v>130</v>
      </c>
      <c r="L451" s="6"/>
      <c r="M451" s="7"/>
      <c r="N451" s="6"/>
      <c r="O451" s="7"/>
      <c r="P451" s="6"/>
      <c r="Q451" s="7"/>
      <c r="R451" s="7">
        <v>45656</v>
      </c>
      <c r="S451" s="7" t="s">
        <v>17</v>
      </c>
      <c r="T451" s="7" t="s">
        <v>12</v>
      </c>
    </row>
    <row r="452" spans="1:20" s="5" customFormat="1" ht="24.95" customHeight="1" x14ac:dyDescent="0.3">
      <c r="A452" s="10"/>
      <c r="B452" s="10"/>
      <c r="D452" s="6">
        <f t="shared" si="7"/>
        <v>451</v>
      </c>
      <c r="E452" s="7" t="s">
        <v>1011</v>
      </c>
      <c r="F452" s="7" t="s">
        <v>1012</v>
      </c>
      <c r="G452" s="7" t="s">
        <v>1013</v>
      </c>
      <c r="H452" s="6"/>
      <c r="I452" s="7"/>
      <c r="J452" s="6"/>
      <c r="K452" s="6"/>
      <c r="L452" s="6"/>
      <c r="M452" s="7"/>
      <c r="N452" s="6">
        <v>1</v>
      </c>
      <c r="O452" s="8" t="s">
        <v>77</v>
      </c>
      <c r="P452" s="6"/>
      <c r="Q452" s="7"/>
      <c r="R452" s="7">
        <v>45656</v>
      </c>
      <c r="S452" s="7" t="s">
        <v>17</v>
      </c>
      <c r="T452" s="7" t="s">
        <v>12</v>
      </c>
    </row>
    <row r="453" spans="1:20" s="5" customFormat="1" ht="24.95" customHeight="1" x14ac:dyDescent="0.3">
      <c r="A453" s="10"/>
      <c r="B453" s="10"/>
      <c r="D453" s="6">
        <f t="shared" si="7"/>
        <v>452</v>
      </c>
      <c r="E453" s="7" t="s">
        <v>1011</v>
      </c>
      <c r="F453" s="7" t="s">
        <v>1014</v>
      </c>
      <c r="G453" s="7" t="s">
        <v>1015</v>
      </c>
      <c r="H453" s="6"/>
      <c r="I453" s="7"/>
      <c r="J453" s="6"/>
      <c r="K453" s="6"/>
      <c r="L453" s="6"/>
      <c r="M453" s="7"/>
      <c r="N453" s="6">
        <v>1</v>
      </c>
      <c r="O453" s="8" t="s">
        <v>77</v>
      </c>
      <c r="P453" s="6"/>
      <c r="Q453" s="7"/>
      <c r="R453" s="7">
        <v>45656</v>
      </c>
      <c r="S453" s="7" t="s">
        <v>17</v>
      </c>
      <c r="T453" s="7" t="s">
        <v>12</v>
      </c>
    </row>
    <row r="454" spans="1:20" s="5" customFormat="1" ht="24.95" customHeight="1" x14ac:dyDescent="0.3">
      <c r="A454" s="10"/>
      <c r="B454" s="10"/>
      <c r="D454" s="6">
        <f t="shared" si="7"/>
        <v>453</v>
      </c>
      <c r="E454" s="7" t="s">
        <v>1011</v>
      </c>
      <c r="F454" s="7" t="s">
        <v>1016</v>
      </c>
      <c r="G454" s="7" t="s">
        <v>1017</v>
      </c>
      <c r="H454" s="6"/>
      <c r="I454" s="7"/>
      <c r="J454" s="6"/>
      <c r="K454" s="6"/>
      <c r="L454" s="6"/>
      <c r="M454" s="7"/>
      <c r="N454" s="6">
        <v>1</v>
      </c>
      <c r="O454" s="8" t="s">
        <v>77</v>
      </c>
      <c r="P454" s="6"/>
      <c r="Q454" s="7"/>
      <c r="R454" s="7">
        <v>45656</v>
      </c>
      <c r="S454" s="7" t="s">
        <v>17</v>
      </c>
      <c r="T454" s="7" t="s">
        <v>12</v>
      </c>
    </row>
    <row r="455" spans="1:20" s="5" customFormat="1" ht="24.95" customHeight="1" x14ac:dyDescent="0.3">
      <c r="A455" s="10"/>
      <c r="B455" s="10"/>
      <c r="D455" s="6">
        <f t="shared" si="7"/>
        <v>454</v>
      </c>
      <c r="E455" s="7" t="s">
        <v>1018</v>
      </c>
      <c r="F455" s="7" t="s">
        <v>1019</v>
      </c>
      <c r="G455" s="7" t="s">
        <v>1020</v>
      </c>
      <c r="H455" s="6"/>
      <c r="I455" s="7"/>
      <c r="J455" s="6">
        <v>1</v>
      </c>
      <c r="K455" s="8" t="s">
        <v>1021</v>
      </c>
      <c r="L455" s="6"/>
      <c r="M455" s="7"/>
      <c r="N455" s="6"/>
      <c r="O455" s="7"/>
      <c r="P455" s="6"/>
      <c r="Q455" s="7"/>
      <c r="R455" s="7">
        <v>45656</v>
      </c>
      <c r="S455" s="7" t="s">
        <v>17</v>
      </c>
      <c r="T455" s="7" t="s">
        <v>12</v>
      </c>
    </row>
    <row r="456" spans="1:20" s="5" customFormat="1" ht="24.95" customHeight="1" x14ac:dyDescent="0.3">
      <c r="A456" s="10"/>
      <c r="B456" s="10"/>
      <c r="D456" s="6">
        <f t="shared" si="7"/>
        <v>455</v>
      </c>
      <c r="E456" s="7" t="s">
        <v>557</v>
      </c>
      <c r="F456" s="7" t="s">
        <v>1022</v>
      </c>
      <c r="G456" s="7" t="s">
        <v>1023</v>
      </c>
      <c r="H456" s="6"/>
      <c r="I456" s="7"/>
      <c r="J456" s="6">
        <v>1</v>
      </c>
      <c r="K456" s="8" t="s">
        <v>130</v>
      </c>
      <c r="L456" s="6"/>
      <c r="M456" s="7"/>
      <c r="N456" s="6"/>
      <c r="O456" s="7"/>
      <c r="P456" s="6"/>
      <c r="Q456" s="7"/>
      <c r="R456" s="7">
        <v>45657</v>
      </c>
      <c r="S456" s="7" t="s">
        <v>17</v>
      </c>
      <c r="T456" s="7" t="s">
        <v>12</v>
      </c>
    </row>
    <row r="457" spans="1:20" s="5" customFormat="1" ht="24.95" customHeight="1" x14ac:dyDescent="0.3">
      <c r="A457" s="10"/>
      <c r="B457" s="10"/>
      <c r="D457" s="6">
        <f t="shared" si="7"/>
        <v>456</v>
      </c>
      <c r="E457" s="7" t="s">
        <v>557</v>
      </c>
      <c r="F457" s="7" t="s">
        <v>1024</v>
      </c>
      <c r="G457" s="7" t="s">
        <v>1025</v>
      </c>
      <c r="H457" s="6"/>
      <c r="I457" s="7"/>
      <c r="J457" s="6">
        <v>1</v>
      </c>
      <c r="K457" s="8" t="s">
        <v>130</v>
      </c>
      <c r="L457" s="6"/>
      <c r="M457" s="7"/>
      <c r="N457" s="6"/>
      <c r="O457" s="7"/>
      <c r="P457" s="6"/>
      <c r="Q457" s="7"/>
      <c r="R457" s="7">
        <v>45657</v>
      </c>
      <c r="S457" s="7" t="s">
        <v>17</v>
      </c>
      <c r="T457" s="7" t="s">
        <v>12</v>
      </c>
    </row>
    <row r="458" spans="1:20" s="5" customFormat="1" ht="24.95" customHeight="1" x14ac:dyDescent="0.3">
      <c r="A458" s="10"/>
      <c r="B458" s="10"/>
      <c r="D458" s="6">
        <f t="shared" si="7"/>
        <v>457</v>
      </c>
      <c r="E458" s="7" t="s">
        <v>1026</v>
      </c>
      <c r="F458" s="7" t="s">
        <v>1027</v>
      </c>
      <c r="G458" s="7" t="s">
        <v>1028</v>
      </c>
      <c r="H458" s="6"/>
      <c r="I458" s="7"/>
      <c r="J458" s="6">
        <v>1</v>
      </c>
      <c r="K458" s="8" t="s">
        <v>80</v>
      </c>
      <c r="L458" s="6"/>
      <c r="M458" s="7"/>
      <c r="N458" s="6"/>
      <c r="O458" s="7"/>
      <c r="P458" s="6"/>
      <c r="Q458" s="7"/>
      <c r="R458" s="7">
        <v>45657</v>
      </c>
      <c r="S458" s="7" t="s">
        <v>17</v>
      </c>
      <c r="T458" s="7" t="s">
        <v>12</v>
      </c>
    </row>
    <row r="459" spans="1:20" s="5" customFormat="1" ht="24.95" customHeight="1" x14ac:dyDescent="0.3">
      <c r="A459" s="10"/>
      <c r="B459" s="10"/>
      <c r="D459" s="6">
        <f t="shared" si="7"/>
        <v>458</v>
      </c>
      <c r="E459" s="7" t="s">
        <v>13</v>
      </c>
      <c r="F459" s="7" t="s">
        <v>1029</v>
      </c>
      <c r="G459" s="7" t="s">
        <v>1030</v>
      </c>
      <c r="H459" s="6"/>
      <c r="I459" s="7"/>
      <c r="J459" s="6"/>
      <c r="K459" s="6"/>
      <c r="L459" s="6"/>
      <c r="M459" s="7"/>
      <c r="N459" s="6"/>
      <c r="O459" s="7"/>
      <c r="P459" s="6">
        <v>1</v>
      </c>
      <c r="Q459" s="8" t="s">
        <v>58</v>
      </c>
      <c r="R459" s="7">
        <v>45657</v>
      </c>
      <c r="S459" s="7" t="s">
        <v>17</v>
      </c>
      <c r="T459" s="7" t="s">
        <v>12</v>
      </c>
    </row>
    <row r="460" spans="1:20" s="5" customFormat="1" ht="24.95" customHeight="1" x14ac:dyDescent="0.3">
      <c r="A460" s="10"/>
      <c r="B460" s="10"/>
      <c r="D460" s="6">
        <f t="shared" si="7"/>
        <v>459</v>
      </c>
      <c r="E460" s="7" t="s">
        <v>13</v>
      </c>
      <c r="F460" s="7" t="s">
        <v>1031</v>
      </c>
      <c r="G460" s="7" t="s">
        <v>1032</v>
      </c>
      <c r="H460" s="6"/>
      <c r="I460" s="7"/>
      <c r="J460" s="6"/>
      <c r="K460" s="6"/>
      <c r="L460" s="6"/>
      <c r="M460" s="7"/>
      <c r="N460" s="6"/>
      <c r="O460" s="7"/>
      <c r="P460" s="6">
        <v>1</v>
      </c>
      <c r="Q460" s="8" t="s">
        <v>58</v>
      </c>
      <c r="R460" s="7">
        <v>45657</v>
      </c>
      <c r="S460" s="7" t="s">
        <v>17</v>
      </c>
      <c r="T460" s="7" t="s">
        <v>12</v>
      </c>
    </row>
    <row r="461" spans="1:20" s="5" customFormat="1" ht="24.95" customHeight="1" x14ac:dyDescent="0.3">
      <c r="A461" s="10"/>
      <c r="B461" s="10"/>
      <c r="D461" s="6">
        <f t="shared" si="7"/>
        <v>460</v>
      </c>
      <c r="E461" s="7" t="s">
        <v>765</v>
      </c>
      <c r="F461" s="7" t="s">
        <v>1033</v>
      </c>
      <c r="G461" s="7" t="s">
        <v>1034</v>
      </c>
      <c r="H461" s="6"/>
      <c r="I461" s="7"/>
      <c r="J461" s="6"/>
      <c r="K461" s="6"/>
      <c r="L461" s="6"/>
      <c r="M461" s="7"/>
      <c r="N461" s="6"/>
      <c r="O461" s="7"/>
      <c r="P461" s="6">
        <v>1</v>
      </c>
      <c r="Q461" s="8" t="s">
        <v>16</v>
      </c>
      <c r="R461" s="7">
        <v>45657</v>
      </c>
      <c r="S461" s="7" t="s">
        <v>17</v>
      </c>
      <c r="T461" s="7" t="s">
        <v>12</v>
      </c>
    </row>
    <row r="462" spans="1:20" s="5" customFormat="1" ht="24.95" customHeight="1" x14ac:dyDescent="0.3">
      <c r="A462" s="10"/>
      <c r="B462" s="10"/>
      <c r="D462" s="6">
        <f t="shared" si="7"/>
        <v>461</v>
      </c>
      <c r="E462" s="7" t="s">
        <v>765</v>
      </c>
      <c r="F462" s="7" t="s">
        <v>1035</v>
      </c>
      <c r="G462" s="7" t="s">
        <v>1036</v>
      </c>
      <c r="H462" s="6"/>
      <c r="I462" s="7"/>
      <c r="J462" s="6"/>
      <c r="K462" s="6"/>
      <c r="L462" s="6"/>
      <c r="M462" s="7"/>
      <c r="N462" s="6"/>
      <c r="O462" s="7"/>
      <c r="P462" s="6">
        <v>1</v>
      </c>
      <c r="Q462" s="8" t="s">
        <v>16</v>
      </c>
      <c r="R462" s="7">
        <v>45657</v>
      </c>
      <c r="S462" s="7" t="s">
        <v>17</v>
      </c>
      <c r="T462" s="7" t="s">
        <v>12</v>
      </c>
    </row>
    <row r="463" spans="1:20" s="5" customFormat="1" ht="24.95" customHeight="1" x14ac:dyDescent="0.3">
      <c r="A463" s="10"/>
      <c r="B463" s="10"/>
      <c r="D463" s="6">
        <f t="shared" si="7"/>
        <v>462</v>
      </c>
      <c r="E463" s="7" t="s">
        <v>1037</v>
      </c>
      <c r="F463" s="7" t="s">
        <v>1038</v>
      </c>
      <c r="G463" s="7" t="s">
        <v>1039</v>
      </c>
      <c r="H463" s="6"/>
      <c r="I463" s="7"/>
      <c r="J463" s="6"/>
      <c r="K463" s="6"/>
      <c r="L463" s="6"/>
      <c r="M463" s="7"/>
      <c r="N463" s="6"/>
      <c r="O463" s="7"/>
      <c r="P463" s="6">
        <v>1</v>
      </c>
      <c r="Q463" s="8" t="s">
        <v>25</v>
      </c>
      <c r="R463" s="7">
        <v>45657</v>
      </c>
      <c r="S463" s="7" t="s">
        <v>17</v>
      </c>
      <c r="T463" s="7" t="s">
        <v>12</v>
      </c>
    </row>
    <row r="464" spans="1:20" s="5" customFormat="1" ht="24.95" customHeight="1" x14ac:dyDescent="0.3">
      <c r="A464" s="10"/>
      <c r="B464" s="10"/>
      <c r="D464" s="6">
        <f t="shared" si="7"/>
        <v>463</v>
      </c>
      <c r="E464" s="7" t="s">
        <v>1037</v>
      </c>
      <c r="F464" s="7" t="s">
        <v>1040</v>
      </c>
      <c r="G464" s="7" t="s">
        <v>1041</v>
      </c>
      <c r="H464" s="6"/>
      <c r="I464" s="7"/>
      <c r="J464" s="6"/>
      <c r="K464" s="6"/>
      <c r="L464" s="6"/>
      <c r="M464" s="7"/>
      <c r="N464" s="6"/>
      <c r="O464" s="7"/>
      <c r="P464" s="6">
        <v>1</v>
      </c>
      <c r="Q464" s="8" t="s">
        <v>16</v>
      </c>
      <c r="R464" s="7">
        <v>45657</v>
      </c>
      <c r="S464" s="7" t="s">
        <v>17</v>
      </c>
      <c r="T464" s="7" t="s">
        <v>12</v>
      </c>
    </row>
    <row r="465" spans="4:20" ht="24.95" customHeight="1" x14ac:dyDescent="0.3">
      <c r="D465" s="6">
        <f t="shared" si="7"/>
        <v>464</v>
      </c>
      <c r="E465" s="7" t="s">
        <v>185</v>
      </c>
      <c r="F465" s="7" t="s">
        <v>1042</v>
      </c>
      <c r="G465" s="7" t="s">
        <v>1043</v>
      </c>
      <c r="H465" s="6"/>
      <c r="I465" s="7"/>
      <c r="J465" s="6"/>
      <c r="K465" s="7"/>
      <c r="L465" s="6"/>
      <c r="M465" s="7"/>
      <c r="N465" s="6"/>
      <c r="O465" s="7"/>
      <c r="P465" s="6">
        <v>1</v>
      </c>
      <c r="Q465" s="8" t="s">
        <v>16</v>
      </c>
      <c r="R465" s="7">
        <v>45659</v>
      </c>
      <c r="S465" s="7" t="s">
        <v>17</v>
      </c>
      <c r="T465" s="7" t="s">
        <v>12</v>
      </c>
    </row>
    <row r="466" spans="4:20" ht="24.95" customHeight="1" x14ac:dyDescent="0.3">
      <c r="D466" s="6">
        <f t="shared" si="7"/>
        <v>465</v>
      </c>
      <c r="E466" s="7" t="s">
        <v>1044</v>
      </c>
      <c r="F466" s="7" t="s">
        <v>1045</v>
      </c>
      <c r="G466" s="7" t="s">
        <v>1046</v>
      </c>
      <c r="H466" s="6"/>
      <c r="I466" s="7"/>
      <c r="J466" s="6"/>
      <c r="K466" s="7"/>
      <c r="L466" s="6"/>
      <c r="M466" s="7"/>
      <c r="N466" s="6">
        <v>1</v>
      </c>
      <c r="O466" s="8" t="s">
        <v>77</v>
      </c>
      <c r="P466" s="6"/>
      <c r="Q466" s="7"/>
      <c r="R466" s="7">
        <v>45660</v>
      </c>
      <c r="S466" s="7" t="s">
        <v>17</v>
      </c>
      <c r="T466" s="7" t="s">
        <v>12</v>
      </c>
    </row>
    <row r="467" spans="4:20" ht="24.95" customHeight="1" x14ac:dyDescent="0.3">
      <c r="D467" s="6">
        <f t="shared" si="7"/>
        <v>466</v>
      </c>
      <c r="E467" s="7" t="s">
        <v>1044</v>
      </c>
      <c r="F467" s="7" t="s">
        <v>1047</v>
      </c>
      <c r="G467" s="7" t="s">
        <v>1048</v>
      </c>
      <c r="H467" s="6"/>
      <c r="I467" s="7"/>
      <c r="J467" s="6"/>
      <c r="K467" s="7"/>
      <c r="L467" s="6"/>
      <c r="M467" s="7"/>
      <c r="N467" s="6">
        <v>1</v>
      </c>
      <c r="O467" s="8" t="s">
        <v>77</v>
      </c>
      <c r="P467" s="6"/>
      <c r="Q467" s="7"/>
      <c r="R467" s="7">
        <v>45660</v>
      </c>
      <c r="S467" s="7" t="s">
        <v>17</v>
      </c>
      <c r="T467" s="7" t="s">
        <v>12</v>
      </c>
    </row>
    <row r="468" spans="4:20" ht="24.95" customHeight="1" x14ac:dyDescent="0.3">
      <c r="D468" s="6">
        <f t="shared" si="7"/>
        <v>467</v>
      </c>
      <c r="E468" s="7" t="s">
        <v>384</v>
      </c>
      <c r="F468" s="7" t="s">
        <v>1049</v>
      </c>
      <c r="G468" s="7" t="s">
        <v>1050</v>
      </c>
      <c r="H468" s="6"/>
      <c r="I468" s="7"/>
      <c r="J468" s="6"/>
      <c r="K468" s="7"/>
      <c r="L468" s="6">
        <v>1</v>
      </c>
      <c r="M468" s="8" t="s">
        <v>92</v>
      </c>
      <c r="N468" s="6"/>
      <c r="O468" s="7"/>
      <c r="P468" s="6"/>
      <c r="Q468" s="7"/>
      <c r="R468" s="7">
        <v>45663</v>
      </c>
      <c r="S468" s="7" t="s">
        <v>17</v>
      </c>
      <c r="T468" s="7" t="s">
        <v>12</v>
      </c>
    </row>
    <row r="469" spans="4:20" ht="24.95" customHeight="1" x14ac:dyDescent="0.3">
      <c r="D469" s="6">
        <f t="shared" si="7"/>
        <v>468</v>
      </c>
      <c r="E469" s="7" t="s">
        <v>384</v>
      </c>
      <c r="F469" s="7" t="s">
        <v>1051</v>
      </c>
      <c r="G469" s="7" t="s">
        <v>1052</v>
      </c>
      <c r="H469" s="6"/>
      <c r="I469" s="7"/>
      <c r="J469" s="6"/>
      <c r="K469" s="7"/>
      <c r="L469" s="6">
        <v>1</v>
      </c>
      <c r="M469" s="8" t="s">
        <v>92</v>
      </c>
      <c r="N469" s="6"/>
      <c r="O469" s="7"/>
      <c r="P469" s="6"/>
      <c r="Q469" s="7"/>
      <c r="R469" s="7">
        <v>45663</v>
      </c>
      <c r="S469" s="7" t="s">
        <v>17</v>
      </c>
      <c r="T469" s="7" t="s">
        <v>12</v>
      </c>
    </row>
    <row r="470" spans="4:20" ht="24.95" customHeight="1" x14ac:dyDescent="0.3">
      <c r="D470" s="6">
        <f t="shared" si="7"/>
        <v>469</v>
      </c>
      <c r="E470" s="7" t="s">
        <v>1053</v>
      </c>
      <c r="F470" s="7" t="s">
        <v>1054</v>
      </c>
      <c r="G470" s="7" t="s">
        <v>1055</v>
      </c>
      <c r="H470" s="6"/>
      <c r="I470" s="7"/>
      <c r="J470" s="6"/>
      <c r="K470" s="7"/>
      <c r="L470" s="6"/>
      <c r="M470" s="7"/>
      <c r="N470" s="6"/>
      <c r="O470" s="7"/>
      <c r="P470" s="6">
        <v>1</v>
      </c>
      <c r="Q470" s="8" t="s">
        <v>16</v>
      </c>
      <c r="R470" s="7">
        <v>45663</v>
      </c>
      <c r="S470" s="7" t="s">
        <v>17</v>
      </c>
      <c r="T470" s="7" t="s">
        <v>12</v>
      </c>
    </row>
    <row r="471" spans="4:20" ht="24.95" customHeight="1" x14ac:dyDescent="0.3">
      <c r="D471" s="6">
        <f t="shared" si="7"/>
        <v>470</v>
      </c>
      <c r="E471" s="7" t="s">
        <v>210</v>
      </c>
      <c r="F471" s="7" t="s">
        <v>1056</v>
      </c>
      <c r="G471" s="7" t="s">
        <v>1057</v>
      </c>
      <c r="H471" s="6">
        <v>1</v>
      </c>
      <c r="I471" s="8" t="s">
        <v>21</v>
      </c>
      <c r="J471" s="6"/>
      <c r="K471" s="7"/>
      <c r="L471" s="6"/>
      <c r="M471" s="7"/>
      <c r="N471" s="6"/>
      <c r="O471" s="7"/>
      <c r="P471" s="6"/>
      <c r="Q471" s="7"/>
      <c r="R471" s="7">
        <v>45664</v>
      </c>
      <c r="S471" s="7" t="s">
        <v>17</v>
      </c>
      <c r="T471" s="7" t="s">
        <v>12</v>
      </c>
    </row>
    <row r="472" spans="4:20" ht="24.95" customHeight="1" x14ac:dyDescent="0.3">
      <c r="D472" s="6">
        <f t="shared" si="7"/>
        <v>471</v>
      </c>
      <c r="E472" s="7" t="s">
        <v>210</v>
      </c>
      <c r="F472" s="7" t="s">
        <v>1058</v>
      </c>
      <c r="G472" s="7" t="s">
        <v>1059</v>
      </c>
      <c r="H472" s="6">
        <v>1</v>
      </c>
      <c r="I472" s="8" t="s">
        <v>21</v>
      </c>
      <c r="J472" s="6"/>
      <c r="K472" s="7"/>
      <c r="L472" s="6"/>
      <c r="M472" s="7"/>
      <c r="N472" s="6"/>
      <c r="O472" s="7"/>
      <c r="P472" s="6"/>
      <c r="Q472" s="7"/>
      <c r="R472" s="7">
        <v>45664</v>
      </c>
      <c r="S472" s="7" t="s">
        <v>17</v>
      </c>
      <c r="T472" s="7" t="s">
        <v>12</v>
      </c>
    </row>
    <row r="473" spans="4:20" ht="24.95" customHeight="1" x14ac:dyDescent="0.3">
      <c r="D473" s="6">
        <f t="shared" si="7"/>
        <v>472</v>
      </c>
      <c r="E473" s="7" t="s">
        <v>210</v>
      </c>
      <c r="F473" s="7" t="s">
        <v>1060</v>
      </c>
      <c r="G473" s="7" t="s">
        <v>1061</v>
      </c>
      <c r="H473" s="6">
        <v>1</v>
      </c>
      <c r="I473" s="8" t="s">
        <v>21</v>
      </c>
      <c r="J473" s="6"/>
      <c r="K473" s="7"/>
      <c r="L473" s="6"/>
      <c r="M473" s="7"/>
      <c r="N473" s="6"/>
      <c r="O473" s="7"/>
      <c r="P473" s="6"/>
      <c r="Q473" s="7"/>
      <c r="R473" s="7">
        <v>45664</v>
      </c>
      <c r="S473" s="7" t="s">
        <v>17</v>
      </c>
      <c r="T473" s="7" t="s">
        <v>12</v>
      </c>
    </row>
    <row r="474" spans="4:20" ht="24.95" customHeight="1" x14ac:dyDescent="0.3">
      <c r="D474" s="6">
        <f t="shared" si="7"/>
        <v>473</v>
      </c>
      <c r="E474" s="7" t="s">
        <v>210</v>
      </c>
      <c r="F474" s="7" t="s">
        <v>1062</v>
      </c>
      <c r="G474" s="7" t="s">
        <v>1063</v>
      </c>
      <c r="H474" s="6">
        <v>1</v>
      </c>
      <c r="I474" s="8" t="s">
        <v>21</v>
      </c>
      <c r="J474" s="6"/>
      <c r="K474" s="7"/>
      <c r="L474" s="6"/>
      <c r="M474" s="7"/>
      <c r="N474" s="6"/>
      <c r="O474" s="7"/>
      <c r="P474" s="6"/>
      <c r="Q474" s="7"/>
      <c r="R474" s="7">
        <v>45664</v>
      </c>
      <c r="S474" s="7" t="s">
        <v>17</v>
      </c>
      <c r="T474" s="7" t="s">
        <v>12</v>
      </c>
    </row>
    <row r="475" spans="4:20" ht="24.95" customHeight="1" x14ac:dyDescent="0.3">
      <c r="D475" s="6">
        <f t="shared" si="7"/>
        <v>474</v>
      </c>
      <c r="E475" s="7" t="s">
        <v>384</v>
      </c>
      <c r="F475" s="7" t="s">
        <v>1064</v>
      </c>
      <c r="G475" s="7" t="s">
        <v>1065</v>
      </c>
      <c r="H475" s="6">
        <v>1</v>
      </c>
      <c r="I475" s="8" t="s">
        <v>130</v>
      </c>
      <c r="J475" s="6"/>
      <c r="K475" s="7"/>
      <c r="L475" s="6"/>
      <c r="M475" s="7"/>
      <c r="N475" s="6"/>
      <c r="O475" s="7"/>
      <c r="P475" s="6"/>
      <c r="Q475" s="7"/>
      <c r="R475" s="7">
        <v>45665</v>
      </c>
      <c r="S475" s="7" t="s">
        <v>17</v>
      </c>
      <c r="T475" s="7" t="s">
        <v>12</v>
      </c>
    </row>
    <row r="476" spans="4:20" ht="24.95" customHeight="1" x14ac:dyDescent="0.3">
      <c r="D476" s="6">
        <f t="shared" si="7"/>
        <v>475</v>
      </c>
      <c r="E476" s="7" t="s">
        <v>384</v>
      </c>
      <c r="F476" s="7" t="s">
        <v>1066</v>
      </c>
      <c r="G476" s="7" t="s">
        <v>1067</v>
      </c>
      <c r="H476" s="6">
        <v>1</v>
      </c>
      <c r="I476" s="8" t="s">
        <v>1021</v>
      </c>
      <c r="J476" s="6"/>
      <c r="K476" s="7"/>
      <c r="L476" s="6"/>
      <c r="M476" s="7"/>
      <c r="N476" s="6"/>
      <c r="O476" s="7"/>
      <c r="P476" s="6"/>
      <c r="Q476" s="7"/>
      <c r="R476" s="7">
        <v>45665</v>
      </c>
      <c r="S476" s="7" t="s">
        <v>17</v>
      </c>
      <c r="T476" s="7" t="s">
        <v>12</v>
      </c>
    </row>
    <row r="477" spans="4:20" ht="24.95" customHeight="1" x14ac:dyDescent="0.3">
      <c r="D477" s="6">
        <f t="shared" si="7"/>
        <v>476</v>
      </c>
      <c r="E477" s="7" t="s">
        <v>765</v>
      </c>
      <c r="F477" s="7" t="s">
        <v>1068</v>
      </c>
      <c r="G477" s="7" t="s">
        <v>1069</v>
      </c>
      <c r="H477" s="6">
        <v>1</v>
      </c>
      <c r="I477" s="8" t="s">
        <v>80</v>
      </c>
      <c r="J477" s="6"/>
      <c r="K477" s="7"/>
      <c r="L477" s="6"/>
      <c r="M477" s="7"/>
      <c r="N477" s="6"/>
      <c r="O477" s="7"/>
      <c r="P477" s="6"/>
      <c r="Q477" s="7"/>
      <c r="R477" s="7">
        <v>45670</v>
      </c>
      <c r="S477" s="7" t="s">
        <v>17</v>
      </c>
      <c r="T477" s="7" t="s">
        <v>12</v>
      </c>
    </row>
    <row r="478" spans="4:20" ht="24.95" customHeight="1" x14ac:dyDescent="0.3">
      <c r="D478" s="6">
        <f t="shared" si="7"/>
        <v>477</v>
      </c>
      <c r="E478" s="7" t="s">
        <v>765</v>
      </c>
      <c r="F478" s="7" t="s">
        <v>1070</v>
      </c>
      <c r="G478" s="7" t="s">
        <v>1071</v>
      </c>
      <c r="H478" s="6">
        <v>1</v>
      </c>
      <c r="I478" s="8" t="s">
        <v>130</v>
      </c>
      <c r="J478" s="6"/>
      <c r="K478" s="7"/>
      <c r="L478" s="6"/>
      <c r="M478" s="7"/>
      <c r="N478" s="6"/>
      <c r="O478" s="7"/>
      <c r="P478" s="6"/>
      <c r="Q478" s="7"/>
      <c r="R478" s="7">
        <v>45670</v>
      </c>
      <c r="S478" s="7" t="s">
        <v>17</v>
      </c>
      <c r="T478" s="7" t="s">
        <v>12</v>
      </c>
    </row>
    <row r="479" spans="4:20" ht="24.95" customHeight="1" x14ac:dyDescent="0.3">
      <c r="D479" s="6">
        <f t="shared" si="7"/>
        <v>478</v>
      </c>
      <c r="E479" s="7" t="s">
        <v>765</v>
      </c>
      <c r="F479" s="7" t="s">
        <v>1072</v>
      </c>
      <c r="G479" s="7" t="s">
        <v>1073</v>
      </c>
      <c r="H479" s="6">
        <v>1</v>
      </c>
      <c r="I479" s="8" t="s">
        <v>130</v>
      </c>
      <c r="J479" s="6"/>
      <c r="K479" s="7"/>
      <c r="L479" s="6"/>
      <c r="M479" s="7"/>
      <c r="N479" s="6"/>
      <c r="O479" s="7"/>
      <c r="P479" s="6"/>
      <c r="Q479" s="7"/>
      <c r="R479" s="7">
        <v>45670</v>
      </c>
      <c r="S479" s="7" t="s">
        <v>17</v>
      </c>
      <c r="T479" s="7" t="s">
        <v>12</v>
      </c>
    </row>
    <row r="480" spans="4:20" ht="24.95" customHeight="1" x14ac:dyDescent="0.3">
      <c r="D480" s="6">
        <f t="shared" si="7"/>
        <v>479</v>
      </c>
      <c r="E480" s="7" t="s">
        <v>1074</v>
      </c>
      <c r="F480" s="7" t="s">
        <v>1075</v>
      </c>
      <c r="G480" s="7" t="s">
        <v>1076</v>
      </c>
      <c r="H480" s="6"/>
      <c r="I480" s="7"/>
      <c r="J480" s="6"/>
      <c r="K480" s="7"/>
      <c r="L480" s="6">
        <v>1</v>
      </c>
      <c r="M480" s="8" t="s">
        <v>92</v>
      </c>
      <c r="N480" s="6"/>
      <c r="O480" s="7"/>
      <c r="P480" s="6"/>
      <c r="Q480" s="7"/>
      <c r="R480" s="7">
        <v>45671</v>
      </c>
      <c r="S480" s="7" t="s">
        <v>17</v>
      </c>
      <c r="T480" s="7" t="s">
        <v>12</v>
      </c>
    </row>
    <row r="481" spans="4:20" ht="24.95" customHeight="1" x14ac:dyDescent="0.3">
      <c r="D481" s="6">
        <f t="shared" si="7"/>
        <v>480</v>
      </c>
      <c r="E481" s="7" t="s">
        <v>1011</v>
      </c>
      <c r="F481" s="7" t="s">
        <v>1077</v>
      </c>
      <c r="G481" s="7" t="s">
        <v>641</v>
      </c>
      <c r="H481" s="6"/>
      <c r="I481" s="7"/>
      <c r="J481" s="6"/>
      <c r="K481" s="7"/>
      <c r="L481" s="6"/>
      <c r="M481" s="7"/>
      <c r="N481" s="6">
        <v>1</v>
      </c>
      <c r="O481" s="8" t="s">
        <v>77</v>
      </c>
      <c r="P481" s="6"/>
      <c r="Q481" s="7"/>
      <c r="R481" s="7">
        <v>45671</v>
      </c>
      <c r="S481" s="7" t="s">
        <v>17</v>
      </c>
      <c r="T481" s="7" t="s">
        <v>12</v>
      </c>
    </row>
    <row r="482" spans="4:20" ht="24.95" customHeight="1" x14ac:dyDescent="0.3">
      <c r="D482" s="6">
        <f t="shared" si="7"/>
        <v>481</v>
      </c>
      <c r="E482" s="7" t="s">
        <v>1074</v>
      </c>
      <c r="F482" s="7" t="s">
        <v>1078</v>
      </c>
      <c r="G482" s="7" t="s">
        <v>1079</v>
      </c>
      <c r="H482" s="6"/>
      <c r="I482" s="7"/>
      <c r="J482" s="6"/>
      <c r="K482" s="7"/>
      <c r="L482" s="6">
        <v>1</v>
      </c>
      <c r="M482" s="8" t="s">
        <v>64</v>
      </c>
      <c r="N482" s="6"/>
      <c r="O482" s="7"/>
      <c r="P482" s="6"/>
      <c r="Q482" s="7"/>
      <c r="R482" s="7">
        <v>45671</v>
      </c>
      <c r="S482" s="7" t="s">
        <v>17</v>
      </c>
      <c r="T482" s="7" t="s">
        <v>12</v>
      </c>
    </row>
    <row r="483" spans="4:20" ht="24.95" customHeight="1" x14ac:dyDescent="0.3">
      <c r="D483" s="6">
        <f t="shared" si="7"/>
        <v>482</v>
      </c>
      <c r="E483" s="7" t="s">
        <v>1074</v>
      </c>
      <c r="F483" s="7" t="s">
        <v>1080</v>
      </c>
      <c r="G483" s="7" t="s">
        <v>1081</v>
      </c>
      <c r="H483" s="6"/>
      <c r="I483" s="7"/>
      <c r="J483" s="6"/>
      <c r="K483" s="7"/>
      <c r="L483" s="6">
        <v>1</v>
      </c>
      <c r="M483" s="8" t="s">
        <v>64</v>
      </c>
      <c r="N483" s="6"/>
      <c r="O483" s="7"/>
      <c r="P483" s="6"/>
      <c r="Q483" s="7"/>
      <c r="R483" s="7">
        <v>45671</v>
      </c>
      <c r="S483" s="7" t="s">
        <v>17</v>
      </c>
      <c r="T483" s="7" t="s">
        <v>12</v>
      </c>
    </row>
    <row r="484" spans="4:20" ht="24.95" customHeight="1" x14ac:dyDescent="0.3">
      <c r="D484" s="6">
        <f t="shared" si="7"/>
        <v>483</v>
      </c>
      <c r="E484" s="7" t="s">
        <v>1074</v>
      </c>
      <c r="F484" s="7" t="s">
        <v>1082</v>
      </c>
      <c r="G484" s="7" t="s">
        <v>1083</v>
      </c>
      <c r="H484" s="6"/>
      <c r="I484" s="7"/>
      <c r="J484" s="6"/>
      <c r="K484" s="7"/>
      <c r="L484" s="6">
        <v>1</v>
      </c>
      <c r="M484" s="8" t="s">
        <v>64</v>
      </c>
      <c r="N484" s="6"/>
      <c r="O484" s="7"/>
      <c r="P484" s="6"/>
      <c r="Q484" s="7"/>
      <c r="R484" s="7">
        <v>45671</v>
      </c>
      <c r="S484" s="7" t="s">
        <v>17</v>
      </c>
      <c r="T484" s="7" t="s">
        <v>12</v>
      </c>
    </row>
    <row r="485" spans="4:20" ht="24.95" customHeight="1" x14ac:dyDescent="0.3">
      <c r="D485" s="6">
        <f t="shared" si="7"/>
        <v>484</v>
      </c>
      <c r="E485" s="7" t="s">
        <v>199</v>
      </c>
      <c r="F485" s="7" t="s">
        <v>1084</v>
      </c>
      <c r="G485" s="7" t="s">
        <v>1085</v>
      </c>
      <c r="H485" s="6"/>
      <c r="I485" s="7"/>
      <c r="J485" s="6"/>
      <c r="K485" s="7"/>
      <c r="L485" s="6"/>
      <c r="M485" s="7"/>
      <c r="N485" s="6"/>
      <c r="O485" s="7"/>
      <c r="P485" s="6">
        <v>1</v>
      </c>
      <c r="Q485" s="8" t="s">
        <v>16</v>
      </c>
      <c r="R485" s="7">
        <v>45673</v>
      </c>
      <c r="S485" s="7" t="s">
        <v>17</v>
      </c>
      <c r="T485" s="7" t="s">
        <v>12</v>
      </c>
    </row>
    <row r="486" spans="4:20" ht="24.95" customHeight="1" x14ac:dyDescent="0.3">
      <c r="D486" s="6">
        <f t="shared" si="7"/>
        <v>485</v>
      </c>
      <c r="E486" s="7" t="s">
        <v>722</v>
      </c>
      <c r="F486" s="7" t="s">
        <v>1086</v>
      </c>
      <c r="G486" s="7" t="s">
        <v>1087</v>
      </c>
      <c r="H486" s="6">
        <v>1</v>
      </c>
      <c r="I486" s="8" t="s">
        <v>80</v>
      </c>
      <c r="J486" s="6"/>
      <c r="K486" s="7"/>
      <c r="L486" s="6"/>
      <c r="M486" s="7"/>
      <c r="N486" s="6"/>
      <c r="O486" s="7"/>
      <c r="P486" s="6"/>
      <c r="Q486" s="7"/>
      <c r="R486" s="7">
        <v>45677</v>
      </c>
      <c r="S486" s="7" t="s">
        <v>17</v>
      </c>
      <c r="T486" s="7" t="s">
        <v>12</v>
      </c>
    </row>
    <row r="487" spans="4:20" ht="24.95" customHeight="1" x14ac:dyDescent="0.3">
      <c r="D487" s="6">
        <f t="shared" si="7"/>
        <v>486</v>
      </c>
      <c r="E487" s="7" t="s">
        <v>65</v>
      </c>
      <c r="F487" s="7" t="s">
        <v>1088</v>
      </c>
      <c r="G487" s="7" t="s">
        <v>1089</v>
      </c>
      <c r="H487" s="6"/>
      <c r="I487" s="7"/>
      <c r="J487" s="6"/>
      <c r="K487" s="7"/>
      <c r="L487" s="6"/>
      <c r="M487" s="7"/>
      <c r="N487" s="6"/>
      <c r="O487" s="7"/>
      <c r="P487" s="6">
        <v>1</v>
      </c>
      <c r="Q487" s="8" t="s">
        <v>16</v>
      </c>
      <c r="R487" s="7">
        <v>45680</v>
      </c>
      <c r="S487" s="7" t="s">
        <v>17</v>
      </c>
      <c r="T487" s="7" t="s">
        <v>12</v>
      </c>
    </row>
    <row r="488" spans="4:20" ht="24.95" customHeight="1" x14ac:dyDescent="0.3">
      <c r="D488" s="6">
        <f t="shared" si="7"/>
        <v>487</v>
      </c>
      <c r="E488" s="7" t="s">
        <v>1090</v>
      </c>
      <c r="F488" s="7" t="s">
        <v>1091</v>
      </c>
      <c r="G488" s="7" t="s">
        <v>1092</v>
      </c>
      <c r="H488" s="6">
        <v>1</v>
      </c>
      <c r="I488" s="8" t="s">
        <v>80</v>
      </c>
      <c r="J488" s="6"/>
      <c r="K488" s="7"/>
      <c r="L488" s="6"/>
      <c r="M488" s="7"/>
      <c r="N488" s="6"/>
      <c r="O488" s="7"/>
      <c r="P488" s="6"/>
      <c r="Q488" s="7"/>
      <c r="R488" s="7">
        <v>45681</v>
      </c>
      <c r="S488" s="7" t="s">
        <v>17</v>
      </c>
      <c r="T488" s="7" t="s">
        <v>12</v>
      </c>
    </row>
    <row r="489" spans="4:20" ht="24.95" customHeight="1" x14ac:dyDescent="0.3">
      <c r="D489" s="6">
        <f t="shared" si="7"/>
        <v>488</v>
      </c>
      <c r="E489" s="7" t="s">
        <v>199</v>
      </c>
      <c r="F489" s="7" t="s">
        <v>1093</v>
      </c>
      <c r="G489" s="7" t="s">
        <v>1094</v>
      </c>
      <c r="H489" s="6"/>
      <c r="I489" s="7"/>
      <c r="J489" s="6"/>
      <c r="K489" s="7"/>
      <c r="L489" s="6"/>
      <c r="M489" s="7"/>
      <c r="N489" s="6"/>
      <c r="O489" s="7"/>
      <c r="P489" s="6">
        <v>1</v>
      </c>
      <c r="Q489" s="8" t="s">
        <v>16</v>
      </c>
      <c r="R489" s="7">
        <v>45681</v>
      </c>
      <c r="S489" s="7" t="s">
        <v>17</v>
      </c>
      <c r="T489" s="7" t="s">
        <v>12</v>
      </c>
    </row>
    <row r="490" spans="4:20" ht="24.95" customHeight="1" x14ac:dyDescent="0.3">
      <c r="D490" s="6">
        <f t="shared" si="7"/>
        <v>489</v>
      </c>
      <c r="E490" s="7" t="s">
        <v>199</v>
      </c>
      <c r="F490" s="7" t="s">
        <v>1095</v>
      </c>
      <c r="G490" s="7" t="s">
        <v>1096</v>
      </c>
      <c r="H490" s="6"/>
      <c r="I490" s="7"/>
      <c r="J490" s="6"/>
      <c r="K490" s="7"/>
      <c r="L490" s="6"/>
      <c r="M490" s="7"/>
      <c r="N490" s="6"/>
      <c r="O490" s="7"/>
      <c r="P490" s="6">
        <v>1</v>
      </c>
      <c r="Q490" s="8" t="s">
        <v>16</v>
      </c>
      <c r="R490" s="7">
        <v>45681</v>
      </c>
      <c r="S490" s="7" t="s">
        <v>17</v>
      </c>
      <c r="T490" s="7" t="s">
        <v>12</v>
      </c>
    </row>
    <row r="491" spans="4:20" ht="24.95" customHeight="1" x14ac:dyDescent="0.3">
      <c r="D491" s="6">
        <f t="shared" si="7"/>
        <v>490</v>
      </c>
      <c r="E491" s="7" t="s">
        <v>51</v>
      </c>
      <c r="F491" s="7" t="s">
        <v>1097</v>
      </c>
      <c r="G491" s="7" t="s">
        <v>1098</v>
      </c>
      <c r="H491" s="6"/>
      <c r="I491" s="7"/>
      <c r="J491" s="6"/>
      <c r="K491" s="7"/>
      <c r="L491" s="6">
        <v>1</v>
      </c>
      <c r="M491" s="8" t="s">
        <v>48</v>
      </c>
      <c r="N491" s="6"/>
      <c r="O491" s="7"/>
      <c r="P491" s="6"/>
      <c r="Q491" s="7"/>
      <c r="R491" s="7">
        <v>45695</v>
      </c>
      <c r="S491" s="7" t="s">
        <v>17</v>
      </c>
      <c r="T491" s="7" t="s">
        <v>12</v>
      </c>
    </row>
    <row r="492" spans="4:20" ht="24.95" customHeight="1" x14ac:dyDescent="0.3">
      <c r="D492" s="6">
        <f t="shared" si="7"/>
        <v>491</v>
      </c>
      <c r="E492" s="7" t="s">
        <v>51</v>
      </c>
      <c r="F492" s="7" t="s">
        <v>1099</v>
      </c>
      <c r="G492" s="7" t="s">
        <v>1100</v>
      </c>
      <c r="H492" s="6"/>
      <c r="I492" s="7"/>
      <c r="J492" s="6"/>
      <c r="K492" s="7"/>
      <c r="L492" s="6">
        <v>1</v>
      </c>
      <c r="M492" s="8" t="s">
        <v>48</v>
      </c>
      <c r="N492" s="6"/>
      <c r="O492" s="7"/>
      <c r="P492" s="6"/>
      <c r="Q492" s="7"/>
      <c r="R492" s="7">
        <v>45695</v>
      </c>
      <c r="S492" s="7" t="s">
        <v>17</v>
      </c>
      <c r="T492" s="7" t="s">
        <v>12</v>
      </c>
    </row>
    <row r="493" spans="4:20" ht="24.95" customHeight="1" x14ac:dyDescent="0.3">
      <c r="D493" s="6">
        <f t="shared" si="7"/>
        <v>492</v>
      </c>
      <c r="E493" s="7" t="s">
        <v>384</v>
      </c>
      <c r="F493" s="7" t="s">
        <v>1101</v>
      </c>
      <c r="G493" s="7" t="s">
        <v>1102</v>
      </c>
      <c r="H493" s="6"/>
      <c r="I493" s="7"/>
      <c r="J493" s="6"/>
      <c r="K493" s="7"/>
      <c r="L493" s="6"/>
      <c r="M493" s="7"/>
      <c r="N493" s="6"/>
      <c r="O493" s="7"/>
      <c r="P493" s="6">
        <v>1</v>
      </c>
      <c r="Q493" s="8" t="s">
        <v>16</v>
      </c>
      <c r="R493" s="7">
        <v>45695</v>
      </c>
      <c r="S493" s="7" t="s">
        <v>17</v>
      </c>
      <c r="T493" s="7" t="s">
        <v>12</v>
      </c>
    </row>
    <row r="494" spans="4:20" ht="24.95" customHeight="1" x14ac:dyDescent="0.3">
      <c r="D494" s="6">
        <f t="shared" si="7"/>
        <v>493</v>
      </c>
      <c r="E494" s="7" t="s">
        <v>384</v>
      </c>
      <c r="F494" s="7" t="s">
        <v>1103</v>
      </c>
      <c r="G494" s="12" t="s">
        <v>1104</v>
      </c>
      <c r="H494" s="6"/>
      <c r="I494" s="7"/>
      <c r="J494" s="6"/>
      <c r="K494" s="7"/>
      <c r="L494" s="6"/>
      <c r="M494" s="7"/>
      <c r="N494" s="6">
        <v>1</v>
      </c>
      <c r="O494" s="8" t="s">
        <v>77</v>
      </c>
      <c r="P494" s="6"/>
      <c r="Q494" s="7"/>
      <c r="R494" s="7">
        <v>45704</v>
      </c>
      <c r="S494" s="7" t="s">
        <v>17</v>
      </c>
      <c r="T494" s="7" t="s">
        <v>12</v>
      </c>
    </row>
    <row r="495" spans="4:20" ht="24.95" customHeight="1" x14ac:dyDescent="0.3">
      <c r="D495" s="6">
        <f t="shared" si="7"/>
        <v>494</v>
      </c>
      <c r="E495" s="7" t="s">
        <v>765</v>
      </c>
      <c r="F495" s="7" t="s">
        <v>1105</v>
      </c>
      <c r="G495" s="7" t="s">
        <v>1106</v>
      </c>
      <c r="H495" s="6"/>
      <c r="I495" s="7"/>
      <c r="J495" s="6"/>
      <c r="K495" s="7"/>
      <c r="L495" s="6">
        <v>1</v>
      </c>
      <c r="M495" s="8" t="s">
        <v>92</v>
      </c>
      <c r="N495" s="6"/>
      <c r="O495" s="7"/>
      <c r="P495" s="6"/>
      <c r="Q495" s="7"/>
      <c r="R495" s="7">
        <v>45707</v>
      </c>
      <c r="S495" s="7" t="s">
        <v>17</v>
      </c>
      <c r="T495" s="7" t="s">
        <v>12</v>
      </c>
    </row>
    <row r="496" spans="4:20" ht="24.95" customHeight="1" x14ac:dyDescent="0.3">
      <c r="D496" s="6">
        <f t="shared" si="7"/>
        <v>495</v>
      </c>
      <c r="E496" s="7" t="s">
        <v>765</v>
      </c>
      <c r="F496" s="7" t="s">
        <v>1107</v>
      </c>
      <c r="G496" s="7" t="s">
        <v>1108</v>
      </c>
      <c r="H496" s="6"/>
      <c r="I496" s="7"/>
      <c r="J496" s="6">
        <v>1</v>
      </c>
      <c r="K496" s="8" t="s">
        <v>130</v>
      </c>
      <c r="L496" s="6"/>
      <c r="M496" s="7"/>
      <c r="N496" s="6"/>
      <c r="O496" s="7"/>
      <c r="P496" s="6"/>
      <c r="Q496" s="7"/>
      <c r="R496" s="7">
        <v>45707</v>
      </c>
      <c r="S496" s="7" t="s">
        <v>17</v>
      </c>
      <c r="T496" s="7" t="s">
        <v>12</v>
      </c>
    </row>
    <row r="497" spans="4:20" ht="24.95" customHeight="1" x14ac:dyDescent="0.3">
      <c r="D497" s="6">
        <f t="shared" si="7"/>
        <v>496</v>
      </c>
      <c r="E497" s="7" t="s">
        <v>765</v>
      </c>
      <c r="F497" s="7" t="s">
        <v>1109</v>
      </c>
      <c r="G497" s="7" t="s">
        <v>1110</v>
      </c>
      <c r="H497" s="6"/>
      <c r="I497" s="7"/>
      <c r="J497" s="6">
        <v>1</v>
      </c>
      <c r="K497" s="8" t="s">
        <v>130</v>
      </c>
      <c r="L497" s="6"/>
      <c r="M497" s="7"/>
      <c r="N497" s="6"/>
      <c r="O497" s="7"/>
      <c r="P497" s="6"/>
      <c r="Q497" s="7"/>
      <c r="R497" s="7">
        <v>45707</v>
      </c>
      <c r="S497" s="7" t="s">
        <v>17</v>
      </c>
      <c r="T497" s="7" t="s">
        <v>12</v>
      </c>
    </row>
    <row r="498" spans="4:20" ht="24.95" customHeight="1" x14ac:dyDescent="0.3">
      <c r="D498" s="6">
        <f t="shared" si="7"/>
        <v>497</v>
      </c>
      <c r="E498" s="7" t="s">
        <v>765</v>
      </c>
      <c r="F498" s="7" t="s">
        <v>1111</v>
      </c>
      <c r="G498" s="7" t="s">
        <v>1112</v>
      </c>
      <c r="H498" s="6"/>
      <c r="I498" s="7"/>
      <c r="J498" s="6"/>
      <c r="K498" s="7"/>
      <c r="L498" s="6">
        <v>1</v>
      </c>
      <c r="M498" s="8" t="s">
        <v>48</v>
      </c>
      <c r="N498" s="6"/>
      <c r="O498" s="7"/>
      <c r="P498" s="6"/>
      <c r="Q498" s="7"/>
      <c r="R498" s="7">
        <v>45707</v>
      </c>
      <c r="S498" s="7" t="s">
        <v>17</v>
      </c>
      <c r="T498" s="7" t="s">
        <v>12</v>
      </c>
    </row>
    <row r="499" spans="4:20" ht="24.95" customHeight="1" x14ac:dyDescent="0.3">
      <c r="D499" s="6">
        <f t="shared" si="7"/>
        <v>498</v>
      </c>
      <c r="E499" s="7" t="s">
        <v>557</v>
      </c>
      <c r="F499" s="7" t="s">
        <v>1113</v>
      </c>
      <c r="G499" s="7" t="s">
        <v>1114</v>
      </c>
      <c r="H499" s="6"/>
      <c r="I499" s="7"/>
      <c r="J499" s="6"/>
      <c r="K499" s="7"/>
      <c r="L499" s="6"/>
      <c r="M499" s="7"/>
      <c r="N499" s="6"/>
      <c r="O499" s="7"/>
      <c r="P499" s="6">
        <v>1</v>
      </c>
      <c r="Q499" s="8" t="s">
        <v>16</v>
      </c>
      <c r="R499" s="7">
        <v>45707</v>
      </c>
      <c r="S499" s="7" t="s">
        <v>17</v>
      </c>
      <c r="T499" s="7" t="s">
        <v>12</v>
      </c>
    </row>
    <row r="500" spans="4:20" ht="24.95" customHeight="1" x14ac:dyDescent="0.3">
      <c r="D500" s="6">
        <f t="shared" si="7"/>
        <v>499</v>
      </c>
      <c r="E500" s="7" t="s">
        <v>557</v>
      </c>
      <c r="F500" s="7" t="s">
        <v>1115</v>
      </c>
      <c r="G500" s="7" t="s">
        <v>1116</v>
      </c>
      <c r="H500" s="6"/>
      <c r="I500" s="7"/>
      <c r="J500" s="6">
        <v>1</v>
      </c>
      <c r="K500" s="8" t="s">
        <v>130</v>
      </c>
      <c r="L500" s="6"/>
      <c r="M500" s="7"/>
      <c r="N500" s="6"/>
      <c r="O500" s="7"/>
      <c r="P500" s="6"/>
      <c r="Q500" s="7"/>
      <c r="R500" s="7">
        <v>45707</v>
      </c>
      <c r="S500" s="7" t="s">
        <v>17</v>
      </c>
      <c r="T500" s="7" t="s">
        <v>12</v>
      </c>
    </row>
    <row r="501" spans="4:20" ht="24.95" customHeight="1" x14ac:dyDescent="0.3">
      <c r="D501" s="6">
        <f t="shared" si="7"/>
        <v>500</v>
      </c>
      <c r="E501" s="7" t="s">
        <v>765</v>
      </c>
      <c r="F501" s="7" t="s">
        <v>1117</v>
      </c>
      <c r="G501" s="12" t="s">
        <v>1118</v>
      </c>
      <c r="H501" s="6"/>
      <c r="I501" s="7"/>
      <c r="J501" s="6"/>
      <c r="K501" s="7"/>
      <c r="L501" s="6"/>
      <c r="M501" s="7"/>
      <c r="N501" s="6"/>
      <c r="O501" s="7"/>
      <c r="P501" s="6">
        <v>1</v>
      </c>
      <c r="Q501" s="8" t="s">
        <v>16</v>
      </c>
      <c r="R501" s="7">
        <v>45707</v>
      </c>
      <c r="S501" s="7" t="s">
        <v>17</v>
      </c>
      <c r="T501" s="7" t="s">
        <v>12</v>
      </c>
    </row>
    <row r="502" spans="4:20" ht="24.95" customHeight="1" x14ac:dyDescent="0.3">
      <c r="D502" s="6">
        <f t="shared" si="7"/>
        <v>501</v>
      </c>
      <c r="E502" s="7" t="s">
        <v>269</v>
      </c>
      <c r="F502" s="7" t="s">
        <v>1119</v>
      </c>
      <c r="G502" s="7" t="s">
        <v>1120</v>
      </c>
      <c r="H502" s="6"/>
      <c r="I502" s="7"/>
      <c r="J502" s="6"/>
      <c r="K502" s="7"/>
      <c r="L502" s="6">
        <v>1</v>
      </c>
      <c r="M502" s="8" t="s">
        <v>48</v>
      </c>
      <c r="N502" s="6"/>
      <c r="O502" s="7"/>
      <c r="P502" s="6"/>
      <c r="Q502" s="7"/>
      <c r="R502" s="7">
        <v>45714</v>
      </c>
      <c r="S502" s="7" t="s">
        <v>17</v>
      </c>
      <c r="T502" s="7" t="s">
        <v>12</v>
      </c>
    </row>
    <row r="503" spans="4:20" ht="24.95" customHeight="1" x14ac:dyDescent="0.3">
      <c r="D503" s="6">
        <f t="shared" si="7"/>
        <v>502</v>
      </c>
      <c r="E503" s="7" t="s">
        <v>317</v>
      </c>
      <c r="F503" s="7" t="s">
        <v>1121</v>
      </c>
      <c r="G503" s="7" t="s">
        <v>1120</v>
      </c>
      <c r="H503" s="6"/>
      <c r="I503" s="7"/>
      <c r="J503" s="6"/>
      <c r="K503" s="7"/>
      <c r="L503" s="6">
        <v>1</v>
      </c>
      <c r="M503" s="8" t="s">
        <v>48</v>
      </c>
      <c r="N503" s="6"/>
      <c r="O503" s="7"/>
      <c r="P503" s="6"/>
      <c r="Q503" s="7"/>
      <c r="R503" s="7">
        <v>45714</v>
      </c>
      <c r="S503" s="7" t="s">
        <v>17</v>
      </c>
      <c r="T503" s="7" t="s">
        <v>12</v>
      </c>
    </row>
    <row r="504" spans="4:20" ht="24.95" customHeight="1" x14ac:dyDescent="0.3">
      <c r="D504" s="6">
        <f t="shared" si="7"/>
        <v>503</v>
      </c>
      <c r="E504" s="7" t="s">
        <v>765</v>
      </c>
      <c r="F504" s="7" t="s">
        <v>1122</v>
      </c>
      <c r="G504" s="7" t="s">
        <v>1123</v>
      </c>
      <c r="H504" s="6"/>
      <c r="I504" s="7"/>
      <c r="J504" s="6"/>
      <c r="K504" s="7"/>
      <c r="L504" s="6">
        <v>1</v>
      </c>
      <c r="M504" s="8" t="s">
        <v>48</v>
      </c>
      <c r="N504" s="6"/>
      <c r="O504" s="7"/>
      <c r="P504" s="6"/>
      <c r="Q504" s="7"/>
      <c r="R504" s="7">
        <v>45716</v>
      </c>
      <c r="S504" s="7" t="s">
        <v>17</v>
      </c>
      <c r="T504" s="7" t="s">
        <v>12</v>
      </c>
    </row>
    <row r="505" spans="4:20" ht="24.95" customHeight="1" x14ac:dyDescent="0.3">
      <c r="D505" s="6">
        <f t="shared" si="7"/>
        <v>504</v>
      </c>
      <c r="E505" s="7" t="s">
        <v>765</v>
      </c>
      <c r="F505" s="7" t="s">
        <v>1124</v>
      </c>
      <c r="G505" s="12" t="s">
        <v>1125</v>
      </c>
      <c r="H505" s="6"/>
      <c r="I505" s="7"/>
      <c r="J505" s="6"/>
      <c r="K505" s="7"/>
      <c r="L505" s="6"/>
      <c r="M505" s="7"/>
      <c r="N505" s="6"/>
      <c r="O505" s="7"/>
      <c r="P505" s="6">
        <v>1</v>
      </c>
      <c r="Q505" s="8" t="s">
        <v>272</v>
      </c>
      <c r="R505" s="7">
        <v>45716</v>
      </c>
      <c r="S505" s="7" t="s">
        <v>17</v>
      </c>
      <c r="T505" s="7" t="s">
        <v>12</v>
      </c>
    </row>
    <row r="506" spans="4:20" ht="24.95" customHeight="1" x14ac:dyDescent="0.3">
      <c r="D506" s="6">
        <f t="shared" si="7"/>
        <v>505</v>
      </c>
      <c r="E506" s="7" t="s">
        <v>765</v>
      </c>
      <c r="F506" s="7" t="s">
        <v>1126</v>
      </c>
      <c r="G506" s="7" t="s">
        <v>1127</v>
      </c>
      <c r="H506" s="6"/>
      <c r="I506" s="7"/>
      <c r="J506" s="6">
        <v>1</v>
      </c>
      <c r="K506" s="8" t="s">
        <v>130</v>
      </c>
      <c r="L506" s="6"/>
      <c r="M506" s="7"/>
      <c r="N506" s="6"/>
      <c r="O506" s="7"/>
      <c r="P506" s="6"/>
      <c r="Q506" s="7"/>
      <c r="R506" s="7">
        <v>45716</v>
      </c>
      <c r="S506" s="7" t="s">
        <v>17</v>
      </c>
      <c r="T506" s="7" t="s">
        <v>12</v>
      </c>
    </row>
    <row r="507" spans="4:20" ht="24.95" customHeight="1" x14ac:dyDescent="0.3">
      <c r="D507" s="6">
        <f t="shared" si="7"/>
        <v>506</v>
      </c>
      <c r="E507" s="7" t="s">
        <v>765</v>
      </c>
      <c r="F507" s="7" t="s">
        <v>1128</v>
      </c>
      <c r="G507" s="7" t="s">
        <v>1129</v>
      </c>
      <c r="H507" s="6"/>
      <c r="I507" s="7"/>
      <c r="J507" s="6">
        <v>1</v>
      </c>
      <c r="K507" s="8" t="s">
        <v>80</v>
      </c>
      <c r="L507" s="6"/>
      <c r="M507" s="7"/>
      <c r="N507" s="6"/>
      <c r="O507" s="7"/>
      <c r="P507" s="6"/>
      <c r="Q507" s="7"/>
      <c r="R507" s="7">
        <v>45716</v>
      </c>
      <c r="S507" s="7" t="s">
        <v>17</v>
      </c>
      <c r="T507" s="7" t="s">
        <v>12</v>
      </c>
    </row>
    <row r="508" spans="4:20" ht="24.95" customHeight="1" x14ac:dyDescent="0.3">
      <c r="D508" s="6">
        <f t="shared" si="7"/>
        <v>507</v>
      </c>
      <c r="E508" s="7" t="s">
        <v>765</v>
      </c>
      <c r="F508" s="7" t="s">
        <v>1130</v>
      </c>
      <c r="G508" s="7" t="s">
        <v>1131</v>
      </c>
      <c r="H508" s="6"/>
      <c r="I508" s="7"/>
      <c r="J508" s="6"/>
      <c r="K508" s="7"/>
      <c r="L508" s="6">
        <v>1</v>
      </c>
      <c r="M508" s="8" t="s">
        <v>92</v>
      </c>
      <c r="N508" s="6"/>
      <c r="O508" s="7"/>
      <c r="P508" s="6"/>
      <c r="Q508" s="7"/>
      <c r="R508" s="7">
        <v>45716</v>
      </c>
      <c r="S508" s="7" t="s">
        <v>17</v>
      </c>
      <c r="T508" s="7" t="s">
        <v>12</v>
      </c>
    </row>
    <row r="509" spans="4:20" ht="24.95" customHeight="1" x14ac:dyDescent="0.3">
      <c r="D509" s="6">
        <f t="shared" si="7"/>
        <v>508</v>
      </c>
      <c r="E509" s="7" t="s">
        <v>765</v>
      </c>
      <c r="F509" s="7" t="s">
        <v>1132</v>
      </c>
      <c r="G509" s="7" t="s">
        <v>1133</v>
      </c>
      <c r="H509" s="6"/>
      <c r="I509" s="7"/>
      <c r="J509" s="6"/>
      <c r="K509" s="7"/>
      <c r="L509" s="6">
        <v>1</v>
      </c>
      <c r="M509" s="8" t="s">
        <v>92</v>
      </c>
      <c r="N509" s="6"/>
      <c r="O509" s="7"/>
      <c r="P509" s="6"/>
      <c r="Q509" s="7"/>
      <c r="R509" s="7">
        <v>45716</v>
      </c>
      <c r="S509" s="7" t="s">
        <v>17</v>
      </c>
      <c r="T509" s="7" t="s">
        <v>12</v>
      </c>
    </row>
    <row r="510" spans="4:20" ht="24.95" customHeight="1" x14ac:dyDescent="0.3">
      <c r="D510" s="6">
        <f t="shared" si="7"/>
        <v>509</v>
      </c>
      <c r="E510" s="7" t="s">
        <v>765</v>
      </c>
      <c r="F510" s="7" t="s">
        <v>1134</v>
      </c>
      <c r="G510" s="7" t="s">
        <v>1135</v>
      </c>
      <c r="H510" s="6"/>
      <c r="I510" s="7"/>
      <c r="J510" s="6"/>
      <c r="K510" s="7"/>
      <c r="L510" s="6">
        <v>1</v>
      </c>
      <c r="M510" s="8" t="s">
        <v>64</v>
      </c>
      <c r="N510" s="6"/>
      <c r="O510" s="7"/>
      <c r="P510" s="6"/>
      <c r="Q510" s="7"/>
      <c r="R510" s="7">
        <v>45716</v>
      </c>
      <c r="S510" s="7" t="s">
        <v>17</v>
      </c>
      <c r="T510" s="7" t="s">
        <v>12</v>
      </c>
    </row>
    <row r="511" spans="4:20" ht="24.95" customHeight="1" x14ac:dyDescent="0.3">
      <c r="D511" s="6">
        <f t="shared" si="7"/>
        <v>510</v>
      </c>
      <c r="E511" s="7" t="s">
        <v>1026</v>
      </c>
      <c r="F511" s="7" t="s">
        <v>1136</v>
      </c>
      <c r="G511" s="7" t="s">
        <v>1137</v>
      </c>
      <c r="H511" s="6"/>
      <c r="I511" s="7"/>
      <c r="J511" s="6">
        <v>1</v>
      </c>
      <c r="K511" s="8" t="s">
        <v>80</v>
      </c>
      <c r="L511" s="6"/>
      <c r="M511" s="7"/>
      <c r="N511" s="6"/>
      <c r="O511" s="7"/>
      <c r="P511" s="6"/>
      <c r="Q511" s="7"/>
      <c r="R511" s="7">
        <v>45721</v>
      </c>
      <c r="S511" s="7" t="s">
        <v>17</v>
      </c>
      <c r="T511" s="7" t="s">
        <v>12</v>
      </c>
    </row>
    <row r="512" spans="4:20" ht="24.95" customHeight="1" x14ac:dyDescent="0.3">
      <c r="D512" s="6">
        <f t="shared" si="7"/>
        <v>511</v>
      </c>
      <c r="E512" s="7" t="s">
        <v>1074</v>
      </c>
      <c r="F512" s="7" t="s">
        <v>1138</v>
      </c>
      <c r="G512" s="7" t="s">
        <v>1139</v>
      </c>
      <c r="H512" s="6"/>
      <c r="I512" s="7"/>
      <c r="J512" s="6"/>
      <c r="K512" s="7"/>
      <c r="L512" s="6">
        <v>1</v>
      </c>
      <c r="M512" s="8" t="s">
        <v>92</v>
      </c>
      <c r="N512" s="6"/>
      <c r="O512" s="7"/>
      <c r="P512" s="6"/>
      <c r="Q512" s="7"/>
      <c r="R512" s="7">
        <v>45723</v>
      </c>
      <c r="S512" s="7" t="s">
        <v>17</v>
      </c>
      <c r="T512" s="7" t="s">
        <v>12</v>
      </c>
    </row>
    <row r="513" spans="4:20" ht="24.95" customHeight="1" x14ac:dyDescent="0.3">
      <c r="D513" s="6">
        <f t="shared" si="7"/>
        <v>512</v>
      </c>
      <c r="E513" s="7" t="s">
        <v>1074</v>
      </c>
      <c r="F513" s="7" t="s">
        <v>1140</v>
      </c>
      <c r="G513" s="7" t="s">
        <v>1141</v>
      </c>
      <c r="H513" s="6"/>
      <c r="I513" s="7"/>
      <c r="J513" s="6"/>
      <c r="K513" s="7"/>
      <c r="L513" s="6">
        <v>1</v>
      </c>
      <c r="M513" s="8" t="s">
        <v>92</v>
      </c>
      <c r="N513" s="6"/>
      <c r="O513" s="7"/>
      <c r="P513" s="6"/>
      <c r="Q513" s="7"/>
      <c r="R513" s="7">
        <v>45723</v>
      </c>
      <c r="S513" s="7" t="s">
        <v>17</v>
      </c>
      <c r="T513" s="7" t="s">
        <v>12</v>
      </c>
    </row>
    <row r="514" spans="4:20" ht="24.95" customHeight="1" x14ac:dyDescent="0.3">
      <c r="D514" s="6">
        <f t="shared" si="7"/>
        <v>513</v>
      </c>
      <c r="E514" s="7" t="s">
        <v>786</v>
      </c>
      <c r="F514" s="7" t="s">
        <v>1142</v>
      </c>
      <c r="G514" s="7" t="s">
        <v>1143</v>
      </c>
      <c r="H514" s="6"/>
      <c r="I514" s="7"/>
      <c r="J514" s="6"/>
      <c r="K514" s="7"/>
      <c r="L514" s="6"/>
      <c r="M514" s="7"/>
      <c r="N514" s="6"/>
      <c r="O514" s="7"/>
      <c r="P514" s="6">
        <v>1</v>
      </c>
      <c r="Q514" s="8" t="s">
        <v>272</v>
      </c>
      <c r="R514" s="7">
        <v>45726</v>
      </c>
      <c r="S514" s="7" t="s">
        <v>17</v>
      </c>
      <c r="T514" s="7" t="s">
        <v>12</v>
      </c>
    </row>
    <row r="515" spans="4:20" ht="24.95" customHeight="1" x14ac:dyDescent="0.3">
      <c r="D515" s="6">
        <f t="shared" ref="D515:D578" si="8">ROW()-1</f>
        <v>514</v>
      </c>
      <c r="E515" s="7" t="s">
        <v>409</v>
      </c>
      <c r="F515" s="7" t="s">
        <v>1144</v>
      </c>
      <c r="G515" s="7" t="s">
        <v>1145</v>
      </c>
      <c r="H515" s="6"/>
      <c r="I515" s="7"/>
      <c r="J515" s="6"/>
      <c r="K515" s="7"/>
      <c r="L515" s="6"/>
      <c r="M515" s="7"/>
      <c r="N515" s="6"/>
      <c r="O515" s="7"/>
      <c r="P515" s="6">
        <v>1</v>
      </c>
      <c r="Q515" s="8" t="s">
        <v>16</v>
      </c>
      <c r="R515" s="7">
        <v>45729</v>
      </c>
      <c r="S515" s="7" t="s">
        <v>17</v>
      </c>
      <c r="T515" s="7" t="s">
        <v>12</v>
      </c>
    </row>
    <row r="516" spans="4:20" ht="24.95" customHeight="1" x14ac:dyDescent="0.3">
      <c r="D516" s="6">
        <f t="shared" si="8"/>
        <v>515</v>
      </c>
      <c r="E516" s="7" t="s">
        <v>409</v>
      </c>
      <c r="F516" s="7" t="s">
        <v>1146</v>
      </c>
      <c r="G516" s="7" t="s">
        <v>1147</v>
      </c>
      <c r="H516" s="6"/>
      <c r="I516" s="7"/>
      <c r="J516" s="6"/>
      <c r="K516" s="7"/>
      <c r="L516" s="6"/>
      <c r="M516" s="7"/>
      <c r="N516" s="6"/>
      <c r="O516" s="7"/>
      <c r="P516" s="6">
        <v>1</v>
      </c>
      <c r="Q516" s="8" t="s">
        <v>16</v>
      </c>
      <c r="R516" s="7">
        <v>45729</v>
      </c>
      <c r="S516" s="7" t="s">
        <v>17</v>
      </c>
      <c r="T516" s="7" t="s">
        <v>12</v>
      </c>
    </row>
    <row r="517" spans="4:20" ht="24.95" customHeight="1" x14ac:dyDescent="0.3">
      <c r="D517" s="6">
        <f t="shared" si="8"/>
        <v>516</v>
      </c>
      <c r="E517" s="7" t="s">
        <v>1148</v>
      </c>
      <c r="F517" s="7" t="s">
        <v>1149</v>
      </c>
      <c r="G517" s="7" t="s">
        <v>1150</v>
      </c>
      <c r="H517" s="6"/>
      <c r="I517" s="7"/>
      <c r="J517" s="6"/>
      <c r="K517" s="7"/>
      <c r="L517" s="6"/>
      <c r="M517" s="7"/>
      <c r="N517" s="6"/>
      <c r="O517" s="7"/>
      <c r="P517" s="6">
        <v>1</v>
      </c>
      <c r="Q517" s="8" t="s">
        <v>16</v>
      </c>
      <c r="R517" s="7">
        <v>45736</v>
      </c>
      <c r="S517" s="7" t="s">
        <v>17</v>
      </c>
      <c r="T517" s="7" t="s">
        <v>12</v>
      </c>
    </row>
    <row r="518" spans="4:20" ht="24.95" customHeight="1" x14ac:dyDescent="0.3">
      <c r="D518" s="6">
        <f t="shared" si="8"/>
        <v>517</v>
      </c>
      <c r="E518" s="7" t="s">
        <v>1151</v>
      </c>
      <c r="F518" s="7" t="s">
        <v>1152</v>
      </c>
      <c r="G518" s="7" t="s">
        <v>1153</v>
      </c>
      <c r="H518" s="6">
        <v>1</v>
      </c>
      <c r="I518" s="8" t="s">
        <v>609</v>
      </c>
      <c r="J518" s="6"/>
      <c r="K518" s="7"/>
      <c r="L518" s="6"/>
      <c r="M518" s="7"/>
      <c r="N518" s="6"/>
      <c r="O518" s="7"/>
      <c r="P518" s="6"/>
      <c r="Q518" s="7"/>
      <c r="R518" s="7">
        <v>45741</v>
      </c>
      <c r="S518" s="7" t="s">
        <v>17</v>
      </c>
      <c r="T518" s="7" t="s">
        <v>12</v>
      </c>
    </row>
    <row r="519" spans="4:20" ht="24.95" customHeight="1" x14ac:dyDescent="0.3">
      <c r="D519" s="6">
        <f t="shared" si="8"/>
        <v>518</v>
      </c>
      <c r="E519" s="7" t="s">
        <v>327</v>
      </c>
      <c r="F519" s="7" t="s">
        <v>1154</v>
      </c>
      <c r="G519" s="7" t="s">
        <v>1155</v>
      </c>
      <c r="H519" s="6"/>
      <c r="I519" s="7"/>
      <c r="J519" s="6"/>
      <c r="K519" s="7"/>
      <c r="L519" s="6"/>
      <c r="M519" s="7"/>
      <c r="N519" s="6"/>
      <c r="O519" s="7"/>
      <c r="P519" s="6">
        <v>1</v>
      </c>
      <c r="Q519" s="8" t="s">
        <v>16</v>
      </c>
      <c r="R519" s="7">
        <v>45742</v>
      </c>
      <c r="S519" s="7" t="s">
        <v>17</v>
      </c>
      <c r="T519" s="7" t="s">
        <v>12</v>
      </c>
    </row>
    <row r="520" spans="4:20" ht="24.95" customHeight="1" x14ac:dyDescent="0.3">
      <c r="D520" s="6">
        <f t="shared" si="8"/>
        <v>519</v>
      </c>
      <c r="E520" s="7" t="s">
        <v>765</v>
      </c>
      <c r="F520" s="7" t="s">
        <v>1156</v>
      </c>
      <c r="G520" s="7" t="s">
        <v>1157</v>
      </c>
      <c r="H520" s="6"/>
      <c r="I520" s="7"/>
      <c r="J520" s="6"/>
      <c r="K520" s="7"/>
      <c r="L520" s="6"/>
      <c r="M520" s="7"/>
      <c r="N520" s="6"/>
      <c r="O520" s="7"/>
      <c r="P520" s="6">
        <v>1</v>
      </c>
      <c r="Q520" s="8" t="s">
        <v>25</v>
      </c>
      <c r="R520" s="7">
        <v>45744</v>
      </c>
      <c r="S520" s="7" t="s">
        <v>17</v>
      </c>
      <c r="T520" s="7" t="s">
        <v>12</v>
      </c>
    </row>
    <row r="521" spans="4:20" ht="24.95" customHeight="1" x14ac:dyDescent="0.3">
      <c r="D521" s="6">
        <f t="shared" si="8"/>
        <v>520</v>
      </c>
      <c r="E521" s="7" t="s">
        <v>765</v>
      </c>
      <c r="F521" s="7" t="s">
        <v>1158</v>
      </c>
      <c r="G521" s="7" t="s">
        <v>1159</v>
      </c>
      <c r="H521" s="6"/>
      <c r="I521" s="7"/>
      <c r="J521" s="6"/>
      <c r="K521" s="7"/>
      <c r="L521" s="6"/>
      <c r="M521" s="7"/>
      <c r="N521" s="6"/>
      <c r="O521" s="7"/>
      <c r="P521" s="6">
        <v>1</v>
      </c>
      <c r="Q521" s="8" t="s">
        <v>16</v>
      </c>
      <c r="R521" s="7">
        <v>45744</v>
      </c>
      <c r="S521" s="7" t="s">
        <v>17</v>
      </c>
      <c r="T521" s="7" t="s">
        <v>12</v>
      </c>
    </row>
    <row r="522" spans="4:20" ht="24.95" customHeight="1" x14ac:dyDescent="0.3">
      <c r="D522" s="6">
        <f t="shared" si="8"/>
        <v>521</v>
      </c>
      <c r="E522" s="7" t="s">
        <v>765</v>
      </c>
      <c r="F522" s="7" t="s">
        <v>1160</v>
      </c>
      <c r="G522" s="7" t="s">
        <v>1161</v>
      </c>
      <c r="H522" s="6"/>
      <c r="I522" s="7"/>
      <c r="J522" s="6"/>
      <c r="K522" s="7"/>
      <c r="L522" s="6"/>
      <c r="M522" s="7"/>
      <c r="N522" s="6"/>
      <c r="O522" s="7"/>
      <c r="P522" s="6">
        <v>1</v>
      </c>
      <c r="Q522" s="8" t="s">
        <v>272</v>
      </c>
      <c r="R522" s="7">
        <v>45744</v>
      </c>
      <c r="S522" s="7" t="s">
        <v>17</v>
      </c>
      <c r="T522" s="7" t="s">
        <v>12</v>
      </c>
    </row>
    <row r="523" spans="4:20" ht="24.95" customHeight="1" x14ac:dyDescent="0.3">
      <c r="D523" s="6">
        <f t="shared" si="8"/>
        <v>522</v>
      </c>
      <c r="E523" s="7" t="s">
        <v>765</v>
      </c>
      <c r="F523" s="7" t="s">
        <v>1162</v>
      </c>
      <c r="G523" s="7" t="s">
        <v>1163</v>
      </c>
      <c r="H523" s="6"/>
      <c r="I523" s="7"/>
      <c r="J523" s="6"/>
      <c r="K523" s="7"/>
      <c r="L523" s="6">
        <v>1</v>
      </c>
      <c r="M523" s="8" t="s">
        <v>92</v>
      </c>
      <c r="N523" s="6"/>
      <c r="O523" s="7"/>
      <c r="P523" s="6"/>
      <c r="Q523" s="7"/>
      <c r="R523" s="7">
        <v>45744</v>
      </c>
      <c r="S523" s="7" t="s">
        <v>17</v>
      </c>
      <c r="T523" s="7" t="s">
        <v>12</v>
      </c>
    </row>
    <row r="524" spans="4:20" ht="24.95" customHeight="1" x14ac:dyDescent="0.3">
      <c r="D524" s="6">
        <f t="shared" si="8"/>
        <v>523</v>
      </c>
      <c r="E524" s="7" t="s">
        <v>765</v>
      </c>
      <c r="F524" s="7" t="s">
        <v>1164</v>
      </c>
      <c r="G524" s="7" t="s">
        <v>1165</v>
      </c>
      <c r="H524" s="6"/>
      <c r="I524" s="7"/>
      <c r="J524" s="6"/>
      <c r="K524" s="7"/>
      <c r="L524" s="6"/>
      <c r="M524" s="7"/>
      <c r="N524" s="6"/>
      <c r="O524" s="7"/>
      <c r="P524" s="6">
        <v>1</v>
      </c>
      <c r="Q524" s="8" t="s">
        <v>16</v>
      </c>
      <c r="R524" s="7">
        <v>45744</v>
      </c>
      <c r="S524" s="7" t="s">
        <v>17</v>
      </c>
      <c r="T524" s="7" t="s">
        <v>12</v>
      </c>
    </row>
    <row r="525" spans="4:20" ht="24.95" customHeight="1" x14ac:dyDescent="0.3">
      <c r="D525" s="6">
        <f t="shared" si="8"/>
        <v>524</v>
      </c>
      <c r="E525" s="7" t="s">
        <v>765</v>
      </c>
      <c r="F525" s="7" t="s">
        <v>1166</v>
      </c>
      <c r="G525" s="12" t="s">
        <v>1167</v>
      </c>
      <c r="H525" s="6"/>
      <c r="I525" s="7"/>
      <c r="J525" s="6"/>
      <c r="K525" s="7"/>
      <c r="L525" s="6"/>
      <c r="M525" s="7"/>
      <c r="N525" s="6"/>
      <c r="O525" s="7"/>
      <c r="P525" s="6">
        <v>1</v>
      </c>
      <c r="Q525" s="8" t="s">
        <v>16</v>
      </c>
      <c r="R525" s="7">
        <v>45744</v>
      </c>
      <c r="S525" s="7" t="s">
        <v>17</v>
      </c>
      <c r="T525" s="7" t="s">
        <v>12</v>
      </c>
    </row>
    <row r="526" spans="4:20" ht="24.95" customHeight="1" x14ac:dyDescent="0.3">
      <c r="D526" s="6">
        <f t="shared" si="8"/>
        <v>525</v>
      </c>
      <c r="E526" s="7" t="s">
        <v>765</v>
      </c>
      <c r="F526" s="7" t="s">
        <v>1168</v>
      </c>
      <c r="G526" s="12" t="s">
        <v>1169</v>
      </c>
      <c r="H526" s="6"/>
      <c r="I526" s="7"/>
      <c r="J526" s="6"/>
      <c r="K526" s="7"/>
      <c r="L526" s="6"/>
      <c r="M526" s="7"/>
      <c r="N526" s="6"/>
      <c r="O526" s="7"/>
      <c r="P526" s="6">
        <v>1</v>
      </c>
      <c r="Q526" s="8" t="s">
        <v>16</v>
      </c>
      <c r="R526" s="7">
        <v>45744</v>
      </c>
      <c r="S526" s="7" t="s">
        <v>17</v>
      </c>
      <c r="T526" s="7" t="s">
        <v>12</v>
      </c>
    </row>
    <row r="527" spans="4:20" ht="24.95" customHeight="1" x14ac:dyDescent="0.3">
      <c r="D527" s="6">
        <f t="shared" si="8"/>
        <v>526</v>
      </c>
      <c r="E527" s="7" t="s">
        <v>765</v>
      </c>
      <c r="F527" s="7" t="s">
        <v>1170</v>
      </c>
      <c r="G527" s="12" t="s">
        <v>1171</v>
      </c>
      <c r="H527" s="6"/>
      <c r="I527" s="7"/>
      <c r="J527" s="6"/>
      <c r="K527" s="7"/>
      <c r="L527" s="6"/>
      <c r="M527" s="7"/>
      <c r="N527" s="6"/>
      <c r="O527" s="7"/>
      <c r="P527" s="6">
        <v>1</v>
      </c>
      <c r="Q527" s="8" t="s">
        <v>16</v>
      </c>
      <c r="R527" s="7">
        <v>45744</v>
      </c>
      <c r="S527" s="7" t="s">
        <v>17</v>
      </c>
      <c r="T527" s="7" t="s">
        <v>12</v>
      </c>
    </row>
    <row r="528" spans="4:20" ht="24.95" customHeight="1" x14ac:dyDescent="0.3">
      <c r="D528" s="6">
        <f t="shared" si="8"/>
        <v>527</v>
      </c>
      <c r="E528" s="7" t="s">
        <v>765</v>
      </c>
      <c r="F528" s="7" t="s">
        <v>1172</v>
      </c>
      <c r="G528" s="12" t="s">
        <v>1173</v>
      </c>
      <c r="H528" s="6"/>
      <c r="I528" s="7"/>
      <c r="J528" s="6"/>
      <c r="K528" s="7"/>
      <c r="L528" s="6"/>
      <c r="M528" s="7"/>
      <c r="N528" s="6"/>
      <c r="O528" s="7"/>
      <c r="P528" s="6">
        <v>1</v>
      </c>
      <c r="Q528" s="8" t="s">
        <v>16</v>
      </c>
      <c r="R528" s="7">
        <v>45744</v>
      </c>
      <c r="S528" s="7" t="s">
        <v>17</v>
      </c>
      <c r="T528" s="7" t="s">
        <v>12</v>
      </c>
    </row>
    <row r="529" spans="2:20" ht="24.95" customHeight="1" x14ac:dyDescent="0.3">
      <c r="D529" s="6">
        <f t="shared" si="8"/>
        <v>528</v>
      </c>
      <c r="E529" s="7" t="s">
        <v>765</v>
      </c>
      <c r="F529" s="7" t="s">
        <v>1174</v>
      </c>
      <c r="G529" s="7" t="s">
        <v>1175</v>
      </c>
      <c r="H529" s="6"/>
      <c r="I529" s="7"/>
      <c r="J529" s="6">
        <v>1</v>
      </c>
      <c r="K529" s="8" t="s">
        <v>130</v>
      </c>
      <c r="L529" s="6"/>
      <c r="M529" s="7"/>
      <c r="N529" s="6"/>
      <c r="O529" s="7"/>
      <c r="P529" s="6"/>
      <c r="Q529" s="7"/>
      <c r="R529" s="7">
        <v>45744</v>
      </c>
      <c r="S529" s="7" t="s">
        <v>17</v>
      </c>
      <c r="T529" s="7" t="s">
        <v>12</v>
      </c>
    </row>
    <row r="530" spans="2:20" ht="24.95" customHeight="1" x14ac:dyDescent="0.3">
      <c r="D530" s="6">
        <f t="shared" si="8"/>
        <v>529</v>
      </c>
      <c r="E530" s="7" t="s">
        <v>765</v>
      </c>
      <c r="F530" s="7" t="s">
        <v>1176</v>
      </c>
      <c r="G530" s="7" t="s">
        <v>1177</v>
      </c>
      <c r="H530" s="6"/>
      <c r="I530" s="7"/>
      <c r="J530" s="6">
        <v>1</v>
      </c>
      <c r="K530" s="8" t="s">
        <v>130</v>
      </c>
      <c r="L530" s="6"/>
      <c r="M530" s="7"/>
      <c r="N530" s="6"/>
      <c r="O530" s="7"/>
      <c r="P530" s="6"/>
      <c r="Q530" s="7"/>
      <c r="R530" s="7">
        <v>45744</v>
      </c>
      <c r="S530" s="7" t="s">
        <v>17</v>
      </c>
      <c r="T530" s="7" t="s">
        <v>12</v>
      </c>
    </row>
    <row r="531" spans="2:20" ht="24.95" customHeight="1" x14ac:dyDescent="0.3">
      <c r="D531" s="6">
        <f t="shared" si="8"/>
        <v>530</v>
      </c>
      <c r="E531" s="7" t="s">
        <v>765</v>
      </c>
      <c r="F531" s="7" t="s">
        <v>1178</v>
      </c>
      <c r="G531" s="7" t="s">
        <v>1179</v>
      </c>
      <c r="H531" s="6"/>
      <c r="I531" s="7"/>
      <c r="J531" s="6">
        <v>1</v>
      </c>
      <c r="K531" s="8" t="s">
        <v>130</v>
      </c>
      <c r="L531" s="6"/>
      <c r="M531" s="7"/>
      <c r="N531" s="6"/>
      <c r="O531" s="7"/>
      <c r="P531" s="6"/>
      <c r="Q531" s="7"/>
      <c r="R531" s="7">
        <v>45744</v>
      </c>
      <c r="S531" s="7" t="s">
        <v>17</v>
      </c>
      <c r="T531" s="7" t="s">
        <v>12</v>
      </c>
    </row>
    <row r="532" spans="2:20" ht="24.95" customHeight="1" x14ac:dyDescent="0.3">
      <c r="D532" s="6">
        <f t="shared" si="8"/>
        <v>531</v>
      </c>
      <c r="E532" s="7" t="s">
        <v>765</v>
      </c>
      <c r="F532" s="7" t="s">
        <v>1180</v>
      </c>
      <c r="G532" s="7" t="s">
        <v>1181</v>
      </c>
      <c r="H532" s="6"/>
      <c r="I532" s="7"/>
      <c r="J532" s="6"/>
      <c r="K532" s="7"/>
      <c r="L532" s="6"/>
      <c r="M532" s="7"/>
      <c r="N532" s="6"/>
      <c r="O532" s="7"/>
      <c r="P532" s="6">
        <v>1</v>
      </c>
      <c r="Q532" s="8" t="s">
        <v>16</v>
      </c>
      <c r="R532" s="7">
        <v>45744</v>
      </c>
      <c r="S532" s="7" t="s">
        <v>17</v>
      </c>
      <c r="T532" s="7" t="s">
        <v>12</v>
      </c>
    </row>
    <row r="533" spans="2:20" ht="24.95" customHeight="1" x14ac:dyDescent="0.3">
      <c r="D533" s="6">
        <f t="shared" si="8"/>
        <v>532</v>
      </c>
      <c r="E533" s="7" t="s">
        <v>765</v>
      </c>
      <c r="F533" s="7" t="s">
        <v>1182</v>
      </c>
      <c r="G533" s="7" t="s">
        <v>1183</v>
      </c>
      <c r="H533" s="6"/>
      <c r="I533" s="7"/>
      <c r="J533" s="6"/>
      <c r="K533" s="7"/>
      <c r="L533" s="6"/>
      <c r="M533" s="7"/>
      <c r="N533" s="6"/>
      <c r="O533" s="7"/>
      <c r="P533" s="6">
        <v>1</v>
      </c>
      <c r="Q533" s="8" t="s">
        <v>16</v>
      </c>
      <c r="R533" s="7">
        <v>45744</v>
      </c>
      <c r="S533" s="7" t="s">
        <v>17</v>
      </c>
      <c r="T533" s="7" t="s">
        <v>12</v>
      </c>
    </row>
    <row r="534" spans="2:20" ht="24.95" customHeight="1" x14ac:dyDescent="0.3">
      <c r="B534" s="10"/>
      <c r="D534" s="6">
        <f t="shared" si="8"/>
        <v>533</v>
      </c>
      <c r="E534" s="7" t="s">
        <v>412</v>
      </c>
      <c r="F534" s="7" t="s">
        <v>1184</v>
      </c>
      <c r="G534" s="7" t="s">
        <v>1185</v>
      </c>
      <c r="H534" s="6"/>
      <c r="I534" s="7"/>
      <c r="J534" s="6"/>
      <c r="K534" s="7"/>
      <c r="L534" s="6"/>
      <c r="M534" s="7"/>
      <c r="N534" s="6"/>
      <c r="O534" s="7"/>
      <c r="P534" s="6">
        <v>1</v>
      </c>
      <c r="Q534" s="8" t="s">
        <v>16</v>
      </c>
      <c r="R534" s="7">
        <v>45747</v>
      </c>
      <c r="S534" s="7" t="s">
        <v>17</v>
      </c>
      <c r="T534" s="7" t="s">
        <v>12</v>
      </c>
    </row>
    <row r="535" spans="2:20" ht="24.95" customHeight="1" x14ac:dyDescent="0.3">
      <c r="D535" s="6">
        <f t="shared" si="8"/>
        <v>534</v>
      </c>
      <c r="E535" s="7" t="s">
        <v>327</v>
      </c>
      <c r="F535" s="7" t="s">
        <v>1186</v>
      </c>
      <c r="G535" s="7" t="s">
        <v>1187</v>
      </c>
      <c r="H535" s="7"/>
      <c r="I535" s="7"/>
      <c r="J535" s="6"/>
      <c r="K535" s="7"/>
      <c r="L535" s="6"/>
      <c r="M535" s="7"/>
      <c r="N535" s="6"/>
      <c r="O535" s="7"/>
      <c r="P535" s="6">
        <v>1</v>
      </c>
      <c r="Q535" s="8" t="s">
        <v>16</v>
      </c>
      <c r="R535" s="7">
        <v>45747</v>
      </c>
      <c r="S535" s="7" t="s">
        <v>17</v>
      </c>
      <c r="T535" s="7" t="s">
        <v>12</v>
      </c>
    </row>
    <row r="536" spans="2:20" ht="24.95" customHeight="1" x14ac:dyDescent="0.3">
      <c r="D536" s="6">
        <f t="shared" si="8"/>
        <v>535</v>
      </c>
      <c r="E536" s="7" t="s">
        <v>1188</v>
      </c>
      <c r="F536" s="7" t="s">
        <v>1189</v>
      </c>
      <c r="G536" s="7" t="s">
        <v>1190</v>
      </c>
      <c r="H536" s="6"/>
      <c r="I536" s="7"/>
      <c r="J536" s="6">
        <v>1</v>
      </c>
      <c r="K536" s="8" t="s">
        <v>130</v>
      </c>
      <c r="L536" s="6"/>
      <c r="M536" s="7"/>
      <c r="N536" s="6"/>
      <c r="O536" s="7"/>
      <c r="P536" s="6"/>
      <c r="Q536" s="7"/>
      <c r="R536" s="7">
        <v>45749</v>
      </c>
      <c r="S536" s="7" t="s">
        <v>17</v>
      </c>
      <c r="T536" s="7" t="s">
        <v>12</v>
      </c>
    </row>
    <row r="537" spans="2:20" ht="24.95" customHeight="1" x14ac:dyDescent="0.3">
      <c r="D537" s="6">
        <f t="shared" si="8"/>
        <v>536</v>
      </c>
      <c r="E537" s="7" t="s">
        <v>1188</v>
      </c>
      <c r="F537" s="7" t="s">
        <v>1191</v>
      </c>
      <c r="G537" s="7" t="s">
        <v>915</v>
      </c>
      <c r="H537" s="6"/>
      <c r="I537" s="7"/>
      <c r="J537" s="6">
        <v>1</v>
      </c>
      <c r="K537" s="8" t="s">
        <v>130</v>
      </c>
      <c r="L537" s="6"/>
      <c r="M537" s="7"/>
      <c r="N537" s="6"/>
      <c r="O537" s="7"/>
      <c r="P537" s="6"/>
      <c r="Q537" s="7"/>
      <c r="R537" s="7">
        <v>45749</v>
      </c>
      <c r="S537" s="7" t="s">
        <v>17</v>
      </c>
      <c r="T537" s="7" t="s">
        <v>12</v>
      </c>
    </row>
    <row r="538" spans="2:20" ht="24.95" customHeight="1" x14ac:dyDescent="0.3">
      <c r="D538" s="6">
        <f t="shared" si="8"/>
        <v>537</v>
      </c>
      <c r="E538" s="7" t="s">
        <v>1188</v>
      </c>
      <c r="F538" s="7" t="s">
        <v>1192</v>
      </c>
      <c r="G538" s="7" t="s">
        <v>1193</v>
      </c>
      <c r="H538" s="6"/>
      <c r="I538" s="7"/>
      <c r="J538" s="6">
        <v>1</v>
      </c>
      <c r="K538" s="8" t="s">
        <v>130</v>
      </c>
      <c r="L538" s="6"/>
      <c r="M538" s="7"/>
      <c r="N538" s="6"/>
      <c r="O538" s="7"/>
      <c r="P538" s="6"/>
      <c r="Q538" s="7"/>
      <c r="R538" s="7">
        <v>45749</v>
      </c>
      <c r="S538" s="7" t="s">
        <v>17</v>
      </c>
      <c r="T538" s="7" t="s">
        <v>12</v>
      </c>
    </row>
    <row r="539" spans="2:20" ht="24.95" customHeight="1" x14ac:dyDescent="0.3">
      <c r="D539" s="6">
        <f t="shared" si="8"/>
        <v>538</v>
      </c>
      <c r="E539" s="7" t="s">
        <v>261</v>
      </c>
      <c r="F539" s="7" t="s">
        <v>1194</v>
      </c>
      <c r="G539" s="7" t="s">
        <v>1195</v>
      </c>
      <c r="H539" s="6"/>
      <c r="I539" s="7"/>
      <c r="J539" s="6"/>
      <c r="K539" s="7"/>
      <c r="L539" s="6"/>
      <c r="M539" s="7"/>
      <c r="N539" s="6">
        <v>1</v>
      </c>
      <c r="O539" s="8" t="s">
        <v>54</v>
      </c>
      <c r="P539" s="6"/>
      <c r="Q539" s="7"/>
      <c r="R539" s="7">
        <v>45749</v>
      </c>
      <c r="S539" s="7" t="s">
        <v>17</v>
      </c>
      <c r="T539" s="7" t="s">
        <v>12</v>
      </c>
    </row>
    <row r="540" spans="2:20" ht="24.95" customHeight="1" x14ac:dyDescent="0.3">
      <c r="D540" s="6">
        <f t="shared" si="8"/>
        <v>539</v>
      </c>
      <c r="E540" s="7" t="s">
        <v>261</v>
      </c>
      <c r="F540" s="7" t="s">
        <v>1196</v>
      </c>
      <c r="G540" s="7" t="s">
        <v>1197</v>
      </c>
      <c r="H540" s="6"/>
      <c r="I540" s="7"/>
      <c r="J540" s="6"/>
      <c r="K540" s="7"/>
      <c r="L540" s="6"/>
      <c r="M540" s="7"/>
      <c r="N540" s="6">
        <v>1</v>
      </c>
      <c r="O540" s="8" t="s">
        <v>54</v>
      </c>
      <c r="P540" s="6"/>
      <c r="Q540" s="7"/>
      <c r="R540" s="7">
        <v>45749</v>
      </c>
      <c r="S540" s="7" t="s">
        <v>17</v>
      </c>
      <c r="T540" s="7" t="s">
        <v>12</v>
      </c>
    </row>
    <row r="541" spans="2:20" ht="24.95" customHeight="1" x14ac:dyDescent="0.3">
      <c r="D541" s="6">
        <f t="shared" si="8"/>
        <v>540</v>
      </c>
      <c r="E541" s="7" t="s">
        <v>1188</v>
      </c>
      <c r="F541" s="7" t="s">
        <v>1198</v>
      </c>
      <c r="G541" s="7" t="s">
        <v>1199</v>
      </c>
      <c r="H541" s="6"/>
      <c r="I541" s="7"/>
      <c r="J541" s="6">
        <v>1</v>
      </c>
      <c r="K541" s="8" t="s">
        <v>130</v>
      </c>
      <c r="L541" s="6"/>
      <c r="M541" s="7"/>
      <c r="N541" s="6"/>
      <c r="O541" s="7"/>
      <c r="P541" s="6"/>
      <c r="Q541" s="7"/>
      <c r="R541" s="7">
        <v>45749</v>
      </c>
      <c r="S541" s="7" t="s">
        <v>17</v>
      </c>
      <c r="T541" s="7" t="s">
        <v>12</v>
      </c>
    </row>
    <row r="542" spans="2:20" ht="24.95" customHeight="1" x14ac:dyDescent="0.3">
      <c r="D542" s="6">
        <f t="shared" si="8"/>
        <v>541</v>
      </c>
      <c r="E542" s="7" t="s">
        <v>1188</v>
      </c>
      <c r="F542" s="7" t="s">
        <v>1200</v>
      </c>
      <c r="G542" s="7" t="s">
        <v>1201</v>
      </c>
      <c r="H542" s="6"/>
      <c r="I542" s="7"/>
      <c r="J542" s="6">
        <v>1</v>
      </c>
      <c r="K542" s="8" t="s">
        <v>130</v>
      </c>
      <c r="L542" s="6"/>
      <c r="M542" s="7"/>
      <c r="N542" s="6"/>
      <c r="O542" s="7"/>
      <c r="P542" s="6"/>
      <c r="Q542" s="7"/>
      <c r="R542" s="7">
        <v>45749</v>
      </c>
      <c r="S542" s="7" t="s">
        <v>17</v>
      </c>
      <c r="T542" s="7" t="s">
        <v>12</v>
      </c>
    </row>
    <row r="543" spans="2:20" ht="24.95" customHeight="1" x14ac:dyDescent="0.3">
      <c r="D543" s="6">
        <f t="shared" si="8"/>
        <v>542</v>
      </c>
      <c r="E543" s="7" t="s">
        <v>412</v>
      </c>
      <c r="F543" s="7" t="s">
        <v>1202</v>
      </c>
      <c r="G543" s="7" t="s">
        <v>1203</v>
      </c>
      <c r="H543" s="6"/>
      <c r="I543" s="7"/>
      <c r="J543" s="6"/>
      <c r="K543" s="7"/>
      <c r="L543" s="6"/>
      <c r="M543" s="7"/>
      <c r="N543" s="6"/>
      <c r="O543" s="7"/>
      <c r="P543" s="6">
        <v>1</v>
      </c>
      <c r="Q543" s="8" t="s">
        <v>16</v>
      </c>
      <c r="R543" s="7">
        <v>45750</v>
      </c>
      <c r="S543" s="7" t="s">
        <v>17</v>
      </c>
      <c r="T543" s="7" t="s">
        <v>12</v>
      </c>
    </row>
    <row r="544" spans="2:20" ht="24.95" customHeight="1" x14ac:dyDescent="0.3">
      <c r="D544" s="6">
        <f t="shared" si="8"/>
        <v>543</v>
      </c>
      <c r="E544" s="7" t="s">
        <v>1204</v>
      </c>
      <c r="F544" s="7" t="s">
        <v>1205</v>
      </c>
      <c r="G544" s="7" t="s">
        <v>1206</v>
      </c>
      <c r="H544" s="6"/>
      <c r="I544" s="7"/>
      <c r="J544" s="6">
        <v>1</v>
      </c>
      <c r="K544" s="8" t="s">
        <v>130</v>
      </c>
      <c r="L544" s="6"/>
      <c r="M544" s="7"/>
      <c r="N544" s="6"/>
      <c r="O544" s="7"/>
      <c r="P544" s="6"/>
      <c r="Q544" s="7"/>
      <c r="R544" s="7">
        <v>45754</v>
      </c>
      <c r="S544" s="7" t="s">
        <v>17</v>
      </c>
      <c r="T544" s="7" t="s">
        <v>12</v>
      </c>
    </row>
    <row r="545" spans="4:20" ht="24.95" customHeight="1" x14ac:dyDescent="0.3">
      <c r="D545" s="6">
        <f t="shared" si="8"/>
        <v>544</v>
      </c>
      <c r="E545" s="7" t="s">
        <v>565</v>
      </c>
      <c r="F545" s="7" t="s">
        <v>566</v>
      </c>
      <c r="G545" s="7" t="s">
        <v>567</v>
      </c>
      <c r="H545" s="6"/>
      <c r="I545" s="7"/>
      <c r="J545" s="6"/>
      <c r="K545" s="7"/>
      <c r="L545" s="6">
        <v>1</v>
      </c>
      <c r="M545" s="8" t="s">
        <v>48</v>
      </c>
      <c r="N545" s="6"/>
      <c r="O545" s="7"/>
      <c r="P545" s="6"/>
      <c r="Q545" s="7"/>
      <c r="R545" s="7">
        <v>45757</v>
      </c>
      <c r="S545" s="7" t="s">
        <v>17</v>
      </c>
      <c r="T545" s="7" t="s">
        <v>12</v>
      </c>
    </row>
    <row r="546" spans="4:20" ht="24.95" customHeight="1" x14ac:dyDescent="0.3">
      <c r="D546" s="6">
        <f t="shared" si="8"/>
        <v>545</v>
      </c>
      <c r="E546" s="7" t="s">
        <v>565</v>
      </c>
      <c r="F546" s="7" t="s">
        <v>626</v>
      </c>
      <c r="G546" s="7" t="s">
        <v>627</v>
      </c>
      <c r="H546" s="6"/>
      <c r="I546" s="7"/>
      <c r="J546" s="6"/>
      <c r="K546" s="7"/>
      <c r="L546" s="6">
        <v>1</v>
      </c>
      <c r="M546" s="8" t="s">
        <v>92</v>
      </c>
      <c r="N546" s="6"/>
      <c r="O546" s="7"/>
      <c r="P546" s="6"/>
      <c r="Q546" s="7"/>
      <c r="R546" s="7">
        <v>45757</v>
      </c>
      <c r="S546" s="7" t="s">
        <v>17</v>
      </c>
      <c r="T546" s="7" t="s">
        <v>12</v>
      </c>
    </row>
    <row r="547" spans="4:20" ht="24.95" customHeight="1" x14ac:dyDescent="0.3">
      <c r="D547" s="6">
        <f t="shared" si="8"/>
        <v>546</v>
      </c>
      <c r="E547" s="7" t="s">
        <v>565</v>
      </c>
      <c r="F547" s="7" t="s">
        <v>628</v>
      </c>
      <c r="G547" s="7" t="s">
        <v>629</v>
      </c>
      <c r="H547" s="6"/>
      <c r="I547" s="7"/>
      <c r="J547" s="6"/>
      <c r="K547" s="7"/>
      <c r="L547" s="6">
        <v>1</v>
      </c>
      <c r="M547" s="8" t="s">
        <v>92</v>
      </c>
      <c r="N547" s="6"/>
      <c r="O547" s="7"/>
      <c r="P547" s="6"/>
      <c r="Q547" s="7"/>
      <c r="R547" s="7">
        <v>45757</v>
      </c>
      <c r="S547" s="7" t="s">
        <v>17</v>
      </c>
      <c r="T547" s="7" t="s">
        <v>12</v>
      </c>
    </row>
    <row r="548" spans="4:20" ht="24.95" customHeight="1" x14ac:dyDescent="0.3">
      <c r="D548" s="6">
        <f t="shared" si="8"/>
        <v>547</v>
      </c>
      <c r="E548" s="7" t="s">
        <v>565</v>
      </c>
      <c r="F548" s="7" t="s">
        <v>630</v>
      </c>
      <c r="G548" s="7" t="s">
        <v>631</v>
      </c>
      <c r="H548" s="6"/>
      <c r="I548" s="7"/>
      <c r="J548" s="6"/>
      <c r="K548" s="7"/>
      <c r="L548" s="6">
        <v>1</v>
      </c>
      <c r="M548" s="8" t="s">
        <v>92</v>
      </c>
      <c r="N548" s="6"/>
      <c r="O548" s="7"/>
      <c r="P548" s="6"/>
      <c r="Q548" s="7"/>
      <c r="R548" s="7">
        <v>45757</v>
      </c>
      <c r="S548" s="7" t="s">
        <v>17</v>
      </c>
      <c r="T548" s="7" t="s">
        <v>12</v>
      </c>
    </row>
    <row r="549" spans="4:20" ht="24.95" customHeight="1" x14ac:dyDescent="0.3">
      <c r="D549" s="6">
        <f t="shared" si="8"/>
        <v>548</v>
      </c>
      <c r="E549" s="7" t="s">
        <v>1001</v>
      </c>
      <c r="F549" s="7" t="s">
        <v>1207</v>
      </c>
      <c r="G549" s="7" t="s">
        <v>1208</v>
      </c>
      <c r="H549" s="6"/>
      <c r="I549" s="7"/>
      <c r="J549" s="6">
        <v>1</v>
      </c>
      <c r="K549" s="8" t="s">
        <v>277</v>
      </c>
      <c r="L549" s="6"/>
      <c r="M549" s="7"/>
      <c r="N549" s="6"/>
      <c r="O549" s="7"/>
      <c r="P549" s="6"/>
      <c r="Q549" s="7"/>
      <c r="R549" s="7">
        <v>45758</v>
      </c>
      <c r="S549" s="7" t="s">
        <v>17</v>
      </c>
      <c r="T549" s="7" t="s">
        <v>12</v>
      </c>
    </row>
    <row r="550" spans="4:20" ht="24.95" customHeight="1" x14ac:dyDescent="0.3">
      <c r="D550" s="6">
        <f t="shared" si="8"/>
        <v>549</v>
      </c>
      <c r="E550" s="7" t="s">
        <v>557</v>
      </c>
      <c r="F550" s="7" t="s">
        <v>1209</v>
      </c>
      <c r="G550" s="7" t="s">
        <v>1210</v>
      </c>
      <c r="H550" s="6"/>
      <c r="I550" s="7"/>
      <c r="J550" s="6">
        <v>1</v>
      </c>
      <c r="K550" s="8" t="s">
        <v>130</v>
      </c>
      <c r="L550" s="6"/>
      <c r="M550" s="7"/>
      <c r="N550" s="6"/>
      <c r="O550" s="7"/>
      <c r="P550" s="6"/>
      <c r="Q550" s="7"/>
      <c r="R550" s="7">
        <v>45761</v>
      </c>
      <c r="S550" s="7" t="s">
        <v>17</v>
      </c>
      <c r="T550" s="7" t="s">
        <v>12</v>
      </c>
    </row>
    <row r="551" spans="4:20" ht="24.95" customHeight="1" x14ac:dyDescent="0.3">
      <c r="D551" s="6">
        <f t="shared" si="8"/>
        <v>550</v>
      </c>
      <c r="E551" s="7" t="s">
        <v>61</v>
      </c>
      <c r="F551" s="7" t="s">
        <v>1211</v>
      </c>
      <c r="G551" s="7" t="s">
        <v>1212</v>
      </c>
      <c r="H551" s="6"/>
      <c r="I551" s="7"/>
      <c r="J551" s="6">
        <v>1</v>
      </c>
      <c r="K551" s="8" t="s">
        <v>277</v>
      </c>
      <c r="L551" s="6"/>
      <c r="M551" s="7"/>
      <c r="N551" s="6"/>
      <c r="O551" s="7"/>
      <c r="P551" s="6"/>
      <c r="Q551" s="7"/>
      <c r="R551" s="7">
        <v>45763</v>
      </c>
      <c r="S551" s="7" t="s">
        <v>17</v>
      </c>
      <c r="T551" s="7" t="s">
        <v>12</v>
      </c>
    </row>
    <row r="552" spans="4:20" ht="24.95" customHeight="1" x14ac:dyDescent="0.3">
      <c r="D552" s="6">
        <f t="shared" si="8"/>
        <v>551</v>
      </c>
      <c r="E552" s="7" t="s">
        <v>1151</v>
      </c>
      <c r="F552" s="7" t="s">
        <v>1213</v>
      </c>
      <c r="G552" s="7" t="s">
        <v>1214</v>
      </c>
      <c r="H552" s="6"/>
      <c r="I552" s="7"/>
      <c r="J552" s="6"/>
      <c r="K552" s="7"/>
      <c r="L552" s="6"/>
      <c r="M552" s="7"/>
      <c r="N552" s="6"/>
      <c r="O552" s="7"/>
      <c r="P552" s="6">
        <v>1</v>
      </c>
      <c r="Q552" s="8" t="s">
        <v>16</v>
      </c>
      <c r="R552" s="7">
        <v>45768</v>
      </c>
      <c r="S552" s="7" t="s">
        <v>17</v>
      </c>
      <c r="T552" s="7" t="s">
        <v>12</v>
      </c>
    </row>
    <row r="553" spans="4:20" ht="24.95" customHeight="1" x14ac:dyDescent="0.3">
      <c r="D553" s="6">
        <f t="shared" si="8"/>
        <v>552</v>
      </c>
      <c r="E553" s="7" t="s">
        <v>1215</v>
      </c>
      <c r="F553" s="7" t="s">
        <v>1216</v>
      </c>
      <c r="G553" s="7" t="s">
        <v>1217</v>
      </c>
      <c r="H553" s="6"/>
      <c r="I553" s="7"/>
      <c r="J553" s="6"/>
      <c r="K553" s="7"/>
      <c r="L553" s="6"/>
      <c r="M553" s="7"/>
      <c r="N553" s="6"/>
      <c r="O553" s="7"/>
      <c r="P553" s="6">
        <v>1</v>
      </c>
      <c r="Q553" s="8" t="s">
        <v>16</v>
      </c>
      <c r="R553" s="7">
        <v>45768</v>
      </c>
      <c r="S553" s="7" t="s">
        <v>17</v>
      </c>
      <c r="T553" s="7" t="s">
        <v>12</v>
      </c>
    </row>
    <row r="554" spans="4:20" ht="24.95" customHeight="1" x14ac:dyDescent="0.3">
      <c r="D554" s="6">
        <f t="shared" si="8"/>
        <v>553</v>
      </c>
      <c r="E554" s="7" t="s">
        <v>384</v>
      </c>
      <c r="F554" s="7" t="s">
        <v>1218</v>
      </c>
      <c r="G554" s="7" t="s">
        <v>1219</v>
      </c>
      <c r="H554" s="6"/>
      <c r="I554" s="7"/>
      <c r="J554" s="6"/>
      <c r="K554" s="7"/>
      <c r="L554" s="6"/>
      <c r="M554" s="7"/>
      <c r="N554" s="6"/>
      <c r="O554" s="7"/>
      <c r="P554" s="6">
        <v>1</v>
      </c>
      <c r="Q554" s="8" t="s">
        <v>272</v>
      </c>
      <c r="R554" s="7">
        <v>45770</v>
      </c>
      <c r="S554" s="7" t="s">
        <v>17</v>
      </c>
      <c r="T554" s="7" t="s">
        <v>12</v>
      </c>
    </row>
    <row r="555" spans="4:20" ht="24.95" customHeight="1" x14ac:dyDescent="0.3">
      <c r="D555" s="6">
        <f t="shared" si="8"/>
        <v>554</v>
      </c>
      <c r="E555" s="7" t="s">
        <v>384</v>
      </c>
      <c r="F555" s="7" t="s">
        <v>1220</v>
      </c>
      <c r="G555" s="7" t="s">
        <v>1221</v>
      </c>
      <c r="H555" s="6"/>
      <c r="I555" s="7"/>
      <c r="J555" s="6"/>
      <c r="K555" s="7"/>
      <c r="L555" s="6"/>
      <c r="M555" s="7"/>
      <c r="N555" s="6"/>
      <c r="O555" s="7"/>
      <c r="P555" s="6">
        <v>1</v>
      </c>
      <c r="Q555" s="8" t="s">
        <v>16</v>
      </c>
      <c r="R555" s="7">
        <v>45771</v>
      </c>
      <c r="S555" s="7" t="s">
        <v>17</v>
      </c>
      <c r="T555" s="7" t="s">
        <v>12</v>
      </c>
    </row>
    <row r="556" spans="4:20" ht="24.95" customHeight="1" x14ac:dyDescent="0.3">
      <c r="D556" s="6">
        <f t="shared" si="8"/>
        <v>555</v>
      </c>
      <c r="E556" s="7" t="s">
        <v>327</v>
      </c>
      <c r="F556" s="7" t="s">
        <v>1222</v>
      </c>
      <c r="G556" s="7" t="s">
        <v>1223</v>
      </c>
      <c r="H556" s="6"/>
      <c r="I556" s="7"/>
      <c r="J556" s="6"/>
      <c r="K556" s="7"/>
      <c r="L556" s="6">
        <v>1</v>
      </c>
      <c r="M556" s="8" t="s">
        <v>92</v>
      </c>
      <c r="N556" s="6"/>
      <c r="O556" s="7"/>
      <c r="P556" s="6"/>
      <c r="Q556" s="7"/>
      <c r="R556" s="7">
        <v>45774</v>
      </c>
      <c r="S556" s="7" t="s">
        <v>17</v>
      </c>
      <c r="T556" s="7" t="s">
        <v>12</v>
      </c>
    </row>
    <row r="557" spans="4:20" ht="24.95" customHeight="1" x14ac:dyDescent="0.3">
      <c r="D557" s="6">
        <f t="shared" si="8"/>
        <v>556</v>
      </c>
      <c r="E557" s="7" t="s">
        <v>409</v>
      </c>
      <c r="F557" s="7" t="s">
        <v>1224</v>
      </c>
      <c r="G557" s="7" t="s">
        <v>1225</v>
      </c>
      <c r="H557" s="6"/>
      <c r="I557" s="7"/>
      <c r="J557" s="6">
        <v>1</v>
      </c>
      <c r="K557" s="8" t="s">
        <v>130</v>
      </c>
      <c r="L557" s="6"/>
      <c r="M557" s="7"/>
      <c r="N557" s="6"/>
      <c r="O557" s="7"/>
      <c r="P557" s="6"/>
      <c r="Q557" s="7"/>
      <c r="R557" s="7">
        <v>45774</v>
      </c>
      <c r="S557" s="7" t="s">
        <v>17</v>
      </c>
      <c r="T557" s="7" t="s">
        <v>12</v>
      </c>
    </row>
    <row r="558" spans="4:20" ht="24.95" customHeight="1" x14ac:dyDescent="0.3">
      <c r="D558" s="6">
        <f t="shared" si="8"/>
        <v>557</v>
      </c>
      <c r="E558" s="7" t="s">
        <v>837</v>
      </c>
      <c r="F558" s="7" t="s">
        <v>838</v>
      </c>
      <c r="G558" s="7" t="s">
        <v>1226</v>
      </c>
      <c r="H558" s="6"/>
      <c r="I558" s="7"/>
      <c r="J558" s="6">
        <v>1</v>
      </c>
      <c r="K558" s="8" t="s">
        <v>130</v>
      </c>
      <c r="L558" s="6"/>
      <c r="M558" s="7"/>
      <c r="N558" s="6"/>
      <c r="O558" s="7"/>
      <c r="P558" s="6"/>
      <c r="Q558" s="7"/>
      <c r="R558" s="7">
        <v>45775</v>
      </c>
      <c r="S558" s="7" t="s">
        <v>17</v>
      </c>
      <c r="T558" s="7" t="s">
        <v>12</v>
      </c>
    </row>
    <row r="559" spans="4:20" ht="24.95" customHeight="1" x14ac:dyDescent="0.3">
      <c r="D559" s="6">
        <f t="shared" si="8"/>
        <v>558</v>
      </c>
      <c r="E559" s="7" t="s">
        <v>837</v>
      </c>
      <c r="F559" s="7" t="s">
        <v>861</v>
      </c>
      <c r="G559" s="7" t="s">
        <v>862</v>
      </c>
      <c r="H559" s="6"/>
      <c r="I559" s="7"/>
      <c r="J559" s="6"/>
      <c r="K559" s="7"/>
      <c r="L559" s="6">
        <v>1</v>
      </c>
      <c r="M559" s="8" t="s">
        <v>92</v>
      </c>
      <c r="N559" s="6"/>
      <c r="O559" s="7"/>
      <c r="P559" s="6"/>
      <c r="Q559" s="7"/>
      <c r="R559" s="7">
        <v>45775</v>
      </c>
      <c r="S559" s="7" t="s">
        <v>17</v>
      </c>
      <c r="T559" s="7" t="s">
        <v>12</v>
      </c>
    </row>
    <row r="560" spans="4:20" ht="24.95" customHeight="1" x14ac:dyDescent="0.3">
      <c r="D560" s="6">
        <f t="shared" si="8"/>
        <v>559</v>
      </c>
      <c r="E560" s="7" t="s">
        <v>837</v>
      </c>
      <c r="F560" s="7" t="s">
        <v>958</v>
      </c>
      <c r="G560" s="7" t="s">
        <v>959</v>
      </c>
      <c r="H560" s="6"/>
      <c r="I560" s="7"/>
      <c r="J560" s="6"/>
      <c r="K560" s="7"/>
      <c r="L560" s="6">
        <v>1</v>
      </c>
      <c r="M560" s="8" t="s">
        <v>92</v>
      </c>
      <c r="N560" s="6"/>
      <c r="O560" s="7"/>
      <c r="P560" s="6"/>
      <c r="Q560" s="7"/>
      <c r="R560" s="7">
        <v>45775</v>
      </c>
      <c r="S560" s="7" t="s">
        <v>17</v>
      </c>
      <c r="T560" s="7" t="s">
        <v>12</v>
      </c>
    </row>
    <row r="561" spans="4:20" ht="24.95" customHeight="1" x14ac:dyDescent="0.3">
      <c r="D561" s="6">
        <f t="shared" si="8"/>
        <v>560</v>
      </c>
      <c r="E561" s="7" t="s">
        <v>1227</v>
      </c>
      <c r="F561" s="7" t="s">
        <v>1228</v>
      </c>
      <c r="G561" s="7" t="s">
        <v>1229</v>
      </c>
      <c r="H561" s="6"/>
      <c r="I561" s="7"/>
      <c r="J561" s="6"/>
      <c r="K561" s="7"/>
      <c r="L561" s="6"/>
      <c r="M561" s="7"/>
      <c r="N561" s="6"/>
      <c r="O561" s="7"/>
      <c r="P561" s="6">
        <v>1</v>
      </c>
      <c r="Q561" s="8" t="s">
        <v>272</v>
      </c>
      <c r="R561" s="7">
        <v>45775</v>
      </c>
      <c r="S561" s="7" t="s">
        <v>17</v>
      </c>
      <c r="T561" s="7" t="s">
        <v>12</v>
      </c>
    </row>
    <row r="562" spans="4:20" ht="24.95" customHeight="1" x14ac:dyDescent="0.3">
      <c r="D562" s="6">
        <f t="shared" si="8"/>
        <v>561</v>
      </c>
      <c r="E562" s="7" t="s">
        <v>1227</v>
      </c>
      <c r="F562" s="7" t="s">
        <v>1230</v>
      </c>
      <c r="G562" s="7" t="s">
        <v>1231</v>
      </c>
      <c r="H562" s="6"/>
      <c r="I562" s="7"/>
      <c r="J562" s="6"/>
      <c r="K562" s="7"/>
      <c r="L562" s="6"/>
      <c r="M562" s="7"/>
      <c r="N562" s="6"/>
      <c r="O562" s="7"/>
      <c r="P562" s="6">
        <v>1</v>
      </c>
      <c r="Q562" s="8" t="s">
        <v>272</v>
      </c>
      <c r="R562" s="7">
        <v>45775</v>
      </c>
      <c r="S562" s="7" t="s">
        <v>17</v>
      </c>
      <c r="T562" s="7" t="s">
        <v>12</v>
      </c>
    </row>
    <row r="563" spans="4:20" ht="24.95" customHeight="1" x14ac:dyDescent="0.3">
      <c r="D563" s="6">
        <f t="shared" si="8"/>
        <v>562</v>
      </c>
      <c r="E563" s="7" t="s">
        <v>1232</v>
      </c>
      <c r="F563" s="7" t="s">
        <v>1233</v>
      </c>
      <c r="G563" s="7" t="s">
        <v>1234</v>
      </c>
      <c r="H563" s="6"/>
      <c r="I563" s="7"/>
      <c r="J563" s="6"/>
      <c r="K563" s="7"/>
      <c r="L563" s="6"/>
      <c r="M563" s="7"/>
      <c r="N563" s="6">
        <v>1</v>
      </c>
      <c r="O563" s="8" t="s">
        <v>77</v>
      </c>
      <c r="P563" s="6"/>
      <c r="Q563" s="7"/>
      <c r="R563" s="7">
        <v>45775</v>
      </c>
      <c r="S563" s="7" t="s">
        <v>17</v>
      </c>
      <c r="T563" s="7" t="s">
        <v>12</v>
      </c>
    </row>
    <row r="564" spans="4:20" ht="24.95" customHeight="1" x14ac:dyDescent="0.3">
      <c r="D564" s="6">
        <f t="shared" si="8"/>
        <v>563</v>
      </c>
      <c r="E564" s="7" t="s">
        <v>409</v>
      </c>
      <c r="F564" s="7" t="s">
        <v>1235</v>
      </c>
      <c r="G564" s="7" t="s">
        <v>1236</v>
      </c>
      <c r="H564" s="6"/>
      <c r="I564" s="7"/>
      <c r="J564" s="6">
        <v>1</v>
      </c>
      <c r="K564" s="8" t="s">
        <v>130</v>
      </c>
      <c r="L564" s="6"/>
      <c r="M564" s="7"/>
      <c r="N564" s="6"/>
      <c r="O564" s="7"/>
      <c r="P564" s="6"/>
      <c r="Q564" s="7"/>
      <c r="R564" s="7">
        <v>45777</v>
      </c>
      <c r="S564" s="7" t="s">
        <v>17</v>
      </c>
      <c r="T564" s="7" t="s">
        <v>12</v>
      </c>
    </row>
    <row r="565" spans="4:20" ht="24.95" customHeight="1" x14ac:dyDescent="0.3">
      <c r="D565" s="6">
        <f t="shared" si="8"/>
        <v>564</v>
      </c>
      <c r="E565" s="7" t="s">
        <v>384</v>
      </c>
      <c r="F565" s="7" t="s">
        <v>1237</v>
      </c>
      <c r="G565" s="7" t="s">
        <v>1238</v>
      </c>
      <c r="H565" s="6"/>
      <c r="I565" s="7"/>
      <c r="J565" s="6"/>
      <c r="K565" s="7"/>
      <c r="L565" s="6"/>
      <c r="M565" s="7"/>
      <c r="N565" s="6"/>
      <c r="O565" s="7"/>
      <c r="P565" s="6">
        <v>1</v>
      </c>
      <c r="Q565" s="8" t="s">
        <v>16</v>
      </c>
      <c r="R565" s="7">
        <v>45788</v>
      </c>
      <c r="S565" s="7" t="s">
        <v>17</v>
      </c>
      <c r="T565" s="7" t="s">
        <v>12</v>
      </c>
    </row>
    <row r="566" spans="4:20" ht="24.95" customHeight="1" x14ac:dyDescent="0.3">
      <c r="D566" s="6">
        <f t="shared" si="8"/>
        <v>565</v>
      </c>
      <c r="E566" s="7" t="s">
        <v>1074</v>
      </c>
      <c r="F566" s="7" t="s">
        <v>1239</v>
      </c>
      <c r="G566" s="7" t="s">
        <v>1240</v>
      </c>
      <c r="H566" s="6"/>
      <c r="I566" s="7"/>
      <c r="J566" s="6"/>
      <c r="K566" s="7"/>
      <c r="L566" s="6"/>
      <c r="M566" s="7"/>
      <c r="N566" s="6"/>
      <c r="O566" s="7"/>
      <c r="P566" s="6">
        <v>1</v>
      </c>
      <c r="Q566" s="8" t="s">
        <v>272</v>
      </c>
      <c r="R566" s="7">
        <v>45789</v>
      </c>
      <c r="S566" s="7" t="s">
        <v>17</v>
      </c>
      <c r="T566" s="7" t="s">
        <v>12</v>
      </c>
    </row>
    <row r="567" spans="4:20" ht="24.95" customHeight="1" x14ac:dyDescent="0.3">
      <c r="D567" s="6">
        <f t="shared" si="8"/>
        <v>566</v>
      </c>
      <c r="E567" s="7" t="s">
        <v>1074</v>
      </c>
      <c r="F567" s="7" t="s">
        <v>1241</v>
      </c>
      <c r="G567" s="7" t="s">
        <v>1242</v>
      </c>
      <c r="H567" s="6"/>
      <c r="I567" s="7"/>
      <c r="J567" s="6"/>
      <c r="K567" s="7"/>
      <c r="L567" s="6"/>
      <c r="M567" s="7"/>
      <c r="N567" s="6">
        <v>1</v>
      </c>
      <c r="O567" s="8" t="s">
        <v>54</v>
      </c>
      <c r="P567" s="6"/>
      <c r="Q567" s="7"/>
      <c r="R567" s="7">
        <v>45789</v>
      </c>
      <c r="S567" s="7" t="s">
        <v>17</v>
      </c>
      <c r="T567" s="7" t="s">
        <v>12</v>
      </c>
    </row>
    <row r="568" spans="4:20" ht="24.95" customHeight="1" x14ac:dyDescent="0.3">
      <c r="D568" s="6">
        <f t="shared" si="8"/>
        <v>567</v>
      </c>
      <c r="E568" s="7" t="s">
        <v>1037</v>
      </c>
      <c r="F568" s="7" t="s">
        <v>1243</v>
      </c>
      <c r="G568" s="7" t="s">
        <v>1244</v>
      </c>
      <c r="H568" s="6"/>
      <c r="I568" s="7"/>
      <c r="J568" s="6"/>
      <c r="K568" s="7"/>
      <c r="L568" s="6"/>
      <c r="M568" s="7"/>
      <c r="N568" s="6"/>
      <c r="O568" s="7"/>
      <c r="P568" s="6">
        <v>1</v>
      </c>
      <c r="Q568" s="8" t="s">
        <v>16</v>
      </c>
      <c r="R568" s="7">
        <v>45789</v>
      </c>
      <c r="S568" s="7" t="s">
        <v>17</v>
      </c>
      <c r="T568" s="7" t="s">
        <v>12</v>
      </c>
    </row>
    <row r="569" spans="4:20" ht="24.95" customHeight="1" x14ac:dyDescent="0.3">
      <c r="D569" s="6">
        <f t="shared" si="8"/>
        <v>568</v>
      </c>
      <c r="E569" s="7" t="s">
        <v>1037</v>
      </c>
      <c r="F569" s="7" t="s">
        <v>1245</v>
      </c>
      <c r="G569" s="7" t="s">
        <v>1246</v>
      </c>
      <c r="H569" s="6"/>
      <c r="I569" s="7"/>
      <c r="J569" s="6"/>
      <c r="K569" s="7"/>
      <c r="L569" s="6"/>
      <c r="M569" s="7"/>
      <c r="N569" s="6"/>
      <c r="O569" s="7"/>
      <c r="P569" s="6">
        <v>1</v>
      </c>
      <c r="Q569" s="8" t="s">
        <v>16</v>
      </c>
      <c r="R569" s="7">
        <v>45789</v>
      </c>
      <c r="S569" s="7" t="s">
        <v>17</v>
      </c>
      <c r="T569" s="7" t="s">
        <v>12</v>
      </c>
    </row>
    <row r="570" spans="4:20" ht="24.95" customHeight="1" x14ac:dyDescent="0.3">
      <c r="D570" s="6">
        <f t="shared" si="8"/>
        <v>569</v>
      </c>
      <c r="E570" s="7" t="s">
        <v>1037</v>
      </c>
      <c r="F570" s="7" t="s">
        <v>1247</v>
      </c>
      <c r="G570" s="7" t="s">
        <v>1248</v>
      </c>
      <c r="H570" s="6"/>
      <c r="I570" s="7"/>
      <c r="J570" s="6"/>
      <c r="K570" s="7"/>
      <c r="L570" s="6"/>
      <c r="M570" s="7"/>
      <c r="N570" s="6"/>
      <c r="O570" s="7"/>
      <c r="P570" s="6">
        <v>1</v>
      </c>
      <c r="Q570" s="8" t="s">
        <v>16</v>
      </c>
      <c r="R570" s="7">
        <v>45789</v>
      </c>
      <c r="S570" s="7" t="s">
        <v>17</v>
      </c>
      <c r="T570" s="7" t="s">
        <v>12</v>
      </c>
    </row>
    <row r="571" spans="4:20" ht="24.95" customHeight="1" x14ac:dyDescent="0.3">
      <c r="D571" s="6">
        <f t="shared" si="8"/>
        <v>570</v>
      </c>
      <c r="E571" s="7" t="s">
        <v>765</v>
      </c>
      <c r="F571" s="7" t="s">
        <v>1249</v>
      </c>
      <c r="G571" s="7" t="s">
        <v>1250</v>
      </c>
      <c r="H571" s="6"/>
      <c r="I571" s="7"/>
      <c r="J571" s="6"/>
      <c r="K571" s="7"/>
      <c r="L571" s="6">
        <v>1</v>
      </c>
      <c r="M571" s="8" t="s">
        <v>92</v>
      </c>
      <c r="N571" s="6"/>
      <c r="O571" s="7"/>
      <c r="P571" s="6"/>
      <c r="Q571" s="7"/>
      <c r="R571" s="7">
        <v>45790</v>
      </c>
      <c r="S571" s="7" t="s">
        <v>17</v>
      </c>
      <c r="T571" s="7" t="s">
        <v>12</v>
      </c>
    </row>
    <row r="572" spans="4:20" ht="24.95" customHeight="1" x14ac:dyDescent="0.3">
      <c r="D572" s="6">
        <f t="shared" si="8"/>
        <v>571</v>
      </c>
      <c r="E572" s="7" t="s">
        <v>765</v>
      </c>
      <c r="F572" s="7" t="s">
        <v>1251</v>
      </c>
      <c r="G572" s="7" t="s">
        <v>1252</v>
      </c>
      <c r="H572" s="6"/>
      <c r="I572" s="7"/>
      <c r="J572" s="6"/>
      <c r="K572" s="7"/>
      <c r="L572" s="6"/>
      <c r="M572" s="7"/>
      <c r="N572" s="6"/>
      <c r="O572" s="7"/>
      <c r="P572" s="6">
        <v>1</v>
      </c>
      <c r="Q572" s="8" t="s">
        <v>16</v>
      </c>
      <c r="R572" s="7">
        <v>45790</v>
      </c>
      <c r="S572" s="7" t="s">
        <v>17</v>
      </c>
      <c r="T572" s="7" t="s">
        <v>12</v>
      </c>
    </row>
    <row r="573" spans="4:20" ht="24.95" customHeight="1" x14ac:dyDescent="0.3">
      <c r="D573" s="6">
        <f t="shared" si="8"/>
        <v>572</v>
      </c>
      <c r="E573" s="7" t="s">
        <v>765</v>
      </c>
      <c r="F573" s="7" t="s">
        <v>1253</v>
      </c>
      <c r="G573" s="7" t="s">
        <v>1254</v>
      </c>
      <c r="H573" s="6"/>
      <c r="I573" s="7"/>
      <c r="J573" s="6"/>
      <c r="K573" s="7"/>
      <c r="L573" s="6">
        <v>1</v>
      </c>
      <c r="M573" s="8" t="s">
        <v>92</v>
      </c>
      <c r="N573" s="6"/>
      <c r="O573" s="7"/>
      <c r="P573" s="6"/>
      <c r="Q573" s="7"/>
      <c r="R573" s="7">
        <v>45790</v>
      </c>
      <c r="S573" s="7" t="s">
        <v>17</v>
      </c>
      <c r="T573" s="7" t="s">
        <v>12</v>
      </c>
    </row>
    <row r="574" spans="4:20" ht="24.95" customHeight="1" x14ac:dyDescent="0.3">
      <c r="D574" s="6">
        <f t="shared" si="8"/>
        <v>573</v>
      </c>
      <c r="E574" s="7" t="s">
        <v>765</v>
      </c>
      <c r="F574" s="7" t="s">
        <v>1255</v>
      </c>
      <c r="G574" s="7" t="s">
        <v>1256</v>
      </c>
      <c r="H574" s="6"/>
      <c r="I574" s="7"/>
      <c r="J574" s="6"/>
      <c r="K574" s="7"/>
      <c r="L574" s="6">
        <v>1</v>
      </c>
      <c r="M574" s="8" t="s">
        <v>92</v>
      </c>
      <c r="N574" s="6"/>
      <c r="O574" s="7"/>
      <c r="P574" s="6"/>
      <c r="Q574" s="7"/>
      <c r="R574" s="7">
        <v>45790</v>
      </c>
      <c r="S574" s="7" t="s">
        <v>17</v>
      </c>
      <c r="T574" s="7" t="s">
        <v>12</v>
      </c>
    </row>
    <row r="575" spans="4:20" ht="24.95" customHeight="1" x14ac:dyDescent="0.3">
      <c r="D575" s="6">
        <f t="shared" si="8"/>
        <v>574</v>
      </c>
      <c r="E575" s="7" t="s">
        <v>384</v>
      </c>
      <c r="F575" s="7" t="s">
        <v>1257</v>
      </c>
      <c r="G575" s="7" t="s">
        <v>1258</v>
      </c>
      <c r="H575" s="6"/>
      <c r="I575" s="7"/>
      <c r="J575" s="6"/>
      <c r="K575" s="7"/>
      <c r="L575" s="6"/>
      <c r="M575" s="7"/>
      <c r="N575" s="6"/>
      <c r="O575" s="7"/>
      <c r="P575" s="6">
        <v>1</v>
      </c>
      <c r="Q575" s="8" t="s">
        <v>16</v>
      </c>
      <c r="R575" s="7">
        <v>45791</v>
      </c>
      <c r="S575" s="7" t="s">
        <v>17</v>
      </c>
      <c r="T575" s="7" t="s">
        <v>12</v>
      </c>
    </row>
    <row r="576" spans="4:20" ht="24.95" customHeight="1" x14ac:dyDescent="0.3">
      <c r="D576" s="6">
        <f t="shared" si="8"/>
        <v>575</v>
      </c>
      <c r="E576" s="7" t="s">
        <v>384</v>
      </c>
      <c r="F576" s="7" t="s">
        <v>1259</v>
      </c>
      <c r="G576" s="7" t="s">
        <v>1260</v>
      </c>
      <c r="H576" s="6"/>
      <c r="I576" s="7"/>
      <c r="J576" s="6"/>
      <c r="K576" s="7"/>
      <c r="L576" s="6"/>
      <c r="M576" s="7"/>
      <c r="N576" s="6"/>
      <c r="O576" s="7"/>
      <c r="P576" s="6">
        <v>1</v>
      </c>
      <c r="Q576" s="8" t="s">
        <v>16</v>
      </c>
      <c r="R576" s="7">
        <v>45791</v>
      </c>
      <c r="S576" s="7" t="s">
        <v>17</v>
      </c>
      <c r="T576" s="7" t="s">
        <v>12</v>
      </c>
    </row>
    <row r="577" spans="4:20" ht="24.95" customHeight="1" x14ac:dyDescent="0.3">
      <c r="D577" s="6">
        <f t="shared" si="8"/>
        <v>576</v>
      </c>
      <c r="E577" s="7" t="s">
        <v>384</v>
      </c>
      <c r="F577" s="7" t="s">
        <v>1261</v>
      </c>
      <c r="G577" s="7" t="s">
        <v>1262</v>
      </c>
      <c r="H577" s="6"/>
      <c r="I577" s="7"/>
      <c r="J577" s="6">
        <v>1</v>
      </c>
      <c r="K577" s="8" t="s">
        <v>130</v>
      </c>
      <c r="L577" s="6"/>
      <c r="M577" s="7"/>
      <c r="N577" s="6"/>
      <c r="O577" s="7"/>
      <c r="P577" s="6"/>
      <c r="Q577" s="7"/>
      <c r="R577" s="7">
        <v>45791</v>
      </c>
      <c r="S577" s="7" t="s">
        <v>17</v>
      </c>
      <c r="T577" s="7" t="s">
        <v>12</v>
      </c>
    </row>
    <row r="578" spans="4:20" ht="24.95" customHeight="1" x14ac:dyDescent="0.3">
      <c r="D578" s="6">
        <f t="shared" si="8"/>
        <v>577</v>
      </c>
      <c r="E578" s="7" t="s">
        <v>765</v>
      </c>
      <c r="F578" s="7" t="s">
        <v>1263</v>
      </c>
      <c r="G578" s="7" t="s">
        <v>1264</v>
      </c>
      <c r="H578" s="6"/>
      <c r="I578" s="7"/>
      <c r="J578" s="6"/>
      <c r="K578" s="7"/>
      <c r="L578" s="6">
        <v>1</v>
      </c>
      <c r="M578" s="8" t="s">
        <v>92</v>
      </c>
      <c r="N578" s="6"/>
      <c r="O578" s="7"/>
      <c r="P578" s="6"/>
      <c r="Q578" s="7"/>
      <c r="R578" s="7">
        <v>45793</v>
      </c>
      <c r="S578" s="7" t="s">
        <v>17</v>
      </c>
      <c r="T578" s="7" t="s">
        <v>12</v>
      </c>
    </row>
    <row r="579" spans="4:20" ht="24.95" customHeight="1" x14ac:dyDescent="0.3">
      <c r="D579" s="6">
        <f t="shared" ref="D579:D642" si="9">ROW()-1</f>
        <v>578</v>
      </c>
      <c r="E579" s="7" t="s">
        <v>384</v>
      </c>
      <c r="F579" s="7" t="s">
        <v>1265</v>
      </c>
      <c r="G579" s="7" t="s">
        <v>1266</v>
      </c>
      <c r="H579" s="6"/>
      <c r="I579" s="7"/>
      <c r="J579" s="6"/>
      <c r="K579" s="7"/>
      <c r="L579" s="6"/>
      <c r="M579" s="7"/>
      <c r="N579" s="6"/>
      <c r="O579" s="7"/>
      <c r="P579" s="6">
        <v>1</v>
      </c>
      <c r="Q579" s="8" t="s">
        <v>272</v>
      </c>
      <c r="R579" s="7">
        <v>45800</v>
      </c>
      <c r="S579" s="7" t="s">
        <v>17</v>
      </c>
      <c r="T579" s="7" t="s">
        <v>12</v>
      </c>
    </row>
    <row r="580" spans="4:20" ht="24.95" customHeight="1" x14ac:dyDescent="0.3">
      <c r="D580" s="6">
        <f t="shared" si="9"/>
        <v>579</v>
      </c>
      <c r="E580" s="7" t="s">
        <v>384</v>
      </c>
      <c r="F580" s="7" t="s">
        <v>1267</v>
      </c>
      <c r="G580" s="7" t="s">
        <v>1268</v>
      </c>
      <c r="H580" s="6"/>
      <c r="I580" s="7"/>
      <c r="J580" s="6"/>
      <c r="K580" s="7"/>
      <c r="L580" s="6"/>
      <c r="M580" s="7"/>
      <c r="N580" s="6"/>
      <c r="O580" s="7"/>
      <c r="P580" s="6">
        <v>1</v>
      </c>
      <c r="Q580" s="8" t="s">
        <v>16</v>
      </c>
      <c r="R580" s="7">
        <v>45800</v>
      </c>
      <c r="S580" s="7" t="s">
        <v>17</v>
      </c>
      <c r="T580" s="7" t="s">
        <v>12</v>
      </c>
    </row>
    <row r="581" spans="4:20" ht="24.95" customHeight="1" x14ac:dyDescent="0.3">
      <c r="D581" s="6">
        <f t="shared" si="9"/>
        <v>580</v>
      </c>
      <c r="E581" s="7" t="s">
        <v>1269</v>
      </c>
      <c r="F581" s="7" t="s">
        <v>1270</v>
      </c>
      <c r="G581" s="7" t="s">
        <v>1271</v>
      </c>
      <c r="H581" s="6"/>
      <c r="I581" s="7"/>
      <c r="J581" s="6"/>
      <c r="K581" s="7"/>
      <c r="L581" s="6"/>
      <c r="M581" s="7"/>
      <c r="N581" s="6">
        <v>1</v>
      </c>
      <c r="O581" s="8" t="s">
        <v>77</v>
      </c>
      <c r="P581" s="6"/>
      <c r="Q581" s="7"/>
      <c r="R581" s="7">
        <v>45803</v>
      </c>
      <c r="S581" s="7" t="s">
        <v>17</v>
      </c>
      <c r="T581" s="7" t="s">
        <v>12</v>
      </c>
    </row>
    <row r="582" spans="4:20" ht="24.95" customHeight="1" x14ac:dyDescent="0.3">
      <c r="D582" s="6">
        <f t="shared" si="9"/>
        <v>581</v>
      </c>
      <c r="E582" s="7" t="s">
        <v>185</v>
      </c>
      <c r="F582" s="7" t="s">
        <v>1272</v>
      </c>
      <c r="G582" s="7" t="s">
        <v>1273</v>
      </c>
      <c r="H582" s="6"/>
      <c r="I582" s="7"/>
      <c r="J582" s="6"/>
      <c r="K582" s="7"/>
      <c r="L582" s="6">
        <v>1</v>
      </c>
      <c r="M582" s="8" t="s">
        <v>92</v>
      </c>
      <c r="N582" s="6"/>
      <c r="O582" s="7"/>
      <c r="P582" s="6"/>
      <c r="Q582" s="7"/>
      <c r="R582" s="7">
        <v>45804</v>
      </c>
      <c r="S582" s="7" t="s">
        <v>17</v>
      </c>
      <c r="T582" s="7" t="s">
        <v>12</v>
      </c>
    </row>
    <row r="583" spans="4:20" ht="24.95" customHeight="1" x14ac:dyDescent="0.3">
      <c r="D583" s="6">
        <f t="shared" si="9"/>
        <v>582</v>
      </c>
      <c r="E583" s="7" t="s">
        <v>358</v>
      </c>
      <c r="F583" s="7" t="s">
        <v>361</v>
      </c>
      <c r="G583" s="7" t="s">
        <v>362</v>
      </c>
      <c r="H583" s="6"/>
      <c r="I583" s="7"/>
      <c r="J583" s="6">
        <v>1</v>
      </c>
      <c r="K583" s="8" t="s">
        <v>130</v>
      </c>
      <c r="L583" s="6"/>
      <c r="M583" s="7"/>
      <c r="N583" s="6"/>
      <c r="O583" s="7"/>
      <c r="P583" s="6"/>
      <c r="Q583" s="7"/>
      <c r="R583" s="7">
        <v>45805</v>
      </c>
      <c r="S583" s="7" t="s">
        <v>17</v>
      </c>
      <c r="T583" s="7" t="s">
        <v>12</v>
      </c>
    </row>
    <row r="584" spans="4:20" ht="24.95" customHeight="1" x14ac:dyDescent="0.3">
      <c r="D584" s="6">
        <f t="shared" si="9"/>
        <v>583</v>
      </c>
      <c r="E584" s="7" t="s">
        <v>358</v>
      </c>
      <c r="F584" s="7" t="s">
        <v>460</v>
      </c>
      <c r="G584" s="7" t="s">
        <v>461</v>
      </c>
      <c r="H584" s="6"/>
      <c r="I584" s="7"/>
      <c r="J584" s="6">
        <v>1</v>
      </c>
      <c r="K584" s="8" t="s">
        <v>130</v>
      </c>
      <c r="L584" s="6"/>
      <c r="M584" s="7"/>
      <c r="N584" s="6"/>
      <c r="O584" s="7"/>
      <c r="P584" s="6"/>
      <c r="Q584" s="7"/>
      <c r="R584" s="7">
        <v>45805</v>
      </c>
      <c r="S584" s="7" t="s">
        <v>17</v>
      </c>
      <c r="T584" s="7" t="s">
        <v>12</v>
      </c>
    </row>
    <row r="585" spans="4:20" ht="24.95" customHeight="1" x14ac:dyDescent="0.3">
      <c r="D585" s="6">
        <f t="shared" si="9"/>
        <v>584</v>
      </c>
      <c r="E585" s="7" t="s">
        <v>358</v>
      </c>
      <c r="F585" s="7" t="s">
        <v>524</v>
      </c>
      <c r="G585" s="7" t="s">
        <v>525</v>
      </c>
      <c r="H585" s="6"/>
      <c r="I585" s="7"/>
      <c r="J585" s="6"/>
      <c r="K585" s="7"/>
      <c r="L585" s="6"/>
      <c r="M585" s="7"/>
      <c r="N585" s="6"/>
      <c r="O585" s="7"/>
      <c r="P585" s="6">
        <v>1</v>
      </c>
      <c r="Q585" s="8" t="s">
        <v>25</v>
      </c>
      <c r="R585" s="7">
        <v>45805</v>
      </c>
      <c r="S585" s="7" t="s">
        <v>17</v>
      </c>
      <c r="T585" s="7" t="s">
        <v>12</v>
      </c>
    </row>
    <row r="586" spans="4:20" ht="24.95" customHeight="1" x14ac:dyDescent="0.3">
      <c r="D586" s="6">
        <f t="shared" si="9"/>
        <v>585</v>
      </c>
      <c r="E586" s="7" t="s">
        <v>358</v>
      </c>
      <c r="F586" s="7" t="s">
        <v>522</v>
      </c>
      <c r="G586" s="7" t="s">
        <v>523</v>
      </c>
      <c r="H586" s="6"/>
      <c r="I586" s="7"/>
      <c r="J586" s="6">
        <v>1</v>
      </c>
      <c r="K586" s="8" t="s">
        <v>130</v>
      </c>
      <c r="L586" s="6"/>
      <c r="M586" s="7"/>
      <c r="N586" s="6"/>
      <c r="O586" s="7"/>
      <c r="P586" s="6"/>
      <c r="Q586" s="7"/>
      <c r="R586" s="7">
        <v>45805</v>
      </c>
      <c r="S586" s="7" t="s">
        <v>17</v>
      </c>
      <c r="T586" s="7" t="s">
        <v>12</v>
      </c>
    </row>
    <row r="587" spans="4:20" ht="24.95" customHeight="1" x14ac:dyDescent="0.3">
      <c r="D587" s="6">
        <f t="shared" si="9"/>
        <v>586</v>
      </c>
      <c r="E587" s="7" t="s">
        <v>358</v>
      </c>
      <c r="F587" s="7" t="s">
        <v>462</v>
      </c>
      <c r="G587" s="7" t="s">
        <v>463</v>
      </c>
      <c r="H587" s="6"/>
      <c r="I587" s="7"/>
      <c r="J587" s="6"/>
      <c r="K587" s="7"/>
      <c r="L587" s="6"/>
      <c r="M587" s="7"/>
      <c r="N587" s="6"/>
      <c r="O587" s="7"/>
      <c r="P587" s="6">
        <v>1</v>
      </c>
      <c r="Q587" s="8" t="s">
        <v>16</v>
      </c>
      <c r="R587" s="7">
        <v>45805</v>
      </c>
      <c r="S587" s="7" t="s">
        <v>17</v>
      </c>
      <c r="T587" s="7" t="s">
        <v>12</v>
      </c>
    </row>
    <row r="588" spans="4:20" ht="24.95" customHeight="1" x14ac:dyDescent="0.3">
      <c r="D588" s="6">
        <f t="shared" si="9"/>
        <v>587</v>
      </c>
      <c r="E588" s="7" t="s">
        <v>358</v>
      </c>
      <c r="F588" s="7" t="s">
        <v>528</v>
      </c>
      <c r="G588" s="7" t="s">
        <v>529</v>
      </c>
      <c r="H588" s="6"/>
      <c r="I588" s="7"/>
      <c r="J588" s="6"/>
      <c r="K588" s="7"/>
      <c r="L588" s="6"/>
      <c r="M588" s="7"/>
      <c r="N588" s="6"/>
      <c r="O588" s="7"/>
      <c r="P588" s="6">
        <v>1</v>
      </c>
      <c r="Q588" s="8" t="s">
        <v>25</v>
      </c>
      <c r="R588" s="7">
        <v>45805</v>
      </c>
      <c r="S588" s="7" t="s">
        <v>17</v>
      </c>
      <c r="T588" s="7" t="s">
        <v>12</v>
      </c>
    </row>
    <row r="589" spans="4:20" ht="24.95" customHeight="1" x14ac:dyDescent="0.3">
      <c r="D589" s="6">
        <f t="shared" si="9"/>
        <v>588</v>
      </c>
      <c r="E589" s="7" t="s">
        <v>358</v>
      </c>
      <c r="F589" s="7" t="s">
        <v>910</v>
      </c>
      <c r="G589" s="7" t="s">
        <v>911</v>
      </c>
      <c r="H589" s="6"/>
      <c r="I589" s="7"/>
      <c r="J589" s="6"/>
      <c r="K589" s="7"/>
      <c r="L589" s="6"/>
      <c r="M589" s="7"/>
      <c r="N589" s="6"/>
      <c r="O589" s="7"/>
      <c r="P589" s="6">
        <v>1</v>
      </c>
      <c r="Q589" s="8" t="s">
        <v>16</v>
      </c>
      <c r="R589" s="7">
        <v>45807</v>
      </c>
      <c r="S589" s="7" t="s">
        <v>17</v>
      </c>
      <c r="T589" s="7" t="s">
        <v>12</v>
      </c>
    </row>
    <row r="590" spans="4:20" ht="24.95" customHeight="1" x14ac:dyDescent="0.3">
      <c r="D590" s="6">
        <f t="shared" si="9"/>
        <v>589</v>
      </c>
      <c r="E590" s="7" t="s">
        <v>1227</v>
      </c>
      <c r="F590" s="7" t="s">
        <v>1274</v>
      </c>
      <c r="G590" s="7" t="s">
        <v>1275</v>
      </c>
      <c r="H590" s="6"/>
      <c r="I590" s="7"/>
      <c r="J590" s="6"/>
      <c r="K590" s="7"/>
      <c r="L590" s="6">
        <v>1</v>
      </c>
      <c r="M590" s="8" t="s">
        <v>48</v>
      </c>
      <c r="N590" s="6"/>
      <c r="O590" s="7"/>
      <c r="P590" s="6"/>
      <c r="Q590" s="7"/>
      <c r="R590" s="7">
        <v>45811</v>
      </c>
      <c r="S590" s="7" t="s">
        <v>17</v>
      </c>
      <c r="T590" s="7" t="s">
        <v>12</v>
      </c>
    </row>
    <row r="591" spans="4:20" ht="24.95" customHeight="1" x14ac:dyDescent="0.3">
      <c r="D591" s="6">
        <f t="shared" si="9"/>
        <v>590</v>
      </c>
      <c r="E591" s="7" t="s">
        <v>1227</v>
      </c>
      <c r="F591" s="7" t="s">
        <v>1276</v>
      </c>
      <c r="G591" s="7" t="s">
        <v>1277</v>
      </c>
      <c r="H591" s="6"/>
      <c r="I591" s="7"/>
      <c r="J591" s="6"/>
      <c r="K591" s="7"/>
      <c r="L591" s="6"/>
      <c r="M591" s="7"/>
      <c r="N591" s="6"/>
      <c r="O591" s="7"/>
      <c r="P591" s="6">
        <v>1</v>
      </c>
      <c r="Q591" s="8" t="s">
        <v>16</v>
      </c>
      <c r="R591" s="7">
        <v>45811</v>
      </c>
      <c r="S591" s="7" t="s">
        <v>17</v>
      </c>
      <c r="T591" s="7" t="s">
        <v>12</v>
      </c>
    </row>
    <row r="592" spans="4:20" ht="24.95" customHeight="1" x14ac:dyDescent="0.3">
      <c r="D592" s="6">
        <f t="shared" si="9"/>
        <v>591</v>
      </c>
      <c r="E592" s="7" t="s">
        <v>261</v>
      </c>
      <c r="F592" s="7" t="s">
        <v>1278</v>
      </c>
      <c r="G592" s="7" t="s">
        <v>1279</v>
      </c>
      <c r="H592" s="6"/>
      <c r="I592" s="7"/>
      <c r="J592" s="6">
        <v>1</v>
      </c>
      <c r="K592" s="8" t="s">
        <v>130</v>
      </c>
      <c r="L592" s="6"/>
      <c r="M592" s="7"/>
      <c r="N592" s="6"/>
      <c r="O592" s="7"/>
      <c r="P592" s="6"/>
      <c r="Q592" s="7"/>
      <c r="R592" s="7">
        <v>45817</v>
      </c>
      <c r="S592" s="7" t="s">
        <v>17</v>
      </c>
      <c r="T592" s="7" t="s">
        <v>12</v>
      </c>
    </row>
    <row r="593" spans="1:20" ht="24.95" customHeight="1" x14ac:dyDescent="0.3">
      <c r="D593" s="6">
        <f t="shared" si="9"/>
        <v>592</v>
      </c>
      <c r="E593" s="7" t="s">
        <v>765</v>
      </c>
      <c r="F593" s="7" t="s">
        <v>1280</v>
      </c>
      <c r="G593" s="7" t="s">
        <v>1281</v>
      </c>
      <c r="H593" s="6"/>
      <c r="I593" s="7"/>
      <c r="J593" s="6"/>
      <c r="K593" s="7"/>
      <c r="L593" s="6">
        <v>1</v>
      </c>
      <c r="M593" s="8" t="s">
        <v>92</v>
      </c>
      <c r="N593" s="6"/>
      <c r="O593" s="7"/>
      <c r="P593" s="6"/>
      <c r="Q593" s="7"/>
      <c r="R593" s="7">
        <v>45821</v>
      </c>
      <c r="S593" s="7" t="s">
        <v>17</v>
      </c>
      <c r="T593" s="7" t="s">
        <v>12</v>
      </c>
    </row>
    <row r="594" spans="1:20" ht="24.95" customHeight="1" x14ac:dyDescent="0.3">
      <c r="D594" s="6">
        <f t="shared" si="9"/>
        <v>593</v>
      </c>
      <c r="E594" s="7" t="s">
        <v>765</v>
      </c>
      <c r="F594" s="7" t="s">
        <v>1282</v>
      </c>
      <c r="G594" s="7" t="s">
        <v>1283</v>
      </c>
      <c r="H594" s="6"/>
      <c r="I594" s="7"/>
      <c r="J594" s="6"/>
      <c r="K594" s="7"/>
      <c r="L594" s="6">
        <v>1</v>
      </c>
      <c r="M594" s="8" t="s">
        <v>92</v>
      </c>
      <c r="N594" s="6"/>
      <c r="O594" s="7"/>
      <c r="P594" s="6"/>
      <c r="Q594" s="7"/>
      <c r="R594" s="7">
        <v>45821</v>
      </c>
      <c r="S594" s="7" t="s">
        <v>17</v>
      </c>
      <c r="T594" s="7" t="s">
        <v>12</v>
      </c>
    </row>
    <row r="595" spans="1:20" ht="24.95" customHeight="1" x14ac:dyDescent="0.3">
      <c r="D595" s="6">
        <f t="shared" si="9"/>
        <v>594</v>
      </c>
      <c r="E595" s="7" t="s">
        <v>765</v>
      </c>
      <c r="F595" s="7" t="s">
        <v>1284</v>
      </c>
      <c r="G595" s="7" t="s">
        <v>1285</v>
      </c>
      <c r="H595" s="6"/>
      <c r="I595" s="7"/>
      <c r="J595" s="6">
        <v>1</v>
      </c>
      <c r="K595" s="8" t="s">
        <v>80</v>
      </c>
      <c r="L595" s="6"/>
      <c r="M595" s="7"/>
      <c r="N595" s="6"/>
      <c r="O595" s="7"/>
      <c r="P595" s="6"/>
      <c r="Q595" s="7"/>
      <c r="R595" s="7">
        <v>45821</v>
      </c>
      <c r="S595" s="7" t="s">
        <v>17</v>
      </c>
      <c r="T595" s="7" t="s">
        <v>12</v>
      </c>
    </row>
    <row r="596" spans="1:20" ht="24.95" customHeight="1" x14ac:dyDescent="0.3">
      <c r="D596" s="6">
        <f t="shared" si="9"/>
        <v>595</v>
      </c>
      <c r="E596" s="7" t="s">
        <v>765</v>
      </c>
      <c r="F596" s="7" t="s">
        <v>1286</v>
      </c>
      <c r="G596" s="12" t="s">
        <v>1287</v>
      </c>
      <c r="H596" s="6"/>
      <c r="I596" s="7"/>
      <c r="J596" s="6"/>
      <c r="K596" s="7"/>
      <c r="L596" s="6">
        <v>1</v>
      </c>
      <c r="M596" s="8" t="s">
        <v>92</v>
      </c>
      <c r="N596" s="6"/>
      <c r="O596" s="7"/>
      <c r="P596" s="6"/>
      <c r="Q596" s="7"/>
      <c r="R596" s="7">
        <v>45821</v>
      </c>
      <c r="S596" s="7" t="s">
        <v>17</v>
      </c>
      <c r="T596" s="7" t="s">
        <v>12</v>
      </c>
    </row>
    <row r="597" spans="1:20" s="15" customFormat="1" ht="24.95" customHeight="1" x14ac:dyDescent="0.3">
      <c r="A597" s="14"/>
      <c r="B597" s="14"/>
      <c r="D597" s="6">
        <f t="shared" si="9"/>
        <v>596</v>
      </c>
      <c r="E597" s="7" t="s">
        <v>278</v>
      </c>
      <c r="F597" s="7" t="s">
        <v>1288</v>
      </c>
      <c r="G597" s="7" t="s">
        <v>1289</v>
      </c>
      <c r="H597" s="6"/>
      <c r="I597" s="7"/>
      <c r="J597" s="6"/>
      <c r="K597" s="7"/>
      <c r="L597" s="6">
        <v>1</v>
      </c>
      <c r="M597" s="8" t="s">
        <v>48</v>
      </c>
      <c r="N597" s="6"/>
      <c r="O597" s="7"/>
      <c r="P597" s="6"/>
      <c r="Q597" s="7"/>
      <c r="R597" s="7">
        <v>45839</v>
      </c>
      <c r="S597" s="7" t="s">
        <v>17</v>
      </c>
      <c r="T597" s="7" t="s">
        <v>12</v>
      </c>
    </row>
    <row r="598" spans="1:20" s="15" customFormat="1" ht="24.95" customHeight="1" x14ac:dyDescent="0.3">
      <c r="A598" s="14"/>
      <c r="B598" s="14"/>
      <c r="D598" s="6">
        <f t="shared" si="9"/>
        <v>597</v>
      </c>
      <c r="E598" s="7" t="s">
        <v>185</v>
      </c>
      <c r="F598" s="7" t="s">
        <v>1290</v>
      </c>
      <c r="G598" s="7" t="s">
        <v>1291</v>
      </c>
      <c r="H598" s="6"/>
      <c r="I598" s="7"/>
      <c r="J598" s="6"/>
      <c r="K598" s="7"/>
      <c r="L598" s="6">
        <v>1</v>
      </c>
      <c r="M598" s="8" t="s">
        <v>92</v>
      </c>
      <c r="N598" s="6"/>
      <c r="O598" s="7"/>
      <c r="P598" s="6"/>
      <c r="Q598" s="7"/>
      <c r="R598" s="7">
        <v>45839</v>
      </c>
      <c r="S598" s="7" t="s">
        <v>17</v>
      </c>
      <c r="T598" s="7" t="s">
        <v>12</v>
      </c>
    </row>
    <row r="599" spans="1:20" s="15" customFormat="1" ht="24.95" customHeight="1" x14ac:dyDescent="0.3">
      <c r="A599" s="14"/>
      <c r="B599" s="14"/>
      <c r="D599" s="6">
        <f t="shared" si="9"/>
        <v>598</v>
      </c>
      <c r="E599" s="7" t="s">
        <v>930</v>
      </c>
      <c r="F599" s="7" t="s">
        <v>1292</v>
      </c>
      <c r="G599" s="7" t="s">
        <v>1293</v>
      </c>
      <c r="H599" s="6"/>
      <c r="I599" s="7"/>
      <c r="J599" s="6"/>
      <c r="K599" s="7"/>
      <c r="L599" s="6"/>
      <c r="M599" s="7"/>
      <c r="N599" s="6"/>
      <c r="O599" s="7"/>
      <c r="P599" s="6">
        <v>1</v>
      </c>
      <c r="Q599" s="8" t="s">
        <v>58</v>
      </c>
      <c r="R599" s="7">
        <v>45839</v>
      </c>
      <c r="S599" s="7" t="s">
        <v>17</v>
      </c>
      <c r="T599" s="7" t="s">
        <v>12</v>
      </c>
    </row>
    <row r="600" spans="1:20" s="15" customFormat="1" ht="24.95" customHeight="1" x14ac:dyDescent="0.3">
      <c r="A600" s="14"/>
      <c r="B600" s="14"/>
      <c r="D600" s="6">
        <f t="shared" si="9"/>
        <v>599</v>
      </c>
      <c r="E600" s="7" t="s">
        <v>404</v>
      </c>
      <c r="F600" s="7" t="s">
        <v>1294</v>
      </c>
      <c r="G600" s="7" t="s">
        <v>1295</v>
      </c>
      <c r="H600" s="6"/>
      <c r="I600" s="7"/>
      <c r="J600" s="6"/>
      <c r="K600" s="7"/>
      <c r="L600" s="6"/>
      <c r="M600" s="7"/>
      <c r="N600" s="6"/>
      <c r="O600" s="7"/>
      <c r="P600" s="6">
        <v>1</v>
      </c>
      <c r="Q600" s="8" t="s">
        <v>58</v>
      </c>
      <c r="R600" s="7">
        <v>45839</v>
      </c>
      <c r="S600" s="7" t="s">
        <v>17</v>
      </c>
      <c r="T600" s="7" t="s">
        <v>12</v>
      </c>
    </row>
    <row r="601" spans="1:20" s="15" customFormat="1" ht="24.95" customHeight="1" x14ac:dyDescent="0.3">
      <c r="A601" s="14"/>
      <c r="B601" s="14"/>
      <c r="D601" s="6">
        <f t="shared" si="9"/>
        <v>600</v>
      </c>
      <c r="E601" s="7" t="s">
        <v>210</v>
      </c>
      <c r="F601" s="7" t="s">
        <v>1296</v>
      </c>
      <c r="G601" s="7" t="s">
        <v>1297</v>
      </c>
      <c r="H601" s="6"/>
      <c r="I601" s="7"/>
      <c r="J601" s="6">
        <v>1</v>
      </c>
      <c r="K601" s="8" t="s">
        <v>80</v>
      </c>
      <c r="L601" s="6"/>
      <c r="M601" s="7"/>
      <c r="N601" s="6"/>
      <c r="O601" s="7"/>
      <c r="P601" s="6"/>
      <c r="Q601" s="7"/>
      <c r="R601" s="7">
        <v>45841</v>
      </c>
      <c r="S601" s="7" t="s">
        <v>17</v>
      </c>
      <c r="T601" s="7" t="s">
        <v>12</v>
      </c>
    </row>
    <row r="602" spans="1:20" s="15" customFormat="1" ht="24.95" customHeight="1" x14ac:dyDescent="0.3">
      <c r="A602" s="14"/>
      <c r="B602" s="14"/>
      <c r="D602" s="6">
        <f t="shared" si="9"/>
        <v>601</v>
      </c>
      <c r="E602" s="7" t="s">
        <v>261</v>
      </c>
      <c r="F602" s="7" t="s">
        <v>1298</v>
      </c>
      <c r="G602" s="7" t="s">
        <v>1299</v>
      </c>
      <c r="H602" s="6"/>
      <c r="I602" s="7"/>
      <c r="J602" s="6">
        <v>1</v>
      </c>
      <c r="K602" s="8" t="s">
        <v>130</v>
      </c>
      <c r="L602" s="6"/>
      <c r="M602" s="7"/>
      <c r="N602" s="6"/>
      <c r="O602" s="7"/>
      <c r="P602" s="6"/>
      <c r="Q602" s="7"/>
      <c r="R602" s="7">
        <v>45848</v>
      </c>
      <c r="S602" s="7" t="s">
        <v>17</v>
      </c>
      <c r="T602" s="7" t="s">
        <v>12</v>
      </c>
    </row>
    <row r="603" spans="1:20" s="15" customFormat="1" ht="24.95" customHeight="1" x14ac:dyDescent="0.3">
      <c r="A603" s="14"/>
      <c r="B603" s="14"/>
      <c r="D603" s="6">
        <f t="shared" si="9"/>
        <v>602</v>
      </c>
      <c r="E603" s="7" t="s">
        <v>261</v>
      </c>
      <c r="F603" s="7" t="s">
        <v>1300</v>
      </c>
      <c r="G603" s="7" t="s">
        <v>1301</v>
      </c>
      <c r="H603" s="6"/>
      <c r="I603" s="7"/>
      <c r="J603" s="6">
        <v>1</v>
      </c>
      <c r="K603" s="8" t="s">
        <v>130</v>
      </c>
      <c r="L603" s="6"/>
      <c r="M603" s="7"/>
      <c r="N603" s="6"/>
      <c r="O603" s="7"/>
      <c r="P603" s="6"/>
      <c r="Q603" s="7"/>
      <c r="R603" s="7">
        <v>45848</v>
      </c>
      <c r="S603" s="7" t="s">
        <v>17</v>
      </c>
      <c r="T603" s="7" t="s">
        <v>12</v>
      </c>
    </row>
    <row r="604" spans="1:20" s="15" customFormat="1" ht="24.95" customHeight="1" x14ac:dyDescent="0.3">
      <c r="A604" s="14"/>
      <c r="B604" s="14"/>
      <c r="D604" s="6">
        <f t="shared" si="9"/>
        <v>603</v>
      </c>
      <c r="E604" s="7" t="s">
        <v>765</v>
      </c>
      <c r="F604" s="7" t="s">
        <v>1302</v>
      </c>
      <c r="G604" s="7" t="s">
        <v>1303</v>
      </c>
      <c r="H604" s="6"/>
      <c r="I604" s="7"/>
      <c r="J604" s="7"/>
      <c r="K604" s="7"/>
      <c r="L604" s="6"/>
      <c r="M604" s="7"/>
      <c r="N604" s="6"/>
      <c r="O604" s="7"/>
      <c r="P604" s="6">
        <v>1</v>
      </c>
      <c r="Q604" s="8" t="s">
        <v>272</v>
      </c>
      <c r="R604" s="7">
        <v>45850</v>
      </c>
      <c r="S604" s="7" t="s">
        <v>17</v>
      </c>
      <c r="T604" s="7" t="s">
        <v>12</v>
      </c>
    </row>
    <row r="605" spans="1:20" s="15" customFormat="1" ht="24.95" customHeight="1" x14ac:dyDescent="0.3">
      <c r="A605" s="14"/>
      <c r="B605" s="14"/>
      <c r="D605" s="6">
        <f t="shared" si="9"/>
        <v>604</v>
      </c>
      <c r="E605" s="7" t="s">
        <v>765</v>
      </c>
      <c r="F605" s="7" t="s">
        <v>1304</v>
      </c>
      <c r="G605" s="7" t="s">
        <v>1305</v>
      </c>
      <c r="H605" s="6"/>
      <c r="I605" s="7"/>
      <c r="J605" s="6">
        <v>1</v>
      </c>
      <c r="K605" s="8" t="s">
        <v>1021</v>
      </c>
      <c r="L605" s="6"/>
      <c r="M605" s="7"/>
      <c r="N605" s="6"/>
      <c r="O605" s="7"/>
      <c r="P605" s="6"/>
      <c r="Q605" s="7"/>
      <c r="R605" s="7">
        <v>45850</v>
      </c>
      <c r="S605" s="7" t="s">
        <v>17</v>
      </c>
      <c r="T605" s="7" t="s">
        <v>12</v>
      </c>
    </row>
    <row r="606" spans="1:20" s="15" customFormat="1" ht="24.95" customHeight="1" x14ac:dyDescent="0.3">
      <c r="A606" s="14"/>
      <c r="B606" s="14"/>
      <c r="D606" s="6">
        <f t="shared" si="9"/>
        <v>605</v>
      </c>
      <c r="E606" s="7" t="s">
        <v>765</v>
      </c>
      <c r="F606" s="7" t="s">
        <v>1306</v>
      </c>
      <c r="G606" s="7" t="s">
        <v>1307</v>
      </c>
      <c r="H606" s="6"/>
      <c r="I606" s="7"/>
      <c r="J606" s="6">
        <v>1</v>
      </c>
      <c r="K606" s="8" t="s">
        <v>130</v>
      </c>
      <c r="L606" s="6"/>
      <c r="M606" s="7"/>
      <c r="N606" s="6"/>
      <c r="O606" s="7"/>
      <c r="P606" s="6"/>
      <c r="Q606" s="7"/>
      <c r="R606" s="7">
        <v>45850</v>
      </c>
      <c r="S606" s="7" t="s">
        <v>17</v>
      </c>
      <c r="T606" s="7" t="s">
        <v>12</v>
      </c>
    </row>
    <row r="607" spans="1:20" s="15" customFormat="1" ht="24.95" customHeight="1" x14ac:dyDescent="0.3">
      <c r="A607" s="14"/>
      <c r="B607" s="14"/>
      <c r="D607" s="6">
        <f t="shared" si="9"/>
        <v>606</v>
      </c>
      <c r="E607" s="7" t="s">
        <v>765</v>
      </c>
      <c r="F607" s="7" t="s">
        <v>1308</v>
      </c>
      <c r="G607" s="7" t="s">
        <v>1309</v>
      </c>
      <c r="H607" s="6"/>
      <c r="I607" s="7"/>
      <c r="J607" s="6"/>
      <c r="K607" s="7"/>
      <c r="L607" s="6">
        <v>1</v>
      </c>
      <c r="M607" s="8" t="s">
        <v>92</v>
      </c>
      <c r="N607" s="6"/>
      <c r="O607" s="7"/>
      <c r="P607" s="6"/>
      <c r="Q607" s="7"/>
      <c r="R607" s="7">
        <v>45850</v>
      </c>
      <c r="S607" s="7" t="s">
        <v>17</v>
      </c>
      <c r="T607" s="7" t="s">
        <v>12</v>
      </c>
    </row>
    <row r="608" spans="1:20" s="15" customFormat="1" ht="24.95" customHeight="1" x14ac:dyDescent="0.3">
      <c r="A608" s="14"/>
      <c r="B608" s="14"/>
      <c r="D608" s="6">
        <f t="shared" si="9"/>
        <v>607</v>
      </c>
      <c r="E608" s="7" t="s">
        <v>765</v>
      </c>
      <c r="F608" s="7" t="s">
        <v>1310</v>
      </c>
      <c r="G608" s="7" t="s">
        <v>1311</v>
      </c>
      <c r="H608" s="6"/>
      <c r="I608" s="7"/>
      <c r="J608" s="6"/>
      <c r="K608" s="7"/>
      <c r="L608" s="6"/>
      <c r="M608" s="7"/>
      <c r="N608" s="6"/>
      <c r="O608" s="7"/>
      <c r="P608" s="6">
        <v>1</v>
      </c>
      <c r="Q608" s="8" t="s">
        <v>58</v>
      </c>
      <c r="R608" s="7">
        <v>45850</v>
      </c>
      <c r="S608" s="7" t="s">
        <v>17</v>
      </c>
      <c r="T608" s="7" t="s">
        <v>12</v>
      </c>
    </row>
    <row r="609" spans="1:20" s="15" customFormat="1" ht="24.95" customHeight="1" x14ac:dyDescent="0.3">
      <c r="A609" s="14"/>
      <c r="B609" s="14"/>
      <c r="D609" s="6">
        <f t="shared" si="9"/>
        <v>608</v>
      </c>
      <c r="E609" s="7" t="s">
        <v>765</v>
      </c>
      <c r="F609" s="7" t="s">
        <v>1312</v>
      </c>
      <c r="G609" s="7" t="s">
        <v>1313</v>
      </c>
      <c r="H609" s="6"/>
      <c r="I609" s="7"/>
      <c r="J609" s="6"/>
      <c r="K609" s="7"/>
      <c r="L609" s="6"/>
      <c r="M609" s="7"/>
      <c r="N609" s="6"/>
      <c r="O609" s="7"/>
      <c r="P609" s="6">
        <v>1</v>
      </c>
      <c r="Q609" s="8" t="s">
        <v>25</v>
      </c>
      <c r="R609" s="7">
        <v>45850</v>
      </c>
      <c r="S609" s="7" t="s">
        <v>17</v>
      </c>
      <c r="T609" s="7" t="s">
        <v>12</v>
      </c>
    </row>
    <row r="610" spans="1:20" s="15" customFormat="1" ht="24.95" customHeight="1" x14ac:dyDescent="0.3">
      <c r="A610" s="14"/>
      <c r="B610" s="14"/>
      <c r="D610" s="6">
        <f t="shared" si="9"/>
        <v>609</v>
      </c>
      <c r="E610" s="7" t="s">
        <v>765</v>
      </c>
      <c r="F610" s="7" t="s">
        <v>1314</v>
      </c>
      <c r="G610" s="7" t="s">
        <v>1315</v>
      </c>
      <c r="H610" s="6"/>
      <c r="I610" s="7"/>
      <c r="J610" s="6"/>
      <c r="K610" s="7"/>
      <c r="L610" s="6"/>
      <c r="M610" s="7"/>
      <c r="N610" s="6"/>
      <c r="O610" s="7"/>
      <c r="P610" s="6">
        <v>1</v>
      </c>
      <c r="Q610" s="8" t="s">
        <v>25</v>
      </c>
      <c r="R610" s="7">
        <v>45850</v>
      </c>
      <c r="S610" s="7" t="s">
        <v>17</v>
      </c>
      <c r="T610" s="7" t="s">
        <v>12</v>
      </c>
    </row>
    <row r="611" spans="1:20" s="15" customFormat="1" ht="24.95" customHeight="1" x14ac:dyDescent="0.3">
      <c r="A611" s="14"/>
      <c r="B611" s="14"/>
      <c r="D611" s="6">
        <f t="shared" si="9"/>
        <v>610</v>
      </c>
      <c r="E611" s="7" t="s">
        <v>765</v>
      </c>
      <c r="F611" s="7" t="s">
        <v>1316</v>
      </c>
      <c r="G611" s="7" t="s">
        <v>1317</v>
      </c>
      <c r="H611" s="6"/>
      <c r="I611" s="7"/>
      <c r="J611" s="6"/>
      <c r="K611" s="7"/>
      <c r="L611" s="6"/>
      <c r="M611" s="7"/>
      <c r="N611" s="6"/>
      <c r="O611" s="7"/>
      <c r="P611" s="6">
        <v>1</v>
      </c>
      <c r="Q611" s="8" t="s">
        <v>25</v>
      </c>
      <c r="R611" s="7">
        <v>45850</v>
      </c>
      <c r="S611" s="7" t="s">
        <v>17</v>
      </c>
      <c r="T611" s="7" t="s">
        <v>12</v>
      </c>
    </row>
    <row r="612" spans="1:20" s="15" customFormat="1" ht="24.95" customHeight="1" x14ac:dyDescent="0.3">
      <c r="A612" s="14"/>
      <c r="B612" s="14"/>
      <c r="D612" s="6">
        <f t="shared" si="9"/>
        <v>611</v>
      </c>
      <c r="E612" s="7" t="s">
        <v>765</v>
      </c>
      <c r="F612" s="7" t="s">
        <v>1318</v>
      </c>
      <c r="G612" s="7" t="s">
        <v>1319</v>
      </c>
      <c r="H612" s="6"/>
      <c r="I612" s="7"/>
      <c r="J612" s="6"/>
      <c r="K612" s="7"/>
      <c r="L612" s="6"/>
      <c r="M612" s="7"/>
      <c r="N612" s="6"/>
      <c r="O612" s="7"/>
      <c r="P612" s="6">
        <v>1</v>
      </c>
      <c r="Q612" s="8" t="s">
        <v>25</v>
      </c>
      <c r="R612" s="7">
        <v>45850</v>
      </c>
      <c r="S612" s="7" t="s">
        <v>17</v>
      </c>
      <c r="T612" s="7" t="s">
        <v>12</v>
      </c>
    </row>
    <row r="613" spans="1:20" s="15" customFormat="1" ht="24.95" customHeight="1" x14ac:dyDescent="0.3">
      <c r="A613" s="14"/>
      <c r="B613" s="14"/>
      <c r="D613" s="6">
        <f t="shared" si="9"/>
        <v>612</v>
      </c>
      <c r="E613" s="7" t="s">
        <v>765</v>
      </c>
      <c r="F613" s="7" t="s">
        <v>1320</v>
      </c>
      <c r="G613" s="7" t="s">
        <v>1321</v>
      </c>
      <c r="H613" s="6"/>
      <c r="I613" s="7"/>
      <c r="J613" s="6"/>
      <c r="K613" s="7"/>
      <c r="L613" s="6"/>
      <c r="M613" s="7"/>
      <c r="N613" s="6"/>
      <c r="O613" s="7"/>
      <c r="P613" s="6">
        <v>1</v>
      </c>
      <c r="Q613" s="8" t="s">
        <v>272</v>
      </c>
      <c r="R613" s="7">
        <v>45850</v>
      </c>
      <c r="S613" s="7" t="s">
        <v>17</v>
      </c>
      <c r="T613" s="7" t="s">
        <v>12</v>
      </c>
    </row>
    <row r="614" spans="1:20" s="15" customFormat="1" ht="24.95" customHeight="1" x14ac:dyDescent="0.3">
      <c r="A614" s="14"/>
      <c r="B614" s="14"/>
      <c r="D614" s="6">
        <f t="shared" si="9"/>
        <v>613</v>
      </c>
      <c r="E614" s="7" t="s">
        <v>765</v>
      </c>
      <c r="F614" s="7" t="s">
        <v>1322</v>
      </c>
      <c r="G614" s="12" t="s">
        <v>1323</v>
      </c>
      <c r="H614" s="6"/>
      <c r="I614" s="7"/>
      <c r="J614" s="6"/>
      <c r="K614" s="7"/>
      <c r="L614" s="6"/>
      <c r="M614" s="7"/>
      <c r="N614" s="6"/>
      <c r="O614" s="7"/>
      <c r="P614" s="6">
        <v>1</v>
      </c>
      <c r="Q614" s="8" t="s">
        <v>16</v>
      </c>
      <c r="R614" s="7">
        <v>45850</v>
      </c>
      <c r="S614" s="7" t="s">
        <v>17</v>
      </c>
      <c r="T614" s="7" t="s">
        <v>12</v>
      </c>
    </row>
    <row r="615" spans="1:20" s="15" customFormat="1" ht="24.95" customHeight="1" x14ac:dyDescent="0.3">
      <c r="A615" s="14"/>
      <c r="B615" s="14"/>
      <c r="D615" s="6">
        <f t="shared" si="9"/>
        <v>614</v>
      </c>
      <c r="E615" s="7" t="s">
        <v>1074</v>
      </c>
      <c r="F615" s="7" t="s">
        <v>1324</v>
      </c>
      <c r="G615" s="7" t="s">
        <v>1325</v>
      </c>
      <c r="H615" s="6"/>
      <c r="I615" s="7"/>
      <c r="J615" s="6"/>
      <c r="K615" s="7"/>
      <c r="L615" s="6"/>
      <c r="M615" s="7"/>
      <c r="N615" s="6"/>
      <c r="O615" s="7"/>
      <c r="P615" s="6">
        <v>1</v>
      </c>
      <c r="Q615" s="8" t="s">
        <v>25</v>
      </c>
      <c r="R615" s="7">
        <v>45854</v>
      </c>
      <c r="S615" s="7" t="s">
        <v>17</v>
      </c>
      <c r="T615" s="7" t="s">
        <v>12</v>
      </c>
    </row>
    <row r="616" spans="1:20" s="15" customFormat="1" ht="24.95" customHeight="1" x14ac:dyDescent="0.3">
      <c r="A616" s="14"/>
      <c r="B616" s="14"/>
      <c r="D616" s="6">
        <f t="shared" si="9"/>
        <v>615</v>
      </c>
      <c r="E616" s="7" t="s">
        <v>1074</v>
      </c>
      <c r="F616" s="7" t="s">
        <v>1326</v>
      </c>
      <c r="G616" s="7" t="s">
        <v>1327</v>
      </c>
      <c r="H616" s="6"/>
      <c r="I616" s="7"/>
      <c r="J616" s="6"/>
      <c r="K616" s="7"/>
      <c r="L616" s="6"/>
      <c r="M616" s="7"/>
      <c r="N616" s="6"/>
      <c r="O616" s="7"/>
      <c r="P616" s="6">
        <v>1</v>
      </c>
      <c r="Q616" s="8" t="s">
        <v>272</v>
      </c>
      <c r="R616" s="7">
        <v>45854</v>
      </c>
      <c r="S616" s="7" t="s">
        <v>17</v>
      </c>
      <c r="T616" s="7" t="s">
        <v>12</v>
      </c>
    </row>
    <row r="617" spans="1:20" s="15" customFormat="1" ht="24.95" customHeight="1" x14ac:dyDescent="0.3">
      <c r="A617" s="14"/>
      <c r="B617" s="14"/>
      <c r="D617" s="6">
        <f t="shared" si="9"/>
        <v>616</v>
      </c>
      <c r="E617" s="7" t="s">
        <v>1074</v>
      </c>
      <c r="F617" s="7" t="s">
        <v>1328</v>
      </c>
      <c r="G617" s="7" t="s">
        <v>1329</v>
      </c>
      <c r="H617" s="6"/>
      <c r="I617" s="7"/>
      <c r="J617" s="6"/>
      <c r="K617" s="7"/>
      <c r="L617" s="6"/>
      <c r="M617" s="7"/>
      <c r="N617" s="6"/>
      <c r="O617" s="7"/>
      <c r="P617" s="6">
        <v>1</v>
      </c>
      <c r="Q617" s="8" t="s">
        <v>272</v>
      </c>
      <c r="R617" s="7">
        <v>45854</v>
      </c>
      <c r="S617" s="7" t="s">
        <v>17</v>
      </c>
      <c r="T617" s="7" t="s">
        <v>12</v>
      </c>
    </row>
    <row r="618" spans="1:20" s="15" customFormat="1" ht="24.95" customHeight="1" x14ac:dyDescent="0.3">
      <c r="A618" s="14"/>
      <c r="B618" s="14"/>
      <c r="D618" s="6">
        <f t="shared" si="9"/>
        <v>617</v>
      </c>
      <c r="E618" s="7" t="s">
        <v>1188</v>
      </c>
      <c r="F618" s="7" t="s">
        <v>1330</v>
      </c>
      <c r="G618" s="7" t="s">
        <v>1331</v>
      </c>
      <c r="H618" s="6"/>
      <c r="I618" s="7"/>
      <c r="J618" s="6"/>
      <c r="K618" s="7"/>
      <c r="L618" s="6"/>
      <c r="M618" s="7"/>
      <c r="N618" s="6"/>
      <c r="O618" s="7"/>
      <c r="P618" s="6">
        <v>1</v>
      </c>
      <c r="Q618" s="8" t="s">
        <v>25</v>
      </c>
      <c r="R618" s="7">
        <v>45859</v>
      </c>
      <c r="S618" s="7" t="s">
        <v>17</v>
      </c>
      <c r="T618" s="7" t="s">
        <v>12</v>
      </c>
    </row>
    <row r="619" spans="1:20" s="15" customFormat="1" ht="24.95" customHeight="1" x14ac:dyDescent="0.3">
      <c r="A619" s="14"/>
      <c r="B619" s="14"/>
      <c r="D619" s="6">
        <f t="shared" si="9"/>
        <v>618</v>
      </c>
      <c r="E619" s="7" t="s">
        <v>1188</v>
      </c>
      <c r="F619" s="7" t="s">
        <v>1332</v>
      </c>
      <c r="G619" s="7" t="s">
        <v>1333</v>
      </c>
      <c r="H619" s="6"/>
      <c r="I619" s="7"/>
      <c r="J619" s="6"/>
      <c r="K619" s="7"/>
      <c r="L619" s="6"/>
      <c r="M619" s="7"/>
      <c r="N619" s="6"/>
      <c r="O619" s="7"/>
      <c r="P619" s="6">
        <v>1</v>
      </c>
      <c r="Q619" s="8" t="s">
        <v>58</v>
      </c>
      <c r="R619" s="7">
        <v>45859</v>
      </c>
      <c r="S619" s="7" t="s">
        <v>17</v>
      </c>
      <c r="T619" s="7" t="s">
        <v>12</v>
      </c>
    </row>
    <row r="620" spans="1:20" s="15" customFormat="1" ht="24.95" customHeight="1" x14ac:dyDescent="0.3">
      <c r="A620" s="14"/>
      <c r="B620" s="14"/>
      <c r="D620" s="6">
        <f t="shared" si="9"/>
        <v>619</v>
      </c>
      <c r="E620" s="7" t="s">
        <v>1188</v>
      </c>
      <c r="F620" s="7" t="s">
        <v>1334</v>
      </c>
      <c r="G620" s="7" t="s">
        <v>1335</v>
      </c>
      <c r="H620" s="6"/>
      <c r="I620" s="7"/>
      <c r="J620" s="6"/>
      <c r="K620" s="7"/>
      <c r="L620" s="6"/>
      <c r="M620" s="7"/>
      <c r="N620" s="6"/>
      <c r="O620" s="7"/>
      <c r="P620" s="6">
        <v>1</v>
      </c>
      <c r="Q620" s="8" t="s">
        <v>25</v>
      </c>
      <c r="R620" s="7">
        <v>45860</v>
      </c>
      <c r="S620" s="7" t="s">
        <v>17</v>
      </c>
      <c r="T620" s="7" t="s">
        <v>12</v>
      </c>
    </row>
    <row r="621" spans="1:20" s="15" customFormat="1" ht="24.95" customHeight="1" x14ac:dyDescent="0.3">
      <c r="A621" s="14"/>
      <c r="B621" s="14"/>
      <c r="D621" s="6">
        <f t="shared" si="9"/>
        <v>620</v>
      </c>
      <c r="E621" s="7" t="s">
        <v>1188</v>
      </c>
      <c r="F621" s="7" t="s">
        <v>1336</v>
      </c>
      <c r="G621" s="7" t="s">
        <v>1337</v>
      </c>
      <c r="H621" s="6"/>
      <c r="I621" s="7"/>
      <c r="J621" s="6">
        <v>1</v>
      </c>
      <c r="K621" s="8" t="s">
        <v>130</v>
      </c>
      <c r="L621" s="6"/>
      <c r="M621" s="7"/>
      <c r="N621" s="6"/>
      <c r="O621" s="7"/>
      <c r="P621" s="6"/>
      <c r="Q621" s="7"/>
      <c r="R621" s="7">
        <v>45860</v>
      </c>
      <c r="S621" s="7" t="s">
        <v>17</v>
      </c>
      <c r="T621" s="7" t="s">
        <v>12</v>
      </c>
    </row>
    <row r="622" spans="1:20" s="15" customFormat="1" ht="24.95" customHeight="1" x14ac:dyDescent="0.3">
      <c r="A622" s="14"/>
      <c r="B622" s="14"/>
      <c r="D622" s="6">
        <f t="shared" si="9"/>
        <v>621</v>
      </c>
      <c r="E622" s="7" t="s">
        <v>384</v>
      </c>
      <c r="F622" s="7" t="s">
        <v>1338</v>
      </c>
      <c r="G622" s="7" t="s">
        <v>1339</v>
      </c>
      <c r="H622" s="6"/>
      <c r="I622" s="7"/>
      <c r="J622" s="6"/>
      <c r="K622" s="7"/>
      <c r="L622" s="6">
        <v>1</v>
      </c>
      <c r="M622" s="8" t="s">
        <v>48</v>
      </c>
      <c r="N622" s="6"/>
      <c r="O622" s="7"/>
      <c r="P622" s="6"/>
      <c r="Q622" s="7"/>
      <c r="R622" s="7">
        <v>45861</v>
      </c>
      <c r="S622" s="7" t="s">
        <v>17</v>
      </c>
      <c r="T622" s="7" t="s">
        <v>12</v>
      </c>
    </row>
    <row r="623" spans="1:20" s="15" customFormat="1" ht="24.95" customHeight="1" x14ac:dyDescent="0.3">
      <c r="A623" s="14"/>
      <c r="B623" s="14"/>
      <c r="D623" s="6">
        <f t="shared" si="9"/>
        <v>622</v>
      </c>
      <c r="E623" s="7" t="s">
        <v>384</v>
      </c>
      <c r="F623" s="7" t="s">
        <v>1340</v>
      </c>
      <c r="G623" s="7" t="s">
        <v>1341</v>
      </c>
      <c r="H623" s="6"/>
      <c r="I623" s="7"/>
      <c r="J623" s="6"/>
      <c r="K623" s="7"/>
      <c r="L623" s="6"/>
      <c r="M623" s="7"/>
      <c r="N623" s="6"/>
      <c r="O623" s="7"/>
      <c r="P623" s="6">
        <v>1</v>
      </c>
      <c r="Q623" s="8" t="s">
        <v>16</v>
      </c>
      <c r="R623" s="7">
        <v>45861</v>
      </c>
      <c r="S623" s="7" t="s">
        <v>17</v>
      </c>
      <c r="T623" s="7" t="s">
        <v>12</v>
      </c>
    </row>
    <row r="624" spans="1:20" s="15" customFormat="1" ht="24.95" customHeight="1" x14ac:dyDescent="0.3">
      <c r="A624" s="14"/>
      <c r="B624" s="14"/>
      <c r="D624" s="6">
        <f t="shared" si="9"/>
        <v>623</v>
      </c>
      <c r="E624" s="7" t="s">
        <v>327</v>
      </c>
      <c r="F624" s="7" t="s">
        <v>1342</v>
      </c>
      <c r="G624" s="7" t="s">
        <v>1343</v>
      </c>
      <c r="H624" s="6"/>
      <c r="I624" s="7"/>
      <c r="J624" s="6"/>
      <c r="K624" s="7"/>
      <c r="L624" s="6"/>
      <c r="M624" s="7"/>
      <c r="N624" s="6"/>
      <c r="O624" s="7"/>
      <c r="P624" s="6">
        <v>1</v>
      </c>
      <c r="Q624" s="8" t="s">
        <v>16</v>
      </c>
      <c r="R624" s="7">
        <v>45863</v>
      </c>
      <c r="S624" s="7" t="s">
        <v>17</v>
      </c>
      <c r="T624" s="7" t="s">
        <v>12</v>
      </c>
    </row>
    <row r="625" spans="1:20" s="15" customFormat="1" ht="24.95" customHeight="1" x14ac:dyDescent="0.3">
      <c r="A625" s="14"/>
      <c r="B625" s="14"/>
      <c r="D625" s="6">
        <f t="shared" si="9"/>
        <v>624</v>
      </c>
      <c r="E625" s="7" t="s">
        <v>412</v>
      </c>
      <c r="F625" s="7" t="s">
        <v>1344</v>
      </c>
      <c r="G625" s="7" t="s">
        <v>1345</v>
      </c>
      <c r="H625" s="6"/>
      <c r="I625" s="7"/>
      <c r="J625" s="6"/>
      <c r="K625" s="7"/>
      <c r="L625" s="6">
        <v>1</v>
      </c>
      <c r="M625" s="8" t="s">
        <v>48</v>
      </c>
      <c r="N625" s="6"/>
      <c r="O625" s="7"/>
      <c r="P625" s="6"/>
      <c r="Q625" s="7"/>
      <c r="R625" s="7">
        <v>45863</v>
      </c>
      <c r="S625" s="7" t="s">
        <v>17</v>
      </c>
      <c r="T625" s="7" t="s">
        <v>12</v>
      </c>
    </row>
    <row r="626" spans="1:20" s="15" customFormat="1" ht="24.95" customHeight="1" x14ac:dyDescent="0.3">
      <c r="A626" s="14"/>
      <c r="B626" s="14"/>
      <c r="D626" s="6">
        <f t="shared" si="9"/>
        <v>625</v>
      </c>
      <c r="E626" s="7" t="s">
        <v>166</v>
      </c>
      <c r="F626" s="7" t="s">
        <v>1346</v>
      </c>
      <c r="G626" s="7" t="s">
        <v>1347</v>
      </c>
      <c r="H626" s="6"/>
      <c r="I626" s="7"/>
      <c r="J626" s="6"/>
      <c r="K626" s="7"/>
      <c r="L626" s="6">
        <v>1</v>
      </c>
      <c r="M626" s="8" t="s">
        <v>48</v>
      </c>
      <c r="N626" s="6"/>
      <c r="O626" s="7"/>
      <c r="P626" s="6"/>
      <c r="Q626" s="7"/>
      <c r="R626" s="7">
        <v>45870</v>
      </c>
      <c r="S626" s="7" t="s">
        <v>17</v>
      </c>
      <c r="T626" s="7" t="s">
        <v>12</v>
      </c>
    </row>
    <row r="627" spans="1:20" s="15" customFormat="1" ht="24.95" customHeight="1" x14ac:dyDescent="0.3">
      <c r="A627" s="14"/>
      <c r="B627" s="14"/>
      <c r="D627" s="6">
        <f t="shared" si="9"/>
        <v>626</v>
      </c>
      <c r="E627" s="7" t="s">
        <v>233</v>
      </c>
      <c r="F627" s="7" t="s">
        <v>239</v>
      </c>
      <c r="G627" s="7" t="s">
        <v>240</v>
      </c>
      <c r="H627" s="6"/>
      <c r="I627" s="7"/>
      <c r="J627" s="6"/>
      <c r="K627" s="7"/>
      <c r="L627" s="6">
        <v>1</v>
      </c>
      <c r="M627" s="8" t="s">
        <v>92</v>
      </c>
      <c r="N627" s="6"/>
      <c r="O627" s="7"/>
      <c r="P627" s="6"/>
      <c r="Q627" s="7"/>
      <c r="R627" s="7">
        <v>45872</v>
      </c>
      <c r="S627" s="7" t="s">
        <v>17</v>
      </c>
      <c r="T627" s="7" t="s">
        <v>12</v>
      </c>
    </row>
    <row r="628" spans="1:20" s="15" customFormat="1" ht="24.95" customHeight="1" x14ac:dyDescent="0.3">
      <c r="A628" s="14"/>
      <c r="B628" s="14"/>
      <c r="D628" s="6">
        <f t="shared" si="9"/>
        <v>627</v>
      </c>
      <c r="E628" s="7" t="s">
        <v>1348</v>
      </c>
      <c r="F628" s="7" t="s">
        <v>1349</v>
      </c>
      <c r="G628" s="7" t="s">
        <v>1350</v>
      </c>
      <c r="H628" s="6">
        <v>1</v>
      </c>
      <c r="I628" s="8" t="s">
        <v>277</v>
      </c>
      <c r="J628" s="6"/>
      <c r="K628" s="7"/>
      <c r="L628" s="6"/>
      <c r="M628" s="7"/>
      <c r="N628" s="6"/>
      <c r="O628" s="7"/>
      <c r="P628" s="6"/>
      <c r="Q628" s="7"/>
      <c r="R628" s="7">
        <v>45874</v>
      </c>
      <c r="S628" s="7" t="s">
        <v>17</v>
      </c>
      <c r="T628" s="7" t="s">
        <v>12</v>
      </c>
    </row>
    <row r="629" spans="1:20" s="15" customFormat="1" ht="24.95" customHeight="1" x14ac:dyDescent="0.3">
      <c r="A629" s="14"/>
      <c r="B629" s="14"/>
      <c r="D629" s="6">
        <f t="shared" si="9"/>
        <v>628</v>
      </c>
      <c r="E629" s="7" t="s">
        <v>61</v>
      </c>
      <c r="F629" s="7" t="s">
        <v>1351</v>
      </c>
      <c r="G629" s="7" t="s">
        <v>1352</v>
      </c>
      <c r="H629" s="6">
        <v>1</v>
      </c>
      <c r="I629" s="8" t="s">
        <v>21</v>
      </c>
      <c r="J629" s="6"/>
      <c r="K629" s="7"/>
      <c r="L629" s="6"/>
      <c r="M629" s="7"/>
      <c r="N629" s="6"/>
      <c r="O629" s="7"/>
      <c r="P629" s="6"/>
      <c r="Q629" s="7"/>
      <c r="R629" s="7">
        <v>45874</v>
      </c>
      <c r="S629" s="7" t="s">
        <v>17</v>
      </c>
      <c r="T629" s="7" t="s">
        <v>12</v>
      </c>
    </row>
    <row r="630" spans="1:20" s="15" customFormat="1" ht="24.95" customHeight="1" x14ac:dyDescent="0.3">
      <c r="A630" s="14"/>
      <c r="B630" s="14"/>
      <c r="D630" s="6">
        <f t="shared" si="9"/>
        <v>629</v>
      </c>
      <c r="E630" s="7" t="s">
        <v>1353</v>
      </c>
      <c r="F630" s="7" t="s">
        <v>1354</v>
      </c>
      <c r="G630" s="7" t="s">
        <v>1355</v>
      </c>
      <c r="H630" s="6"/>
      <c r="I630" s="7"/>
      <c r="J630" s="6"/>
      <c r="K630" s="7"/>
      <c r="L630" s="6"/>
      <c r="M630" s="7"/>
      <c r="N630" s="6"/>
      <c r="O630" s="7"/>
      <c r="P630" s="6">
        <v>1</v>
      </c>
      <c r="Q630" s="8" t="s">
        <v>25</v>
      </c>
      <c r="R630" s="7">
        <v>45875</v>
      </c>
      <c r="S630" s="7" t="s">
        <v>17</v>
      </c>
      <c r="T630" s="7" t="s">
        <v>12</v>
      </c>
    </row>
    <row r="631" spans="1:20" s="15" customFormat="1" ht="24.95" customHeight="1" x14ac:dyDescent="0.3">
      <c r="A631" s="14"/>
      <c r="B631" s="14"/>
      <c r="D631" s="6">
        <f t="shared" si="9"/>
        <v>630</v>
      </c>
      <c r="E631" s="7" t="s">
        <v>185</v>
      </c>
      <c r="F631" s="7" t="s">
        <v>1356</v>
      </c>
      <c r="G631" s="7" t="s">
        <v>1357</v>
      </c>
      <c r="H631" s="6"/>
      <c r="I631" s="7"/>
      <c r="J631" s="6"/>
      <c r="K631" s="7"/>
      <c r="L631" s="6"/>
      <c r="M631" s="7"/>
      <c r="N631" s="6">
        <v>1</v>
      </c>
      <c r="O631" s="8" t="s">
        <v>108</v>
      </c>
      <c r="P631" s="6"/>
      <c r="Q631" s="7"/>
      <c r="R631" s="7">
        <v>45880</v>
      </c>
      <c r="S631" s="7" t="s">
        <v>17</v>
      </c>
      <c r="T631" s="7" t="s">
        <v>12</v>
      </c>
    </row>
    <row r="632" spans="1:20" s="15" customFormat="1" ht="24.95" customHeight="1" x14ac:dyDescent="0.3">
      <c r="A632" s="14"/>
      <c r="B632" s="14"/>
      <c r="D632" s="6">
        <f t="shared" si="9"/>
        <v>631</v>
      </c>
      <c r="E632" s="7" t="s">
        <v>384</v>
      </c>
      <c r="F632" s="7" t="s">
        <v>1358</v>
      </c>
      <c r="G632" s="7" t="s">
        <v>1359</v>
      </c>
      <c r="H632" s="6"/>
      <c r="I632" s="7"/>
      <c r="J632" s="6"/>
      <c r="K632" s="7"/>
      <c r="L632" s="6">
        <v>1</v>
      </c>
      <c r="M632" s="8" t="s">
        <v>92</v>
      </c>
      <c r="N632" s="6"/>
      <c r="O632" s="7"/>
      <c r="P632" s="6"/>
      <c r="Q632" s="7"/>
      <c r="R632" s="7">
        <v>45882</v>
      </c>
      <c r="S632" s="7" t="s">
        <v>17</v>
      </c>
      <c r="T632" s="7" t="s">
        <v>12</v>
      </c>
    </row>
    <row r="633" spans="1:20" s="15" customFormat="1" ht="24.95" customHeight="1" x14ac:dyDescent="0.3">
      <c r="A633" s="14"/>
      <c r="B633" s="14"/>
      <c r="D633" s="6">
        <f t="shared" si="9"/>
        <v>632</v>
      </c>
      <c r="E633" s="7" t="s">
        <v>384</v>
      </c>
      <c r="F633" s="7" t="s">
        <v>1360</v>
      </c>
      <c r="G633" s="7" t="s">
        <v>1361</v>
      </c>
      <c r="H633" s="6"/>
      <c r="I633" s="7"/>
      <c r="J633" s="6"/>
      <c r="K633" s="7"/>
      <c r="L633" s="6"/>
      <c r="M633" s="7"/>
      <c r="N633" s="6"/>
      <c r="O633" s="7"/>
      <c r="P633" s="6">
        <v>1</v>
      </c>
      <c r="Q633" s="8" t="s">
        <v>25</v>
      </c>
      <c r="R633" s="7">
        <v>45882</v>
      </c>
      <c r="S633" s="7" t="s">
        <v>17</v>
      </c>
      <c r="T633" s="7" t="s">
        <v>12</v>
      </c>
    </row>
    <row r="634" spans="1:20" s="15" customFormat="1" ht="24.95" customHeight="1" x14ac:dyDescent="0.3">
      <c r="A634" s="14"/>
      <c r="B634" s="14"/>
      <c r="D634" s="6">
        <f t="shared" si="9"/>
        <v>633</v>
      </c>
      <c r="E634" s="7" t="s">
        <v>384</v>
      </c>
      <c r="F634" s="7" t="s">
        <v>1362</v>
      </c>
      <c r="G634" s="7" t="s">
        <v>1363</v>
      </c>
      <c r="H634" s="6"/>
      <c r="I634" s="7"/>
      <c r="J634" s="6"/>
      <c r="K634" s="7"/>
      <c r="L634" s="6"/>
      <c r="M634" s="7"/>
      <c r="N634" s="6"/>
      <c r="O634" s="7"/>
      <c r="P634" s="6">
        <v>1</v>
      </c>
      <c r="Q634" s="8" t="s">
        <v>58</v>
      </c>
      <c r="R634" s="7">
        <v>45883</v>
      </c>
      <c r="S634" s="7" t="s">
        <v>17</v>
      </c>
      <c r="T634" s="7" t="s">
        <v>12</v>
      </c>
    </row>
    <row r="635" spans="1:20" s="15" customFormat="1" ht="24.95" customHeight="1" x14ac:dyDescent="0.3">
      <c r="A635" s="14"/>
      <c r="B635" s="14"/>
      <c r="D635" s="6">
        <f t="shared" si="9"/>
        <v>634</v>
      </c>
      <c r="E635" s="7" t="s">
        <v>384</v>
      </c>
      <c r="F635" s="7" t="s">
        <v>1364</v>
      </c>
      <c r="G635" s="7" t="s">
        <v>1365</v>
      </c>
      <c r="H635" s="6"/>
      <c r="I635" s="7"/>
      <c r="J635" s="6"/>
      <c r="K635" s="7"/>
      <c r="L635" s="6"/>
      <c r="M635" s="7"/>
      <c r="N635" s="6"/>
      <c r="O635" s="7"/>
      <c r="P635" s="6">
        <v>1</v>
      </c>
      <c r="Q635" s="8" t="s">
        <v>58</v>
      </c>
      <c r="R635" s="7">
        <v>45883</v>
      </c>
      <c r="S635" s="7" t="s">
        <v>17</v>
      </c>
      <c r="T635" s="7" t="s">
        <v>12</v>
      </c>
    </row>
    <row r="636" spans="1:20" s="15" customFormat="1" ht="24.95" customHeight="1" x14ac:dyDescent="0.3">
      <c r="A636" s="14"/>
      <c r="B636" s="14"/>
      <c r="D636" s="6">
        <f t="shared" si="9"/>
        <v>635</v>
      </c>
      <c r="E636" s="7" t="s">
        <v>409</v>
      </c>
      <c r="F636" s="7" t="s">
        <v>1366</v>
      </c>
      <c r="G636" s="7" t="s">
        <v>1367</v>
      </c>
      <c r="H636" s="6"/>
      <c r="I636" s="7"/>
      <c r="J636" s="6">
        <v>1</v>
      </c>
      <c r="K636" s="8" t="s">
        <v>130</v>
      </c>
      <c r="L636" s="6"/>
      <c r="M636" s="7"/>
      <c r="N636" s="6"/>
      <c r="O636" s="7"/>
      <c r="P636" s="6"/>
      <c r="Q636" s="7"/>
      <c r="R636" s="7">
        <v>45884</v>
      </c>
      <c r="S636" s="7" t="s">
        <v>17</v>
      </c>
      <c r="T636" s="7" t="s">
        <v>12</v>
      </c>
    </row>
    <row r="637" spans="1:20" s="15" customFormat="1" ht="24.95" customHeight="1" x14ac:dyDescent="0.3">
      <c r="A637" s="14"/>
      <c r="B637" s="14"/>
      <c r="D637" s="6">
        <f t="shared" si="9"/>
        <v>636</v>
      </c>
      <c r="E637" s="7" t="s">
        <v>384</v>
      </c>
      <c r="F637" s="7" t="s">
        <v>1368</v>
      </c>
      <c r="G637" s="7" t="s">
        <v>1369</v>
      </c>
      <c r="H637" s="6"/>
      <c r="I637" s="7"/>
      <c r="J637" s="6"/>
      <c r="K637" s="7"/>
      <c r="L637" s="6"/>
      <c r="M637" s="7"/>
      <c r="N637" s="6"/>
      <c r="O637" s="7"/>
      <c r="P637" s="6">
        <v>1</v>
      </c>
      <c r="Q637" s="8" t="s">
        <v>16</v>
      </c>
      <c r="R637" s="7">
        <v>45888</v>
      </c>
      <c r="S637" s="7" t="s">
        <v>17</v>
      </c>
      <c r="T637" s="7" t="s">
        <v>12</v>
      </c>
    </row>
    <row r="638" spans="1:20" s="15" customFormat="1" ht="24.95" customHeight="1" x14ac:dyDescent="0.3">
      <c r="A638" s="14"/>
      <c r="B638" s="14"/>
      <c r="D638" s="6">
        <f t="shared" si="9"/>
        <v>637</v>
      </c>
      <c r="E638" s="7" t="s">
        <v>384</v>
      </c>
      <c r="F638" s="7" t="s">
        <v>1370</v>
      </c>
      <c r="G638" s="7" t="s">
        <v>1371</v>
      </c>
      <c r="H638" s="6"/>
      <c r="I638" s="7"/>
      <c r="J638" s="6">
        <v>1</v>
      </c>
      <c r="K638" s="8" t="s">
        <v>130</v>
      </c>
      <c r="L638" s="6"/>
      <c r="M638" s="7"/>
      <c r="N638" s="6"/>
      <c r="O638" s="7"/>
      <c r="P638" s="6"/>
      <c r="Q638" s="7"/>
      <c r="R638" s="7">
        <v>45888</v>
      </c>
      <c r="S638" s="7" t="s">
        <v>17</v>
      </c>
      <c r="T638" s="7" t="s">
        <v>12</v>
      </c>
    </row>
    <row r="639" spans="1:20" s="15" customFormat="1" ht="24.95" customHeight="1" x14ac:dyDescent="0.3">
      <c r="A639" s="14"/>
      <c r="B639" s="14"/>
      <c r="D639" s="6">
        <f t="shared" si="9"/>
        <v>638</v>
      </c>
      <c r="E639" s="7" t="s">
        <v>1204</v>
      </c>
      <c r="F639" s="7" t="s">
        <v>1372</v>
      </c>
      <c r="G639" s="7" t="s">
        <v>1373</v>
      </c>
      <c r="H639" s="6"/>
      <c r="I639" s="7"/>
      <c r="J639" s="6">
        <v>1</v>
      </c>
      <c r="K639" s="8" t="s">
        <v>130</v>
      </c>
      <c r="L639" s="6"/>
      <c r="M639" s="7"/>
      <c r="N639" s="6"/>
      <c r="O639" s="7"/>
      <c r="P639" s="6"/>
      <c r="Q639" s="7"/>
      <c r="R639" s="7">
        <v>45888</v>
      </c>
      <c r="S639" s="7" t="s">
        <v>1374</v>
      </c>
      <c r="T639" s="7"/>
    </row>
    <row r="640" spans="1:20" s="15" customFormat="1" ht="24.95" customHeight="1" x14ac:dyDescent="0.3">
      <c r="A640" s="14"/>
      <c r="B640" s="14"/>
      <c r="D640" s="6">
        <f t="shared" si="9"/>
        <v>639</v>
      </c>
      <c r="E640" s="7" t="s">
        <v>384</v>
      </c>
      <c r="F640" s="7" t="s">
        <v>1375</v>
      </c>
      <c r="G640" s="7" t="s">
        <v>1376</v>
      </c>
      <c r="H640" s="6"/>
      <c r="I640" s="7"/>
      <c r="J640" s="6"/>
      <c r="K640" s="7"/>
      <c r="L640" s="6"/>
      <c r="M640" s="7"/>
      <c r="N640" s="6"/>
      <c r="O640" s="7"/>
      <c r="P640" s="6">
        <v>1</v>
      </c>
      <c r="Q640" s="8" t="s">
        <v>272</v>
      </c>
      <c r="R640" s="7">
        <v>45888</v>
      </c>
      <c r="S640" s="7" t="s">
        <v>17</v>
      </c>
      <c r="T640" s="7" t="s">
        <v>12</v>
      </c>
    </row>
    <row r="641" spans="1:20" s="15" customFormat="1" ht="24.95" customHeight="1" x14ac:dyDescent="0.3">
      <c r="A641" s="14"/>
      <c r="B641" s="14"/>
      <c r="D641" s="6">
        <f t="shared" si="9"/>
        <v>640</v>
      </c>
      <c r="E641" s="7" t="s">
        <v>384</v>
      </c>
      <c r="F641" s="7" t="s">
        <v>1377</v>
      </c>
      <c r="G641" s="7" t="s">
        <v>1378</v>
      </c>
      <c r="H641" s="6"/>
      <c r="I641" s="7"/>
      <c r="J641" s="6"/>
      <c r="K641" s="7"/>
      <c r="L641" s="6"/>
      <c r="M641" s="7"/>
      <c r="N641" s="6">
        <v>1</v>
      </c>
      <c r="O641" s="8" t="s">
        <v>108</v>
      </c>
      <c r="P641" s="6"/>
      <c r="Q641" s="7"/>
      <c r="R641" s="7">
        <v>45894</v>
      </c>
      <c r="S641" s="7" t="s">
        <v>17</v>
      </c>
      <c r="T641" s="7" t="s">
        <v>12</v>
      </c>
    </row>
    <row r="642" spans="1:20" s="15" customFormat="1" ht="24.95" customHeight="1" x14ac:dyDescent="0.3">
      <c r="A642" s="14"/>
      <c r="B642" s="14"/>
      <c r="D642" s="6">
        <f t="shared" si="9"/>
        <v>641</v>
      </c>
      <c r="E642" s="7" t="s">
        <v>384</v>
      </c>
      <c r="F642" s="7" t="s">
        <v>1379</v>
      </c>
      <c r="G642" s="7" t="s">
        <v>1380</v>
      </c>
      <c r="H642" s="6"/>
      <c r="I642" s="7"/>
      <c r="J642" s="6"/>
      <c r="K642" s="7"/>
      <c r="L642" s="6">
        <v>1</v>
      </c>
      <c r="M642" s="8" t="s">
        <v>92</v>
      </c>
      <c r="N642" s="6"/>
      <c r="O642" s="7"/>
      <c r="P642" s="6"/>
      <c r="Q642" s="7"/>
      <c r="R642" s="7">
        <v>45894</v>
      </c>
      <c r="S642" s="7" t="s">
        <v>17</v>
      </c>
      <c r="T642" s="7" t="s">
        <v>12</v>
      </c>
    </row>
    <row r="643" spans="1:20" s="15" customFormat="1" ht="24.95" customHeight="1" x14ac:dyDescent="0.3">
      <c r="A643" s="14"/>
      <c r="B643" s="14"/>
      <c r="D643" s="6">
        <f t="shared" ref="D643:D706" si="10">ROW()-1</f>
        <v>642</v>
      </c>
      <c r="E643" s="7" t="s">
        <v>384</v>
      </c>
      <c r="F643" s="7" t="s">
        <v>1381</v>
      </c>
      <c r="G643" s="7" t="s">
        <v>1382</v>
      </c>
      <c r="H643" s="6"/>
      <c r="I643" s="7"/>
      <c r="J643" s="6"/>
      <c r="K643" s="7"/>
      <c r="L643" s="6">
        <v>1</v>
      </c>
      <c r="M643" s="8" t="s">
        <v>92</v>
      </c>
      <c r="N643" s="6"/>
      <c r="O643" s="7"/>
      <c r="P643" s="6"/>
      <c r="Q643" s="7"/>
      <c r="R643" s="7">
        <v>45894</v>
      </c>
      <c r="S643" s="7" t="s">
        <v>17</v>
      </c>
      <c r="T643" s="7" t="s">
        <v>12</v>
      </c>
    </row>
    <row r="644" spans="1:20" s="15" customFormat="1" ht="24.95" customHeight="1" x14ac:dyDescent="0.3">
      <c r="A644" s="14"/>
      <c r="B644" s="14"/>
      <c r="D644" s="6">
        <f t="shared" si="10"/>
        <v>643</v>
      </c>
      <c r="E644" s="7" t="s">
        <v>384</v>
      </c>
      <c r="F644" s="7" t="s">
        <v>1383</v>
      </c>
      <c r="G644" s="7" t="s">
        <v>1384</v>
      </c>
      <c r="H644" s="6"/>
      <c r="I644" s="7"/>
      <c r="J644" s="6"/>
      <c r="K644" s="7"/>
      <c r="L644" s="6"/>
      <c r="M644" s="7"/>
      <c r="N644" s="6">
        <v>1</v>
      </c>
      <c r="O644" s="8" t="s">
        <v>108</v>
      </c>
      <c r="P644" s="6"/>
      <c r="Q644" s="7"/>
      <c r="R644" s="7">
        <v>45894</v>
      </c>
      <c r="S644" s="7" t="s">
        <v>17</v>
      </c>
      <c r="T644" s="7" t="s">
        <v>12</v>
      </c>
    </row>
    <row r="645" spans="1:20" s="15" customFormat="1" ht="24.95" customHeight="1" x14ac:dyDescent="0.3">
      <c r="A645" s="14"/>
      <c r="B645" s="14"/>
      <c r="D645" s="6">
        <f t="shared" si="10"/>
        <v>644</v>
      </c>
      <c r="E645" s="7" t="s">
        <v>384</v>
      </c>
      <c r="F645" s="7" t="s">
        <v>1385</v>
      </c>
      <c r="G645" s="7" t="s">
        <v>1386</v>
      </c>
      <c r="H645" s="6"/>
      <c r="I645" s="7"/>
      <c r="J645" s="6"/>
      <c r="K645" s="7"/>
      <c r="L645" s="6"/>
      <c r="M645" s="7"/>
      <c r="N645" s="6"/>
      <c r="O645" s="7"/>
      <c r="P645" s="6">
        <v>1</v>
      </c>
      <c r="Q645" s="8" t="s">
        <v>25</v>
      </c>
      <c r="R645" s="7">
        <v>45894</v>
      </c>
      <c r="S645" s="7" t="s">
        <v>17</v>
      </c>
      <c r="T645" s="7" t="s">
        <v>12</v>
      </c>
    </row>
    <row r="646" spans="1:20" s="15" customFormat="1" ht="24.95" customHeight="1" x14ac:dyDescent="0.3">
      <c r="A646" s="14"/>
      <c r="B646" s="14"/>
      <c r="D646" s="6">
        <f t="shared" si="10"/>
        <v>645</v>
      </c>
      <c r="E646" s="7" t="s">
        <v>1387</v>
      </c>
      <c r="F646" s="7" t="s">
        <v>1388</v>
      </c>
      <c r="G646" s="7" t="s">
        <v>1389</v>
      </c>
      <c r="H646" s="6"/>
      <c r="I646" s="7"/>
      <c r="J646" s="6"/>
      <c r="K646" s="7"/>
      <c r="L646" s="6"/>
      <c r="M646" s="7"/>
      <c r="N646" s="6"/>
      <c r="O646" s="7"/>
      <c r="P646" s="6">
        <v>1</v>
      </c>
      <c r="Q646" s="8" t="s">
        <v>272</v>
      </c>
      <c r="R646" s="7">
        <v>45895</v>
      </c>
      <c r="S646" s="7" t="s">
        <v>17</v>
      </c>
      <c r="T646" s="7" t="s">
        <v>12</v>
      </c>
    </row>
    <row r="647" spans="1:20" s="15" customFormat="1" ht="24.95" customHeight="1" x14ac:dyDescent="0.3">
      <c r="A647" s="14"/>
      <c r="B647" s="14"/>
      <c r="D647" s="6">
        <f t="shared" si="10"/>
        <v>646</v>
      </c>
      <c r="E647" s="7" t="s">
        <v>1390</v>
      </c>
      <c r="F647" s="7" t="s">
        <v>1391</v>
      </c>
      <c r="G647" s="7" t="s">
        <v>1392</v>
      </c>
      <c r="H647" s="6"/>
      <c r="I647" s="7"/>
      <c r="J647" s="6"/>
      <c r="K647" s="7"/>
      <c r="L647" s="6">
        <v>1</v>
      </c>
      <c r="M647" s="8" t="s">
        <v>48</v>
      </c>
      <c r="N647" s="6"/>
      <c r="O647" s="7"/>
      <c r="P647" s="6"/>
      <c r="Q647" s="7"/>
      <c r="R647" s="7">
        <v>45897</v>
      </c>
      <c r="S647" s="7" t="s">
        <v>17</v>
      </c>
      <c r="T647" s="7" t="s">
        <v>12</v>
      </c>
    </row>
    <row r="648" spans="1:20" s="15" customFormat="1" ht="24.95" customHeight="1" x14ac:dyDescent="0.3">
      <c r="A648" s="14"/>
      <c r="B648" s="14"/>
      <c r="D648" s="6">
        <f t="shared" si="10"/>
        <v>647</v>
      </c>
      <c r="E648" s="7" t="s">
        <v>1390</v>
      </c>
      <c r="F648" s="7" t="s">
        <v>1393</v>
      </c>
      <c r="G648" s="7" t="s">
        <v>1394</v>
      </c>
      <c r="H648" s="6"/>
      <c r="I648" s="7"/>
      <c r="J648" s="6"/>
      <c r="K648" s="7"/>
      <c r="L648" s="6">
        <v>1</v>
      </c>
      <c r="M648" s="8" t="s">
        <v>48</v>
      </c>
      <c r="N648" s="6"/>
      <c r="O648" s="7"/>
      <c r="P648" s="6"/>
      <c r="Q648" s="7"/>
      <c r="R648" s="7">
        <v>45897</v>
      </c>
      <c r="S648" s="7" t="s">
        <v>17</v>
      </c>
      <c r="T648" s="7" t="s">
        <v>12</v>
      </c>
    </row>
    <row r="649" spans="1:20" s="15" customFormat="1" ht="24.95" customHeight="1" x14ac:dyDescent="0.3">
      <c r="A649" s="14"/>
      <c r="B649" s="14"/>
      <c r="D649" s="6">
        <f t="shared" si="10"/>
        <v>648</v>
      </c>
      <c r="E649" s="7" t="s">
        <v>384</v>
      </c>
      <c r="F649" s="7" t="s">
        <v>1395</v>
      </c>
      <c r="G649" s="7" t="s">
        <v>1396</v>
      </c>
      <c r="H649" s="6"/>
      <c r="I649" s="7"/>
      <c r="J649" s="6"/>
      <c r="K649" s="7"/>
      <c r="L649" s="6"/>
      <c r="M649" s="7"/>
      <c r="N649" s="6">
        <v>1</v>
      </c>
      <c r="O649" s="8" t="s">
        <v>54</v>
      </c>
      <c r="P649" s="6"/>
      <c r="Q649" s="7"/>
      <c r="R649" s="7">
        <v>45898</v>
      </c>
      <c r="S649" s="7" t="s">
        <v>17</v>
      </c>
      <c r="T649" s="7" t="s">
        <v>12</v>
      </c>
    </row>
    <row r="650" spans="1:20" s="15" customFormat="1" ht="24.95" customHeight="1" x14ac:dyDescent="0.3">
      <c r="A650" s="14"/>
      <c r="B650" s="14"/>
      <c r="D650" s="6">
        <f t="shared" si="10"/>
        <v>649</v>
      </c>
      <c r="E650" s="7" t="s">
        <v>384</v>
      </c>
      <c r="F650" s="7" t="s">
        <v>1397</v>
      </c>
      <c r="G650" s="7" t="s">
        <v>1398</v>
      </c>
      <c r="H650" s="6"/>
      <c r="I650" s="7"/>
      <c r="J650" s="6"/>
      <c r="K650" s="7"/>
      <c r="L650" s="6"/>
      <c r="M650" s="7"/>
      <c r="N650" s="6">
        <v>1</v>
      </c>
      <c r="O650" s="8" t="s">
        <v>77</v>
      </c>
      <c r="P650" s="6"/>
      <c r="Q650" s="7"/>
      <c r="R650" s="7">
        <v>45898</v>
      </c>
      <c r="S650" s="7" t="s">
        <v>17</v>
      </c>
      <c r="T650" s="7" t="s">
        <v>12</v>
      </c>
    </row>
    <row r="651" spans="1:20" s="15" customFormat="1" ht="24.95" customHeight="1" x14ac:dyDescent="0.3">
      <c r="A651" s="14"/>
      <c r="B651" s="14"/>
      <c r="D651" s="6">
        <f t="shared" si="10"/>
        <v>650</v>
      </c>
      <c r="E651" s="7" t="s">
        <v>384</v>
      </c>
      <c r="F651" s="7" t="s">
        <v>1399</v>
      </c>
      <c r="G651" s="7" t="s">
        <v>1400</v>
      </c>
      <c r="H651" s="6"/>
      <c r="I651" s="7"/>
      <c r="J651" s="6"/>
      <c r="K651" s="7"/>
      <c r="L651" s="6">
        <v>1</v>
      </c>
      <c r="M651" s="8" t="s">
        <v>92</v>
      </c>
      <c r="N651" s="6"/>
      <c r="O651" s="7"/>
      <c r="P651" s="6"/>
      <c r="Q651" s="7"/>
      <c r="R651" s="7">
        <v>45898</v>
      </c>
      <c r="S651" s="7" t="s">
        <v>17</v>
      </c>
      <c r="T651" s="7" t="s">
        <v>12</v>
      </c>
    </row>
    <row r="652" spans="1:20" s="15" customFormat="1" ht="24.95" customHeight="1" x14ac:dyDescent="0.3">
      <c r="A652" s="14"/>
      <c r="B652" s="14"/>
      <c r="D652" s="6">
        <f t="shared" si="10"/>
        <v>651</v>
      </c>
      <c r="E652" s="7" t="s">
        <v>384</v>
      </c>
      <c r="F652" s="7" t="s">
        <v>1401</v>
      </c>
      <c r="G652" s="7" t="s">
        <v>1402</v>
      </c>
      <c r="H652" s="6"/>
      <c r="I652" s="7"/>
      <c r="J652" s="6"/>
      <c r="K652" s="7"/>
      <c r="L652" s="6">
        <v>1</v>
      </c>
      <c r="M652" s="8" t="s">
        <v>92</v>
      </c>
      <c r="N652" s="6"/>
      <c r="O652" s="7"/>
      <c r="P652" s="6"/>
      <c r="Q652" s="7"/>
      <c r="R652" s="7">
        <v>45898</v>
      </c>
      <c r="S652" s="7" t="s">
        <v>17</v>
      </c>
      <c r="T652" s="7" t="s">
        <v>12</v>
      </c>
    </row>
    <row r="653" spans="1:20" s="15" customFormat="1" ht="24.95" customHeight="1" x14ac:dyDescent="0.3">
      <c r="A653" s="14"/>
      <c r="B653" s="14"/>
      <c r="D653" s="6">
        <f t="shared" si="10"/>
        <v>652</v>
      </c>
      <c r="E653" s="7" t="s">
        <v>384</v>
      </c>
      <c r="F653" s="7" t="s">
        <v>1403</v>
      </c>
      <c r="G653" s="7" t="s">
        <v>1404</v>
      </c>
      <c r="H653" s="6"/>
      <c r="I653" s="7"/>
      <c r="J653" s="6"/>
      <c r="K653" s="7"/>
      <c r="L653" s="6">
        <v>1</v>
      </c>
      <c r="M653" s="8" t="s">
        <v>92</v>
      </c>
      <c r="N653" s="6"/>
      <c r="O653" s="7"/>
      <c r="P653" s="6"/>
      <c r="Q653" s="7"/>
      <c r="R653" s="7">
        <v>45898</v>
      </c>
      <c r="S653" s="7" t="s">
        <v>17</v>
      </c>
      <c r="T653" s="7" t="s">
        <v>12</v>
      </c>
    </row>
    <row r="654" spans="1:20" s="15" customFormat="1" ht="24.95" customHeight="1" x14ac:dyDescent="0.3">
      <c r="A654" s="14"/>
      <c r="B654" s="14"/>
      <c r="D654" s="6">
        <f t="shared" si="10"/>
        <v>653</v>
      </c>
      <c r="E654" s="7" t="s">
        <v>1405</v>
      </c>
      <c r="F654" s="7" t="s">
        <v>1406</v>
      </c>
      <c r="G654" s="7" t="s">
        <v>1407</v>
      </c>
      <c r="H654" s="6"/>
      <c r="I654" s="7"/>
      <c r="J654" s="6"/>
      <c r="K654" s="7"/>
      <c r="L654" s="6">
        <v>1</v>
      </c>
      <c r="M654" s="8" t="s">
        <v>92</v>
      </c>
      <c r="N654" s="6"/>
      <c r="O654" s="7"/>
      <c r="P654" s="6"/>
      <c r="Q654" s="7"/>
      <c r="R654" s="7">
        <v>45898</v>
      </c>
      <c r="S654" s="7" t="s">
        <v>17</v>
      </c>
      <c r="T654" s="7" t="s">
        <v>12</v>
      </c>
    </row>
    <row r="655" spans="1:20" s="15" customFormat="1" ht="24.95" customHeight="1" x14ac:dyDescent="0.3">
      <c r="A655" s="14"/>
      <c r="B655" s="14"/>
      <c r="D655" s="6">
        <f t="shared" si="10"/>
        <v>654</v>
      </c>
      <c r="E655" s="7" t="s">
        <v>1405</v>
      </c>
      <c r="F655" s="7" t="s">
        <v>1408</v>
      </c>
      <c r="G655" s="7" t="s">
        <v>1409</v>
      </c>
      <c r="H655" s="6"/>
      <c r="I655" s="7"/>
      <c r="J655" s="6"/>
      <c r="K655" s="7"/>
      <c r="L655" s="6">
        <v>1</v>
      </c>
      <c r="M655" s="8" t="s">
        <v>92</v>
      </c>
      <c r="N655" s="6"/>
      <c r="O655" s="7"/>
      <c r="P655" s="6"/>
      <c r="Q655" s="7"/>
      <c r="R655" s="7">
        <v>45898</v>
      </c>
      <c r="S655" s="7" t="s">
        <v>17</v>
      </c>
      <c r="T655" s="7" t="s">
        <v>12</v>
      </c>
    </row>
    <row r="656" spans="1:20" s="15" customFormat="1" ht="24.95" customHeight="1" x14ac:dyDescent="0.3">
      <c r="A656" s="14"/>
      <c r="B656" s="14"/>
      <c r="D656" s="6">
        <f t="shared" si="10"/>
        <v>655</v>
      </c>
      <c r="E656" s="7" t="s">
        <v>358</v>
      </c>
      <c r="F656" s="7" t="s">
        <v>1410</v>
      </c>
      <c r="G656" s="7" t="s">
        <v>1411</v>
      </c>
      <c r="H656" s="6"/>
      <c r="I656" s="7"/>
      <c r="J656" s="6"/>
      <c r="K656" s="7"/>
      <c r="L656" s="6"/>
      <c r="M656" s="7"/>
      <c r="N656" s="6"/>
      <c r="O656" s="7"/>
      <c r="P656" s="6">
        <v>1</v>
      </c>
      <c r="Q656" s="8" t="s">
        <v>25</v>
      </c>
      <c r="R656" s="7">
        <v>45898</v>
      </c>
      <c r="S656" s="7" t="s">
        <v>17</v>
      </c>
      <c r="T656" s="7" t="s">
        <v>12</v>
      </c>
    </row>
    <row r="657" spans="1:20" s="15" customFormat="1" ht="24.95" customHeight="1" x14ac:dyDescent="0.3">
      <c r="A657" s="14"/>
      <c r="B657" s="14"/>
      <c r="D657" s="6">
        <f t="shared" si="10"/>
        <v>656</v>
      </c>
      <c r="E657" s="7" t="s">
        <v>358</v>
      </c>
      <c r="F657" s="7" t="s">
        <v>1412</v>
      </c>
      <c r="G657" s="7" t="s">
        <v>1413</v>
      </c>
      <c r="H657" s="6"/>
      <c r="I657" s="7"/>
      <c r="J657" s="6"/>
      <c r="K657" s="7"/>
      <c r="L657" s="6"/>
      <c r="M657" s="7"/>
      <c r="N657" s="6"/>
      <c r="O657" s="7"/>
      <c r="P657" s="6">
        <v>1</v>
      </c>
      <c r="Q657" s="8" t="s">
        <v>25</v>
      </c>
      <c r="R657" s="7">
        <v>45898</v>
      </c>
      <c r="S657" s="7" t="s">
        <v>17</v>
      </c>
      <c r="T657" s="7" t="s">
        <v>12</v>
      </c>
    </row>
    <row r="658" spans="1:20" s="15" customFormat="1" ht="24.95" customHeight="1" x14ac:dyDescent="0.3">
      <c r="A658" s="14"/>
      <c r="B658" s="14"/>
      <c r="D658" s="6">
        <f t="shared" si="10"/>
        <v>657</v>
      </c>
      <c r="E658" s="7" t="s">
        <v>334</v>
      </c>
      <c r="F658" s="7" t="s">
        <v>1414</v>
      </c>
      <c r="G658" s="7" t="s">
        <v>1415</v>
      </c>
      <c r="H658" s="6"/>
      <c r="I658" s="7"/>
      <c r="J658" s="6"/>
      <c r="K658" s="7"/>
      <c r="L658" s="6"/>
      <c r="M658" s="7"/>
      <c r="N658" s="6"/>
      <c r="O658" s="7"/>
      <c r="P658" s="6">
        <v>1</v>
      </c>
      <c r="Q658" s="8" t="s">
        <v>58</v>
      </c>
      <c r="R658" s="7">
        <v>45901</v>
      </c>
      <c r="S658" s="7" t="s">
        <v>17</v>
      </c>
      <c r="T658" s="7" t="s">
        <v>12</v>
      </c>
    </row>
    <row r="659" spans="1:20" s="15" customFormat="1" ht="24.95" customHeight="1" x14ac:dyDescent="0.3">
      <c r="A659" s="14"/>
      <c r="B659" s="14"/>
      <c r="D659" s="6">
        <f t="shared" si="10"/>
        <v>658</v>
      </c>
      <c r="E659" s="7" t="s">
        <v>760</v>
      </c>
      <c r="F659" s="7" t="s">
        <v>1416</v>
      </c>
      <c r="G659" s="7" t="s">
        <v>762</v>
      </c>
      <c r="H659" s="6"/>
      <c r="I659" s="7"/>
      <c r="J659" s="6"/>
      <c r="K659" s="7"/>
      <c r="L659" s="6"/>
      <c r="M659" s="7"/>
      <c r="N659" s="6"/>
      <c r="O659" s="7"/>
      <c r="P659" s="6">
        <v>1</v>
      </c>
      <c r="Q659" s="8" t="s">
        <v>16</v>
      </c>
      <c r="R659" s="7">
        <v>45902</v>
      </c>
      <c r="S659" s="7" t="s">
        <v>17</v>
      </c>
      <c r="T659" s="7" t="s">
        <v>12</v>
      </c>
    </row>
    <row r="660" spans="1:20" s="15" customFormat="1" ht="24.95" customHeight="1" x14ac:dyDescent="0.3">
      <c r="A660" s="14"/>
      <c r="B660" s="14"/>
      <c r="D660" s="6">
        <f t="shared" si="10"/>
        <v>659</v>
      </c>
      <c r="E660" s="7" t="s">
        <v>384</v>
      </c>
      <c r="F660" s="7" t="s">
        <v>1417</v>
      </c>
      <c r="G660" s="7" t="s">
        <v>1418</v>
      </c>
      <c r="H660" s="6"/>
      <c r="I660" s="7"/>
      <c r="J660" s="6"/>
      <c r="K660" s="7"/>
      <c r="L660" s="6"/>
      <c r="M660" s="7"/>
      <c r="N660" s="6"/>
      <c r="O660" s="7"/>
      <c r="P660" s="6">
        <v>1</v>
      </c>
      <c r="Q660" s="8" t="s">
        <v>16</v>
      </c>
      <c r="R660" s="7">
        <v>45904</v>
      </c>
      <c r="S660" s="7" t="s">
        <v>17</v>
      </c>
      <c r="T660" s="7" t="s">
        <v>12</v>
      </c>
    </row>
    <row r="661" spans="1:20" s="15" customFormat="1" ht="24.95" customHeight="1" x14ac:dyDescent="0.3">
      <c r="A661" s="14"/>
      <c r="B661" s="14"/>
      <c r="D661" s="6">
        <f t="shared" si="10"/>
        <v>660</v>
      </c>
      <c r="E661" s="7" t="s">
        <v>384</v>
      </c>
      <c r="F661" s="7" t="s">
        <v>1419</v>
      </c>
      <c r="G661" s="7" t="s">
        <v>1420</v>
      </c>
      <c r="H661" s="6"/>
      <c r="I661" s="7"/>
      <c r="J661" s="6"/>
      <c r="K661" s="7"/>
      <c r="L661" s="6">
        <v>1</v>
      </c>
      <c r="M661" s="8" t="s">
        <v>92</v>
      </c>
      <c r="N661" s="6"/>
      <c r="O661" s="7"/>
      <c r="P661" s="6"/>
      <c r="Q661" s="7"/>
      <c r="R661" s="7">
        <v>45904</v>
      </c>
      <c r="S661" s="7" t="s">
        <v>17</v>
      </c>
      <c r="T661" s="7" t="s">
        <v>12</v>
      </c>
    </row>
    <row r="662" spans="1:20" s="15" customFormat="1" ht="24.95" customHeight="1" x14ac:dyDescent="0.3">
      <c r="A662" s="14"/>
      <c r="B662" s="14"/>
      <c r="D662" s="6">
        <f t="shared" si="10"/>
        <v>661</v>
      </c>
      <c r="E662" s="7" t="s">
        <v>1421</v>
      </c>
      <c r="F662" s="7" t="s">
        <v>1422</v>
      </c>
      <c r="G662" s="7" t="s">
        <v>1423</v>
      </c>
      <c r="H662" s="6">
        <v>1</v>
      </c>
      <c r="I662" s="8" t="s">
        <v>277</v>
      </c>
      <c r="J662" s="6"/>
      <c r="K662" s="7"/>
      <c r="L662" s="6"/>
      <c r="M662" s="7"/>
      <c r="N662" s="6"/>
      <c r="O662" s="7"/>
      <c r="P662" s="6"/>
      <c r="Q662" s="7"/>
      <c r="R662" s="7">
        <v>45905</v>
      </c>
      <c r="S662" s="7" t="s">
        <v>17</v>
      </c>
      <c r="T662" s="7" t="s">
        <v>12</v>
      </c>
    </row>
    <row r="663" spans="1:20" s="15" customFormat="1" ht="24.95" customHeight="1" x14ac:dyDescent="0.3">
      <c r="A663" s="14"/>
      <c r="B663" s="14"/>
      <c r="D663" s="6">
        <f t="shared" si="10"/>
        <v>662</v>
      </c>
      <c r="E663" s="7" t="s">
        <v>1074</v>
      </c>
      <c r="F663" s="7" t="s">
        <v>1424</v>
      </c>
      <c r="G663" s="7" t="s">
        <v>1425</v>
      </c>
      <c r="H663" s="6"/>
      <c r="I663" s="7"/>
      <c r="J663" s="6">
        <v>1</v>
      </c>
      <c r="K663" s="8" t="s">
        <v>130</v>
      </c>
      <c r="L663" s="6"/>
      <c r="M663" s="7"/>
      <c r="N663" s="6"/>
      <c r="O663" s="7"/>
      <c r="P663" s="6"/>
      <c r="Q663" s="7"/>
      <c r="R663" s="7">
        <v>45908</v>
      </c>
      <c r="S663" s="7" t="s">
        <v>17</v>
      </c>
      <c r="T663" s="7" t="s">
        <v>12</v>
      </c>
    </row>
    <row r="664" spans="1:20" s="15" customFormat="1" ht="24.95" customHeight="1" x14ac:dyDescent="0.3">
      <c r="A664" s="14"/>
      <c r="B664" s="14"/>
      <c r="D664" s="6">
        <f t="shared" si="10"/>
        <v>663</v>
      </c>
      <c r="E664" s="7" t="s">
        <v>1074</v>
      </c>
      <c r="F664" s="7" t="s">
        <v>1426</v>
      </c>
      <c r="G664" s="7" t="s">
        <v>1427</v>
      </c>
      <c r="H664" s="6"/>
      <c r="I664" s="7"/>
      <c r="J664" s="6"/>
      <c r="K664" s="7"/>
      <c r="L664" s="6"/>
      <c r="M664" s="7"/>
      <c r="N664" s="6"/>
      <c r="O664" s="7"/>
      <c r="P664" s="6">
        <v>1</v>
      </c>
      <c r="Q664" s="8" t="s">
        <v>272</v>
      </c>
      <c r="R664" s="7">
        <v>45909</v>
      </c>
      <c r="S664" s="7" t="s">
        <v>17</v>
      </c>
      <c r="T664" s="7" t="s">
        <v>12</v>
      </c>
    </row>
    <row r="665" spans="1:20" s="15" customFormat="1" ht="24.95" customHeight="1" x14ac:dyDescent="0.3">
      <c r="A665" s="14"/>
      <c r="B665" s="14"/>
      <c r="D665" s="6">
        <f t="shared" si="10"/>
        <v>664</v>
      </c>
      <c r="E665" s="7" t="s">
        <v>210</v>
      </c>
      <c r="F665" s="7" t="s">
        <v>1428</v>
      </c>
      <c r="G665" s="7" t="s">
        <v>1429</v>
      </c>
      <c r="H665" s="6"/>
      <c r="I665" s="7"/>
      <c r="J665" s="6"/>
      <c r="K665" s="7"/>
      <c r="L665" s="6">
        <v>1</v>
      </c>
      <c r="M665" s="8" t="s">
        <v>48</v>
      </c>
      <c r="N665" s="6"/>
      <c r="O665" s="7"/>
      <c r="P665" s="6"/>
      <c r="Q665" s="7"/>
      <c r="R665" s="7">
        <v>45909</v>
      </c>
      <c r="S665" s="7" t="s">
        <v>17</v>
      </c>
      <c r="T665" s="7" t="s">
        <v>12</v>
      </c>
    </row>
    <row r="666" spans="1:20" s="15" customFormat="1" ht="24.95" customHeight="1" x14ac:dyDescent="0.3">
      <c r="A666" s="14"/>
      <c r="B666" s="14"/>
      <c r="D666" s="6">
        <f t="shared" si="10"/>
        <v>665</v>
      </c>
      <c r="E666" s="7" t="s">
        <v>560</v>
      </c>
      <c r="F666" s="7" t="s">
        <v>1430</v>
      </c>
      <c r="G666" s="7" t="s">
        <v>1431</v>
      </c>
      <c r="H666" s="6"/>
      <c r="I666" s="7"/>
      <c r="J666" s="6"/>
      <c r="K666" s="7"/>
      <c r="L666" s="6">
        <v>1</v>
      </c>
      <c r="M666" s="8" t="s">
        <v>92</v>
      </c>
      <c r="N666" s="6"/>
      <c r="O666" s="7"/>
      <c r="P666" s="6"/>
      <c r="Q666" s="7"/>
      <c r="R666" s="7">
        <v>45917</v>
      </c>
      <c r="S666" s="7" t="s">
        <v>17</v>
      </c>
      <c r="T666" s="7" t="s">
        <v>12</v>
      </c>
    </row>
    <row r="667" spans="1:20" s="15" customFormat="1" ht="24.95" customHeight="1" x14ac:dyDescent="0.3">
      <c r="A667" s="14"/>
      <c r="B667" s="14"/>
      <c r="D667" s="6">
        <f t="shared" si="10"/>
        <v>666</v>
      </c>
      <c r="E667" s="7" t="s">
        <v>327</v>
      </c>
      <c r="F667" s="7" t="s">
        <v>1432</v>
      </c>
      <c r="G667" s="7" t="s">
        <v>1433</v>
      </c>
      <c r="H667" s="6"/>
      <c r="I667" s="7"/>
      <c r="J667" s="6"/>
      <c r="K667" s="7"/>
      <c r="L667" s="6"/>
      <c r="M667" s="7"/>
      <c r="N667" s="6"/>
      <c r="O667" s="7"/>
      <c r="P667" s="6">
        <v>1</v>
      </c>
      <c r="Q667" s="8" t="s">
        <v>16</v>
      </c>
      <c r="R667" s="7">
        <v>45928</v>
      </c>
      <c r="S667" s="7" t="s">
        <v>17</v>
      </c>
      <c r="T667" s="7" t="s">
        <v>12</v>
      </c>
    </row>
    <row r="668" spans="1:20" s="15" customFormat="1" ht="24.95" customHeight="1" x14ac:dyDescent="0.3">
      <c r="A668" s="14"/>
      <c r="B668" s="14"/>
      <c r="D668" s="6">
        <f t="shared" si="10"/>
        <v>667</v>
      </c>
      <c r="E668" s="7" t="s">
        <v>1227</v>
      </c>
      <c r="F668" s="7" t="s">
        <v>1434</v>
      </c>
      <c r="G668" s="7" t="s">
        <v>1435</v>
      </c>
      <c r="H668" s="6"/>
      <c r="I668" s="7"/>
      <c r="J668" s="6"/>
      <c r="K668" s="7"/>
      <c r="L668" s="6"/>
      <c r="M668" s="7"/>
      <c r="N668" s="6"/>
      <c r="O668" s="7"/>
      <c r="P668" s="6">
        <v>1</v>
      </c>
      <c r="Q668" s="8" t="s">
        <v>272</v>
      </c>
      <c r="R668" s="7">
        <v>45930</v>
      </c>
      <c r="S668" s="7" t="s">
        <v>17</v>
      </c>
      <c r="T668" s="7" t="s">
        <v>12</v>
      </c>
    </row>
    <row r="669" spans="1:20" s="15" customFormat="1" ht="24.95" customHeight="1" x14ac:dyDescent="0.3">
      <c r="A669" s="14"/>
      <c r="B669" s="14"/>
      <c r="D669" s="6">
        <f t="shared" si="10"/>
        <v>668</v>
      </c>
      <c r="E669" s="7" t="s">
        <v>1227</v>
      </c>
      <c r="F669" s="7" t="s">
        <v>1436</v>
      </c>
      <c r="G669" s="7" t="s">
        <v>1437</v>
      </c>
      <c r="H669" s="6"/>
      <c r="I669" s="7"/>
      <c r="J669" s="6"/>
      <c r="K669" s="7"/>
      <c r="L669" s="6"/>
      <c r="M669" s="7"/>
      <c r="N669" s="6"/>
      <c r="O669" s="7"/>
      <c r="P669" s="6">
        <v>1</v>
      </c>
      <c r="Q669" s="8" t="s">
        <v>272</v>
      </c>
      <c r="R669" s="7">
        <v>45930</v>
      </c>
      <c r="S669" s="7" t="s">
        <v>17</v>
      </c>
      <c r="T669" s="7" t="s">
        <v>12</v>
      </c>
    </row>
    <row r="670" spans="1:20" s="15" customFormat="1" ht="24.95" customHeight="1" x14ac:dyDescent="0.3">
      <c r="A670" s="14"/>
      <c r="B670" s="14"/>
      <c r="D670" s="6">
        <f t="shared" si="10"/>
        <v>669</v>
      </c>
      <c r="E670" s="7" t="s">
        <v>786</v>
      </c>
      <c r="F670" s="7" t="s">
        <v>1438</v>
      </c>
      <c r="G670" s="7" t="s">
        <v>1439</v>
      </c>
      <c r="H670" s="6"/>
      <c r="I670" s="7"/>
      <c r="J670" s="6">
        <v>1</v>
      </c>
      <c r="K670" s="8" t="s">
        <v>130</v>
      </c>
      <c r="L670" s="6"/>
      <c r="M670" s="7"/>
      <c r="N670" s="6"/>
      <c r="O670" s="7"/>
      <c r="P670" s="6"/>
      <c r="Q670" s="7"/>
      <c r="R670" s="7">
        <v>45930</v>
      </c>
      <c r="S670" s="7" t="s">
        <v>17</v>
      </c>
      <c r="T670" s="7" t="s">
        <v>12</v>
      </c>
    </row>
    <row r="671" spans="1:20" s="15" customFormat="1" ht="24.95" customHeight="1" x14ac:dyDescent="0.3">
      <c r="A671" s="14"/>
      <c r="B671" s="14"/>
      <c r="D671" s="6">
        <f t="shared" si="10"/>
        <v>670</v>
      </c>
      <c r="E671" s="7" t="s">
        <v>786</v>
      </c>
      <c r="F671" s="7" t="s">
        <v>1440</v>
      </c>
      <c r="G671" s="7" t="s">
        <v>1441</v>
      </c>
      <c r="H671" s="6"/>
      <c r="I671" s="7"/>
      <c r="J671" s="6">
        <v>1</v>
      </c>
      <c r="K671" s="8" t="s">
        <v>130</v>
      </c>
      <c r="L671" s="6"/>
      <c r="M671" s="7"/>
      <c r="N671" s="6"/>
      <c r="O671" s="7"/>
      <c r="P671" s="6"/>
      <c r="Q671" s="7"/>
      <c r="R671" s="7">
        <v>45930</v>
      </c>
      <c r="S671" s="7" t="s">
        <v>17</v>
      </c>
      <c r="T671" s="7" t="s">
        <v>12</v>
      </c>
    </row>
    <row r="672" spans="1:20" s="15" customFormat="1" ht="24.95" customHeight="1" x14ac:dyDescent="0.3">
      <c r="A672" s="14"/>
      <c r="B672" s="14"/>
      <c r="D672" s="6">
        <f t="shared" si="10"/>
        <v>671</v>
      </c>
      <c r="E672" s="7" t="s">
        <v>1442</v>
      </c>
      <c r="F672" s="7" t="s">
        <v>1443</v>
      </c>
      <c r="G672" s="7" t="s">
        <v>1444</v>
      </c>
      <c r="H672" s="6"/>
      <c r="I672" s="7"/>
      <c r="J672" s="6">
        <v>1</v>
      </c>
      <c r="K672" s="8" t="s">
        <v>130</v>
      </c>
      <c r="L672" s="6"/>
      <c r="M672" s="7"/>
      <c r="N672" s="6"/>
      <c r="O672" s="7"/>
      <c r="P672" s="6"/>
      <c r="Q672" s="7"/>
      <c r="R672" s="7">
        <v>45930</v>
      </c>
      <c r="S672" s="7" t="s">
        <v>17</v>
      </c>
      <c r="T672" s="7" t="s">
        <v>12</v>
      </c>
    </row>
    <row r="673" spans="1:20" s="15" customFormat="1" ht="24.95" customHeight="1" x14ac:dyDescent="0.3">
      <c r="A673" s="14"/>
      <c r="B673" s="14"/>
      <c r="D673" s="6">
        <f t="shared" si="10"/>
        <v>672</v>
      </c>
      <c r="E673" s="7" t="s">
        <v>1442</v>
      </c>
      <c r="F673" s="7" t="s">
        <v>1445</v>
      </c>
      <c r="G673" s="7" t="s">
        <v>1446</v>
      </c>
      <c r="H673" s="6"/>
      <c r="I673" s="7"/>
      <c r="J673" s="6"/>
      <c r="K673" s="7"/>
      <c r="L673" s="6">
        <v>1</v>
      </c>
      <c r="M673" s="8" t="s">
        <v>92</v>
      </c>
      <c r="N673" s="6"/>
      <c r="O673" s="7"/>
      <c r="P673" s="6"/>
      <c r="Q673" s="7"/>
      <c r="R673" s="7">
        <v>45930</v>
      </c>
      <c r="S673" s="7" t="s">
        <v>17</v>
      </c>
      <c r="T673" s="7" t="s">
        <v>12</v>
      </c>
    </row>
    <row r="674" spans="1:20" s="15" customFormat="1" ht="24.95" customHeight="1" x14ac:dyDescent="0.3">
      <c r="A674" s="14"/>
      <c r="B674" s="14"/>
      <c r="D674" s="6">
        <f t="shared" si="10"/>
        <v>673</v>
      </c>
      <c r="E674" s="7" t="s">
        <v>358</v>
      </c>
      <c r="F674" s="7" t="s">
        <v>1447</v>
      </c>
      <c r="G674" s="7" t="s">
        <v>1448</v>
      </c>
      <c r="H674" s="6"/>
      <c r="I674" s="7"/>
      <c r="J674" s="6"/>
      <c r="K674" s="7"/>
      <c r="L674" s="6"/>
      <c r="M674" s="7"/>
      <c r="N674" s="6"/>
      <c r="O674" s="7"/>
      <c r="P674" s="6">
        <v>1</v>
      </c>
      <c r="Q674" s="8" t="s">
        <v>58</v>
      </c>
      <c r="R674" s="7">
        <v>45943</v>
      </c>
      <c r="S674" s="7" t="s">
        <v>17</v>
      </c>
      <c r="T674" s="7" t="s">
        <v>12</v>
      </c>
    </row>
    <row r="675" spans="1:20" s="15" customFormat="1" ht="24.95" customHeight="1" x14ac:dyDescent="0.3">
      <c r="A675" s="14"/>
      <c r="B675" s="14"/>
      <c r="D675" s="6">
        <f t="shared" si="10"/>
        <v>674</v>
      </c>
      <c r="E675" s="7" t="s">
        <v>358</v>
      </c>
      <c r="F675" s="7" t="s">
        <v>1449</v>
      </c>
      <c r="G675" s="7" t="s">
        <v>1450</v>
      </c>
      <c r="H675" s="6"/>
      <c r="I675" s="7"/>
      <c r="J675" s="6"/>
      <c r="K675" s="7"/>
      <c r="L675" s="6"/>
      <c r="M675" s="7"/>
      <c r="N675" s="6"/>
      <c r="O675" s="7"/>
      <c r="P675" s="6">
        <v>1</v>
      </c>
      <c r="Q675" s="8" t="s">
        <v>759</v>
      </c>
      <c r="R675" s="7">
        <v>45943</v>
      </c>
      <c r="S675" s="7" t="s">
        <v>17</v>
      </c>
      <c r="T675" s="7" t="s">
        <v>12</v>
      </c>
    </row>
    <row r="676" spans="1:20" s="15" customFormat="1" ht="24.95" customHeight="1" x14ac:dyDescent="0.3">
      <c r="D676" s="6">
        <f t="shared" si="10"/>
        <v>675</v>
      </c>
      <c r="E676" s="7" t="s">
        <v>1451</v>
      </c>
      <c r="F676" s="7" t="s">
        <v>1452</v>
      </c>
      <c r="G676" s="7" t="s">
        <v>1453</v>
      </c>
      <c r="H676" s="6">
        <v>1</v>
      </c>
      <c r="I676" s="8" t="s">
        <v>277</v>
      </c>
      <c r="J676" s="6"/>
      <c r="K676" s="7"/>
      <c r="L676" s="6"/>
      <c r="M676" s="7"/>
      <c r="N676" s="6"/>
      <c r="O676" s="7"/>
      <c r="P676" s="6"/>
      <c r="Q676" s="7"/>
      <c r="R676" s="7">
        <v>45945</v>
      </c>
      <c r="S676" s="7" t="s">
        <v>17</v>
      </c>
      <c r="T676" s="7" t="s">
        <v>12</v>
      </c>
    </row>
    <row r="677" spans="1:20" s="15" customFormat="1" ht="24.95" customHeight="1" x14ac:dyDescent="0.3">
      <c r="D677" s="6">
        <f t="shared" si="10"/>
        <v>676</v>
      </c>
      <c r="E677" s="7" t="s">
        <v>327</v>
      </c>
      <c r="F677" s="7" t="s">
        <v>1454</v>
      </c>
      <c r="G677" s="7" t="s">
        <v>1455</v>
      </c>
      <c r="H677" s="6"/>
      <c r="I677" s="7"/>
      <c r="J677" s="6"/>
      <c r="K677" s="7"/>
      <c r="L677" s="6">
        <v>1</v>
      </c>
      <c r="M677" s="8" t="s">
        <v>92</v>
      </c>
      <c r="N677" s="6"/>
      <c r="O677" s="7"/>
      <c r="P677" s="6"/>
      <c r="Q677" s="7"/>
      <c r="R677" s="7">
        <v>45946</v>
      </c>
      <c r="S677" s="7" t="s">
        <v>17</v>
      </c>
      <c r="T677" s="7" t="s">
        <v>12</v>
      </c>
    </row>
    <row r="678" spans="1:20" s="15" customFormat="1" ht="24.95" customHeight="1" x14ac:dyDescent="0.3">
      <c r="D678" s="6">
        <f t="shared" si="10"/>
        <v>677</v>
      </c>
      <c r="E678" s="7" t="s">
        <v>18</v>
      </c>
      <c r="F678" s="7" t="s">
        <v>1456</v>
      </c>
      <c r="G678" s="7" t="s">
        <v>1457</v>
      </c>
      <c r="H678" s="6"/>
      <c r="I678" s="7"/>
      <c r="J678" s="6"/>
      <c r="K678" s="7"/>
      <c r="L678" s="6">
        <v>1</v>
      </c>
      <c r="M678" s="8" t="s">
        <v>92</v>
      </c>
      <c r="N678" s="6"/>
      <c r="O678" s="7"/>
      <c r="P678" s="6"/>
      <c r="Q678" s="7"/>
      <c r="R678" s="7">
        <v>45946</v>
      </c>
      <c r="S678" s="7" t="s">
        <v>17</v>
      </c>
      <c r="T678" s="7" t="s">
        <v>12</v>
      </c>
    </row>
    <row r="679" spans="1:20" s="15" customFormat="1" ht="24.95" customHeight="1" x14ac:dyDescent="0.3">
      <c r="D679" s="6">
        <f t="shared" si="10"/>
        <v>678</v>
      </c>
      <c r="E679" s="7" t="s">
        <v>18</v>
      </c>
      <c r="F679" s="7" t="s">
        <v>1458</v>
      </c>
      <c r="G679" s="7" t="s">
        <v>1459</v>
      </c>
      <c r="H679" s="6"/>
      <c r="I679" s="7"/>
      <c r="J679" s="6">
        <v>1</v>
      </c>
      <c r="K679" s="8" t="s">
        <v>130</v>
      </c>
      <c r="L679" s="6"/>
      <c r="M679" s="7"/>
      <c r="N679" s="6"/>
      <c r="O679" s="7"/>
      <c r="P679" s="6"/>
      <c r="Q679" s="7"/>
      <c r="R679" s="7">
        <v>45946</v>
      </c>
      <c r="S679" s="7" t="s">
        <v>17</v>
      </c>
      <c r="T679" s="7" t="s">
        <v>12</v>
      </c>
    </row>
    <row r="680" spans="1:20" s="15" customFormat="1" ht="24.95" customHeight="1" x14ac:dyDescent="0.3">
      <c r="D680" s="6">
        <f t="shared" si="10"/>
        <v>679</v>
      </c>
      <c r="E680" s="7" t="s">
        <v>765</v>
      </c>
      <c r="F680" s="7" t="s">
        <v>1460</v>
      </c>
      <c r="G680" s="7" t="s">
        <v>1461</v>
      </c>
      <c r="H680" s="6"/>
      <c r="I680" s="7"/>
      <c r="J680" s="6"/>
      <c r="K680" s="7"/>
      <c r="L680" s="6"/>
      <c r="M680" s="7"/>
      <c r="N680" s="6"/>
      <c r="O680" s="7"/>
      <c r="P680" s="6">
        <v>1</v>
      </c>
      <c r="Q680" s="8" t="s">
        <v>272</v>
      </c>
      <c r="R680" s="7">
        <v>45947</v>
      </c>
      <c r="S680" s="7" t="s">
        <v>17</v>
      </c>
      <c r="T680" s="7" t="s">
        <v>12</v>
      </c>
    </row>
    <row r="681" spans="1:20" s="15" customFormat="1" ht="24.95" customHeight="1" x14ac:dyDescent="0.3">
      <c r="D681" s="6">
        <f t="shared" si="10"/>
        <v>680</v>
      </c>
      <c r="E681" s="7" t="s">
        <v>765</v>
      </c>
      <c r="F681" s="7" t="s">
        <v>1462</v>
      </c>
      <c r="G681" s="7" t="s">
        <v>1463</v>
      </c>
      <c r="H681" s="6"/>
      <c r="I681" s="7"/>
      <c r="J681" s="6"/>
      <c r="K681" s="7"/>
      <c r="L681" s="6"/>
      <c r="M681" s="7"/>
      <c r="N681" s="6"/>
      <c r="O681" s="7"/>
      <c r="P681" s="6">
        <v>1</v>
      </c>
      <c r="Q681" s="8" t="s">
        <v>272</v>
      </c>
      <c r="R681" s="7">
        <v>45947</v>
      </c>
      <c r="S681" s="7" t="s">
        <v>17</v>
      </c>
      <c r="T681" s="7" t="s">
        <v>12</v>
      </c>
    </row>
    <row r="682" spans="1:20" s="15" customFormat="1" ht="24.95" customHeight="1" x14ac:dyDescent="0.3">
      <c r="D682" s="6">
        <f t="shared" si="10"/>
        <v>681</v>
      </c>
      <c r="E682" s="7" t="s">
        <v>233</v>
      </c>
      <c r="F682" s="7" t="s">
        <v>1464</v>
      </c>
      <c r="G682" s="7" t="s">
        <v>1465</v>
      </c>
      <c r="H682" s="6"/>
      <c r="I682" s="7"/>
      <c r="J682" s="6"/>
      <c r="K682" s="7"/>
      <c r="L682" s="6">
        <v>1</v>
      </c>
      <c r="M682" s="8" t="s">
        <v>92</v>
      </c>
      <c r="N682" s="6"/>
      <c r="O682" s="7"/>
      <c r="P682" s="6"/>
      <c r="Q682" s="7"/>
      <c r="R682" s="7">
        <v>45958</v>
      </c>
      <c r="S682" s="7" t="s">
        <v>17</v>
      </c>
      <c r="T682" s="7" t="s">
        <v>12</v>
      </c>
    </row>
    <row r="683" spans="1:20" s="15" customFormat="1" ht="24.95" customHeight="1" x14ac:dyDescent="0.3">
      <c r="D683" s="6">
        <f t="shared" si="10"/>
        <v>682</v>
      </c>
      <c r="E683" s="7" t="s">
        <v>1466</v>
      </c>
      <c r="F683" s="7" t="s">
        <v>1467</v>
      </c>
      <c r="G683" s="7" t="s">
        <v>1468</v>
      </c>
      <c r="H683" s="6"/>
      <c r="I683" s="7"/>
      <c r="J683" s="6"/>
      <c r="K683" s="7"/>
      <c r="L683" s="6"/>
      <c r="M683" s="7"/>
      <c r="N683" s="6"/>
      <c r="O683" s="7"/>
      <c r="P683" s="6">
        <v>1</v>
      </c>
      <c r="Q683" s="8" t="s">
        <v>58</v>
      </c>
      <c r="R683" s="7">
        <v>45958</v>
      </c>
      <c r="S683" s="7" t="s">
        <v>17</v>
      </c>
      <c r="T683" s="7" t="s">
        <v>12</v>
      </c>
    </row>
    <row r="684" spans="1:20" s="15" customFormat="1" ht="24.95" customHeight="1" x14ac:dyDescent="0.3">
      <c r="D684" s="6">
        <f t="shared" si="10"/>
        <v>683</v>
      </c>
      <c r="E684" s="7" t="s">
        <v>404</v>
      </c>
      <c r="F684" s="7" t="s">
        <v>1469</v>
      </c>
      <c r="G684" s="7" t="s">
        <v>1470</v>
      </c>
      <c r="H684" s="6"/>
      <c r="I684" s="7"/>
      <c r="J684" s="6"/>
      <c r="K684" s="7"/>
      <c r="L684" s="6"/>
      <c r="M684" s="7"/>
      <c r="N684" s="6"/>
      <c r="O684" s="7"/>
      <c r="P684" s="6">
        <v>1</v>
      </c>
      <c r="Q684" s="8" t="s">
        <v>16</v>
      </c>
      <c r="R684" s="7">
        <v>45960</v>
      </c>
      <c r="S684" s="7" t="s">
        <v>17</v>
      </c>
      <c r="T684" s="7" t="s">
        <v>12</v>
      </c>
    </row>
    <row r="685" spans="1:20" s="15" customFormat="1" ht="24.95" customHeight="1" x14ac:dyDescent="0.3">
      <c r="D685" s="6">
        <f t="shared" si="10"/>
        <v>684</v>
      </c>
      <c r="E685" s="7" t="s">
        <v>404</v>
      </c>
      <c r="F685" s="7" t="s">
        <v>1471</v>
      </c>
      <c r="G685" s="7" t="s">
        <v>1472</v>
      </c>
      <c r="H685" s="6"/>
      <c r="I685" s="7"/>
      <c r="J685" s="6"/>
      <c r="K685" s="7"/>
      <c r="L685" s="6"/>
      <c r="M685" s="7"/>
      <c r="N685" s="6"/>
      <c r="O685" s="7"/>
      <c r="P685" s="6">
        <v>1</v>
      </c>
      <c r="Q685" s="8" t="s">
        <v>16</v>
      </c>
      <c r="R685" s="7">
        <v>45960</v>
      </c>
      <c r="S685" s="7" t="s">
        <v>17</v>
      </c>
      <c r="T685" s="7" t="s">
        <v>12</v>
      </c>
    </row>
    <row r="686" spans="1:20" s="15" customFormat="1" ht="24.95" customHeight="1" x14ac:dyDescent="0.3">
      <c r="D686" s="6">
        <f t="shared" si="10"/>
        <v>685</v>
      </c>
      <c r="E686" s="7" t="s">
        <v>404</v>
      </c>
      <c r="F686" s="7" t="s">
        <v>1473</v>
      </c>
      <c r="G686" s="7" t="s">
        <v>1474</v>
      </c>
      <c r="H686" s="6"/>
      <c r="I686" s="7"/>
      <c r="J686" s="6"/>
      <c r="K686" s="7"/>
      <c r="L686" s="6"/>
      <c r="M686" s="7"/>
      <c r="N686" s="6"/>
      <c r="O686" s="7"/>
      <c r="P686" s="6">
        <v>1</v>
      </c>
      <c r="Q686" s="8" t="s">
        <v>16</v>
      </c>
      <c r="R686" s="7">
        <v>45960</v>
      </c>
      <c r="S686" s="7" t="s">
        <v>17</v>
      </c>
      <c r="T686" s="7" t="s">
        <v>12</v>
      </c>
    </row>
    <row r="687" spans="1:20" s="15" customFormat="1" ht="24.95" customHeight="1" x14ac:dyDescent="0.3">
      <c r="D687" s="6">
        <f t="shared" si="10"/>
        <v>686</v>
      </c>
      <c r="E687" s="7" t="s">
        <v>786</v>
      </c>
      <c r="F687" s="7" t="s">
        <v>1475</v>
      </c>
      <c r="G687" s="7" t="s">
        <v>1476</v>
      </c>
      <c r="H687" s="6"/>
      <c r="I687" s="7"/>
      <c r="J687" s="6">
        <v>1</v>
      </c>
      <c r="K687" s="8" t="s">
        <v>130</v>
      </c>
      <c r="L687" s="6"/>
      <c r="M687" s="7"/>
      <c r="N687" s="6"/>
      <c r="O687" s="7"/>
      <c r="P687" s="6"/>
      <c r="Q687" s="7"/>
      <c r="R687" s="7">
        <v>45961</v>
      </c>
      <c r="S687" s="7" t="s">
        <v>17</v>
      </c>
      <c r="T687" s="7" t="s">
        <v>12</v>
      </c>
    </row>
    <row r="688" spans="1:20" s="15" customFormat="1" ht="24.95" customHeight="1" x14ac:dyDescent="0.3">
      <c r="D688" s="6">
        <f t="shared" si="10"/>
        <v>687</v>
      </c>
      <c r="E688" s="7" t="s">
        <v>412</v>
      </c>
      <c r="F688" s="7" t="s">
        <v>1477</v>
      </c>
      <c r="G688" s="7" t="s">
        <v>1478</v>
      </c>
      <c r="H688" s="6"/>
      <c r="I688" s="7"/>
      <c r="J688" s="6"/>
      <c r="K688" s="7"/>
      <c r="L688" s="6"/>
      <c r="M688" s="7"/>
      <c r="N688" s="6"/>
      <c r="O688" s="7"/>
      <c r="P688" s="6">
        <v>1</v>
      </c>
      <c r="Q688" s="8" t="s">
        <v>272</v>
      </c>
      <c r="R688" s="7">
        <v>45973</v>
      </c>
      <c r="S688" s="7" t="s">
        <v>17</v>
      </c>
      <c r="T688" s="7" t="s">
        <v>12</v>
      </c>
    </row>
    <row r="689" spans="1:20" s="15" customFormat="1" ht="24.95" customHeight="1" x14ac:dyDescent="0.3">
      <c r="D689" s="6">
        <f t="shared" si="10"/>
        <v>688</v>
      </c>
      <c r="E689" s="7" t="s">
        <v>786</v>
      </c>
      <c r="F689" s="7" t="s">
        <v>1479</v>
      </c>
      <c r="G689" s="7" t="s">
        <v>1480</v>
      </c>
      <c r="H689" s="6"/>
      <c r="I689" s="7"/>
      <c r="J689" s="6">
        <v>1</v>
      </c>
      <c r="K689" s="8" t="s">
        <v>130</v>
      </c>
      <c r="L689" s="6"/>
      <c r="M689" s="7"/>
      <c r="N689" s="6"/>
      <c r="O689" s="7"/>
      <c r="P689" s="6"/>
      <c r="Q689" s="7"/>
      <c r="R689" s="7">
        <v>45975</v>
      </c>
      <c r="S689" s="7" t="s">
        <v>17</v>
      </c>
      <c r="T689" s="7" t="s">
        <v>12</v>
      </c>
    </row>
    <row r="690" spans="1:20" s="15" customFormat="1" ht="24.95" customHeight="1" x14ac:dyDescent="0.3">
      <c r="D690" s="6">
        <f t="shared" si="10"/>
        <v>689</v>
      </c>
      <c r="E690" s="7" t="s">
        <v>1074</v>
      </c>
      <c r="F690" s="7" t="s">
        <v>1481</v>
      </c>
      <c r="G690" s="7" t="s">
        <v>1482</v>
      </c>
      <c r="H690" s="6"/>
      <c r="I690" s="7"/>
      <c r="J690" s="6"/>
      <c r="K690" s="7"/>
      <c r="L690" s="6"/>
      <c r="M690" s="7"/>
      <c r="N690" s="6"/>
      <c r="O690" s="7"/>
      <c r="P690" s="6">
        <v>1</v>
      </c>
      <c r="Q690" s="8" t="s">
        <v>16</v>
      </c>
      <c r="R690" s="7">
        <v>45982</v>
      </c>
      <c r="S690" s="7" t="s">
        <v>17</v>
      </c>
      <c r="T690" s="7" t="s">
        <v>12</v>
      </c>
    </row>
    <row r="691" spans="1:20" s="15" customFormat="1" ht="24.95" customHeight="1" x14ac:dyDescent="0.3">
      <c r="D691" s="6">
        <f t="shared" si="10"/>
        <v>690</v>
      </c>
      <c r="E691" s="7" t="s">
        <v>1483</v>
      </c>
      <c r="F691" s="7" t="s">
        <v>1484</v>
      </c>
      <c r="G691" s="7" t="s">
        <v>1485</v>
      </c>
      <c r="H691" s="6">
        <v>1</v>
      </c>
      <c r="I691" s="8" t="s">
        <v>609</v>
      </c>
      <c r="J691" s="6"/>
      <c r="K691" s="7"/>
      <c r="L691" s="6"/>
      <c r="M691" s="7"/>
      <c r="N691" s="6"/>
      <c r="O691" s="7"/>
      <c r="P691" s="6"/>
      <c r="Q691" s="7"/>
      <c r="R691" s="7">
        <v>45982</v>
      </c>
      <c r="S691" s="7" t="s">
        <v>17</v>
      </c>
      <c r="T691" s="7" t="s">
        <v>12</v>
      </c>
    </row>
    <row r="692" spans="1:20" s="15" customFormat="1" ht="24.95" customHeight="1" x14ac:dyDescent="0.3">
      <c r="D692" s="6">
        <f t="shared" si="10"/>
        <v>691</v>
      </c>
      <c r="E692" s="7" t="s">
        <v>1074</v>
      </c>
      <c r="F692" s="7" t="s">
        <v>1486</v>
      </c>
      <c r="G692" s="7" t="s">
        <v>1487</v>
      </c>
      <c r="H692" s="6"/>
      <c r="I692" s="7"/>
      <c r="J692" s="6">
        <v>1</v>
      </c>
      <c r="K692" s="8" t="s">
        <v>130</v>
      </c>
      <c r="L692" s="6"/>
      <c r="M692" s="7"/>
      <c r="N692" s="6"/>
      <c r="O692" s="7"/>
      <c r="P692" s="6"/>
      <c r="Q692" s="7"/>
      <c r="R692" s="7">
        <v>45982</v>
      </c>
      <c r="S692" s="7" t="s">
        <v>17</v>
      </c>
      <c r="T692" s="7" t="s">
        <v>12</v>
      </c>
    </row>
    <row r="693" spans="1:20" s="15" customFormat="1" ht="24.95" customHeight="1" x14ac:dyDescent="0.3">
      <c r="D693" s="6">
        <f t="shared" si="10"/>
        <v>692</v>
      </c>
      <c r="E693" s="7" t="s">
        <v>1074</v>
      </c>
      <c r="F693" s="7" t="s">
        <v>1488</v>
      </c>
      <c r="G693" s="7" t="s">
        <v>1489</v>
      </c>
      <c r="H693" s="6"/>
      <c r="I693" s="7"/>
      <c r="J693" s="6"/>
      <c r="K693" s="7"/>
      <c r="L693" s="6"/>
      <c r="M693" s="7"/>
      <c r="N693" s="6"/>
      <c r="O693" s="7"/>
      <c r="P693" s="6">
        <v>1</v>
      </c>
      <c r="Q693" s="8" t="s">
        <v>272</v>
      </c>
      <c r="R693" s="7">
        <v>45982</v>
      </c>
      <c r="S693" s="7" t="s">
        <v>17</v>
      </c>
      <c r="T693" s="7" t="s">
        <v>12</v>
      </c>
    </row>
    <row r="694" spans="1:20" s="15" customFormat="1" ht="24.95" customHeight="1" x14ac:dyDescent="0.3">
      <c r="D694" s="6">
        <f t="shared" si="10"/>
        <v>693</v>
      </c>
      <c r="E694" s="7" t="s">
        <v>180</v>
      </c>
      <c r="F694" s="7" t="s">
        <v>1490</v>
      </c>
      <c r="G694" s="7" t="s">
        <v>1491</v>
      </c>
      <c r="H694" s="6"/>
      <c r="I694" s="7"/>
      <c r="J694" s="6"/>
      <c r="K694" s="7"/>
      <c r="L694" s="6"/>
      <c r="M694" s="7"/>
      <c r="N694" s="6">
        <v>1</v>
      </c>
      <c r="O694" s="8" t="s">
        <v>54</v>
      </c>
      <c r="P694" s="6"/>
      <c r="Q694" s="7"/>
      <c r="R694" s="7">
        <v>45988</v>
      </c>
      <c r="S694" s="7" t="s">
        <v>17</v>
      </c>
      <c r="T694" s="7" t="s">
        <v>12</v>
      </c>
    </row>
    <row r="695" spans="1:20" s="15" customFormat="1" ht="24.95" customHeight="1" x14ac:dyDescent="0.3">
      <c r="D695" s="6">
        <f t="shared" si="10"/>
        <v>694</v>
      </c>
      <c r="E695" s="7" t="s">
        <v>856</v>
      </c>
      <c r="F695" s="7" t="s">
        <v>1492</v>
      </c>
      <c r="G695" s="7" t="s">
        <v>1493</v>
      </c>
      <c r="H695" s="6"/>
      <c r="I695" s="7"/>
      <c r="J695" s="6"/>
      <c r="K695" s="7"/>
      <c r="L695" s="6"/>
      <c r="M695" s="7"/>
      <c r="N695" s="6"/>
      <c r="O695" s="7"/>
      <c r="P695" s="6">
        <v>1</v>
      </c>
      <c r="Q695" s="8" t="s">
        <v>272</v>
      </c>
      <c r="R695" s="7">
        <v>45993</v>
      </c>
      <c r="S695" s="7" t="s">
        <v>17</v>
      </c>
      <c r="T695" s="7" t="s">
        <v>12</v>
      </c>
    </row>
    <row r="696" spans="1:20" s="15" customFormat="1" ht="24.95" customHeight="1" x14ac:dyDescent="0.3">
      <c r="A696" s="14"/>
      <c r="B696" s="14"/>
      <c r="D696" s="6">
        <f t="shared" si="10"/>
        <v>695</v>
      </c>
      <c r="E696" s="7" t="s">
        <v>856</v>
      </c>
      <c r="F696" s="7" t="s">
        <v>1494</v>
      </c>
      <c r="G696" s="7" t="s">
        <v>1495</v>
      </c>
      <c r="H696" s="6"/>
      <c r="I696" s="7"/>
      <c r="J696" s="6"/>
      <c r="K696" s="7"/>
      <c r="L696" s="6"/>
      <c r="M696" s="7"/>
      <c r="N696" s="6"/>
      <c r="O696" s="7"/>
      <c r="P696" s="6">
        <v>1</v>
      </c>
      <c r="Q696" s="8" t="s">
        <v>272</v>
      </c>
      <c r="R696" s="7">
        <v>45993</v>
      </c>
      <c r="S696" s="7" t="s">
        <v>17</v>
      </c>
      <c r="T696" s="7" t="s">
        <v>12</v>
      </c>
    </row>
    <row r="697" spans="1:20" s="15" customFormat="1" ht="24.95" customHeight="1" x14ac:dyDescent="0.3">
      <c r="A697" s="14"/>
      <c r="B697" s="14"/>
      <c r="D697" s="6">
        <f t="shared" si="10"/>
        <v>696</v>
      </c>
      <c r="E697" s="7" t="s">
        <v>409</v>
      </c>
      <c r="F697" s="7" t="s">
        <v>1496</v>
      </c>
      <c r="G697" s="7" t="s">
        <v>1497</v>
      </c>
      <c r="H697" s="6"/>
      <c r="I697" s="7"/>
      <c r="J697" s="6"/>
      <c r="K697" s="7"/>
      <c r="L697" s="6"/>
      <c r="M697" s="7"/>
      <c r="N697" s="6"/>
      <c r="O697" s="7"/>
      <c r="P697" s="6">
        <v>1</v>
      </c>
      <c r="Q697" s="8" t="s">
        <v>16</v>
      </c>
      <c r="R697" s="7">
        <v>46000</v>
      </c>
      <c r="S697" s="7" t="s">
        <v>17</v>
      </c>
      <c r="T697" s="7" t="s">
        <v>12</v>
      </c>
    </row>
    <row r="698" spans="1:20" s="15" customFormat="1" ht="24.95" customHeight="1" x14ac:dyDescent="0.3">
      <c r="A698" s="14"/>
      <c r="B698" s="14"/>
      <c r="D698" s="6">
        <f t="shared" si="10"/>
        <v>697</v>
      </c>
      <c r="E698" s="7" t="s">
        <v>409</v>
      </c>
      <c r="F698" s="7" t="s">
        <v>1498</v>
      </c>
      <c r="G698" s="7" t="s">
        <v>1499</v>
      </c>
      <c r="H698" s="6"/>
      <c r="I698" s="7"/>
      <c r="J698" s="6"/>
      <c r="K698" s="7"/>
      <c r="L698" s="6"/>
      <c r="M698" s="7"/>
      <c r="N698" s="6"/>
      <c r="O698" s="7"/>
      <c r="P698" s="6">
        <v>1</v>
      </c>
      <c r="Q698" s="8" t="s">
        <v>16</v>
      </c>
      <c r="R698" s="7">
        <v>46000</v>
      </c>
      <c r="S698" s="7" t="s">
        <v>17</v>
      </c>
      <c r="T698" s="7" t="s">
        <v>12</v>
      </c>
    </row>
    <row r="699" spans="1:20" s="15" customFormat="1" ht="24.95" customHeight="1" x14ac:dyDescent="0.3">
      <c r="A699" s="14"/>
      <c r="B699" s="14"/>
      <c r="D699" s="6">
        <f t="shared" si="10"/>
        <v>698</v>
      </c>
      <c r="E699" s="7" t="s">
        <v>1500</v>
      </c>
      <c r="F699" s="7" t="s">
        <v>1501</v>
      </c>
      <c r="G699" s="7" t="s">
        <v>1502</v>
      </c>
      <c r="H699" s="6"/>
      <c r="I699" s="7"/>
      <c r="J699" s="6">
        <v>1</v>
      </c>
      <c r="K699" s="8" t="s">
        <v>130</v>
      </c>
      <c r="L699" s="6"/>
      <c r="M699" s="7"/>
      <c r="N699" s="6"/>
      <c r="O699" s="7"/>
      <c r="P699" s="6"/>
      <c r="Q699" s="7"/>
      <c r="R699" s="7">
        <v>46000</v>
      </c>
      <c r="S699" s="7" t="s">
        <v>17</v>
      </c>
      <c r="T699" s="7" t="s">
        <v>12</v>
      </c>
    </row>
    <row r="700" spans="1:20" s="15" customFormat="1" ht="24.95" customHeight="1" x14ac:dyDescent="0.3">
      <c r="A700" s="14"/>
      <c r="B700" s="14"/>
      <c r="D700" s="6">
        <f t="shared" si="10"/>
        <v>699</v>
      </c>
      <c r="E700" s="7" t="s">
        <v>1503</v>
      </c>
      <c r="F700" s="7" t="s">
        <v>1504</v>
      </c>
      <c r="G700" s="7" t="s">
        <v>1505</v>
      </c>
      <c r="H700" s="6"/>
      <c r="I700" s="7"/>
      <c r="J700" s="6"/>
      <c r="K700" s="7"/>
      <c r="L700" s="6"/>
      <c r="M700" s="7"/>
      <c r="N700" s="6">
        <v>1</v>
      </c>
      <c r="O700" s="8" t="s">
        <v>77</v>
      </c>
      <c r="P700" s="6"/>
      <c r="Q700" s="7"/>
      <c r="R700" s="7">
        <v>46003</v>
      </c>
      <c r="S700" s="7" t="s">
        <v>17</v>
      </c>
      <c r="T700" s="7" t="s">
        <v>12</v>
      </c>
    </row>
    <row r="701" spans="1:20" s="15" customFormat="1" ht="24.95" customHeight="1" x14ac:dyDescent="0.3">
      <c r="A701" s="14"/>
      <c r="B701" s="14"/>
      <c r="D701" s="6">
        <f t="shared" si="10"/>
        <v>700</v>
      </c>
      <c r="E701" s="7" t="s">
        <v>327</v>
      </c>
      <c r="F701" s="7" t="s">
        <v>1506</v>
      </c>
      <c r="G701" s="7" t="s">
        <v>1507</v>
      </c>
      <c r="H701" s="6"/>
      <c r="I701" s="7"/>
      <c r="J701" s="6"/>
      <c r="K701" s="7"/>
      <c r="L701" s="6">
        <v>1</v>
      </c>
      <c r="M701" s="8" t="s">
        <v>48</v>
      </c>
      <c r="N701" s="6"/>
      <c r="O701" s="7"/>
      <c r="P701" s="6"/>
      <c r="Q701" s="7"/>
      <c r="R701" s="7">
        <v>46004</v>
      </c>
      <c r="S701" s="7" t="s">
        <v>17</v>
      </c>
      <c r="T701" s="7" t="s">
        <v>12</v>
      </c>
    </row>
    <row r="702" spans="1:20" s="15" customFormat="1" ht="24.95" customHeight="1" x14ac:dyDescent="0.3">
      <c r="A702" s="14"/>
      <c r="B702" s="14"/>
      <c r="D702" s="6">
        <f t="shared" si="10"/>
        <v>701</v>
      </c>
      <c r="E702" s="7" t="s">
        <v>327</v>
      </c>
      <c r="F702" s="7" t="s">
        <v>1508</v>
      </c>
      <c r="G702" s="7" t="s">
        <v>1509</v>
      </c>
      <c r="H702" s="6"/>
      <c r="I702" s="7"/>
      <c r="J702" s="6"/>
      <c r="K702" s="7"/>
      <c r="L702" s="6"/>
      <c r="M702" s="7"/>
      <c r="N702" s="6"/>
      <c r="O702" s="7"/>
      <c r="P702" s="6">
        <v>1</v>
      </c>
      <c r="Q702" s="8" t="s">
        <v>16</v>
      </c>
      <c r="R702" s="7">
        <v>46006</v>
      </c>
      <c r="S702" s="7" t="s">
        <v>17</v>
      </c>
      <c r="T702" s="7" t="s">
        <v>12</v>
      </c>
    </row>
    <row r="703" spans="1:20" s="15" customFormat="1" ht="24.95" customHeight="1" x14ac:dyDescent="0.3">
      <c r="A703" s="14"/>
      <c r="B703" s="14"/>
      <c r="D703" s="6">
        <f t="shared" si="10"/>
        <v>702</v>
      </c>
      <c r="E703" s="7" t="s">
        <v>837</v>
      </c>
      <c r="F703" s="7" t="s">
        <v>1510</v>
      </c>
      <c r="G703" s="7" t="s">
        <v>1511</v>
      </c>
      <c r="H703" s="6"/>
      <c r="I703" s="7"/>
      <c r="J703" s="6"/>
      <c r="K703" s="7"/>
      <c r="L703" s="6">
        <v>1</v>
      </c>
      <c r="M703" s="8" t="s">
        <v>92</v>
      </c>
      <c r="N703" s="6"/>
      <c r="O703" s="7"/>
      <c r="P703" s="6"/>
      <c r="Q703" s="7"/>
      <c r="R703" s="7">
        <v>46008</v>
      </c>
      <c r="S703" s="7" t="s">
        <v>17</v>
      </c>
      <c r="T703" s="7" t="s">
        <v>12</v>
      </c>
    </row>
    <row r="704" spans="1:20" s="15" customFormat="1" ht="24.95" customHeight="1" x14ac:dyDescent="0.3">
      <c r="A704" s="14"/>
      <c r="B704" s="14"/>
      <c r="D704" s="6">
        <f t="shared" si="10"/>
        <v>703</v>
      </c>
      <c r="E704" s="7" t="s">
        <v>412</v>
      </c>
      <c r="F704" s="7" t="s">
        <v>1512</v>
      </c>
      <c r="G704" s="7" t="s">
        <v>1513</v>
      </c>
      <c r="H704" s="6"/>
      <c r="I704" s="7"/>
      <c r="J704" s="6"/>
      <c r="K704" s="7"/>
      <c r="L704" s="6"/>
      <c r="M704" s="7"/>
      <c r="N704" s="6">
        <v>1</v>
      </c>
      <c r="O704" s="8" t="s">
        <v>77</v>
      </c>
      <c r="P704" s="6"/>
      <c r="Q704" s="7"/>
      <c r="R704" s="7">
        <v>46009</v>
      </c>
      <c r="S704" s="7" t="s">
        <v>17</v>
      </c>
      <c r="T704" s="7" t="s">
        <v>12</v>
      </c>
    </row>
    <row r="705" spans="1:20" s="15" customFormat="1" ht="24.95" customHeight="1" x14ac:dyDescent="0.3">
      <c r="A705" s="14"/>
      <c r="B705" s="14"/>
      <c r="D705" s="6">
        <f t="shared" si="10"/>
        <v>704</v>
      </c>
      <c r="E705" s="7" t="s">
        <v>317</v>
      </c>
      <c r="F705" s="7" t="s">
        <v>1514</v>
      </c>
      <c r="G705" s="7" t="s">
        <v>1515</v>
      </c>
      <c r="H705" s="6"/>
      <c r="I705" s="7"/>
      <c r="J705" s="6"/>
      <c r="K705" s="7"/>
      <c r="L705" s="6">
        <v>1</v>
      </c>
      <c r="M705" s="8" t="s">
        <v>48</v>
      </c>
      <c r="N705" s="6"/>
      <c r="O705" s="7"/>
      <c r="P705" s="6"/>
      <c r="Q705" s="7"/>
      <c r="R705" s="7">
        <v>46009</v>
      </c>
      <c r="S705" s="7" t="s">
        <v>17</v>
      </c>
      <c r="T705" s="7" t="s">
        <v>12</v>
      </c>
    </row>
    <row r="706" spans="1:20" s="15" customFormat="1" ht="24.95" customHeight="1" x14ac:dyDescent="0.3">
      <c r="A706" s="14"/>
      <c r="B706" s="14"/>
      <c r="D706" s="6">
        <f t="shared" si="10"/>
        <v>705</v>
      </c>
      <c r="E706" s="7" t="s">
        <v>581</v>
      </c>
      <c r="F706" s="7" t="s">
        <v>1516</v>
      </c>
      <c r="G706" s="7" t="s">
        <v>1517</v>
      </c>
      <c r="H706" s="6"/>
      <c r="I706" s="7"/>
      <c r="J706" s="6"/>
      <c r="K706" s="7"/>
      <c r="L706" s="6"/>
      <c r="M706" s="7"/>
      <c r="N706" s="6"/>
      <c r="O706" s="7"/>
      <c r="P706" s="6">
        <v>1</v>
      </c>
      <c r="Q706" s="8" t="s">
        <v>25</v>
      </c>
      <c r="R706" s="7">
        <v>46010</v>
      </c>
      <c r="S706" s="7" t="s">
        <v>17</v>
      </c>
      <c r="T706" s="7" t="s">
        <v>12</v>
      </c>
    </row>
    <row r="707" spans="1:20" s="15" customFormat="1" ht="24.95" customHeight="1" x14ac:dyDescent="0.3">
      <c r="A707" s="14"/>
      <c r="B707" s="14"/>
      <c r="D707" s="6">
        <f t="shared" ref="D707:D729" si="11">ROW()-1</f>
        <v>706</v>
      </c>
      <c r="E707" s="7" t="s">
        <v>409</v>
      </c>
      <c r="F707" s="7" t="s">
        <v>1518</v>
      </c>
      <c r="G707" s="7" t="s">
        <v>1519</v>
      </c>
      <c r="H707" s="6"/>
      <c r="I707" s="7"/>
      <c r="J707" s="6">
        <v>1</v>
      </c>
      <c r="K707" s="8" t="s">
        <v>130</v>
      </c>
      <c r="L707" s="6"/>
      <c r="M707" s="7"/>
      <c r="N707" s="6"/>
      <c r="O707" s="7"/>
      <c r="P707" s="6"/>
      <c r="Q707" s="7"/>
      <c r="R707" s="7">
        <v>46016</v>
      </c>
      <c r="S707" s="7" t="s">
        <v>17</v>
      </c>
      <c r="T707" s="7" t="s">
        <v>12</v>
      </c>
    </row>
    <row r="708" spans="1:20" s="15" customFormat="1" ht="24.95" customHeight="1" x14ac:dyDescent="0.3">
      <c r="D708" s="6">
        <f t="shared" si="11"/>
        <v>707</v>
      </c>
      <c r="E708" s="7" t="s">
        <v>1520</v>
      </c>
      <c r="F708" s="7" t="s">
        <v>1521</v>
      </c>
      <c r="G708" s="7" t="s">
        <v>1522</v>
      </c>
      <c r="H708" s="6"/>
      <c r="I708" s="7"/>
      <c r="J708" s="6"/>
      <c r="K708" s="7"/>
      <c r="L708" s="6">
        <v>1</v>
      </c>
      <c r="M708" s="8" t="s">
        <v>92</v>
      </c>
      <c r="N708" s="6"/>
      <c r="O708" s="7"/>
      <c r="P708" s="6"/>
      <c r="Q708" s="7"/>
      <c r="R708" s="7">
        <v>46016</v>
      </c>
      <c r="S708" s="7" t="s">
        <v>17</v>
      </c>
      <c r="T708" s="7" t="s">
        <v>12</v>
      </c>
    </row>
    <row r="709" spans="1:20" s="15" customFormat="1" ht="24.95" customHeight="1" x14ac:dyDescent="0.3">
      <c r="D709" s="6">
        <f t="shared" si="11"/>
        <v>708</v>
      </c>
      <c r="E709" s="7" t="s">
        <v>1523</v>
      </c>
      <c r="F709" s="7" t="s">
        <v>1524</v>
      </c>
      <c r="G709" s="7" t="s">
        <v>1525</v>
      </c>
      <c r="H709" s="6"/>
      <c r="I709" s="7"/>
      <c r="J709" s="6"/>
      <c r="K709" s="7"/>
      <c r="L709" s="6">
        <v>1</v>
      </c>
      <c r="M709" s="8" t="s">
        <v>92</v>
      </c>
      <c r="N709" s="6"/>
      <c r="O709" s="7"/>
      <c r="P709" s="6"/>
      <c r="Q709" s="7"/>
      <c r="R709" s="7">
        <v>46016</v>
      </c>
      <c r="S709" s="7" t="s">
        <v>17</v>
      </c>
      <c r="T709" s="7" t="s">
        <v>12</v>
      </c>
    </row>
    <row r="710" spans="1:20" s="15" customFormat="1" ht="24.95" customHeight="1" x14ac:dyDescent="0.3">
      <c r="D710" s="6">
        <f t="shared" si="11"/>
        <v>709</v>
      </c>
      <c r="E710" s="7" t="s">
        <v>1523</v>
      </c>
      <c r="F710" s="7" t="s">
        <v>1526</v>
      </c>
      <c r="G710" s="7" t="s">
        <v>1527</v>
      </c>
      <c r="H710" s="6"/>
      <c r="I710" s="7"/>
      <c r="J710" s="6"/>
      <c r="K710" s="7"/>
      <c r="L710" s="6">
        <v>1</v>
      </c>
      <c r="M710" s="8" t="s">
        <v>92</v>
      </c>
      <c r="N710" s="6"/>
      <c r="O710" s="7"/>
      <c r="P710" s="6"/>
      <c r="Q710" s="7"/>
      <c r="R710" s="7">
        <v>46016</v>
      </c>
      <c r="S710" s="7" t="s">
        <v>17</v>
      </c>
      <c r="T710" s="7" t="s">
        <v>12</v>
      </c>
    </row>
    <row r="711" spans="1:20" s="15" customFormat="1" ht="24.95" customHeight="1" x14ac:dyDescent="0.3">
      <c r="D711" s="6">
        <f t="shared" si="11"/>
        <v>710</v>
      </c>
      <c r="E711" s="7" t="s">
        <v>327</v>
      </c>
      <c r="F711" s="7" t="s">
        <v>1528</v>
      </c>
      <c r="G711" s="7" t="s">
        <v>1529</v>
      </c>
      <c r="H711" s="6"/>
      <c r="I711" s="7"/>
      <c r="J711" s="6"/>
      <c r="K711" s="7"/>
      <c r="L711" s="6">
        <v>1</v>
      </c>
      <c r="M711" s="8" t="s">
        <v>92</v>
      </c>
      <c r="N711" s="6"/>
      <c r="O711" s="7"/>
      <c r="P711" s="6"/>
      <c r="Q711" s="7"/>
      <c r="R711" s="7">
        <v>46019</v>
      </c>
      <c r="S711" s="7" t="s">
        <v>17</v>
      </c>
      <c r="T711" s="7" t="s">
        <v>12</v>
      </c>
    </row>
    <row r="712" spans="1:20" s="15" customFormat="1" ht="24.95" customHeight="1" x14ac:dyDescent="0.3">
      <c r="D712" s="6">
        <f t="shared" si="11"/>
        <v>711</v>
      </c>
      <c r="E712" s="7" t="s">
        <v>327</v>
      </c>
      <c r="F712" s="7" t="s">
        <v>1530</v>
      </c>
      <c r="G712" s="7" t="s">
        <v>1531</v>
      </c>
      <c r="H712" s="6"/>
      <c r="I712" s="7"/>
      <c r="J712" s="6"/>
      <c r="K712" s="7"/>
      <c r="L712" s="6">
        <v>1</v>
      </c>
      <c r="M712" s="8" t="s">
        <v>92</v>
      </c>
      <c r="N712" s="6"/>
      <c r="O712" s="7"/>
      <c r="P712" s="6"/>
      <c r="Q712" s="7"/>
      <c r="R712" s="7">
        <v>46019</v>
      </c>
      <c r="S712" s="7" t="s">
        <v>17</v>
      </c>
      <c r="T712" s="7" t="s">
        <v>12</v>
      </c>
    </row>
    <row r="713" spans="1:20" s="15" customFormat="1" ht="24.95" customHeight="1" x14ac:dyDescent="0.3">
      <c r="D713" s="6">
        <f t="shared" si="11"/>
        <v>712</v>
      </c>
      <c r="E713" s="7" t="s">
        <v>45</v>
      </c>
      <c r="F713" s="7" t="s">
        <v>1532</v>
      </c>
      <c r="G713" s="7" t="s">
        <v>1533</v>
      </c>
      <c r="H713" s="6"/>
      <c r="I713" s="7"/>
      <c r="J713" s="6"/>
      <c r="K713" s="7"/>
      <c r="L713" s="6">
        <v>1</v>
      </c>
      <c r="M713" s="8" t="s">
        <v>92</v>
      </c>
      <c r="N713" s="6"/>
      <c r="O713" s="7"/>
      <c r="P713" s="6"/>
      <c r="Q713" s="7"/>
      <c r="R713" s="7">
        <v>46020</v>
      </c>
      <c r="S713" s="7" t="s">
        <v>17</v>
      </c>
      <c r="T713" s="7" t="s">
        <v>12</v>
      </c>
    </row>
    <row r="714" spans="1:20" s="15" customFormat="1" ht="24.95" customHeight="1" x14ac:dyDescent="0.3">
      <c r="D714" s="6">
        <f t="shared" si="11"/>
        <v>713</v>
      </c>
      <c r="E714" s="7" t="s">
        <v>45</v>
      </c>
      <c r="F714" s="7" t="s">
        <v>1534</v>
      </c>
      <c r="G714" s="7" t="s">
        <v>1535</v>
      </c>
      <c r="H714" s="6"/>
      <c r="I714" s="7"/>
      <c r="J714" s="6"/>
      <c r="K714" s="7"/>
      <c r="L714" s="6">
        <v>1</v>
      </c>
      <c r="M714" s="8" t="s">
        <v>92</v>
      </c>
      <c r="N714" s="6"/>
      <c r="O714" s="7"/>
      <c r="P714" s="6"/>
      <c r="Q714" s="7"/>
      <c r="R714" s="7">
        <v>46020</v>
      </c>
      <c r="S714" s="7" t="s">
        <v>17</v>
      </c>
      <c r="T714" s="7" t="s">
        <v>12</v>
      </c>
    </row>
    <row r="715" spans="1:20" s="15" customFormat="1" ht="24.95" customHeight="1" x14ac:dyDescent="0.3">
      <c r="D715" s="6">
        <f t="shared" si="11"/>
        <v>714</v>
      </c>
      <c r="E715" s="7" t="s">
        <v>45</v>
      </c>
      <c r="F715" s="7" t="s">
        <v>1536</v>
      </c>
      <c r="G715" s="7" t="s">
        <v>1537</v>
      </c>
      <c r="H715" s="6"/>
      <c r="I715" s="7"/>
      <c r="J715" s="6"/>
      <c r="K715" s="7"/>
      <c r="L715" s="6"/>
      <c r="M715" s="7"/>
      <c r="N715" s="6">
        <v>1</v>
      </c>
      <c r="O715" s="8" t="s">
        <v>77</v>
      </c>
      <c r="P715" s="6"/>
      <c r="Q715" s="7"/>
      <c r="R715" s="7">
        <v>46020</v>
      </c>
      <c r="S715" s="7" t="s">
        <v>17</v>
      </c>
      <c r="T715" s="7" t="s">
        <v>12</v>
      </c>
    </row>
    <row r="716" spans="1:20" s="15" customFormat="1" ht="24.95" customHeight="1" x14ac:dyDescent="0.3">
      <c r="D716" s="6">
        <f t="shared" si="11"/>
        <v>715</v>
      </c>
      <c r="E716" s="7" t="s">
        <v>45</v>
      </c>
      <c r="F716" s="7" t="s">
        <v>1538</v>
      </c>
      <c r="G716" s="7" t="s">
        <v>1539</v>
      </c>
      <c r="H716" s="6"/>
      <c r="I716" s="7"/>
      <c r="J716" s="6"/>
      <c r="K716" s="7"/>
      <c r="L716" s="6">
        <v>1</v>
      </c>
      <c r="M716" s="8" t="s">
        <v>92</v>
      </c>
      <c r="N716" s="6"/>
      <c r="O716" s="7"/>
      <c r="P716" s="6"/>
      <c r="Q716" s="7"/>
      <c r="R716" s="7">
        <v>46020</v>
      </c>
      <c r="S716" s="7" t="s">
        <v>17</v>
      </c>
      <c r="T716" s="7" t="s">
        <v>12</v>
      </c>
    </row>
    <row r="717" spans="1:20" s="15" customFormat="1" ht="24.95" customHeight="1" x14ac:dyDescent="0.3">
      <c r="D717" s="6">
        <f t="shared" si="11"/>
        <v>716</v>
      </c>
      <c r="E717" s="7" t="s">
        <v>1540</v>
      </c>
      <c r="F717" s="7" t="s">
        <v>1541</v>
      </c>
      <c r="G717" s="7" t="s">
        <v>1542</v>
      </c>
      <c r="H717" s="6"/>
      <c r="I717" s="7"/>
      <c r="J717" s="6"/>
      <c r="K717" s="7"/>
      <c r="L717" s="6"/>
      <c r="M717" s="7"/>
      <c r="N717" s="6"/>
      <c r="O717" s="7"/>
      <c r="P717" s="6">
        <v>1</v>
      </c>
      <c r="Q717" s="8" t="s">
        <v>25</v>
      </c>
      <c r="R717" s="7">
        <v>46021</v>
      </c>
      <c r="S717" s="7" t="s">
        <v>17</v>
      </c>
      <c r="T717" s="7" t="s">
        <v>12</v>
      </c>
    </row>
    <row r="718" spans="1:20" s="15" customFormat="1" ht="24.95" customHeight="1" x14ac:dyDescent="0.3">
      <c r="D718" s="6">
        <f t="shared" si="11"/>
        <v>717</v>
      </c>
      <c r="E718" s="7" t="s">
        <v>409</v>
      </c>
      <c r="F718" s="7" t="s">
        <v>1543</v>
      </c>
      <c r="G718" s="7" t="s">
        <v>1544</v>
      </c>
      <c r="H718" s="6"/>
      <c r="I718" s="7"/>
      <c r="J718" s="6"/>
      <c r="K718" s="7"/>
      <c r="L718" s="6"/>
      <c r="M718" s="7"/>
      <c r="N718" s="6"/>
      <c r="O718" s="7"/>
      <c r="P718" s="6">
        <v>1</v>
      </c>
      <c r="Q718" s="8" t="s">
        <v>16</v>
      </c>
      <c r="R718" s="7">
        <v>46021</v>
      </c>
      <c r="S718" s="7" t="s">
        <v>17</v>
      </c>
      <c r="T718" s="7" t="s">
        <v>12</v>
      </c>
    </row>
    <row r="719" spans="1:20" s="15" customFormat="1" ht="24.95" customHeight="1" x14ac:dyDescent="0.3">
      <c r="D719" s="6">
        <f t="shared" si="11"/>
        <v>718</v>
      </c>
      <c r="E719" s="7" t="s">
        <v>1037</v>
      </c>
      <c r="F719" s="7" t="s">
        <v>1545</v>
      </c>
      <c r="G719" s="7" t="s">
        <v>1546</v>
      </c>
      <c r="H719" s="6"/>
      <c r="I719" s="7"/>
      <c r="J719" s="6"/>
      <c r="K719" s="7"/>
      <c r="L719" s="6">
        <v>1</v>
      </c>
      <c r="M719" s="8" t="s">
        <v>92</v>
      </c>
      <c r="N719" s="6"/>
      <c r="O719" s="7"/>
      <c r="P719" s="6"/>
      <c r="Q719" s="7"/>
      <c r="R719" s="7">
        <v>46022</v>
      </c>
      <c r="S719" s="7" t="s">
        <v>17</v>
      </c>
      <c r="T719" s="7" t="s">
        <v>12</v>
      </c>
    </row>
    <row r="720" spans="1:20" s="15" customFormat="1" ht="24.95" customHeight="1" x14ac:dyDescent="0.3">
      <c r="D720" s="6">
        <f t="shared" si="11"/>
        <v>719</v>
      </c>
      <c r="E720" s="7" t="s">
        <v>327</v>
      </c>
      <c r="F720" s="7" t="s">
        <v>1547</v>
      </c>
      <c r="G720" s="7" t="s">
        <v>1548</v>
      </c>
      <c r="H720" s="6">
        <v>1</v>
      </c>
      <c r="I720" s="8" t="s">
        <v>609</v>
      </c>
      <c r="J720" s="6"/>
      <c r="K720" s="7"/>
      <c r="L720" s="6"/>
      <c r="M720" s="7"/>
      <c r="N720" s="6"/>
      <c r="O720" s="7"/>
      <c r="P720" s="6"/>
      <c r="Q720" s="7"/>
      <c r="R720" s="7">
        <v>46022</v>
      </c>
      <c r="S720" s="7" t="s">
        <v>17</v>
      </c>
      <c r="T720" s="7" t="s">
        <v>12</v>
      </c>
    </row>
    <row r="721" spans="1:20" s="15" customFormat="1" ht="24.95" customHeight="1" x14ac:dyDescent="0.3">
      <c r="D721" s="6">
        <f t="shared" si="11"/>
        <v>720</v>
      </c>
      <c r="E721" s="7" t="s">
        <v>1037</v>
      </c>
      <c r="F721" s="7" t="s">
        <v>1549</v>
      </c>
      <c r="G721" s="7" t="s">
        <v>1550</v>
      </c>
      <c r="H721" s="6"/>
      <c r="I721" s="7"/>
      <c r="J721" s="6"/>
      <c r="K721" s="7"/>
      <c r="L721" s="6"/>
      <c r="M721" s="7"/>
      <c r="N721" s="6"/>
      <c r="O721" s="7"/>
      <c r="P721" s="6">
        <v>1</v>
      </c>
      <c r="Q721" s="8" t="s">
        <v>16</v>
      </c>
      <c r="R721" s="7">
        <v>46022</v>
      </c>
      <c r="S721" s="7" t="s">
        <v>17</v>
      </c>
      <c r="T721" s="7" t="s">
        <v>12</v>
      </c>
    </row>
    <row r="722" spans="1:20" s="15" customFormat="1" ht="24.95" customHeight="1" x14ac:dyDescent="0.3">
      <c r="D722" s="6">
        <f t="shared" si="11"/>
        <v>721</v>
      </c>
      <c r="E722" s="7" t="s">
        <v>1037</v>
      </c>
      <c r="F722" s="7" t="s">
        <v>1551</v>
      </c>
      <c r="G722" s="7" t="s">
        <v>1552</v>
      </c>
      <c r="H722" s="6"/>
      <c r="I722" s="7"/>
      <c r="J722" s="6"/>
      <c r="K722" s="7"/>
      <c r="L722" s="6"/>
      <c r="M722" s="7"/>
      <c r="N722" s="6"/>
      <c r="O722" s="7"/>
      <c r="P722" s="6">
        <v>1</v>
      </c>
      <c r="Q722" s="8" t="s">
        <v>16</v>
      </c>
      <c r="R722" s="7">
        <v>46022</v>
      </c>
      <c r="S722" s="7" t="s">
        <v>17</v>
      </c>
      <c r="T722" s="7" t="s">
        <v>12</v>
      </c>
    </row>
    <row r="723" spans="1:20" s="15" customFormat="1" ht="24.95" customHeight="1" x14ac:dyDescent="0.3">
      <c r="D723" s="6">
        <f t="shared" si="11"/>
        <v>722</v>
      </c>
      <c r="E723" s="7" t="s">
        <v>1037</v>
      </c>
      <c r="F723" s="7" t="s">
        <v>1553</v>
      </c>
      <c r="G723" s="7" t="s">
        <v>1554</v>
      </c>
      <c r="H723" s="6">
        <v>1</v>
      </c>
      <c r="I723" s="8" t="s">
        <v>609</v>
      </c>
      <c r="J723" s="6"/>
      <c r="K723" s="7"/>
      <c r="L723" s="6"/>
      <c r="M723" s="7"/>
      <c r="N723" s="6"/>
      <c r="O723" s="7"/>
      <c r="P723" s="6"/>
      <c r="Q723" s="7"/>
      <c r="R723" s="7">
        <v>46022</v>
      </c>
      <c r="S723" s="7" t="s">
        <v>17</v>
      </c>
      <c r="T723" s="7" t="s">
        <v>12</v>
      </c>
    </row>
    <row r="724" spans="1:20" s="15" customFormat="1" ht="24.95" customHeight="1" x14ac:dyDescent="0.3">
      <c r="D724" s="6">
        <f t="shared" si="11"/>
        <v>723</v>
      </c>
      <c r="E724" s="7" t="s">
        <v>1044</v>
      </c>
      <c r="F724" s="7" t="s">
        <v>1555</v>
      </c>
      <c r="G724" s="7" t="s">
        <v>1556</v>
      </c>
      <c r="H724" s="6"/>
      <c r="I724" s="7"/>
      <c r="J724" s="6"/>
      <c r="K724" s="7"/>
      <c r="L724" s="6">
        <v>1</v>
      </c>
      <c r="M724" s="8" t="s">
        <v>92</v>
      </c>
      <c r="N724" s="6"/>
      <c r="O724" s="7"/>
      <c r="P724" s="6"/>
      <c r="Q724" s="7"/>
      <c r="R724" s="7">
        <v>46022</v>
      </c>
      <c r="S724" s="7" t="s">
        <v>17</v>
      </c>
      <c r="T724" s="7" t="s">
        <v>12</v>
      </c>
    </row>
    <row r="725" spans="1:20" s="15" customFormat="1" ht="24.95" customHeight="1" x14ac:dyDescent="0.3">
      <c r="D725" s="6">
        <f t="shared" si="11"/>
        <v>724</v>
      </c>
      <c r="E725" s="7" t="s">
        <v>1044</v>
      </c>
      <c r="F725" s="7" t="s">
        <v>1557</v>
      </c>
      <c r="G725" s="7" t="s">
        <v>1558</v>
      </c>
      <c r="H725" s="6"/>
      <c r="I725" s="7"/>
      <c r="J725" s="6"/>
      <c r="K725" s="7"/>
      <c r="L725" s="6"/>
      <c r="M725" s="7"/>
      <c r="N725" s="6">
        <v>1</v>
      </c>
      <c r="O725" s="8" t="s">
        <v>108</v>
      </c>
      <c r="P725" s="6"/>
      <c r="Q725" s="7"/>
      <c r="R725" s="7">
        <v>46022</v>
      </c>
      <c r="S725" s="7" t="s">
        <v>17</v>
      </c>
      <c r="T725" s="7" t="s">
        <v>12</v>
      </c>
    </row>
    <row r="726" spans="1:20" s="15" customFormat="1" ht="24.95" customHeight="1" x14ac:dyDescent="0.3">
      <c r="D726" s="6">
        <f t="shared" si="11"/>
        <v>725</v>
      </c>
      <c r="E726" s="7" t="s">
        <v>964</v>
      </c>
      <c r="F726" s="7" t="s">
        <v>1559</v>
      </c>
      <c r="G726" s="7" t="s">
        <v>1560</v>
      </c>
      <c r="H726" s="6">
        <v>1</v>
      </c>
      <c r="I726" s="8" t="s">
        <v>609</v>
      </c>
      <c r="J726" s="6"/>
      <c r="K726" s="7"/>
      <c r="L726" s="6"/>
      <c r="M726" s="7"/>
      <c r="N726" s="6"/>
      <c r="O726" s="7"/>
      <c r="P726" s="6"/>
      <c r="Q726" s="7"/>
      <c r="R726" s="7">
        <v>46022</v>
      </c>
      <c r="S726" s="7" t="s">
        <v>17</v>
      </c>
      <c r="T726" s="7" t="s">
        <v>12</v>
      </c>
    </row>
    <row r="727" spans="1:20" s="15" customFormat="1" ht="24.95" customHeight="1" x14ac:dyDescent="0.3">
      <c r="D727" s="6">
        <f t="shared" si="11"/>
        <v>726</v>
      </c>
      <c r="E727" s="7" t="s">
        <v>964</v>
      </c>
      <c r="F727" s="7" t="s">
        <v>1561</v>
      </c>
      <c r="G727" s="7" t="s">
        <v>1562</v>
      </c>
      <c r="H727" s="6"/>
      <c r="I727" s="7"/>
      <c r="J727" s="6"/>
      <c r="K727" s="7"/>
      <c r="L727" s="6"/>
      <c r="M727" s="7"/>
      <c r="N727" s="6">
        <v>1</v>
      </c>
      <c r="O727" s="8" t="s">
        <v>108</v>
      </c>
      <c r="P727" s="6"/>
      <c r="Q727" s="7"/>
      <c r="R727" s="7">
        <v>46022</v>
      </c>
      <c r="S727" s="7" t="s">
        <v>17</v>
      </c>
      <c r="T727" s="7" t="s">
        <v>12</v>
      </c>
    </row>
    <row r="728" spans="1:20" s="15" customFormat="1" ht="24.95" customHeight="1" x14ac:dyDescent="0.3">
      <c r="A728" s="14"/>
      <c r="B728" s="14"/>
      <c r="D728" s="6">
        <f t="shared" si="11"/>
        <v>727</v>
      </c>
      <c r="E728" s="7" t="s">
        <v>964</v>
      </c>
      <c r="F728" s="7" t="s">
        <v>1563</v>
      </c>
      <c r="G728" s="7" t="s">
        <v>1564</v>
      </c>
      <c r="H728" s="6"/>
      <c r="I728" s="7"/>
      <c r="J728" s="6"/>
      <c r="K728" s="7"/>
      <c r="L728" s="6">
        <v>1</v>
      </c>
      <c r="M728" s="8" t="s">
        <v>92</v>
      </c>
      <c r="N728" s="6"/>
      <c r="O728" s="7"/>
      <c r="P728" s="6"/>
      <c r="Q728" s="7"/>
      <c r="R728" s="7">
        <v>46022</v>
      </c>
      <c r="S728" s="7" t="s">
        <v>17</v>
      </c>
      <c r="T728" s="7" t="s">
        <v>12</v>
      </c>
    </row>
    <row r="729" spans="1:20" s="15" customFormat="1" ht="24.95" customHeight="1" x14ac:dyDescent="0.3">
      <c r="A729" s="14"/>
      <c r="B729" s="14"/>
      <c r="D729" s="6">
        <f t="shared" si="11"/>
        <v>728</v>
      </c>
      <c r="E729" s="7" t="s">
        <v>1037</v>
      </c>
      <c r="F729" s="7" t="s">
        <v>1565</v>
      </c>
      <c r="G729" s="7" t="s">
        <v>1566</v>
      </c>
      <c r="H729" s="6"/>
      <c r="I729" s="7"/>
      <c r="J729" s="6"/>
      <c r="K729" s="7"/>
      <c r="L729" s="6"/>
      <c r="M729" s="7"/>
      <c r="N729" s="6"/>
      <c r="O729" s="7"/>
      <c r="P729" s="6">
        <v>1</v>
      </c>
      <c r="Q729" s="8" t="s">
        <v>16</v>
      </c>
      <c r="R729" s="7">
        <v>46022</v>
      </c>
      <c r="S729" s="7" t="s">
        <v>17</v>
      </c>
      <c r="T729" s="7" t="s">
        <v>12</v>
      </c>
    </row>
    <row r="730" spans="1:20" s="15" customFormat="1" ht="24.95" customHeight="1" x14ac:dyDescent="0.3">
      <c r="A730" s="14"/>
      <c r="B730" s="14"/>
      <c r="D730" s="6"/>
      <c r="E730" s="7"/>
      <c r="F730" s="7"/>
      <c r="G730" s="7"/>
      <c r="H730" s="6"/>
      <c r="I730" s="7"/>
      <c r="J730" s="6"/>
      <c r="K730" s="7"/>
      <c r="L730" s="6"/>
      <c r="M730" s="7"/>
      <c r="N730" s="6"/>
      <c r="O730" s="7"/>
      <c r="P730" s="6"/>
      <c r="Q730" s="8"/>
      <c r="R730" s="7"/>
      <c r="S730" s="7"/>
      <c r="T730" s="7"/>
    </row>
    <row r="731" spans="1:20" ht="24.95" customHeight="1" x14ac:dyDescent="0.3">
      <c r="D731" s="16"/>
      <c r="E731" s="17" t="s">
        <v>358</v>
      </c>
      <c r="F731" s="17" t="s">
        <v>1567</v>
      </c>
      <c r="G731" s="17" t="s">
        <v>1568</v>
      </c>
      <c r="H731" s="16"/>
      <c r="I731" s="17"/>
      <c r="J731" s="16">
        <v>1</v>
      </c>
      <c r="K731" s="18" t="s">
        <v>130</v>
      </c>
      <c r="L731" s="16"/>
      <c r="M731" s="17"/>
      <c r="N731" s="16"/>
      <c r="O731" s="17"/>
      <c r="P731" s="16"/>
      <c r="Q731" s="17"/>
      <c r="R731" s="17">
        <v>46024</v>
      </c>
      <c r="S731" s="17" t="s">
        <v>17</v>
      </c>
      <c r="T731" s="17" t="s">
        <v>12</v>
      </c>
    </row>
    <row r="732" spans="1:20" ht="24.95" customHeight="1" x14ac:dyDescent="0.3">
      <c r="D732" s="16"/>
      <c r="E732" s="17" t="s">
        <v>358</v>
      </c>
      <c r="F732" s="17" t="s">
        <v>1569</v>
      </c>
      <c r="G732" s="17" t="s">
        <v>1570</v>
      </c>
      <c r="H732" s="16"/>
      <c r="I732" s="17"/>
      <c r="J732" s="16">
        <v>1</v>
      </c>
      <c r="K732" s="18" t="s">
        <v>130</v>
      </c>
      <c r="L732" s="16"/>
      <c r="M732" s="17"/>
      <c r="N732" s="16"/>
      <c r="O732" s="17"/>
      <c r="P732" s="16"/>
      <c r="Q732" s="17"/>
      <c r="R732" s="17">
        <v>46025</v>
      </c>
      <c r="S732" s="17" t="s">
        <v>17</v>
      </c>
      <c r="T732" s="17" t="s">
        <v>12</v>
      </c>
    </row>
    <row r="733" spans="1:20" ht="24.95" customHeight="1" x14ac:dyDescent="0.3">
      <c r="D733" s="16"/>
      <c r="E733" s="17" t="s">
        <v>1571</v>
      </c>
      <c r="F733" s="17" t="s">
        <v>1572</v>
      </c>
      <c r="G733" s="17" t="s">
        <v>1573</v>
      </c>
      <c r="H733" s="16"/>
      <c r="I733" s="17"/>
      <c r="J733" s="16"/>
      <c r="K733" s="17"/>
      <c r="L733" s="16">
        <v>1</v>
      </c>
      <c r="M733" s="18" t="s">
        <v>92</v>
      </c>
      <c r="N733" s="16"/>
      <c r="O733" s="17"/>
      <c r="P733" s="16"/>
      <c r="Q733" s="17"/>
      <c r="R733" s="17">
        <v>46026</v>
      </c>
      <c r="S733" s="17" t="s">
        <v>17</v>
      </c>
      <c r="T733" s="17" t="s">
        <v>12</v>
      </c>
    </row>
    <row r="734" spans="1:20" ht="24.95" customHeight="1" x14ac:dyDescent="0.3">
      <c r="D734" s="16"/>
      <c r="E734" s="17" t="s">
        <v>560</v>
      </c>
      <c r="F734" s="17" t="s">
        <v>1574</v>
      </c>
      <c r="G734" s="17" t="s">
        <v>1575</v>
      </c>
      <c r="H734" s="16"/>
      <c r="I734" s="17"/>
      <c r="J734" s="16"/>
      <c r="K734" s="17"/>
      <c r="L734" s="16"/>
      <c r="M734" s="17"/>
      <c r="N734" s="16"/>
      <c r="O734" s="17"/>
      <c r="P734" s="16">
        <v>1</v>
      </c>
      <c r="Q734" s="18" t="s">
        <v>16</v>
      </c>
      <c r="R734" s="17">
        <v>46027</v>
      </c>
      <c r="S734" s="17" t="s">
        <v>17</v>
      </c>
      <c r="T734" s="17" t="s">
        <v>12</v>
      </c>
    </row>
    <row r="735" spans="1:20" ht="24.95" customHeight="1" x14ac:dyDescent="0.3">
      <c r="D735" s="16"/>
      <c r="E735" s="17" t="s">
        <v>560</v>
      </c>
      <c r="F735" s="17" t="s">
        <v>1576</v>
      </c>
      <c r="G735" s="17" t="s">
        <v>1577</v>
      </c>
      <c r="H735" s="16"/>
      <c r="I735" s="17"/>
      <c r="J735" s="16"/>
      <c r="K735" s="17"/>
      <c r="L735" s="16"/>
      <c r="M735" s="17"/>
      <c r="N735" s="16"/>
      <c r="O735" s="17"/>
      <c r="P735" s="16">
        <v>1</v>
      </c>
      <c r="Q735" s="18" t="s">
        <v>16</v>
      </c>
      <c r="R735" s="17">
        <v>46027</v>
      </c>
      <c r="S735" s="17" t="s">
        <v>17</v>
      </c>
      <c r="T735" s="17" t="s">
        <v>12</v>
      </c>
    </row>
    <row r="736" spans="1:20" ht="24.95" customHeight="1" x14ac:dyDescent="0.3">
      <c r="D736" s="16"/>
      <c r="E736" s="17" t="s">
        <v>1011</v>
      </c>
      <c r="F736" s="17" t="s">
        <v>1578</v>
      </c>
      <c r="G736" s="17" t="s">
        <v>82</v>
      </c>
      <c r="H736" s="16"/>
      <c r="I736" s="17"/>
      <c r="J736" s="16"/>
      <c r="K736" s="17"/>
      <c r="L736" s="16"/>
      <c r="M736" s="17"/>
      <c r="N736" s="16">
        <v>1</v>
      </c>
      <c r="O736" s="18" t="s">
        <v>77</v>
      </c>
      <c r="P736" s="16"/>
      <c r="Q736" s="17"/>
      <c r="R736" s="17">
        <v>46028</v>
      </c>
      <c r="S736" s="17" t="s">
        <v>17</v>
      </c>
      <c r="T736" s="17" t="s">
        <v>12</v>
      </c>
    </row>
    <row r="737" spans="4:20" ht="24.95" customHeight="1" x14ac:dyDescent="0.3">
      <c r="D737" s="16"/>
      <c r="E737" s="17" t="s">
        <v>565</v>
      </c>
      <c r="F737" s="17" t="s">
        <v>1579</v>
      </c>
      <c r="G737" s="17" t="s">
        <v>1580</v>
      </c>
      <c r="H737" s="16"/>
      <c r="I737" s="17"/>
      <c r="J737" s="16"/>
      <c r="K737" s="17"/>
      <c r="L737" s="16"/>
      <c r="M737" s="17"/>
      <c r="N737" s="16"/>
      <c r="O737" s="17"/>
      <c r="P737" s="16"/>
      <c r="Q737" s="17"/>
      <c r="R737" s="17">
        <v>46029</v>
      </c>
      <c r="S737" s="17" t="s">
        <v>17</v>
      </c>
      <c r="T737" t="s">
        <v>12</v>
      </c>
    </row>
    <row r="738" spans="4:20" ht="24.95" customHeight="1" x14ac:dyDescent="0.3">
      <c r="D738" s="16"/>
      <c r="E738" s="17" t="s">
        <v>412</v>
      </c>
      <c r="F738" s="17" t="s">
        <v>1581</v>
      </c>
      <c r="G738" s="17" t="s">
        <v>1582</v>
      </c>
      <c r="H738" s="16"/>
      <c r="I738" s="17"/>
      <c r="J738" s="16"/>
      <c r="K738" s="17"/>
      <c r="L738" s="16"/>
      <c r="M738" s="17"/>
      <c r="N738" s="16"/>
      <c r="O738" s="17"/>
      <c r="P738" s="16">
        <v>1</v>
      </c>
      <c r="Q738" s="18" t="s">
        <v>16</v>
      </c>
      <c r="R738" s="17">
        <v>46030</v>
      </c>
      <c r="S738" s="17" t="s">
        <v>17</v>
      </c>
      <c r="T738" s="17" t="s">
        <v>12</v>
      </c>
    </row>
    <row r="739" spans="4:20" ht="24.95" customHeight="1" x14ac:dyDescent="0.3">
      <c r="D739" s="16"/>
      <c r="E739" s="17" t="s">
        <v>412</v>
      </c>
      <c r="F739" s="17" t="s">
        <v>1583</v>
      </c>
      <c r="G739" s="17" t="s">
        <v>1584</v>
      </c>
      <c r="H739" s="16"/>
      <c r="I739" s="17"/>
      <c r="J739" s="16"/>
      <c r="K739" s="17"/>
      <c r="L739" s="16"/>
      <c r="M739" s="17"/>
      <c r="N739" s="16">
        <v>1</v>
      </c>
      <c r="O739" s="18" t="s">
        <v>77</v>
      </c>
      <c r="P739" s="16"/>
      <c r="Q739" s="17"/>
      <c r="R739" s="17">
        <v>46030</v>
      </c>
      <c r="S739" s="17" t="s">
        <v>17</v>
      </c>
      <c r="T739" s="17" t="s">
        <v>12</v>
      </c>
    </row>
    <row r="740" spans="4:20" ht="24.95" customHeight="1" x14ac:dyDescent="0.3">
      <c r="D740" s="16"/>
      <c r="E740" s="17" t="s">
        <v>1006</v>
      </c>
      <c r="F740" s="17" t="s">
        <v>1585</v>
      </c>
      <c r="G740" s="17" t="s">
        <v>1586</v>
      </c>
      <c r="H740" s="16"/>
      <c r="I740" s="17"/>
      <c r="J740" s="16"/>
      <c r="K740" s="17"/>
      <c r="L740" s="16"/>
      <c r="M740" s="17"/>
      <c r="N740" s="16"/>
      <c r="O740" s="17"/>
      <c r="P740" s="16">
        <v>1</v>
      </c>
      <c r="Q740" s="18" t="s">
        <v>16</v>
      </c>
      <c r="R740" s="17">
        <v>46031</v>
      </c>
      <c r="S740" s="17" t="s">
        <v>17</v>
      </c>
      <c r="T740" s="17" t="s">
        <v>12</v>
      </c>
    </row>
    <row r="741" spans="4:20" ht="24.95" customHeight="1" x14ac:dyDescent="0.3">
      <c r="D741" s="16"/>
      <c r="E741" s="17" t="s">
        <v>1006</v>
      </c>
      <c r="F741" s="17" t="s">
        <v>1587</v>
      </c>
      <c r="G741" s="17" t="s">
        <v>1588</v>
      </c>
      <c r="H741" s="16"/>
      <c r="I741" s="17"/>
      <c r="J741" s="16"/>
      <c r="K741" s="17"/>
      <c r="L741" s="16"/>
      <c r="M741" s="17"/>
      <c r="N741" s="16"/>
      <c r="O741" s="17"/>
      <c r="P741" s="16">
        <v>1</v>
      </c>
      <c r="Q741" s="18" t="s">
        <v>16</v>
      </c>
      <c r="R741" s="17">
        <v>46031</v>
      </c>
      <c r="S741" s="17" t="s">
        <v>17</v>
      </c>
      <c r="T741" s="17" t="s">
        <v>12</v>
      </c>
    </row>
    <row r="742" spans="4:20" ht="24.95" customHeight="1" x14ac:dyDescent="0.3">
      <c r="D742" s="16"/>
      <c r="E742" s="17" t="s">
        <v>1006</v>
      </c>
      <c r="F742" s="17" t="s">
        <v>1589</v>
      </c>
      <c r="G742" s="17" t="s">
        <v>1590</v>
      </c>
      <c r="H742" s="16"/>
      <c r="I742" s="17"/>
      <c r="J742" s="16"/>
      <c r="K742" s="17"/>
      <c r="L742" s="16"/>
      <c r="M742" s="17"/>
      <c r="N742" s="16"/>
      <c r="O742" s="17"/>
      <c r="P742" s="16">
        <v>1</v>
      </c>
      <c r="Q742" s="18" t="s">
        <v>16</v>
      </c>
      <c r="R742" s="17">
        <v>46031</v>
      </c>
      <c r="S742" s="17" t="s">
        <v>17</v>
      </c>
      <c r="T742" s="17" t="s">
        <v>12</v>
      </c>
    </row>
    <row r="743" spans="4:20" ht="24.95" customHeight="1" x14ac:dyDescent="0.3">
      <c r="D743" s="16"/>
      <c r="E743" s="17" t="s">
        <v>409</v>
      </c>
      <c r="F743" s="17" t="s">
        <v>1591</v>
      </c>
      <c r="G743" s="17" t="s">
        <v>1592</v>
      </c>
      <c r="H743" s="16"/>
      <c r="I743" s="17"/>
      <c r="J743" s="16">
        <v>1</v>
      </c>
      <c r="K743" s="18" t="s">
        <v>130</v>
      </c>
      <c r="L743" s="16"/>
      <c r="M743" s="17"/>
      <c r="N743" s="16"/>
      <c r="O743" s="17"/>
      <c r="P743" s="16"/>
      <c r="Q743" s="17"/>
      <c r="R743" s="17">
        <v>46032</v>
      </c>
      <c r="S743" s="17" t="s">
        <v>17</v>
      </c>
      <c r="T743" s="17" t="s">
        <v>12</v>
      </c>
    </row>
    <row r="744" spans="4:20" ht="24.95" customHeight="1" x14ac:dyDescent="0.3">
      <c r="D744" s="16"/>
      <c r="E744" s="17" t="s">
        <v>381</v>
      </c>
      <c r="F744" s="17" t="s">
        <v>1593</v>
      </c>
      <c r="G744" s="17" t="s">
        <v>1594</v>
      </c>
      <c r="H744" s="16"/>
      <c r="I744" s="17"/>
      <c r="J744" s="16"/>
      <c r="K744" s="17"/>
      <c r="L744" s="16"/>
      <c r="M744" s="17"/>
      <c r="N744" s="16"/>
      <c r="O744" s="17"/>
      <c r="P744" s="16">
        <v>1</v>
      </c>
      <c r="Q744" s="18" t="s">
        <v>16</v>
      </c>
      <c r="R744" s="17">
        <v>46032</v>
      </c>
      <c r="S744" s="17" t="s">
        <v>17</v>
      </c>
      <c r="T744" s="17" t="s">
        <v>12</v>
      </c>
    </row>
    <row r="745" spans="4:20" ht="24.95" customHeight="1" x14ac:dyDescent="0.3">
      <c r="D745" s="16"/>
      <c r="E745" s="17" t="s">
        <v>420</v>
      </c>
      <c r="F745" s="17" t="s">
        <v>1595</v>
      </c>
      <c r="G745" s="17" t="s">
        <v>1596</v>
      </c>
      <c r="H745" s="16"/>
      <c r="I745" s="17"/>
      <c r="J745" s="16">
        <v>1</v>
      </c>
      <c r="K745" s="18" t="s">
        <v>130</v>
      </c>
      <c r="L745" s="16"/>
      <c r="M745" s="17"/>
      <c r="N745" s="16"/>
      <c r="O745" s="17"/>
      <c r="P745" s="16"/>
      <c r="Q745" s="17"/>
      <c r="R745" s="17">
        <v>46043</v>
      </c>
      <c r="S745" s="17" t="s">
        <v>17</v>
      </c>
      <c r="T745" s="17" t="s">
        <v>12</v>
      </c>
    </row>
    <row r="746" spans="4:20" ht="24.95" customHeight="1" x14ac:dyDescent="0.3">
      <c r="D746" s="16"/>
      <c r="E746" s="17" t="s">
        <v>420</v>
      </c>
      <c r="F746" s="17" t="s">
        <v>1597</v>
      </c>
      <c r="G746" s="17" t="s">
        <v>1598</v>
      </c>
      <c r="H746" s="16"/>
      <c r="I746" s="17"/>
      <c r="J746" s="16">
        <v>1</v>
      </c>
      <c r="K746" s="18" t="s">
        <v>130</v>
      </c>
      <c r="L746" s="16"/>
      <c r="M746" s="17"/>
      <c r="N746" s="16"/>
      <c r="O746" s="17"/>
      <c r="P746" s="16"/>
      <c r="Q746" s="17"/>
      <c r="R746" s="17">
        <v>46043</v>
      </c>
      <c r="S746" s="17" t="s">
        <v>17</v>
      </c>
      <c r="T746" s="17" t="s">
        <v>12</v>
      </c>
    </row>
    <row r="747" spans="4:20" ht="24.95" customHeight="1" x14ac:dyDescent="0.3">
      <c r="D747" s="16"/>
      <c r="E747" s="17" t="s">
        <v>1599</v>
      </c>
      <c r="F747" s="17" t="s">
        <v>1600</v>
      </c>
      <c r="G747" s="17" t="s">
        <v>1601</v>
      </c>
      <c r="H747" s="16"/>
      <c r="I747" s="17"/>
      <c r="J747" s="16"/>
      <c r="K747" s="17"/>
      <c r="L747" s="16"/>
      <c r="M747" s="17"/>
      <c r="N747" s="16"/>
      <c r="O747" s="17"/>
      <c r="P747" s="16">
        <v>1</v>
      </c>
      <c r="Q747" s="18" t="s">
        <v>16</v>
      </c>
      <c r="R747" s="17">
        <v>46043</v>
      </c>
      <c r="S747" s="17" t="s">
        <v>1374</v>
      </c>
      <c r="T747" s="17" t="s">
        <v>12</v>
      </c>
    </row>
    <row r="748" spans="4:20" ht="24.95" customHeight="1" x14ac:dyDescent="0.3">
      <c r="D748" s="16"/>
      <c r="E748" s="17" t="s">
        <v>327</v>
      </c>
      <c r="F748" s="17" t="s">
        <v>1602</v>
      </c>
      <c r="G748" s="17" t="s">
        <v>1603</v>
      </c>
      <c r="H748" s="16">
        <v>1</v>
      </c>
      <c r="I748" s="18" t="s">
        <v>609</v>
      </c>
      <c r="J748" s="16"/>
      <c r="K748" s="17"/>
      <c r="L748" s="16"/>
      <c r="M748" s="17"/>
      <c r="N748" s="16"/>
      <c r="O748" s="17"/>
      <c r="P748" s="16"/>
      <c r="Q748" s="17"/>
      <c r="R748" s="17">
        <v>46045</v>
      </c>
      <c r="S748" s="17" t="s">
        <v>17</v>
      </c>
      <c r="T748" s="17" t="s">
        <v>12</v>
      </c>
    </row>
    <row r="749" spans="4:20" ht="24.95" customHeight="1" x14ac:dyDescent="0.3">
      <c r="D749" s="16"/>
      <c r="E749" s="17" t="s">
        <v>1204</v>
      </c>
      <c r="F749" s="17" t="s">
        <v>1604</v>
      </c>
      <c r="G749" s="17" t="s">
        <v>1605</v>
      </c>
      <c r="H749" s="16"/>
      <c r="I749" s="17"/>
      <c r="J749" s="16"/>
      <c r="K749" s="17"/>
      <c r="L749" s="16"/>
      <c r="M749" s="17"/>
      <c r="N749" s="16"/>
      <c r="O749" s="17"/>
      <c r="P749" s="16">
        <v>1</v>
      </c>
      <c r="Q749" s="18" t="s">
        <v>16</v>
      </c>
      <c r="R749" s="17">
        <v>46050</v>
      </c>
      <c r="S749" s="17" t="s">
        <v>17</v>
      </c>
      <c r="T749" s="17" t="s">
        <v>12</v>
      </c>
    </row>
    <row r="750" spans="4:20" ht="24.95" customHeight="1" x14ac:dyDescent="0.3">
      <c r="D750" s="16"/>
      <c r="E750" s="17" t="s">
        <v>210</v>
      </c>
      <c r="F750" s="17" t="s">
        <v>1606</v>
      </c>
      <c r="G750" s="17" t="s">
        <v>1607</v>
      </c>
      <c r="H750" s="16"/>
      <c r="I750" s="17"/>
      <c r="J750" s="16"/>
      <c r="K750" s="17"/>
      <c r="L750" s="16">
        <v>1</v>
      </c>
      <c r="M750" s="18" t="s">
        <v>92</v>
      </c>
      <c r="N750" s="16"/>
      <c r="O750" s="17"/>
      <c r="P750" s="16"/>
      <c r="Q750" s="17"/>
      <c r="R750" s="17">
        <v>46051</v>
      </c>
      <c r="S750" s="17" t="s">
        <v>17</v>
      </c>
      <c r="T750" s="17" t="s">
        <v>12</v>
      </c>
    </row>
    <row r="751" spans="4:20" ht="24.95" customHeight="1" x14ac:dyDescent="0.3">
      <c r="D751" s="16"/>
      <c r="E751" s="17" t="s">
        <v>1204</v>
      </c>
      <c r="F751" s="17" t="s">
        <v>1608</v>
      </c>
      <c r="G751" s="17" t="s">
        <v>1609</v>
      </c>
      <c r="H751" s="16"/>
      <c r="I751" s="17"/>
      <c r="J751" s="16"/>
      <c r="K751" s="17"/>
      <c r="L751" s="16"/>
      <c r="M751" s="17"/>
      <c r="N751" s="16"/>
      <c r="O751" s="17"/>
      <c r="P751" s="16">
        <v>1</v>
      </c>
      <c r="Q751" s="18" t="s">
        <v>16</v>
      </c>
      <c r="R751" s="17">
        <v>46052</v>
      </c>
      <c r="S751" s="17" t="s">
        <v>17</v>
      </c>
      <c r="T751" s="17" t="s">
        <v>12</v>
      </c>
    </row>
    <row r="752" spans="4:20" ht="24.95" customHeight="1" x14ac:dyDescent="0.3">
      <c r="D752" s="16"/>
      <c r="E752" s="17" t="s">
        <v>1204</v>
      </c>
      <c r="F752" s="17" t="s">
        <v>1610</v>
      </c>
      <c r="G752" s="17" t="s">
        <v>1611</v>
      </c>
      <c r="H752" s="16"/>
      <c r="I752" s="17"/>
      <c r="J752" s="16"/>
      <c r="K752" s="17"/>
      <c r="L752" s="16"/>
      <c r="M752" s="17"/>
      <c r="N752" s="16"/>
      <c r="O752" s="17"/>
      <c r="P752" s="16">
        <v>1</v>
      </c>
      <c r="Q752" s="18" t="s">
        <v>16</v>
      </c>
      <c r="R752" s="17">
        <v>46052</v>
      </c>
      <c r="S752" s="17" t="s">
        <v>17</v>
      </c>
      <c r="T752" s="17" t="s">
        <v>12</v>
      </c>
    </row>
    <row r="753" spans="4:20" ht="24.95" customHeight="1" x14ac:dyDescent="0.3">
      <c r="D753" s="16"/>
      <c r="E753" s="17" t="s">
        <v>65</v>
      </c>
      <c r="F753" s="17" t="s">
        <v>1612</v>
      </c>
      <c r="G753" s="17" t="s">
        <v>1613</v>
      </c>
      <c r="H753" s="16"/>
      <c r="I753" s="17"/>
      <c r="J753" s="16"/>
      <c r="K753" s="17"/>
      <c r="L753" s="16"/>
      <c r="M753" s="17"/>
      <c r="N753" s="16"/>
      <c r="O753" s="17"/>
      <c r="P753" s="16">
        <v>1</v>
      </c>
      <c r="Q753" s="18" t="s">
        <v>16</v>
      </c>
      <c r="R753" s="17">
        <v>46052</v>
      </c>
      <c r="S753" s="17" t="s">
        <v>17</v>
      </c>
      <c r="T753" s="17" t="s">
        <v>12</v>
      </c>
    </row>
    <row r="754" spans="4:20" ht="24.95" customHeight="1" x14ac:dyDescent="0.3">
      <c r="D754" s="16"/>
      <c r="E754" s="17" t="s">
        <v>65</v>
      </c>
      <c r="F754" s="17" t="s">
        <v>1614</v>
      </c>
      <c r="G754" s="17" t="s">
        <v>1615</v>
      </c>
      <c r="H754" s="16"/>
      <c r="I754" s="17"/>
      <c r="J754" s="16"/>
      <c r="K754" s="17"/>
      <c r="L754" s="16"/>
      <c r="M754" s="17"/>
      <c r="N754" s="16"/>
      <c r="O754" s="17"/>
      <c r="P754" s="16">
        <v>1</v>
      </c>
      <c r="Q754" s="18" t="s">
        <v>16</v>
      </c>
      <c r="R754" s="17">
        <v>46052</v>
      </c>
      <c r="S754" s="17" t="s">
        <v>17</v>
      </c>
      <c r="T754" s="17" t="s">
        <v>12</v>
      </c>
    </row>
    <row r="755" spans="4:20" ht="24.95" customHeight="1" x14ac:dyDescent="0.3">
      <c r="D755" s="16"/>
      <c r="E755" s="17" t="s">
        <v>65</v>
      </c>
      <c r="F755" s="17" t="s">
        <v>1616</v>
      </c>
      <c r="G755" s="17" t="s">
        <v>1617</v>
      </c>
      <c r="H755" s="16"/>
      <c r="I755" s="17"/>
      <c r="J755" s="16"/>
      <c r="K755" s="17"/>
      <c r="L755" s="16"/>
      <c r="M755" s="17"/>
      <c r="N755" s="16"/>
      <c r="O755" s="17"/>
      <c r="P755" s="16">
        <v>1</v>
      </c>
      <c r="Q755" s="18" t="s">
        <v>16</v>
      </c>
      <c r="R755" s="17">
        <v>46052</v>
      </c>
      <c r="S755" s="17" t="s">
        <v>17</v>
      </c>
      <c r="T755" s="17" t="s">
        <v>12</v>
      </c>
    </row>
    <row r="756" spans="4:20" ht="24.95" customHeight="1" x14ac:dyDescent="0.3">
      <c r="D756" s="16"/>
      <c r="E756" s="17" t="s">
        <v>65</v>
      </c>
      <c r="F756" s="17" t="s">
        <v>1618</v>
      </c>
      <c r="G756" s="17" t="s">
        <v>1619</v>
      </c>
      <c r="H756" s="16">
        <v>1</v>
      </c>
      <c r="I756" s="18" t="s">
        <v>609</v>
      </c>
      <c r="J756" s="16"/>
      <c r="K756" s="17"/>
      <c r="L756" s="16"/>
      <c r="M756" s="17"/>
      <c r="N756" s="16"/>
      <c r="O756" s="17"/>
      <c r="P756" s="16"/>
      <c r="Q756" s="17"/>
      <c r="R756" s="17">
        <v>46052</v>
      </c>
      <c r="S756" s="17" t="s">
        <v>17</v>
      </c>
      <c r="T756" s="17" t="s">
        <v>12</v>
      </c>
    </row>
    <row r="757" spans="4:20" ht="24.95" customHeight="1" x14ac:dyDescent="0.3">
      <c r="D757" s="16"/>
      <c r="E757" s="17" t="s">
        <v>1620</v>
      </c>
      <c r="F757" s="17" t="s">
        <v>1621</v>
      </c>
      <c r="G757" s="17" t="s">
        <v>1622</v>
      </c>
      <c r="H757" s="16"/>
      <c r="I757" s="17"/>
      <c r="J757" s="16"/>
      <c r="K757" s="17"/>
      <c r="L757" s="16"/>
      <c r="M757" s="17"/>
      <c r="N757" s="16"/>
      <c r="O757" s="17"/>
      <c r="P757" s="16">
        <v>1</v>
      </c>
      <c r="Q757" s="18" t="s">
        <v>58</v>
      </c>
      <c r="R757" s="17">
        <v>46056</v>
      </c>
      <c r="S757" s="17" t="s">
        <v>17</v>
      </c>
      <c r="T757" s="17" t="s">
        <v>12</v>
      </c>
    </row>
    <row r="758" spans="4:20" ht="24.95" customHeight="1" x14ac:dyDescent="0.3">
      <c r="D758" s="16"/>
      <c r="E758" s="17" t="s">
        <v>1620</v>
      </c>
      <c r="F758" s="17" t="s">
        <v>1623</v>
      </c>
      <c r="G758" s="17" t="s">
        <v>1624</v>
      </c>
      <c r="H758" s="16"/>
      <c r="I758" s="17"/>
      <c r="J758" s="16"/>
      <c r="K758" s="17"/>
      <c r="L758" s="16"/>
      <c r="M758" s="17"/>
      <c r="N758" s="16"/>
      <c r="O758" s="17"/>
      <c r="P758" s="16">
        <v>1</v>
      </c>
      <c r="Q758" s="18" t="s">
        <v>58</v>
      </c>
      <c r="R758" s="17">
        <v>46056</v>
      </c>
      <c r="S758" s="17" t="s">
        <v>17</v>
      </c>
      <c r="T758" s="17" t="s">
        <v>12</v>
      </c>
    </row>
    <row r="759" spans="4:20" ht="24.95" customHeight="1" x14ac:dyDescent="0.3">
      <c r="D759" s="16"/>
      <c r="E759" s="17" t="s">
        <v>1620</v>
      </c>
      <c r="F759" s="17" t="s">
        <v>1625</v>
      </c>
      <c r="G759" s="17" t="s">
        <v>1626</v>
      </c>
      <c r="H759" s="16"/>
      <c r="I759" s="17"/>
      <c r="J759" s="16"/>
      <c r="K759" s="17"/>
      <c r="L759" s="16"/>
      <c r="M759" s="17"/>
      <c r="N759" s="16"/>
      <c r="O759" s="17"/>
      <c r="P759" s="16">
        <v>1</v>
      </c>
      <c r="Q759" s="18" t="s">
        <v>58</v>
      </c>
      <c r="R759" s="17">
        <v>46056</v>
      </c>
      <c r="S759" s="17" t="s">
        <v>17</v>
      </c>
      <c r="T759" s="17" t="s">
        <v>12</v>
      </c>
    </row>
    <row r="760" spans="4:20" ht="24.95" customHeight="1" x14ac:dyDescent="0.3">
      <c r="D760" s="16"/>
      <c r="E760" s="17" t="s">
        <v>327</v>
      </c>
      <c r="F760" s="17" t="s">
        <v>1627</v>
      </c>
      <c r="G760" s="17" t="s">
        <v>1628</v>
      </c>
      <c r="H760" s="16"/>
      <c r="I760" s="17"/>
      <c r="J760" s="16"/>
      <c r="K760" s="17"/>
      <c r="L760" s="16">
        <v>1</v>
      </c>
      <c r="M760" s="18" t="s">
        <v>92</v>
      </c>
      <c r="N760" s="16"/>
      <c r="O760" s="17"/>
      <c r="P760" s="16"/>
      <c r="Q760" s="17"/>
      <c r="R760" s="17">
        <v>46057</v>
      </c>
      <c r="S760" s="17" t="s">
        <v>17</v>
      </c>
      <c r="T760" s="17" t="s">
        <v>12</v>
      </c>
    </row>
    <row r="761" spans="4:20" ht="24.95" customHeight="1" x14ac:dyDescent="0.3">
      <c r="D761" s="16"/>
      <c r="E761" s="17" t="s">
        <v>185</v>
      </c>
      <c r="F761" s="17" t="s">
        <v>1629</v>
      </c>
      <c r="G761" s="17" t="s">
        <v>1630</v>
      </c>
      <c r="H761" s="16"/>
      <c r="I761" s="17"/>
      <c r="J761" s="16"/>
      <c r="K761" s="17"/>
      <c r="L761" s="16"/>
      <c r="M761" s="17"/>
      <c r="N761" s="16"/>
      <c r="O761" s="17"/>
      <c r="P761" s="16">
        <v>1</v>
      </c>
      <c r="Q761" s="18" t="s">
        <v>16</v>
      </c>
      <c r="R761" s="17">
        <v>46058</v>
      </c>
      <c r="S761" s="17" t="s">
        <v>17</v>
      </c>
      <c r="T761" s="17" t="s">
        <v>12</v>
      </c>
    </row>
    <row r="762" spans="4:20" ht="24.95" customHeight="1" x14ac:dyDescent="0.3">
      <c r="D762" s="16"/>
      <c r="E762" s="17" t="s">
        <v>1631</v>
      </c>
      <c r="F762" s="17" t="s">
        <v>1632</v>
      </c>
      <c r="G762" s="19" t="s">
        <v>1633</v>
      </c>
      <c r="H762" s="16"/>
      <c r="I762" s="17"/>
      <c r="J762" s="16"/>
      <c r="K762" s="17"/>
      <c r="L762" s="16"/>
      <c r="M762" s="17"/>
      <c r="N762" s="16"/>
      <c r="O762" s="17"/>
      <c r="P762" s="16">
        <v>1</v>
      </c>
      <c r="Q762" s="18" t="s">
        <v>16</v>
      </c>
      <c r="R762" s="17">
        <v>46064</v>
      </c>
      <c r="S762" s="17" t="s">
        <v>17</v>
      </c>
      <c r="T762" s="17" t="s">
        <v>12</v>
      </c>
    </row>
    <row r="763" spans="4:20" ht="24.95" customHeight="1" x14ac:dyDescent="0.3">
      <c r="D763" s="16"/>
      <c r="E763" s="17" t="s">
        <v>1634</v>
      </c>
      <c r="F763" s="17" t="s">
        <v>1635</v>
      </c>
      <c r="G763" s="19" t="s">
        <v>1636</v>
      </c>
      <c r="H763" s="16"/>
      <c r="I763" s="17"/>
      <c r="J763" s="16"/>
      <c r="K763" s="17"/>
      <c r="L763" s="16"/>
      <c r="M763" s="17"/>
      <c r="N763" s="16"/>
      <c r="O763" s="17"/>
      <c r="P763" s="16">
        <v>1</v>
      </c>
      <c r="Q763" s="18" t="s">
        <v>16</v>
      </c>
      <c r="R763" s="17">
        <v>46065</v>
      </c>
      <c r="S763" s="17" t="s">
        <v>17</v>
      </c>
      <c r="T763" s="16" t="s">
        <v>12</v>
      </c>
    </row>
    <row r="764" spans="4:20" ht="24.95" customHeight="1" x14ac:dyDescent="0.3">
      <c r="D764" s="16"/>
      <c r="E764" s="17" t="s">
        <v>895</v>
      </c>
      <c r="F764" s="17" t="s">
        <v>1637</v>
      </c>
      <c r="G764" s="17" t="s">
        <v>1638</v>
      </c>
      <c r="H764" s="16"/>
      <c r="I764" s="17"/>
      <c r="J764" s="16"/>
      <c r="K764" s="17"/>
      <c r="L764" s="16"/>
      <c r="M764" s="17"/>
      <c r="N764" s="16"/>
      <c r="O764" s="17"/>
      <c r="P764" s="16">
        <v>1</v>
      </c>
      <c r="Q764" s="18" t="s">
        <v>16</v>
      </c>
      <c r="R764" s="17">
        <v>46066</v>
      </c>
      <c r="S764" s="17" t="s">
        <v>17</v>
      </c>
      <c r="T764" s="17" t="s">
        <v>12</v>
      </c>
    </row>
    <row r="765" spans="4:20" ht="24.95" customHeight="1" x14ac:dyDescent="0.3">
      <c r="D765" s="16"/>
      <c r="E765" s="17" t="s">
        <v>895</v>
      </c>
      <c r="F765" s="17" t="s">
        <v>1639</v>
      </c>
      <c r="G765" s="17" t="s">
        <v>1640</v>
      </c>
      <c r="H765" s="16"/>
      <c r="I765" s="17"/>
      <c r="J765" s="16"/>
      <c r="K765" s="17"/>
      <c r="L765" s="16"/>
      <c r="M765" s="17"/>
      <c r="N765" s="16"/>
      <c r="O765" s="17"/>
      <c r="P765" s="16">
        <v>1</v>
      </c>
      <c r="Q765" s="18" t="s">
        <v>16</v>
      </c>
      <c r="R765" s="17">
        <v>46066</v>
      </c>
      <c r="S765" s="17" t="s">
        <v>17</v>
      </c>
      <c r="T765" s="17" t="s">
        <v>12</v>
      </c>
    </row>
    <row r="766" spans="4:20" ht="24.95" customHeight="1" x14ac:dyDescent="0.3">
      <c r="D766" s="16"/>
      <c r="E766" s="17" t="s">
        <v>1641</v>
      </c>
      <c r="F766" s="17" t="s">
        <v>1642</v>
      </c>
      <c r="G766" s="19" t="s">
        <v>1643</v>
      </c>
      <c r="H766" s="16"/>
      <c r="I766" s="17"/>
      <c r="J766" s="16"/>
      <c r="K766" s="17"/>
      <c r="L766" s="16"/>
      <c r="M766" s="17"/>
      <c r="N766" s="16"/>
      <c r="O766" s="17"/>
      <c r="P766" s="16">
        <v>1</v>
      </c>
      <c r="Q766" s="18" t="s">
        <v>16</v>
      </c>
      <c r="R766" s="17">
        <v>46066</v>
      </c>
      <c r="S766" s="17" t="s">
        <v>17</v>
      </c>
      <c r="T766" s="17" t="s">
        <v>12</v>
      </c>
    </row>
    <row r="767" spans="4:20" ht="24.95" customHeight="1" x14ac:dyDescent="0.3">
      <c r="D767" s="16"/>
      <c r="E767" s="17" t="s">
        <v>895</v>
      </c>
      <c r="F767" s="17" t="s">
        <v>1637</v>
      </c>
      <c r="G767" s="17" t="s">
        <v>1638</v>
      </c>
      <c r="H767" s="16"/>
      <c r="I767" s="17"/>
      <c r="J767" s="16"/>
      <c r="K767" s="17"/>
      <c r="L767" s="16"/>
      <c r="M767" s="17"/>
      <c r="N767" s="16"/>
      <c r="O767" s="17"/>
      <c r="P767" s="16">
        <v>1</v>
      </c>
      <c r="Q767" s="18" t="s">
        <v>16</v>
      </c>
      <c r="R767" s="17">
        <v>46066</v>
      </c>
      <c r="S767" s="17" t="s">
        <v>17</v>
      </c>
      <c r="T767" s="17" t="s">
        <v>12</v>
      </c>
    </row>
    <row r="768" spans="4:20" ht="24.95" customHeight="1" x14ac:dyDescent="0.3">
      <c r="D768" s="16"/>
      <c r="E768" s="17" t="s">
        <v>895</v>
      </c>
      <c r="F768" s="17" t="s">
        <v>1639</v>
      </c>
      <c r="G768" s="17" t="s">
        <v>1640</v>
      </c>
      <c r="H768" s="16"/>
      <c r="I768" s="17"/>
      <c r="J768" s="16"/>
      <c r="K768" s="17"/>
      <c r="L768" s="16"/>
      <c r="M768" s="17"/>
      <c r="N768" s="16"/>
      <c r="O768" s="17"/>
      <c r="P768" s="16">
        <v>1</v>
      </c>
      <c r="Q768" s="18" t="s">
        <v>16</v>
      </c>
      <c r="R768" s="17">
        <v>46066</v>
      </c>
      <c r="S768" s="17" t="s">
        <v>17</v>
      </c>
      <c r="T768" s="17" t="s">
        <v>12</v>
      </c>
    </row>
    <row r="769" spans="1:20" ht="24.95" customHeight="1" x14ac:dyDescent="0.3">
      <c r="D769" s="16"/>
      <c r="E769" s="17" t="s">
        <v>1641</v>
      </c>
      <c r="F769" s="17" t="s">
        <v>1642</v>
      </c>
      <c r="G769" s="19" t="s">
        <v>1643</v>
      </c>
      <c r="H769" s="16"/>
      <c r="I769" s="17"/>
      <c r="J769" s="16"/>
      <c r="K769" s="17"/>
      <c r="L769" s="16"/>
      <c r="M769" s="17"/>
      <c r="N769" s="16"/>
      <c r="O769" s="17"/>
      <c r="P769" s="16">
        <v>1</v>
      </c>
      <c r="Q769" s="18" t="s">
        <v>16</v>
      </c>
      <c r="R769" s="17">
        <v>46066</v>
      </c>
      <c r="S769" s="17" t="s">
        <v>17</v>
      </c>
      <c r="T769" s="17" t="s">
        <v>12</v>
      </c>
    </row>
    <row r="770" spans="1:20" ht="24.95" customHeight="1" x14ac:dyDescent="0.3">
      <c r="D770" s="16"/>
      <c r="E770" s="17" t="s">
        <v>515</v>
      </c>
      <c r="F770" s="17" t="s">
        <v>1644</v>
      </c>
      <c r="G770" s="19" t="s">
        <v>1645</v>
      </c>
      <c r="H770" s="16"/>
      <c r="I770" s="17"/>
      <c r="J770" s="16"/>
      <c r="K770" s="17"/>
      <c r="L770" s="16"/>
      <c r="M770" s="17"/>
      <c r="N770" s="16"/>
      <c r="O770" s="17"/>
      <c r="P770" s="16">
        <v>1</v>
      </c>
      <c r="Q770" s="18" t="s">
        <v>16</v>
      </c>
      <c r="R770" s="17">
        <v>46077</v>
      </c>
      <c r="S770" s="17" t="s">
        <v>17</v>
      </c>
      <c r="T770" s="17" t="s">
        <v>12</v>
      </c>
    </row>
    <row r="771" spans="1:20" ht="24.95" customHeight="1" x14ac:dyDescent="0.3">
      <c r="D771" s="16"/>
      <c r="E771" s="17" t="s">
        <v>515</v>
      </c>
      <c r="F771" s="17" t="s">
        <v>1644</v>
      </c>
      <c r="G771" s="19" t="s">
        <v>1645</v>
      </c>
      <c r="H771" s="16"/>
      <c r="I771" s="17"/>
      <c r="J771" s="16"/>
      <c r="K771" s="17"/>
      <c r="L771" s="16"/>
      <c r="M771" s="17"/>
      <c r="N771" s="16"/>
      <c r="O771" s="17"/>
      <c r="P771" s="16">
        <v>1</v>
      </c>
      <c r="Q771" s="18" t="s">
        <v>16</v>
      </c>
      <c r="R771" s="17">
        <v>46077</v>
      </c>
      <c r="S771" s="17" t="s">
        <v>17</v>
      </c>
      <c r="T771" s="16" t="s">
        <v>12</v>
      </c>
    </row>
    <row r="772" spans="1:20" ht="24.95" customHeight="1" x14ac:dyDescent="0.3">
      <c r="D772" s="16"/>
      <c r="E772" s="17" t="s">
        <v>515</v>
      </c>
      <c r="F772" s="17" t="s">
        <v>1646</v>
      </c>
      <c r="G772" s="17" t="s">
        <v>1647</v>
      </c>
      <c r="H772" s="16"/>
      <c r="I772" s="17"/>
      <c r="J772" s="16"/>
      <c r="K772" s="17"/>
      <c r="L772" s="16"/>
      <c r="M772" s="17"/>
      <c r="N772" s="16"/>
      <c r="O772" s="17"/>
      <c r="P772" s="16">
        <v>1</v>
      </c>
      <c r="Q772" s="18" t="s">
        <v>16</v>
      </c>
      <c r="R772" s="17">
        <v>46077</v>
      </c>
      <c r="S772" s="17" t="s">
        <v>17</v>
      </c>
      <c r="T772" s="17" t="s">
        <v>12</v>
      </c>
    </row>
    <row r="773" spans="1:20" ht="24.95" customHeight="1" x14ac:dyDescent="0.3">
      <c r="D773" s="16"/>
      <c r="E773" s="17" t="s">
        <v>1571</v>
      </c>
      <c r="F773" s="17" t="s">
        <v>1648</v>
      </c>
      <c r="G773" s="17" t="s">
        <v>1649</v>
      </c>
      <c r="H773" s="16"/>
      <c r="I773" s="17"/>
      <c r="J773" s="16"/>
      <c r="K773" s="17"/>
      <c r="L773" s="16">
        <v>1</v>
      </c>
      <c r="M773" s="18" t="s">
        <v>48</v>
      </c>
      <c r="N773" s="16"/>
      <c r="O773" s="17"/>
      <c r="P773" s="16"/>
      <c r="Q773" s="17"/>
      <c r="R773" s="17">
        <v>46084</v>
      </c>
      <c r="S773" s="17" t="s">
        <v>17</v>
      </c>
      <c r="T773" s="16" t="s">
        <v>12</v>
      </c>
    </row>
    <row r="774" spans="1:20" ht="24.95" customHeight="1" x14ac:dyDescent="0.3">
      <c r="D774" s="16"/>
      <c r="E774" s="17" t="s">
        <v>565</v>
      </c>
      <c r="F774" s="17" t="s">
        <v>1650</v>
      </c>
      <c r="G774" s="17" t="s">
        <v>1651</v>
      </c>
      <c r="H774" s="16"/>
      <c r="I774" s="17"/>
      <c r="J774" s="16"/>
      <c r="K774" s="17"/>
      <c r="L774" s="16">
        <v>1</v>
      </c>
      <c r="M774" s="18" t="s">
        <v>92</v>
      </c>
      <c r="N774" s="16"/>
      <c r="O774" s="17"/>
      <c r="P774" s="17"/>
      <c r="Q774" s="17"/>
      <c r="R774" s="17">
        <v>46085</v>
      </c>
      <c r="S774" s="17" t="s">
        <v>17</v>
      </c>
      <c r="T774" s="16" t="s">
        <v>12</v>
      </c>
    </row>
    <row r="775" spans="1:20" ht="24.95" customHeight="1" x14ac:dyDescent="0.3">
      <c r="D775" s="16"/>
      <c r="E775" s="17" t="s">
        <v>327</v>
      </c>
      <c r="F775" s="17" t="s">
        <v>1652</v>
      </c>
      <c r="G775" s="17" t="s">
        <v>1653</v>
      </c>
      <c r="H775" s="16"/>
      <c r="I775" s="17"/>
      <c r="J775" s="16"/>
      <c r="K775" s="17"/>
      <c r="L775" s="16">
        <v>1</v>
      </c>
      <c r="M775" s="18" t="s">
        <v>92</v>
      </c>
      <c r="N775" s="16"/>
      <c r="O775" s="17"/>
      <c r="P775" s="17"/>
      <c r="Q775" s="17"/>
      <c r="R775" s="17">
        <v>46085</v>
      </c>
      <c r="S775" s="17" t="s">
        <v>17</v>
      </c>
      <c r="T775" s="16" t="s">
        <v>12</v>
      </c>
    </row>
    <row r="776" spans="1:20" ht="24.95" customHeight="1" x14ac:dyDescent="0.3">
      <c r="D776" s="16"/>
      <c r="E776" s="17" t="s">
        <v>1037</v>
      </c>
      <c r="F776" s="17" t="s">
        <v>1654</v>
      </c>
      <c r="G776" s="17" t="s">
        <v>1655</v>
      </c>
      <c r="H776" s="16"/>
      <c r="I776" s="17"/>
      <c r="J776" s="16"/>
      <c r="K776" s="17"/>
      <c r="L776" s="16"/>
      <c r="M776" s="16"/>
      <c r="N776" s="16"/>
      <c r="O776" s="17"/>
      <c r="P776" s="16">
        <v>1</v>
      </c>
      <c r="Q776" s="18" t="s">
        <v>25</v>
      </c>
      <c r="R776" s="17">
        <v>46093</v>
      </c>
      <c r="S776" s="17" t="s">
        <v>17</v>
      </c>
      <c r="T776" s="17" t="s">
        <v>12</v>
      </c>
    </row>
    <row r="777" spans="1:20" ht="24.95" customHeight="1" x14ac:dyDescent="0.3">
      <c r="D777" s="16"/>
      <c r="E777" s="17" t="s">
        <v>1656</v>
      </c>
      <c r="F777" s="17" t="s">
        <v>1657</v>
      </c>
      <c r="G777" s="17" t="s">
        <v>1658</v>
      </c>
      <c r="H777" s="16"/>
      <c r="I777" s="17"/>
      <c r="J777" s="16"/>
      <c r="K777" s="17"/>
      <c r="L777" s="16">
        <v>1</v>
      </c>
      <c r="M777" s="18" t="s">
        <v>92</v>
      </c>
      <c r="N777" s="16"/>
      <c r="O777" s="17"/>
      <c r="P777" s="17"/>
      <c r="Q777" s="17"/>
      <c r="R777" s="17">
        <v>46097</v>
      </c>
      <c r="S777" s="17" t="s">
        <v>17</v>
      </c>
      <c r="T777" s="16" t="s">
        <v>12</v>
      </c>
    </row>
    <row r="778" spans="1:20" ht="24.95" customHeight="1" x14ac:dyDescent="0.3">
      <c r="D778" s="16"/>
      <c r="E778" s="17" t="s">
        <v>1390</v>
      </c>
      <c r="F778" s="17" t="s">
        <v>1659</v>
      </c>
      <c r="G778" s="17" t="s">
        <v>1660</v>
      </c>
      <c r="H778" s="16"/>
      <c r="I778" s="17"/>
      <c r="J778" s="16"/>
      <c r="K778" s="17"/>
      <c r="L778" s="16"/>
      <c r="M778" s="17"/>
      <c r="N778" s="16"/>
      <c r="O778" s="17"/>
      <c r="P778" s="16">
        <v>1</v>
      </c>
      <c r="Q778" s="18" t="s">
        <v>25</v>
      </c>
      <c r="R778" s="17">
        <v>46099</v>
      </c>
      <c r="S778" s="17" t="s">
        <v>17</v>
      </c>
      <c r="T778" s="17" t="s">
        <v>12</v>
      </c>
    </row>
    <row r="779" spans="1:20" ht="24.95" customHeight="1" x14ac:dyDescent="0.3">
      <c r="D779" s="16"/>
      <c r="E779" s="17" t="s">
        <v>1074</v>
      </c>
      <c r="F779" s="17" t="s">
        <v>1661</v>
      </c>
      <c r="G779" s="17" t="s">
        <v>1662</v>
      </c>
      <c r="H779" s="16"/>
      <c r="I779" s="17"/>
      <c r="J779" s="16"/>
      <c r="K779" s="17"/>
      <c r="L779" s="16">
        <v>1</v>
      </c>
      <c r="M779" s="18" t="s">
        <v>48</v>
      </c>
      <c r="N779" s="16"/>
      <c r="O779" s="17"/>
      <c r="P779" s="16"/>
      <c r="Q779" s="17"/>
      <c r="R779" s="17">
        <v>46099</v>
      </c>
      <c r="S779" s="17" t="s">
        <v>17</v>
      </c>
      <c r="T779" s="17" t="s">
        <v>12</v>
      </c>
    </row>
    <row r="780" spans="1:20" ht="24.95" customHeight="1" x14ac:dyDescent="0.3">
      <c r="D780" s="16"/>
      <c r="E780" s="17" t="s">
        <v>185</v>
      </c>
      <c r="F780" s="17" t="s">
        <v>1663</v>
      </c>
      <c r="G780" s="17" t="s">
        <v>1664</v>
      </c>
      <c r="H780" s="16">
        <v>1</v>
      </c>
      <c r="I780" s="18" t="s">
        <v>609</v>
      </c>
      <c r="J780" s="16"/>
      <c r="K780" s="17"/>
      <c r="L780" s="16"/>
      <c r="M780" s="17"/>
      <c r="N780" s="16"/>
      <c r="O780" s="17"/>
      <c r="P780" s="16"/>
      <c r="Q780" s="17"/>
      <c r="R780" s="17">
        <v>46099</v>
      </c>
      <c r="S780" s="17" t="s">
        <v>17</v>
      </c>
      <c r="T780" s="17" t="s">
        <v>12</v>
      </c>
    </row>
    <row r="781" spans="1:20" ht="24.95" customHeight="1" x14ac:dyDescent="0.3">
      <c r="D781" s="16"/>
      <c r="E781" s="17" t="s">
        <v>1074</v>
      </c>
      <c r="F781" s="17" t="s">
        <v>1665</v>
      </c>
      <c r="G781" s="17" t="s">
        <v>1666</v>
      </c>
      <c r="H781" s="16"/>
      <c r="I781" s="17"/>
      <c r="J781" s="16"/>
      <c r="K781" s="17"/>
      <c r="L781" s="16">
        <v>1</v>
      </c>
      <c r="M781" s="18" t="s">
        <v>48</v>
      </c>
      <c r="N781" s="16"/>
      <c r="O781" s="17"/>
      <c r="P781" s="16"/>
      <c r="Q781" s="17"/>
      <c r="R781" s="17">
        <v>46101</v>
      </c>
      <c r="S781" s="17" t="s">
        <v>17</v>
      </c>
      <c r="T781" s="17" t="s">
        <v>12</v>
      </c>
    </row>
    <row r="782" spans="1:20" ht="24.95" customHeight="1" x14ac:dyDescent="0.3">
      <c r="A782" s="20" t="s">
        <v>5</v>
      </c>
      <c r="B782" s="8" t="s">
        <v>1667</v>
      </c>
      <c r="D782" s="16"/>
      <c r="E782" s="17" t="s">
        <v>1074</v>
      </c>
      <c r="F782" s="17" t="s">
        <v>1668</v>
      </c>
      <c r="G782" s="17" t="s">
        <v>1669</v>
      </c>
      <c r="H782" s="16"/>
      <c r="I782" s="17"/>
      <c r="J782" s="16"/>
      <c r="K782" s="17"/>
      <c r="L782" s="16"/>
      <c r="M782" s="17"/>
      <c r="N782" s="16"/>
      <c r="O782" s="17"/>
      <c r="P782" s="16">
        <v>1</v>
      </c>
      <c r="Q782" s="18" t="s">
        <v>58</v>
      </c>
      <c r="R782" s="17">
        <v>46101</v>
      </c>
      <c r="S782" s="17" t="s">
        <v>17</v>
      </c>
      <c r="T782" s="17" t="s">
        <v>12</v>
      </c>
    </row>
    <row r="783" spans="1:20" ht="24.95" customHeight="1" x14ac:dyDescent="0.3">
      <c r="A783" s="21"/>
      <c r="B783" s="8" t="s">
        <v>1670</v>
      </c>
      <c r="D783" s="16"/>
      <c r="E783" s="17" t="s">
        <v>1074</v>
      </c>
      <c r="F783" s="17" t="s">
        <v>1671</v>
      </c>
      <c r="G783" s="17" t="s">
        <v>1672</v>
      </c>
      <c r="H783" s="16"/>
      <c r="I783" s="17"/>
      <c r="J783" s="16"/>
      <c r="K783" s="17"/>
      <c r="L783" s="16"/>
      <c r="M783" s="17"/>
      <c r="N783" s="16"/>
      <c r="O783" s="17"/>
      <c r="P783" s="16">
        <v>1</v>
      </c>
      <c r="Q783" s="18" t="s">
        <v>58</v>
      </c>
      <c r="R783" s="17">
        <v>46101</v>
      </c>
      <c r="S783" s="17" t="s">
        <v>17</v>
      </c>
      <c r="T783" s="17" t="s">
        <v>12</v>
      </c>
    </row>
    <row r="784" spans="1:20" ht="24.95" customHeight="1" x14ac:dyDescent="0.3">
      <c r="A784" s="21"/>
      <c r="B784" s="8" t="s">
        <v>277</v>
      </c>
      <c r="D784" s="16"/>
      <c r="E784" s="17" t="s">
        <v>802</v>
      </c>
      <c r="F784" s="17" t="s">
        <v>1673</v>
      </c>
      <c r="G784" s="17" t="s">
        <v>1674</v>
      </c>
      <c r="H784" s="16"/>
      <c r="I784" s="17"/>
      <c r="J784" s="16">
        <v>1</v>
      </c>
      <c r="K784" s="18" t="s">
        <v>130</v>
      </c>
      <c r="L784" s="16"/>
      <c r="M784" s="17"/>
      <c r="N784" s="16"/>
      <c r="O784" s="17"/>
      <c r="P784" s="16"/>
      <c r="Q784" s="17"/>
      <c r="R784" s="17">
        <v>46101</v>
      </c>
      <c r="S784" s="17" t="s">
        <v>17</v>
      </c>
      <c r="T784" s="17" t="s">
        <v>12</v>
      </c>
    </row>
    <row r="785" spans="1:20" ht="24.95" customHeight="1" x14ac:dyDescent="0.3">
      <c r="A785" s="21"/>
      <c r="B785" s="8" t="s">
        <v>21</v>
      </c>
      <c r="D785" s="16"/>
      <c r="E785" s="17" t="s">
        <v>802</v>
      </c>
      <c r="F785" s="17" t="s">
        <v>1675</v>
      </c>
      <c r="G785" s="17" t="s">
        <v>1676</v>
      </c>
      <c r="H785" s="16">
        <v>1</v>
      </c>
      <c r="I785" s="18" t="s">
        <v>21</v>
      </c>
      <c r="J785" s="16"/>
      <c r="K785" s="17"/>
      <c r="L785" s="16"/>
      <c r="M785" s="17"/>
      <c r="N785" s="16"/>
      <c r="O785" s="17"/>
      <c r="P785" s="16"/>
      <c r="Q785" s="17"/>
      <c r="R785" s="17">
        <v>46101</v>
      </c>
      <c r="S785" s="17" t="s">
        <v>17</v>
      </c>
      <c r="T785" s="17" t="s">
        <v>12</v>
      </c>
    </row>
    <row r="786" spans="1:20" ht="24.95" customHeight="1" x14ac:dyDescent="0.3">
      <c r="A786" s="21"/>
      <c r="B786" s="8" t="s">
        <v>281</v>
      </c>
      <c r="D786" s="16"/>
      <c r="E786" s="17" t="s">
        <v>1037</v>
      </c>
      <c r="F786" s="17" t="s">
        <v>1677</v>
      </c>
      <c r="G786" s="17" t="s">
        <v>1244</v>
      </c>
      <c r="H786" s="16"/>
      <c r="I786" s="17"/>
      <c r="J786" s="16"/>
      <c r="K786" s="17"/>
      <c r="L786" s="16"/>
      <c r="M786" s="17"/>
      <c r="N786" s="16"/>
      <c r="O786" s="17"/>
      <c r="P786" s="16">
        <v>1</v>
      </c>
      <c r="Q786" s="18" t="s">
        <v>16</v>
      </c>
      <c r="R786" s="17">
        <v>46104</v>
      </c>
      <c r="S786" s="17" t="s">
        <v>17</v>
      </c>
      <c r="T786" s="17" t="s">
        <v>12</v>
      </c>
    </row>
    <row r="787" spans="1:20" ht="24.95" customHeight="1" x14ac:dyDescent="0.3">
      <c r="A787" s="22"/>
      <c r="B787" s="8" t="s">
        <v>609</v>
      </c>
      <c r="D787" s="16"/>
      <c r="E787" s="17" t="s">
        <v>1678</v>
      </c>
      <c r="F787" s="17" t="s">
        <v>1679</v>
      </c>
      <c r="G787" s="17" t="s">
        <v>1680</v>
      </c>
      <c r="H787" s="16"/>
      <c r="I787" s="17"/>
      <c r="J787" s="16"/>
      <c r="K787" s="17"/>
      <c r="L787" s="16"/>
      <c r="M787" s="17"/>
      <c r="N787" s="16"/>
      <c r="O787" s="17"/>
      <c r="P787" s="16">
        <v>1</v>
      </c>
      <c r="Q787" s="18" t="s">
        <v>16</v>
      </c>
      <c r="R787" s="17">
        <v>46105</v>
      </c>
      <c r="S787" s="17" t="s">
        <v>17</v>
      </c>
      <c r="T787" s="17" t="s">
        <v>12</v>
      </c>
    </row>
    <row r="788" spans="1:20" ht="24.95" customHeight="1" x14ac:dyDescent="0.3">
      <c r="A788" s="20" t="s">
        <v>6</v>
      </c>
      <c r="B788" s="8" t="s">
        <v>80</v>
      </c>
      <c r="D788" s="16"/>
      <c r="E788" s="17" t="s">
        <v>13</v>
      </c>
      <c r="F788" s="17" t="s">
        <v>1681</v>
      </c>
      <c r="G788" s="17" t="s">
        <v>1682</v>
      </c>
      <c r="H788" s="16"/>
      <c r="I788" s="17"/>
      <c r="J788" s="16"/>
      <c r="K788" s="17"/>
      <c r="L788" s="16"/>
      <c r="M788" s="17"/>
      <c r="N788" s="16"/>
      <c r="O788" s="17"/>
      <c r="P788" s="16">
        <v>1</v>
      </c>
      <c r="Q788" s="18" t="s">
        <v>16</v>
      </c>
      <c r="R788" s="17">
        <v>46106</v>
      </c>
      <c r="S788" s="17" t="s">
        <v>17</v>
      </c>
      <c r="T788" s="17" t="s">
        <v>12</v>
      </c>
    </row>
    <row r="789" spans="1:20" ht="24.95" customHeight="1" x14ac:dyDescent="0.3">
      <c r="A789" s="21"/>
      <c r="B789" s="8" t="s">
        <v>130</v>
      </c>
      <c r="D789" s="16"/>
      <c r="E789" s="17" t="s">
        <v>1683</v>
      </c>
      <c r="F789" s="17" t="s">
        <v>1684</v>
      </c>
      <c r="G789" s="17" t="s">
        <v>1685</v>
      </c>
      <c r="H789" s="16"/>
      <c r="I789" s="17"/>
      <c r="J789" s="16"/>
      <c r="K789" s="17"/>
      <c r="L789" s="16"/>
      <c r="M789" s="17"/>
      <c r="N789" s="16"/>
      <c r="O789" s="17"/>
      <c r="P789" s="16">
        <v>1</v>
      </c>
      <c r="Q789" s="18" t="s">
        <v>25</v>
      </c>
      <c r="R789" s="17">
        <v>46106</v>
      </c>
      <c r="S789" s="17" t="s">
        <v>17</v>
      </c>
      <c r="T789" s="17" t="s">
        <v>12</v>
      </c>
    </row>
    <row r="790" spans="1:20" ht="24.95" customHeight="1" x14ac:dyDescent="0.3">
      <c r="A790" s="22"/>
      <c r="B790" s="8" t="s">
        <v>1021</v>
      </c>
      <c r="D790" s="16"/>
      <c r="E790" s="17" t="s">
        <v>1683</v>
      </c>
      <c r="F790" s="17" t="s">
        <v>1686</v>
      </c>
      <c r="G790" s="17" t="s">
        <v>1687</v>
      </c>
      <c r="H790" s="16"/>
      <c r="I790" s="17"/>
      <c r="J790" s="16"/>
      <c r="K790" s="17"/>
      <c r="L790" s="16"/>
      <c r="M790" s="17"/>
      <c r="N790" s="16"/>
      <c r="O790" s="17"/>
      <c r="P790" s="16">
        <v>1</v>
      </c>
      <c r="Q790" s="18" t="s">
        <v>25</v>
      </c>
      <c r="R790" s="17">
        <v>46106</v>
      </c>
      <c r="S790" s="17" t="s">
        <v>17</v>
      </c>
      <c r="T790" s="17" t="s">
        <v>12</v>
      </c>
    </row>
    <row r="791" spans="1:20" ht="24.95" customHeight="1" x14ac:dyDescent="0.3">
      <c r="A791" s="20" t="s">
        <v>7</v>
      </c>
      <c r="B791" s="8" t="s">
        <v>64</v>
      </c>
      <c r="D791" s="16"/>
      <c r="E791" s="17" t="s">
        <v>1683</v>
      </c>
      <c r="F791" s="17" t="s">
        <v>1688</v>
      </c>
      <c r="G791" s="17" t="s">
        <v>1689</v>
      </c>
      <c r="H791" s="16"/>
      <c r="I791" s="17"/>
      <c r="J791" s="16">
        <v>1</v>
      </c>
      <c r="K791" s="18" t="s">
        <v>130</v>
      </c>
      <c r="L791" s="16"/>
      <c r="M791" s="17"/>
      <c r="N791" s="16"/>
      <c r="O791" s="17"/>
      <c r="P791" s="16"/>
      <c r="Q791" s="17"/>
      <c r="R791" s="17">
        <v>46107</v>
      </c>
      <c r="S791" s="17" t="s">
        <v>17</v>
      </c>
      <c r="T791" s="17" t="s">
        <v>12</v>
      </c>
    </row>
    <row r="792" spans="1:20" ht="24.95" customHeight="1" x14ac:dyDescent="0.3">
      <c r="A792" s="21"/>
      <c r="B792" s="8" t="s">
        <v>48</v>
      </c>
      <c r="D792" s="16"/>
      <c r="E792" s="17" t="s">
        <v>1204</v>
      </c>
      <c r="F792" s="17" t="s">
        <v>1690</v>
      </c>
      <c r="G792" s="17" t="s">
        <v>1691</v>
      </c>
      <c r="H792" s="16"/>
      <c r="I792" s="17"/>
      <c r="J792" s="16"/>
      <c r="K792" s="17"/>
      <c r="L792" s="16"/>
      <c r="M792" s="17"/>
      <c r="N792" s="16"/>
      <c r="O792" s="17"/>
      <c r="P792" s="16">
        <v>1</v>
      </c>
      <c r="Q792" s="18" t="s">
        <v>16</v>
      </c>
      <c r="R792" s="17">
        <v>46107</v>
      </c>
      <c r="S792" s="17" t="s">
        <v>17</v>
      </c>
      <c r="T792" s="17" t="s">
        <v>12</v>
      </c>
    </row>
    <row r="793" spans="1:20" ht="24.95" customHeight="1" x14ac:dyDescent="0.3">
      <c r="A793" s="22"/>
      <c r="B793" s="8" t="s">
        <v>92</v>
      </c>
      <c r="D793" s="16"/>
      <c r="E793" s="17" t="s">
        <v>1227</v>
      </c>
      <c r="F793" s="17" t="s">
        <v>1692</v>
      </c>
      <c r="G793" s="17" t="s">
        <v>1693</v>
      </c>
      <c r="H793" s="16"/>
      <c r="I793" s="17"/>
      <c r="J793" s="16"/>
      <c r="K793" s="17"/>
      <c r="L793" s="16"/>
      <c r="M793" s="17"/>
      <c r="N793" s="16"/>
      <c r="O793" s="17"/>
      <c r="P793" s="16">
        <v>1</v>
      </c>
      <c r="Q793" s="18" t="s">
        <v>272</v>
      </c>
      <c r="R793" s="17">
        <v>46107</v>
      </c>
      <c r="S793" s="17" t="s">
        <v>17</v>
      </c>
      <c r="T793" s="17" t="s">
        <v>12</v>
      </c>
    </row>
    <row r="794" spans="1:20" ht="24.95" customHeight="1" x14ac:dyDescent="0.3">
      <c r="A794" s="20" t="s">
        <v>8</v>
      </c>
      <c r="B794" s="8" t="s">
        <v>54</v>
      </c>
      <c r="D794" s="16"/>
      <c r="E794" s="17" t="s">
        <v>1227</v>
      </c>
      <c r="F794" s="17" t="s">
        <v>1694</v>
      </c>
      <c r="G794" s="17" t="s">
        <v>1695</v>
      </c>
      <c r="H794" s="16"/>
      <c r="I794" s="17"/>
      <c r="J794" s="16"/>
      <c r="K794" s="17"/>
      <c r="L794" s="16"/>
      <c r="M794" s="17"/>
      <c r="N794" s="16"/>
      <c r="O794" s="17"/>
      <c r="P794" s="16">
        <v>1</v>
      </c>
      <c r="Q794" s="18" t="s">
        <v>272</v>
      </c>
      <c r="R794" s="17">
        <v>46107</v>
      </c>
      <c r="S794" s="17" t="s">
        <v>17</v>
      </c>
      <c r="T794" s="17" t="s">
        <v>12</v>
      </c>
    </row>
    <row r="795" spans="1:20" ht="24.95" customHeight="1" x14ac:dyDescent="0.3">
      <c r="A795" s="21"/>
      <c r="B795" s="8" t="s">
        <v>108</v>
      </c>
      <c r="D795" s="16"/>
      <c r="E795" s="17" t="s">
        <v>1227</v>
      </c>
      <c r="F795" s="17" t="s">
        <v>1696</v>
      </c>
      <c r="G795" s="17" t="s">
        <v>1697</v>
      </c>
      <c r="H795" s="16"/>
      <c r="I795" s="17"/>
      <c r="J795" s="16"/>
      <c r="K795" s="17"/>
      <c r="L795" s="16"/>
      <c r="M795" s="17"/>
      <c r="N795" s="16"/>
      <c r="O795" s="17"/>
      <c r="P795" s="16">
        <v>1</v>
      </c>
      <c r="Q795" s="18" t="s">
        <v>272</v>
      </c>
      <c r="R795" s="17">
        <v>46107</v>
      </c>
      <c r="S795" s="17" t="s">
        <v>17</v>
      </c>
      <c r="T795" s="17" t="s">
        <v>12</v>
      </c>
    </row>
    <row r="796" spans="1:20" ht="24.95" customHeight="1" x14ac:dyDescent="0.3">
      <c r="A796" s="22"/>
      <c r="B796" s="8" t="s">
        <v>77</v>
      </c>
      <c r="D796" s="16"/>
      <c r="E796" s="17" t="s">
        <v>1227</v>
      </c>
      <c r="F796" s="17" t="s">
        <v>1698</v>
      </c>
      <c r="G796" s="17" t="s">
        <v>1699</v>
      </c>
      <c r="H796" s="16"/>
      <c r="I796" s="17"/>
      <c r="J796" s="16"/>
      <c r="K796" s="17"/>
      <c r="L796" s="16"/>
      <c r="M796" s="17"/>
      <c r="N796" s="16"/>
      <c r="O796" s="17"/>
      <c r="P796" s="16">
        <v>1</v>
      </c>
      <c r="Q796" s="18" t="s">
        <v>272</v>
      </c>
      <c r="R796" s="17">
        <v>46107</v>
      </c>
      <c r="S796" s="17" t="s">
        <v>17</v>
      </c>
      <c r="T796" s="17" t="s">
        <v>12</v>
      </c>
    </row>
    <row r="797" spans="1:20" ht="24.95" customHeight="1" x14ac:dyDescent="0.3">
      <c r="A797" s="20" t="s">
        <v>9</v>
      </c>
      <c r="B797" s="8" t="s">
        <v>58</v>
      </c>
      <c r="D797" s="16"/>
      <c r="E797" s="17" t="s">
        <v>1683</v>
      </c>
      <c r="F797" s="17" t="s">
        <v>1700</v>
      </c>
      <c r="G797" s="17" t="s">
        <v>1701</v>
      </c>
      <c r="H797" s="16"/>
      <c r="I797" s="17"/>
      <c r="J797" s="16"/>
      <c r="K797" s="17"/>
      <c r="L797" s="16"/>
      <c r="M797" s="17"/>
      <c r="N797" s="16">
        <v>1</v>
      </c>
      <c r="O797" s="18" t="s">
        <v>77</v>
      </c>
      <c r="P797" s="16"/>
      <c r="Q797" s="17"/>
      <c r="R797" s="17">
        <v>46107</v>
      </c>
      <c r="S797" s="17" t="s">
        <v>17</v>
      </c>
      <c r="T797" s="17" t="s">
        <v>12</v>
      </c>
    </row>
    <row r="798" spans="1:20" ht="24.95" customHeight="1" x14ac:dyDescent="0.3">
      <c r="A798" s="21"/>
      <c r="B798" s="8" t="s">
        <v>16</v>
      </c>
      <c r="D798" s="16"/>
      <c r="E798" s="17" t="s">
        <v>1683</v>
      </c>
      <c r="F798" s="17" t="s">
        <v>1702</v>
      </c>
      <c r="G798" s="17" t="s">
        <v>1703</v>
      </c>
      <c r="H798" s="16"/>
      <c r="I798" s="17"/>
      <c r="J798" s="16"/>
      <c r="K798" s="17"/>
      <c r="L798" s="16"/>
      <c r="M798" s="17"/>
      <c r="N798" s="16">
        <v>1</v>
      </c>
      <c r="O798" s="18" t="s">
        <v>77</v>
      </c>
      <c r="P798" s="16"/>
      <c r="Q798" s="17"/>
      <c r="R798" s="17">
        <v>46107</v>
      </c>
      <c r="S798" s="17" t="s">
        <v>17</v>
      </c>
      <c r="T798" s="17" t="s">
        <v>12</v>
      </c>
    </row>
    <row r="799" spans="1:20" ht="24.95" customHeight="1" x14ac:dyDescent="0.3">
      <c r="A799" s="21"/>
      <c r="B799" s="8" t="s">
        <v>759</v>
      </c>
      <c r="D799" s="16"/>
      <c r="E799" s="17" t="s">
        <v>964</v>
      </c>
      <c r="F799" s="17" t="s">
        <v>1704</v>
      </c>
      <c r="G799" s="17" t="s">
        <v>1705</v>
      </c>
      <c r="H799" s="16"/>
      <c r="I799" s="17"/>
      <c r="J799" s="16"/>
      <c r="K799" s="17"/>
      <c r="L799" s="16"/>
      <c r="M799" s="17"/>
      <c r="N799" s="16"/>
      <c r="O799" s="17"/>
      <c r="P799" s="16">
        <v>1</v>
      </c>
      <c r="Q799" s="18" t="s">
        <v>16</v>
      </c>
      <c r="R799" s="17">
        <v>46111</v>
      </c>
      <c r="S799" s="17" t="s">
        <v>17</v>
      </c>
      <c r="T799" s="17" t="s">
        <v>12</v>
      </c>
    </row>
    <row r="800" spans="1:20" ht="24.95" customHeight="1" x14ac:dyDescent="0.3">
      <c r="A800" s="21"/>
      <c r="B800" s="8" t="s">
        <v>25</v>
      </c>
      <c r="D800" s="16"/>
      <c r="E800" s="17" t="s">
        <v>964</v>
      </c>
      <c r="F800" s="17" t="s">
        <v>1706</v>
      </c>
      <c r="G800" s="17" t="s">
        <v>1707</v>
      </c>
      <c r="H800" s="16"/>
      <c r="I800" s="17"/>
      <c r="J800" s="16"/>
      <c r="K800" s="17"/>
      <c r="L800" s="16"/>
      <c r="M800" s="17"/>
      <c r="N800" s="16">
        <v>1</v>
      </c>
      <c r="O800" s="18" t="s">
        <v>77</v>
      </c>
      <c r="P800" s="16"/>
      <c r="Q800" s="17"/>
      <c r="R800" s="17">
        <v>46111</v>
      </c>
      <c r="S800" s="17" t="s">
        <v>17</v>
      </c>
      <c r="T800" s="17" t="s">
        <v>12</v>
      </c>
    </row>
    <row r="801" spans="1:20" ht="24.95" customHeight="1" x14ac:dyDescent="0.3">
      <c r="A801" s="21"/>
      <c r="B801" s="8" t="s">
        <v>272</v>
      </c>
      <c r="D801" s="16"/>
      <c r="E801" s="17" t="s">
        <v>964</v>
      </c>
      <c r="F801" s="17" t="s">
        <v>1708</v>
      </c>
      <c r="G801" s="17" t="s">
        <v>1709</v>
      </c>
      <c r="H801" s="16"/>
      <c r="I801" s="17"/>
      <c r="J801" s="16"/>
      <c r="K801" s="17"/>
      <c r="L801" s="16">
        <v>1</v>
      </c>
      <c r="M801" s="18" t="s">
        <v>48</v>
      </c>
      <c r="N801" s="16"/>
      <c r="O801" s="17"/>
      <c r="P801" s="16"/>
      <c r="Q801" s="17"/>
      <c r="R801" s="17">
        <v>46111</v>
      </c>
      <c r="S801" s="17" t="s">
        <v>17</v>
      </c>
      <c r="T801" s="17" t="s">
        <v>12</v>
      </c>
    </row>
    <row r="802" spans="1:20" ht="24.95" customHeight="1" x14ac:dyDescent="0.3">
      <c r="D802" s="16"/>
      <c r="E802" s="17" t="s">
        <v>964</v>
      </c>
      <c r="F802" s="17" t="s">
        <v>1710</v>
      </c>
      <c r="G802" s="17" t="s">
        <v>1711</v>
      </c>
      <c r="H802" s="16"/>
      <c r="I802" s="17"/>
      <c r="J802" s="16"/>
      <c r="K802" s="17"/>
      <c r="L802" s="16">
        <v>1</v>
      </c>
      <c r="M802" s="18" t="s">
        <v>48</v>
      </c>
      <c r="N802" s="16"/>
      <c r="O802" s="17"/>
      <c r="P802" s="16"/>
      <c r="Q802" s="17"/>
      <c r="R802" s="17">
        <v>46111</v>
      </c>
      <c r="S802" s="17" t="s">
        <v>17</v>
      </c>
      <c r="T802" s="17" t="s">
        <v>12</v>
      </c>
    </row>
    <row r="803" spans="1:20" ht="24.95" customHeight="1" x14ac:dyDescent="0.3">
      <c r="D803" s="16"/>
      <c r="E803" s="17" t="s">
        <v>964</v>
      </c>
      <c r="F803" s="17" t="s">
        <v>1712</v>
      </c>
      <c r="G803" s="17" t="s">
        <v>1713</v>
      </c>
      <c r="H803" s="16"/>
      <c r="I803" s="17"/>
      <c r="J803" s="16"/>
      <c r="K803" s="17"/>
      <c r="L803" s="16">
        <v>1</v>
      </c>
      <c r="M803" s="18" t="s">
        <v>48</v>
      </c>
      <c r="N803" s="16"/>
      <c r="O803" s="17"/>
      <c r="P803" s="16"/>
      <c r="Q803" s="17"/>
      <c r="R803" s="17">
        <v>46111</v>
      </c>
      <c r="S803" s="17" t="s">
        <v>17</v>
      </c>
      <c r="T803" s="17" t="s">
        <v>12</v>
      </c>
    </row>
    <row r="804" spans="1:20" ht="24.95" customHeight="1" x14ac:dyDescent="0.3">
      <c r="D804" s="16"/>
      <c r="E804" s="17" t="s">
        <v>964</v>
      </c>
      <c r="F804" s="17" t="s">
        <v>1714</v>
      </c>
      <c r="G804" s="17" t="s">
        <v>1715</v>
      </c>
      <c r="H804" s="16"/>
      <c r="I804" s="17"/>
      <c r="J804" s="16"/>
      <c r="K804" s="17"/>
      <c r="L804" s="16">
        <v>1</v>
      </c>
      <c r="M804" s="18" t="s">
        <v>48</v>
      </c>
      <c r="N804" s="16"/>
      <c r="O804" s="17"/>
      <c r="P804" s="16"/>
      <c r="Q804" s="17"/>
      <c r="R804" s="17">
        <v>46112</v>
      </c>
      <c r="S804" s="17" t="s">
        <v>17</v>
      </c>
      <c r="T804" s="17" t="s">
        <v>12</v>
      </c>
    </row>
    <row r="805" spans="1:20" ht="24.95" customHeight="1" x14ac:dyDescent="0.3">
      <c r="D805" s="16"/>
      <c r="E805" s="17" t="s">
        <v>1571</v>
      </c>
      <c r="F805" s="17" t="s">
        <v>1716</v>
      </c>
      <c r="G805" s="17" t="s">
        <v>1717</v>
      </c>
      <c r="H805" s="16"/>
      <c r="I805" s="17"/>
      <c r="J805" s="16"/>
      <c r="K805" s="17"/>
      <c r="L805" s="16">
        <v>1</v>
      </c>
      <c r="M805" s="18" t="s">
        <v>48</v>
      </c>
      <c r="N805" s="16"/>
      <c r="O805" s="17"/>
      <c r="P805" s="16"/>
      <c r="Q805" s="17"/>
      <c r="R805" s="17">
        <v>46120</v>
      </c>
      <c r="S805" s="17" t="s">
        <v>17</v>
      </c>
      <c r="T805" s="17" t="s">
        <v>12</v>
      </c>
    </row>
    <row r="806" spans="1:20" ht="24.95" customHeight="1" x14ac:dyDescent="0.3">
      <c r="D806" s="16"/>
      <c r="E806" s="17" t="s">
        <v>1718</v>
      </c>
      <c r="F806" s="17" t="s">
        <v>1719</v>
      </c>
      <c r="G806" s="17" t="s">
        <v>1720</v>
      </c>
      <c r="H806" s="16"/>
      <c r="I806" s="17"/>
      <c r="J806" s="16"/>
      <c r="K806" s="17"/>
      <c r="L806" s="16"/>
      <c r="M806" s="17"/>
      <c r="N806" s="16"/>
      <c r="O806" s="17"/>
      <c r="P806" s="16">
        <v>1</v>
      </c>
      <c r="Q806" s="18" t="s">
        <v>25</v>
      </c>
      <c r="R806" s="17">
        <v>46127</v>
      </c>
      <c r="S806" s="17" t="s">
        <v>17</v>
      </c>
      <c r="T806" s="17" t="s">
        <v>12</v>
      </c>
    </row>
    <row r="807" spans="1:20" ht="24.95" customHeight="1" x14ac:dyDescent="0.3">
      <c r="D807" s="16"/>
      <c r="E807" s="17" t="s">
        <v>1571</v>
      </c>
      <c r="F807" s="17" t="s">
        <v>1721</v>
      </c>
      <c r="G807" s="17" t="s">
        <v>1722</v>
      </c>
      <c r="H807" s="16"/>
      <c r="I807" s="17"/>
      <c r="J807" s="16"/>
      <c r="K807" s="17"/>
      <c r="L807" s="16"/>
      <c r="M807" s="17"/>
      <c r="N807" s="16"/>
      <c r="O807" s="17"/>
      <c r="P807" s="16">
        <v>1</v>
      </c>
      <c r="Q807" s="18" t="s">
        <v>16</v>
      </c>
      <c r="R807" s="17">
        <v>46127</v>
      </c>
      <c r="S807" s="17" t="s">
        <v>17</v>
      </c>
      <c r="T807" s="17" t="s">
        <v>12</v>
      </c>
    </row>
    <row r="808" spans="1:20" ht="24.95" customHeight="1" x14ac:dyDescent="0.3">
      <c r="D808" s="16"/>
      <c r="E808" s="17" t="s">
        <v>1074</v>
      </c>
      <c r="F808" s="17" t="s">
        <v>1723</v>
      </c>
      <c r="G808" s="17" t="s">
        <v>1724</v>
      </c>
      <c r="H808" s="16">
        <v>1</v>
      </c>
      <c r="I808" s="18" t="s">
        <v>277</v>
      </c>
      <c r="J808" s="16"/>
      <c r="K808" s="17"/>
      <c r="L808" s="16"/>
      <c r="M808" s="17"/>
      <c r="N808" s="16"/>
      <c r="O808" s="17"/>
      <c r="P808" s="16"/>
      <c r="Q808" s="17"/>
      <c r="R808" s="17">
        <v>46132</v>
      </c>
      <c r="S808" s="17" t="s">
        <v>17</v>
      </c>
      <c r="T808" s="17" t="s">
        <v>12</v>
      </c>
    </row>
    <row r="809" spans="1:20" ht="24.95" customHeight="1" x14ac:dyDescent="0.3">
      <c r="D809" s="16"/>
      <c r="E809" s="17" t="s">
        <v>1074</v>
      </c>
      <c r="F809" s="17" t="s">
        <v>1725</v>
      </c>
      <c r="G809" s="17" t="s">
        <v>1726</v>
      </c>
      <c r="H809" s="16">
        <v>1</v>
      </c>
      <c r="I809" s="18" t="s">
        <v>277</v>
      </c>
      <c r="J809" s="16"/>
      <c r="K809" s="17"/>
      <c r="L809" s="16"/>
      <c r="M809" s="17"/>
      <c r="N809" s="16"/>
      <c r="O809" s="17"/>
      <c r="P809" s="16"/>
      <c r="Q809" s="17"/>
      <c r="R809" s="17">
        <v>46132</v>
      </c>
      <c r="S809" s="17" t="s">
        <v>17</v>
      </c>
      <c r="T809" s="17" t="s">
        <v>12</v>
      </c>
    </row>
    <row r="810" spans="1:20" ht="24.95" customHeight="1" x14ac:dyDescent="0.3">
      <c r="D810" s="16"/>
      <c r="E810" s="17" t="s">
        <v>1727</v>
      </c>
      <c r="F810" s="17" t="s">
        <v>1728</v>
      </c>
      <c r="G810" s="17" t="s">
        <v>1729</v>
      </c>
      <c r="H810" s="16"/>
      <c r="I810" s="17"/>
      <c r="J810" s="16"/>
      <c r="K810" s="17"/>
      <c r="L810" s="16">
        <v>1</v>
      </c>
      <c r="M810" s="18" t="s">
        <v>92</v>
      </c>
      <c r="N810" s="16"/>
      <c r="O810" s="17"/>
      <c r="P810" s="16"/>
      <c r="Q810" s="17"/>
      <c r="R810" s="17">
        <v>46140</v>
      </c>
      <c r="S810" s="17" t="s">
        <v>17</v>
      </c>
      <c r="T810" s="17" t="s">
        <v>12</v>
      </c>
    </row>
    <row r="811" spans="1:20" ht="24.95" customHeight="1" x14ac:dyDescent="0.3">
      <c r="D811" s="16"/>
      <c r="E811" s="17" t="s">
        <v>1727</v>
      </c>
      <c r="F811" s="17" t="s">
        <v>1730</v>
      </c>
      <c r="G811" s="17" t="s">
        <v>1731</v>
      </c>
      <c r="H811" s="16"/>
      <c r="I811" s="17"/>
      <c r="J811" s="16"/>
      <c r="K811" s="17"/>
      <c r="L811" s="16">
        <v>1</v>
      </c>
      <c r="M811" s="18" t="s">
        <v>92</v>
      </c>
      <c r="N811" s="16"/>
      <c r="O811" s="17"/>
      <c r="P811" s="16"/>
      <c r="Q811" s="17"/>
      <c r="R811" s="17">
        <v>46140</v>
      </c>
      <c r="S811" s="17" t="s">
        <v>17</v>
      </c>
      <c r="T811" s="17" t="s">
        <v>12</v>
      </c>
    </row>
    <row r="812" spans="1:20" ht="24.95" customHeight="1" x14ac:dyDescent="0.3">
      <c r="D812" s="23"/>
      <c r="E812" s="17" t="s">
        <v>1074</v>
      </c>
      <c r="F812" s="17" t="s">
        <v>1732</v>
      </c>
      <c r="G812" s="17" t="s">
        <v>1733</v>
      </c>
      <c r="H812" s="16"/>
      <c r="I812" s="17"/>
      <c r="J812" s="16"/>
      <c r="K812" s="17"/>
      <c r="L812" s="16"/>
      <c r="M812" s="17"/>
      <c r="N812" s="16"/>
      <c r="O812" s="17"/>
      <c r="P812" s="16">
        <v>1</v>
      </c>
      <c r="Q812" s="18" t="s">
        <v>16</v>
      </c>
      <c r="R812" s="17">
        <v>46142</v>
      </c>
      <c r="S812" s="17" t="s">
        <v>17</v>
      </c>
      <c r="T812" s="17" t="s">
        <v>12</v>
      </c>
    </row>
    <row r="813" spans="1:20" ht="24.95" customHeight="1" x14ac:dyDescent="0.3">
      <c r="D813" s="23"/>
      <c r="E813" s="17" t="s">
        <v>1204</v>
      </c>
      <c r="F813" s="17" t="s">
        <v>1734</v>
      </c>
      <c r="G813" s="17" t="s">
        <v>1735</v>
      </c>
      <c r="H813" s="16"/>
      <c r="I813" s="17"/>
      <c r="J813" s="16"/>
      <c r="K813" s="17"/>
      <c r="L813" s="16"/>
      <c r="M813" s="17"/>
      <c r="N813" s="16"/>
      <c r="O813" s="17"/>
      <c r="P813" s="16">
        <v>1</v>
      </c>
      <c r="Q813" s="18" t="s">
        <v>16</v>
      </c>
      <c r="R813" s="17">
        <v>46142</v>
      </c>
      <c r="S813" s="17" t="s">
        <v>17</v>
      </c>
      <c r="T813" t="s">
        <v>1736</v>
      </c>
    </row>
    <row r="814" spans="1:20" ht="24.95" customHeight="1" x14ac:dyDescent="0.3">
      <c r="D814" s="23"/>
      <c r="E814" s="17" t="s">
        <v>1074</v>
      </c>
      <c r="F814" s="17" t="s">
        <v>1737</v>
      </c>
      <c r="G814" s="17" t="s">
        <v>1738</v>
      </c>
      <c r="H814" s="16"/>
      <c r="I814" s="17"/>
      <c r="J814" s="16">
        <v>1</v>
      </c>
      <c r="K814" s="18" t="s">
        <v>130</v>
      </c>
      <c r="L814" s="16"/>
      <c r="M814" s="17"/>
      <c r="N814" s="16"/>
      <c r="O814" s="17"/>
      <c r="P814" s="16"/>
      <c r="Q814" s="17"/>
      <c r="R814" s="17">
        <v>46157</v>
      </c>
      <c r="S814" s="17" t="s">
        <v>17</v>
      </c>
      <c r="T814" t="s">
        <v>1736</v>
      </c>
    </row>
    <row r="815" spans="1:20" ht="24.95" customHeight="1" x14ac:dyDescent="0.3">
      <c r="D815" s="23"/>
      <c r="E815" s="17"/>
      <c r="F815" s="17"/>
      <c r="G815" s="17"/>
      <c r="H815" s="16"/>
      <c r="I815" s="17"/>
      <c r="J815" s="16"/>
      <c r="K815" s="17"/>
      <c r="L815" s="16"/>
      <c r="M815" s="17"/>
      <c r="N815" s="16"/>
      <c r="O815" s="17"/>
      <c r="P815" s="16"/>
      <c r="Q815" s="17"/>
      <c r="R815" s="17"/>
      <c r="S815" s="17"/>
      <c r="T815" s="17"/>
    </row>
    <row r="816" spans="1:20" ht="24.95" customHeight="1" x14ac:dyDescent="0.3">
      <c r="D816" s="23"/>
      <c r="E816" s="17"/>
      <c r="F816" s="17"/>
      <c r="G816" s="17"/>
      <c r="H816" s="16"/>
      <c r="I816" s="17"/>
      <c r="J816" s="16"/>
      <c r="K816" s="17"/>
      <c r="L816" s="16"/>
      <c r="M816" s="17"/>
      <c r="N816" s="16"/>
      <c r="O816" s="17"/>
      <c r="P816" s="16"/>
      <c r="Q816" s="17"/>
      <c r="R816" s="17"/>
      <c r="S816" s="17"/>
      <c r="T816" s="17"/>
    </row>
    <row r="817" spans="4:20" ht="24.95" customHeight="1" x14ac:dyDescent="0.3">
      <c r="D817" s="23"/>
      <c r="E817" s="17"/>
      <c r="F817" s="17"/>
      <c r="G817" s="17"/>
      <c r="H817" s="16"/>
      <c r="I817" s="17"/>
      <c r="J817" s="16"/>
      <c r="K817" s="17"/>
      <c r="L817" s="16"/>
      <c r="M817" s="17"/>
      <c r="N817" s="16"/>
      <c r="O817" s="17"/>
      <c r="P817" s="16"/>
      <c r="Q817" s="17"/>
      <c r="R817" s="17"/>
      <c r="S817" s="17"/>
      <c r="T817" s="17"/>
    </row>
    <row r="818" spans="4:20" ht="24.95" customHeight="1" x14ac:dyDescent="0.3">
      <c r="D818" s="23"/>
      <c r="E818" s="17"/>
      <c r="F818" s="17"/>
      <c r="G818" s="17"/>
      <c r="H818" s="16"/>
      <c r="I818" s="17"/>
      <c r="J818" s="16"/>
      <c r="K818" s="17"/>
      <c r="L818" s="16"/>
      <c r="M818" s="17"/>
      <c r="N818" s="16"/>
      <c r="O818" s="17"/>
      <c r="P818" s="16"/>
      <c r="Q818" s="17"/>
      <c r="R818" s="17"/>
      <c r="S818" s="17"/>
      <c r="T818" s="17"/>
    </row>
    <row r="819" spans="4:20" ht="24.95" customHeight="1" x14ac:dyDescent="0.3">
      <c r="D819" s="23"/>
      <c r="E819" s="17"/>
      <c r="F819" s="17"/>
      <c r="G819" s="17"/>
      <c r="H819" s="16"/>
      <c r="I819" s="17"/>
      <c r="J819" s="16"/>
      <c r="K819" s="17"/>
      <c r="L819" s="16"/>
      <c r="M819" s="17"/>
      <c r="N819" s="16"/>
      <c r="O819" s="17"/>
      <c r="P819" s="16"/>
      <c r="Q819" s="17"/>
      <c r="R819" s="17"/>
      <c r="S819" s="17"/>
      <c r="T819" s="17"/>
    </row>
    <row r="820" spans="4:20" ht="24.95" customHeight="1" x14ac:dyDescent="0.3">
      <c r="D820" s="23"/>
      <c r="E820" s="17"/>
      <c r="F820" s="17"/>
      <c r="G820" s="17"/>
      <c r="H820" s="16"/>
      <c r="I820" s="17"/>
      <c r="J820" s="16"/>
      <c r="K820" s="17"/>
      <c r="L820" s="16"/>
      <c r="M820" s="17"/>
      <c r="N820" s="16"/>
      <c r="O820" s="17"/>
      <c r="P820" s="16"/>
      <c r="Q820" s="17"/>
      <c r="R820" s="17"/>
      <c r="S820" s="17"/>
      <c r="T820" s="17"/>
    </row>
    <row r="821" spans="4:20" ht="24.95" customHeight="1" x14ac:dyDescent="0.3">
      <c r="D821" s="23"/>
      <c r="E821" s="17"/>
      <c r="F821" s="17"/>
      <c r="G821" s="17"/>
      <c r="H821" s="16"/>
      <c r="I821" s="17"/>
      <c r="J821" s="16"/>
      <c r="K821" s="17"/>
      <c r="L821" s="16"/>
      <c r="M821" s="17"/>
      <c r="N821" s="16"/>
      <c r="O821" s="17"/>
      <c r="P821" s="16"/>
      <c r="Q821" s="17"/>
      <c r="R821" s="17"/>
      <c r="S821" s="17"/>
      <c r="T821" s="17"/>
    </row>
    <row r="822" spans="4:20" ht="24.95" customHeight="1" x14ac:dyDescent="0.3">
      <c r="D822" s="23"/>
      <c r="E822" s="17"/>
      <c r="F822" s="17"/>
      <c r="G822" s="17"/>
      <c r="H822" s="16"/>
      <c r="I822" s="17"/>
      <c r="J822" s="16"/>
      <c r="K822" s="17"/>
      <c r="L822" s="16"/>
      <c r="M822" s="17"/>
      <c r="N822" s="16"/>
      <c r="O822" s="17"/>
      <c r="P822" s="16"/>
      <c r="Q822" s="17"/>
      <c r="R822" s="17"/>
      <c r="S822" s="17"/>
      <c r="T822" s="17"/>
    </row>
    <row r="823" spans="4:20" ht="24.95" customHeight="1" x14ac:dyDescent="0.3">
      <c r="D823" s="23"/>
      <c r="E823" s="17"/>
      <c r="F823" s="17"/>
      <c r="G823" s="17"/>
      <c r="H823" s="16"/>
      <c r="I823" s="17"/>
      <c r="J823" s="16"/>
      <c r="K823" s="17"/>
      <c r="L823" s="16"/>
      <c r="M823" s="17"/>
      <c r="N823" s="16"/>
      <c r="O823" s="17"/>
      <c r="P823" s="16"/>
      <c r="Q823" s="17"/>
      <c r="R823" s="17"/>
      <c r="S823" s="17"/>
      <c r="T823" s="17"/>
    </row>
    <row r="824" spans="4:20" ht="24.95" customHeight="1" x14ac:dyDescent="0.3">
      <c r="D824" s="23"/>
      <c r="E824" s="17"/>
      <c r="F824" s="17"/>
      <c r="G824" s="17"/>
      <c r="H824" s="16"/>
      <c r="I824" s="17"/>
      <c r="J824" s="16"/>
      <c r="K824" s="17"/>
      <c r="L824" s="16"/>
      <c r="M824" s="17"/>
      <c r="N824" s="16"/>
      <c r="O824" s="17"/>
      <c r="P824" s="16"/>
      <c r="Q824" s="17"/>
      <c r="R824" s="17"/>
      <c r="S824" s="17"/>
      <c r="T824" s="17"/>
    </row>
    <row r="825" spans="4:20" ht="24.95" customHeight="1" x14ac:dyDescent="0.3">
      <c r="D825" s="23"/>
      <c r="E825" s="17"/>
      <c r="F825" s="17"/>
      <c r="G825" s="17"/>
      <c r="H825" s="16"/>
      <c r="I825" s="17"/>
      <c r="J825" s="16"/>
      <c r="K825" s="17"/>
      <c r="L825" s="16"/>
      <c r="M825" s="17"/>
      <c r="N825" s="16"/>
      <c r="O825" s="17"/>
      <c r="P825" s="16"/>
      <c r="Q825" s="17"/>
      <c r="R825" s="17"/>
      <c r="S825" s="17"/>
      <c r="T825" s="17"/>
    </row>
    <row r="826" spans="4:20" ht="24.95" customHeight="1" x14ac:dyDescent="0.3">
      <c r="D826" s="23"/>
      <c r="E826" s="17"/>
      <c r="F826" s="17"/>
      <c r="G826" s="17"/>
      <c r="H826" s="16"/>
      <c r="I826" s="17"/>
      <c r="J826" s="16"/>
      <c r="K826" s="17"/>
      <c r="L826" s="16"/>
      <c r="M826" s="17"/>
      <c r="N826" s="16"/>
      <c r="O826" s="17"/>
      <c r="P826" s="16"/>
      <c r="Q826" s="17"/>
      <c r="R826" s="17"/>
      <c r="S826" s="17"/>
      <c r="T826" s="17"/>
    </row>
    <row r="827" spans="4:20" ht="24.95" customHeight="1" x14ac:dyDescent="0.3">
      <c r="D827" s="23"/>
      <c r="E827" s="17"/>
      <c r="F827" s="17"/>
      <c r="G827" s="17"/>
      <c r="H827" s="16"/>
      <c r="I827" s="17"/>
      <c r="J827" s="16"/>
      <c r="K827" s="17"/>
      <c r="L827" s="16"/>
      <c r="M827" s="17"/>
      <c r="N827" s="16"/>
      <c r="O827" s="17"/>
      <c r="P827" s="16"/>
      <c r="Q827" s="17"/>
      <c r="R827" s="17"/>
      <c r="S827" s="17"/>
      <c r="T827" s="17"/>
    </row>
    <row r="828" spans="4:20" ht="24.95" customHeight="1" x14ac:dyDescent="0.3">
      <c r="D828" s="23"/>
      <c r="E828" s="17"/>
      <c r="F828" s="17"/>
      <c r="G828" s="17"/>
      <c r="H828" s="16"/>
      <c r="I828" s="17"/>
      <c r="J828" s="16"/>
      <c r="K828" s="17"/>
      <c r="L828" s="16"/>
      <c r="M828" s="17"/>
      <c r="N828" s="16"/>
      <c r="O828" s="17"/>
      <c r="P828" s="16"/>
      <c r="Q828" s="17"/>
      <c r="R828" s="17"/>
      <c r="S828" s="17"/>
      <c r="T828" s="17"/>
    </row>
    <row r="829" spans="4:20" ht="24.95" customHeight="1" x14ac:dyDescent="0.3">
      <c r="D829" s="23"/>
      <c r="E829" s="17"/>
      <c r="F829" s="17"/>
      <c r="G829" s="17"/>
      <c r="H829" s="16"/>
      <c r="I829" s="17"/>
      <c r="J829" s="16"/>
      <c r="K829" s="17"/>
      <c r="L829" s="16"/>
      <c r="M829" s="17"/>
      <c r="N829" s="16"/>
      <c r="O829" s="17"/>
      <c r="P829" s="16"/>
      <c r="Q829" s="17"/>
      <c r="R829" s="17"/>
      <c r="S829" s="17"/>
      <c r="T829" s="17"/>
    </row>
    <row r="830" spans="4:20" ht="24.95" customHeight="1" x14ac:dyDescent="0.3">
      <c r="D830" s="23"/>
      <c r="E830" s="17"/>
      <c r="F830" s="17"/>
      <c r="G830" s="17"/>
      <c r="H830" s="16"/>
      <c r="I830" s="17"/>
      <c r="J830" s="16"/>
      <c r="K830" s="17"/>
      <c r="L830" s="16"/>
      <c r="M830" s="17"/>
      <c r="N830" s="16"/>
      <c r="O830" s="17"/>
      <c r="P830" s="16"/>
      <c r="Q830" s="17"/>
      <c r="R830" s="17"/>
      <c r="S830" s="17"/>
      <c r="T830" s="17"/>
    </row>
    <row r="831" spans="4:20" ht="24.95" customHeight="1" x14ac:dyDescent="0.3">
      <c r="D831" s="23"/>
      <c r="E831" s="17"/>
      <c r="F831" s="17"/>
      <c r="G831" s="17"/>
      <c r="H831" s="16"/>
      <c r="I831" s="17"/>
      <c r="J831" s="16"/>
      <c r="K831" s="17"/>
      <c r="L831" s="16"/>
      <c r="M831" s="17"/>
      <c r="N831" s="16"/>
      <c r="O831" s="17"/>
      <c r="P831" s="16"/>
      <c r="Q831" s="17"/>
      <c r="R831" s="17"/>
      <c r="S831" s="17"/>
      <c r="T831" s="17"/>
    </row>
    <row r="832" spans="4:20" ht="24.95" customHeight="1" x14ac:dyDescent="0.3">
      <c r="D832" s="23"/>
      <c r="E832" s="17"/>
      <c r="F832" s="17"/>
      <c r="G832" s="17"/>
      <c r="H832" s="16"/>
      <c r="I832" s="17"/>
      <c r="J832" s="16"/>
      <c r="K832" s="17"/>
      <c r="L832" s="16"/>
      <c r="M832" s="17"/>
      <c r="N832" s="16"/>
      <c r="O832" s="17"/>
      <c r="P832" s="16"/>
      <c r="Q832" s="17"/>
      <c r="R832" s="17"/>
      <c r="S832" s="17"/>
      <c r="T832" s="17"/>
    </row>
    <row r="833" spans="4:20" ht="24.95" customHeight="1" x14ac:dyDescent="0.3">
      <c r="D833" s="23"/>
      <c r="E833" s="17"/>
      <c r="F833" s="17"/>
      <c r="G833" s="17"/>
      <c r="H833" s="16"/>
      <c r="I833" s="17"/>
      <c r="J833" s="16"/>
      <c r="K833" s="17"/>
      <c r="L833" s="16"/>
      <c r="M833" s="17"/>
      <c r="N833" s="16"/>
      <c r="O833" s="17"/>
      <c r="P833" s="16"/>
      <c r="Q833" s="17"/>
      <c r="R833" s="17"/>
      <c r="S833" s="17"/>
      <c r="T833" s="17"/>
    </row>
    <row r="834" spans="4:20" ht="24.95" customHeight="1" x14ac:dyDescent="0.3">
      <c r="D834" s="23"/>
      <c r="E834" s="17"/>
      <c r="F834" s="17"/>
      <c r="G834" s="17"/>
      <c r="H834" s="16"/>
      <c r="I834" s="17"/>
      <c r="J834" s="16"/>
      <c r="K834" s="17"/>
      <c r="L834" s="16"/>
      <c r="M834" s="17"/>
      <c r="N834" s="16"/>
      <c r="O834" s="17"/>
      <c r="P834" s="16"/>
      <c r="Q834" s="17"/>
      <c r="R834" s="17"/>
      <c r="S834" s="17"/>
      <c r="T834" s="17"/>
    </row>
    <row r="835" spans="4:20" ht="24.95" customHeight="1" x14ac:dyDescent="0.3">
      <c r="D835" s="23"/>
      <c r="E835" s="17"/>
      <c r="F835" s="17"/>
      <c r="G835" s="17"/>
      <c r="H835" s="16"/>
      <c r="I835" s="17"/>
      <c r="J835" s="16"/>
      <c r="K835" s="17"/>
      <c r="L835" s="16"/>
      <c r="M835" s="17"/>
      <c r="N835" s="16"/>
      <c r="O835" s="17"/>
      <c r="P835" s="16"/>
      <c r="Q835" s="17"/>
      <c r="R835" s="17"/>
      <c r="S835" s="17"/>
      <c r="T835" s="17"/>
    </row>
    <row r="836" spans="4:20" ht="24.95" customHeight="1" x14ac:dyDescent="0.3">
      <c r="D836" s="23"/>
      <c r="E836" s="17"/>
      <c r="F836" s="17"/>
      <c r="G836" s="17"/>
      <c r="H836" s="16"/>
      <c r="I836" s="17"/>
      <c r="J836" s="16"/>
      <c r="K836" s="17"/>
      <c r="L836" s="16"/>
      <c r="M836" s="17"/>
      <c r="N836" s="16"/>
      <c r="O836" s="17"/>
      <c r="P836" s="16"/>
      <c r="Q836" s="17"/>
      <c r="R836" s="17"/>
      <c r="S836" s="17"/>
      <c r="T836" s="17"/>
    </row>
    <row r="837" spans="4:20" ht="24.95" customHeight="1" x14ac:dyDescent="0.3">
      <c r="D837" s="23"/>
      <c r="E837" s="17"/>
      <c r="F837" s="17"/>
      <c r="G837" s="17"/>
      <c r="H837" s="16"/>
      <c r="I837" s="17"/>
      <c r="J837" s="16"/>
      <c r="K837" s="17"/>
      <c r="L837" s="16"/>
      <c r="M837" s="17"/>
      <c r="N837" s="16"/>
      <c r="O837" s="17"/>
      <c r="P837" s="16"/>
      <c r="Q837" s="17"/>
      <c r="R837" s="17"/>
      <c r="S837" s="17"/>
      <c r="T837" s="17"/>
    </row>
    <row r="838" spans="4:20" ht="24.95" customHeight="1" x14ac:dyDescent="0.3">
      <c r="D838" s="23"/>
      <c r="E838" s="17"/>
      <c r="F838" s="17"/>
      <c r="G838" s="17"/>
      <c r="H838" s="16"/>
      <c r="I838" s="17"/>
      <c r="J838" s="16"/>
      <c r="K838" s="17"/>
      <c r="L838" s="16"/>
      <c r="M838" s="17"/>
      <c r="N838" s="16"/>
      <c r="O838" s="17"/>
      <c r="P838" s="16"/>
      <c r="Q838" s="17"/>
      <c r="R838" s="17"/>
      <c r="S838" s="17"/>
      <c r="T838" s="17"/>
    </row>
    <row r="839" spans="4:20" ht="24.95" customHeight="1" x14ac:dyDescent="0.3">
      <c r="D839" s="23"/>
      <c r="E839" s="17"/>
      <c r="F839" s="17"/>
      <c r="G839" s="17"/>
      <c r="H839" s="16"/>
      <c r="I839" s="17"/>
      <c r="J839" s="16"/>
      <c r="K839" s="17"/>
      <c r="L839" s="16"/>
      <c r="M839" s="17"/>
      <c r="N839" s="16"/>
      <c r="O839" s="17"/>
      <c r="P839" s="16"/>
      <c r="Q839" s="17"/>
      <c r="R839" s="17"/>
      <c r="S839" s="17"/>
      <c r="T839" s="17"/>
    </row>
    <row r="840" spans="4:20" ht="24.95" customHeight="1" x14ac:dyDescent="0.3">
      <c r="D840" s="23"/>
      <c r="E840" s="17"/>
      <c r="F840" s="17"/>
      <c r="G840" s="17"/>
      <c r="H840" s="16"/>
      <c r="I840" s="17"/>
      <c r="J840" s="16"/>
      <c r="K840" s="17"/>
      <c r="L840" s="16"/>
      <c r="M840" s="17"/>
      <c r="N840" s="16"/>
      <c r="O840" s="17"/>
      <c r="P840" s="16"/>
      <c r="Q840" s="17"/>
      <c r="R840" s="17"/>
      <c r="S840" s="17"/>
      <c r="T840" s="17"/>
    </row>
    <row r="841" spans="4:20" ht="24.95" customHeight="1" x14ac:dyDescent="0.3">
      <c r="D841" s="23"/>
      <c r="E841" s="17"/>
      <c r="F841" s="17"/>
      <c r="G841" s="17"/>
      <c r="H841" s="16"/>
      <c r="I841" s="17"/>
      <c r="J841" s="16"/>
      <c r="K841" s="17"/>
      <c r="L841" s="16"/>
      <c r="M841" s="17"/>
      <c r="N841" s="16"/>
      <c r="O841" s="17"/>
      <c r="P841" s="16"/>
      <c r="Q841" s="17"/>
      <c r="R841" s="17"/>
      <c r="S841" s="17"/>
      <c r="T841" s="17"/>
    </row>
    <row r="842" spans="4:20" ht="24.95" customHeight="1" x14ac:dyDescent="0.3">
      <c r="D842" s="23"/>
      <c r="E842" s="17"/>
      <c r="F842" s="17"/>
      <c r="G842" s="17"/>
      <c r="H842" s="16"/>
      <c r="I842" s="17"/>
      <c r="J842" s="16"/>
      <c r="K842" s="17"/>
      <c r="L842" s="16"/>
      <c r="M842" s="17"/>
      <c r="N842" s="16"/>
      <c r="O842" s="17"/>
      <c r="P842" s="16"/>
      <c r="Q842" s="17"/>
      <c r="R842" s="17"/>
      <c r="S842" s="17"/>
      <c r="T842" s="17"/>
    </row>
    <row r="843" spans="4:20" ht="24.95" customHeight="1" x14ac:dyDescent="0.3">
      <c r="D843" s="23"/>
      <c r="E843" s="17"/>
      <c r="F843" s="17"/>
      <c r="G843" s="17"/>
      <c r="H843" s="16"/>
      <c r="I843" s="17"/>
      <c r="J843" s="16"/>
      <c r="K843" s="17"/>
      <c r="L843" s="16"/>
      <c r="M843" s="17"/>
      <c r="N843" s="16"/>
      <c r="O843" s="17"/>
      <c r="P843" s="16"/>
      <c r="Q843" s="17"/>
      <c r="R843" s="17"/>
      <c r="S843" s="17"/>
      <c r="T843" s="17"/>
    </row>
    <row r="844" spans="4:20" ht="24.95" customHeight="1" x14ac:dyDescent="0.3">
      <c r="D844" s="23"/>
      <c r="E844" s="17"/>
      <c r="F844" s="17"/>
      <c r="G844" s="17"/>
      <c r="H844" s="16"/>
      <c r="I844" s="17"/>
      <c r="J844" s="16"/>
      <c r="K844" s="17"/>
      <c r="L844" s="16"/>
      <c r="M844" s="17"/>
      <c r="N844" s="16"/>
      <c r="O844" s="17"/>
      <c r="P844" s="16"/>
      <c r="Q844" s="17"/>
      <c r="R844" s="17"/>
      <c r="S844" s="17"/>
      <c r="T844" s="17"/>
    </row>
    <row r="845" spans="4:20" ht="24.95" customHeight="1" x14ac:dyDescent="0.3">
      <c r="D845" s="23"/>
      <c r="E845" s="17"/>
      <c r="F845" s="17"/>
      <c r="G845" s="17"/>
      <c r="H845" s="16"/>
      <c r="I845" s="17"/>
      <c r="J845" s="16"/>
      <c r="K845" s="17"/>
      <c r="L845" s="16"/>
      <c r="M845" s="17"/>
      <c r="N845" s="16"/>
      <c r="O845" s="17"/>
      <c r="P845" s="16"/>
      <c r="Q845" s="17"/>
      <c r="R845" s="17"/>
      <c r="S845" s="17"/>
      <c r="T845" s="17"/>
    </row>
    <row r="846" spans="4:20" ht="24.95" customHeight="1" x14ac:dyDescent="0.3">
      <c r="D846" s="23"/>
      <c r="E846" s="17"/>
      <c r="F846" s="17"/>
      <c r="G846" s="17"/>
      <c r="H846" s="16"/>
      <c r="I846" s="17"/>
      <c r="J846" s="16"/>
      <c r="K846" s="17"/>
      <c r="L846" s="16"/>
      <c r="M846" s="17"/>
      <c r="N846" s="16"/>
      <c r="O846" s="17"/>
      <c r="P846" s="16"/>
      <c r="Q846" s="17"/>
      <c r="R846" s="17"/>
      <c r="S846" s="17"/>
      <c r="T846" s="17"/>
    </row>
    <row r="847" spans="4:20" ht="24.95" customHeight="1" x14ac:dyDescent="0.3">
      <c r="D847" s="23"/>
      <c r="E847" s="17"/>
      <c r="F847" s="17"/>
      <c r="G847" s="17"/>
      <c r="H847" s="16"/>
      <c r="I847" s="17"/>
      <c r="J847" s="16"/>
      <c r="K847" s="17"/>
      <c r="L847" s="16"/>
      <c r="M847" s="17"/>
      <c r="N847" s="16"/>
      <c r="O847" s="17"/>
      <c r="P847" s="16"/>
      <c r="Q847" s="17"/>
      <c r="R847" s="17"/>
      <c r="S847" s="17"/>
      <c r="T847" s="17"/>
    </row>
    <row r="848" spans="4:20" ht="24.95" customHeight="1" x14ac:dyDescent="0.3">
      <c r="D848" s="23"/>
      <c r="E848" s="17"/>
      <c r="F848" s="17"/>
      <c r="G848" s="17"/>
      <c r="H848" s="16"/>
      <c r="I848" s="17"/>
      <c r="J848" s="16"/>
      <c r="K848" s="17"/>
      <c r="L848" s="16"/>
      <c r="M848" s="17"/>
      <c r="N848" s="16"/>
      <c r="O848" s="17"/>
      <c r="P848" s="16"/>
      <c r="Q848" s="17"/>
      <c r="R848" s="17"/>
      <c r="S848" s="17"/>
      <c r="T848" s="17"/>
    </row>
    <row r="849" spans="4:20" ht="24.95" customHeight="1" x14ac:dyDescent="0.3">
      <c r="D849" s="23"/>
      <c r="E849" s="17"/>
      <c r="F849" s="17"/>
      <c r="G849" s="17"/>
      <c r="H849" s="16"/>
      <c r="I849" s="17"/>
      <c r="J849" s="16"/>
      <c r="K849" s="17"/>
      <c r="L849" s="16"/>
      <c r="M849" s="17"/>
      <c r="N849" s="16"/>
      <c r="O849" s="17"/>
      <c r="P849" s="16"/>
      <c r="Q849" s="17"/>
      <c r="R849" s="17"/>
      <c r="S849" s="17"/>
      <c r="T849" s="17"/>
    </row>
    <row r="850" spans="4:20" ht="24.95" customHeight="1" x14ac:dyDescent="0.3">
      <c r="D850" s="23"/>
      <c r="E850" s="17"/>
      <c r="F850" s="17"/>
      <c r="G850" s="17"/>
      <c r="H850" s="16"/>
      <c r="I850" s="17"/>
      <c r="J850" s="16"/>
      <c r="K850" s="17"/>
      <c r="L850" s="16"/>
      <c r="M850" s="17"/>
      <c r="N850" s="16"/>
      <c r="O850" s="17"/>
      <c r="P850" s="16"/>
      <c r="Q850" s="17"/>
      <c r="R850" s="17"/>
      <c r="S850" s="17"/>
      <c r="T850" s="17"/>
    </row>
    <row r="851" spans="4:20" ht="24.95" customHeight="1" x14ac:dyDescent="0.3">
      <c r="D851" s="23"/>
      <c r="E851" s="17"/>
      <c r="F851" s="17"/>
      <c r="G851" s="17"/>
      <c r="H851" s="16"/>
      <c r="I851" s="17"/>
      <c r="J851" s="16"/>
      <c r="K851" s="17"/>
      <c r="L851" s="16"/>
      <c r="M851" s="17"/>
      <c r="N851" s="16"/>
      <c r="O851" s="17"/>
      <c r="P851" s="16"/>
      <c r="Q851" s="17"/>
      <c r="R851" s="17"/>
      <c r="S851" s="17"/>
      <c r="T851" s="17"/>
    </row>
    <row r="852" spans="4:20" ht="24.95" customHeight="1" x14ac:dyDescent="0.3">
      <c r="D852" s="23"/>
      <c r="E852" s="17"/>
      <c r="F852" s="17"/>
      <c r="G852" s="17"/>
      <c r="H852" s="16"/>
      <c r="I852" s="17"/>
      <c r="J852" s="16"/>
      <c r="K852" s="17"/>
      <c r="L852" s="16"/>
      <c r="M852" s="17"/>
      <c r="N852" s="16"/>
      <c r="O852" s="17"/>
      <c r="P852" s="16"/>
      <c r="Q852" s="17"/>
      <c r="R852" s="17"/>
      <c r="S852" s="17"/>
      <c r="T852" s="17"/>
    </row>
    <row r="853" spans="4:20" ht="24.95" customHeight="1" x14ac:dyDescent="0.3">
      <c r="D853" s="23"/>
      <c r="E853" s="17"/>
      <c r="F853" s="17"/>
      <c r="G853" s="17"/>
      <c r="H853" s="16"/>
      <c r="I853" s="17"/>
      <c r="J853" s="16"/>
      <c r="K853" s="17"/>
      <c r="L853" s="16"/>
      <c r="M853" s="17"/>
      <c r="N853" s="16"/>
      <c r="O853" s="17"/>
      <c r="P853" s="16"/>
      <c r="Q853" s="17"/>
      <c r="R853" s="17"/>
      <c r="S853" s="17"/>
      <c r="T853" s="17"/>
    </row>
    <row r="854" spans="4:20" ht="24.95" customHeight="1" x14ac:dyDescent="0.3">
      <c r="D854" s="23"/>
      <c r="E854" s="17"/>
      <c r="F854" s="17"/>
      <c r="G854" s="17"/>
      <c r="H854" s="16"/>
      <c r="I854" s="17"/>
      <c r="J854" s="16"/>
      <c r="K854" s="17"/>
      <c r="L854" s="16"/>
      <c r="M854" s="17"/>
      <c r="N854" s="16"/>
      <c r="O854" s="17"/>
      <c r="P854" s="16"/>
      <c r="Q854" s="17"/>
      <c r="R854" s="17"/>
      <c r="S854" s="17"/>
      <c r="T854" s="17"/>
    </row>
    <row r="855" spans="4:20" ht="24.95" customHeight="1" x14ac:dyDescent="0.3">
      <c r="D855" s="23"/>
      <c r="E855" s="17"/>
      <c r="F855" s="17"/>
      <c r="G855" s="17"/>
      <c r="H855" s="16"/>
      <c r="I855" s="17"/>
      <c r="J855" s="16"/>
      <c r="K855" s="17"/>
      <c r="L855" s="16"/>
      <c r="M855" s="17"/>
      <c r="N855" s="16"/>
      <c r="O855" s="17"/>
      <c r="P855" s="16"/>
      <c r="Q855" s="17"/>
      <c r="R855" s="17"/>
      <c r="S855" s="17"/>
      <c r="T855" s="17"/>
    </row>
    <row r="856" spans="4:20" ht="24.95" customHeight="1" x14ac:dyDescent="0.3">
      <c r="D856" s="23"/>
      <c r="E856" s="17"/>
      <c r="F856" s="17"/>
      <c r="G856" s="17"/>
      <c r="H856" s="16"/>
      <c r="I856" s="17"/>
      <c r="J856" s="16"/>
      <c r="K856" s="17"/>
      <c r="L856" s="16"/>
      <c r="M856" s="17"/>
      <c r="N856" s="16"/>
      <c r="O856" s="17"/>
      <c r="P856" s="16"/>
      <c r="Q856" s="17"/>
      <c r="R856" s="17"/>
      <c r="S856" s="17"/>
      <c r="T856" s="17"/>
    </row>
    <row r="857" spans="4:20" ht="24.95" customHeight="1" x14ac:dyDescent="0.3">
      <c r="D857" s="23"/>
      <c r="E857" s="17"/>
      <c r="F857" s="17"/>
      <c r="G857" s="17"/>
      <c r="H857" s="16"/>
      <c r="I857" s="17"/>
      <c r="J857" s="16"/>
      <c r="K857" s="17"/>
      <c r="L857" s="16"/>
      <c r="M857" s="17"/>
      <c r="N857" s="16"/>
      <c r="O857" s="17"/>
      <c r="P857" s="16"/>
      <c r="Q857" s="17"/>
      <c r="R857" s="17"/>
      <c r="S857" s="17"/>
      <c r="T857" s="17"/>
    </row>
    <row r="858" spans="4:20" ht="24.95" customHeight="1" x14ac:dyDescent="0.3">
      <c r="D858" s="23"/>
      <c r="E858" s="17"/>
      <c r="F858" s="17"/>
      <c r="G858" s="17"/>
      <c r="H858" s="16"/>
      <c r="I858" s="17"/>
      <c r="J858" s="16"/>
      <c r="K858" s="17"/>
      <c r="L858" s="16"/>
      <c r="M858" s="17"/>
      <c r="N858" s="16"/>
      <c r="O858" s="17"/>
      <c r="P858" s="16"/>
      <c r="Q858" s="17"/>
      <c r="R858" s="17"/>
      <c r="S858" s="17"/>
      <c r="T858" s="17"/>
    </row>
    <row r="859" spans="4:20" ht="24.95" customHeight="1" x14ac:dyDescent="0.3">
      <c r="D859" s="23"/>
      <c r="E859" s="17"/>
      <c r="F859" s="17"/>
      <c r="G859" s="17"/>
      <c r="H859" s="16"/>
      <c r="I859" s="17"/>
      <c r="J859" s="16"/>
      <c r="K859" s="17"/>
      <c r="L859" s="16"/>
      <c r="M859" s="17"/>
      <c r="N859" s="16"/>
      <c r="O859" s="17"/>
      <c r="P859" s="16"/>
      <c r="Q859" s="17"/>
      <c r="R859" s="17"/>
      <c r="S859" s="17"/>
      <c r="T859" s="17"/>
    </row>
    <row r="860" spans="4:20" ht="24.95" customHeight="1" x14ac:dyDescent="0.3">
      <c r="D860" s="23"/>
      <c r="E860" s="17"/>
      <c r="F860" s="17"/>
      <c r="G860" s="17"/>
      <c r="H860" s="16"/>
      <c r="I860" s="17"/>
      <c r="J860" s="16"/>
      <c r="K860" s="17"/>
      <c r="L860" s="16"/>
      <c r="M860" s="17"/>
      <c r="N860" s="16"/>
      <c r="O860" s="17"/>
      <c r="P860" s="16"/>
      <c r="Q860" s="17"/>
      <c r="R860" s="17"/>
      <c r="S860" s="17"/>
      <c r="T860" s="17"/>
    </row>
    <row r="861" spans="4:20" ht="24.95" customHeight="1" x14ac:dyDescent="0.3">
      <c r="D861" s="23"/>
      <c r="E861" s="17"/>
      <c r="F861" s="17"/>
      <c r="G861" s="17"/>
      <c r="H861" s="16"/>
      <c r="I861" s="17"/>
      <c r="J861" s="16"/>
      <c r="K861" s="17"/>
      <c r="L861" s="16"/>
      <c r="M861" s="17"/>
      <c r="N861" s="16"/>
      <c r="O861" s="17"/>
      <c r="P861" s="16"/>
      <c r="Q861" s="17"/>
      <c r="R861" s="17"/>
      <c r="S861" s="17"/>
      <c r="T861" s="17"/>
    </row>
    <row r="862" spans="4:20" ht="24.95" customHeight="1" x14ac:dyDescent="0.3">
      <c r="D862" s="23"/>
      <c r="E862" s="17"/>
      <c r="F862" s="17"/>
      <c r="G862" s="17"/>
      <c r="H862" s="16"/>
      <c r="I862" s="17"/>
      <c r="J862" s="16"/>
      <c r="K862" s="17"/>
      <c r="L862" s="16"/>
      <c r="M862" s="17"/>
      <c r="N862" s="16"/>
      <c r="O862" s="17"/>
      <c r="P862" s="16"/>
      <c r="Q862" s="17"/>
      <c r="R862" s="17"/>
      <c r="S862" s="17"/>
      <c r="T862" s="17"/>
    </row>
    <row r="863" spans="4:20" ht="24.95" customHeight="1" x14ac:dyDescent="0.3">
      <c r="D863" s="23"/>
      <c r="E863" s="17"/>
      <c r="F863" s="17"/>
      <c r="G863" s="17"/>
      <c r="H863" s="16"/>
      <c r="I863" s="17"/>
      <c r="J863" s="16"/>
      <c r="K863" s="17"/>
      <c r="L863" s="16"/>
      <c r="M863" s="17"/>
      <c r="N863" s="16"/>
      <c r="O863" s="17"/>
      <c r="P863" s="16"/>
      <c r="Q863" s="17"/>
      <c r="R863" s="17"/>
      <c r="S863" s="17"/>
      <c r="T863" s="17"/>
    </row>
    <row r="864" spans="4:20" ht="24.95" customHeight="1" x14ac:dyDescent="0.3">
      <c r="D864" s="23"/>
      <c r="E864" s="17"/>
      <c r="F864" s="17"/>
      <c r="G864" s="17"/>
      <c r="H864" s="16"/>
      <c r="I864" s="17"/>
      <c r="J864" s="16"/>
      <c r="K864" s="17"/>
      <c r="L864" s="16"/>
      <c r="M864" s="17"/>
      <c r="N864" s="16"/>
      <c r="O864" s="17"/>
      <c r="P864" s="16"/>
      <c r="Q864" s="17"/>
      <c r="R864" s="17"/>
      <c r="S864" s="17"/>
      <c r="T864" s="17"/>
    </row>
    <row r="865" spans="4:20" ht="24.95" customHeight="1" x14ac:dyDescent="0.3">
      <c r="D865" s="23"/>
      <c r="E865" s="17"/>
      <c r="F865" s="17"/>
      <c r="G865" s="17"/>
      <c r="H865" s="16"/>
      <c r="I865" s="17"/>
      <c r="J865" s="16"/>
      <c r="K865" s="17"/>
      <c r="L865" s="16"/>
      <c r="M865" s="17"/>
      <c r="N865" s="16"/>
      <c r="O865" s="17"/>
      <c r="P865" s="16"/>
      <c r="Q865" s="17"/>
      <c r="R865" s="17"/>
      <c r="S865" s="17"/>
      <c r="T865" s="17"/>
    </row>
    <row r="866" spans="4:20" ht="24.95" customHeight="1" x14ac:dyDescent="0.3">
      <c r="D866" s="23"/>
      <c r="E866" s="17"/>
      <c r="F866" s="17"/>
      <c r="G866" s="17"/>
      <c r="H866" s="16"/>
      <c r="I866" s="17"/>
      <c r="J866" s="16"/>
      <c r="K866" s="17"/>
      <c r="L866" s="16"/>
      <c r="M866" s="17"/>
      <c r="N866" s="16"/>
      <c r="O866" s="17"/>
      <c r="P866" s="16"/>
      <c r="Q866" s="17"/>
      <c r="R866" s="17"/>
      <c r="S866" s="17"/>
      <c r="T866" s="17"/>
    </row>
    <row r="867" spans="4:20" ht="24.95" customHeight="1" x14ac:dyDescent="0.3">
      <c r="D867" s="23"/>
      <c r="E867" s="17"/>
      <c r="F867" s="17"/>
      <c r="G867" s="17"/>
      <c r="H867" s="16"/>
      <c r="I867" s="17"/>
      <c r="J867" s="16"/>
      <c r="K867" s="17"/>
      <c r="L867" s="16"/>
      <c r="M867" s="17"/>
      <c r="N867" s="16"/>
      <c r="O867" s="17"/>
      <c r="P867" s="16"/>
      <c r="Q867" s="17"/>
      <c r="R867" s="17"/>
      <c r="S867" s="17"/>
      <c r="T867" s="17"/>
    </row>
    <row r="868" spans="4:20" ht="24.95" customHeight="1" x14ac:dyDescent="0.3">
      <c r="D868" s="23"/>
      <c r="E868" s="17"/>
      <c r="F868" s="17"/>
      <c r="G868" s="17"/>
      <c r="H868" s="16"/>
      <c r="I868" s="17"/>
      <c r="J868" s="16"/>
      <c r="K868" s="17"/>
      <c r="L868" s="16"/>
      <c r="M868" s="17"/>
      <c r="N868" s="16"/>
      <c r="O868" s="17"/>
      <c r="P868" s="16"/>
      <c r="Q868" s="17"/>
      <c r="R868" s="17"/>
      <c r="S868" s="17"/>
      <c r="T868" s="17"/>
    </row>
    <row r="869" spans="4:20" ht="24.95" customHeight="1" x14ac:dyDescent="0.3">
      <c r="D869" s="23"/>
      <c r="E869" s="17"/>
      <c r="F869" s="17"/>
      <c r="G869" s="17"/>
      <c r="H869" s="16"/>
      <c r="I869" s="17"/>
      <c r="J869" s="16"/>
      <c r="K869" s="17"/>
      <c r="L869" s="16"/>
      <c r="M869" s="17"/>
      <c r="N869" s="16"/>
      <c r="O869" s="17"/>
      <c r="P869" s="16"/>
      <c r="Q869" s="17"/>
      <c r="R869" s="17"/>
      <c r="S869" s="17"/>
      <c r="T869" s="17"/>
    </row>
    <row r="870" spans="4:20" ht="24.95" customHeight="1" x14ac:dyDescent="0.3">
      <c r="D870" s="23"/>
      <c r="E870" s="17"/>
      <c r="F870" s="17"/>
      <c r="G870" s="17"/>
      <c r="H870" s="16"/>
      <c r="I870" s="17"/>
      <c r="J870" s="16"/>
      <c r="K870" s="17"/>
      <c r="L870" s="16"/>
      <c r="M870" s="17"/>
      <c r="N870" s="16"/>
      <c r="O870" s="17"/>
      <c r="P870" s="16"/>
      <c r="Q870" s="17"/>
      <c r="R870" s="17"/>
      <c r="S870" s="17"/>
      <c r="T870" s="17"/>
    </row>
    <row r="871" spans="4:20" ht="24.95" customHeight="1" x14ac:dyDescent="0.3">
      <c r="D871" s="23"/>
      <c r="E871" s="17"/>
      <c r="F871" s="17"/>
      <c r="G871" s="17"/>
      <c r="H871" s="16"/>
      <c r="I871" s="17"/>
      <c r="J871" s="16"/>
      <c r="K871" s="17"/>
      <c r="L871" s="16"/>
      <c r="M871" s="17"/>
      <c r="N871" s="16"/>
      <c r="O871" s="17"/>
      <c r="P871" s="16"/>
      <c r="Q871" s="17"/>
      <c r="R871" s="17"/>
      <c r="S871" s="17"/>
      <c r="T871" s="17"/>
    </row>
    <row r="872" spans="4:20" ht="24.95" customHeight="1" x14ac:dyDescent="0.3">
      <c r="D872" s="23"/>
      <c r="E872" s="17"/>
      <c r="F872" s="17"/>
      <c r="G872" s="17"/>
      <c r="H872" s="16"/>
      <c r="I872" s="17"/>
      <c r="J872" s="16"/>
      <c r="K872" s="17"/>
      <c r="L872" s="16"/>
      <c r="M872" s="17"/>
      <c r="N872" s="16"/>
      <c r="O872" s="17"/>
      <c r="P872" s="16"/>
      <c r="Q872" s="17"/>
      <c r="R872" s="17"/>
      <c r="S872" s="17"/>
      <c r="T872" s="17"/>
    </row>
    <row r="873" spans="4:20" ht="24.95" customHeight="1" x14ac:dyDescent="0.3">
      <c r="D873" s="23"/>
      <c r="E873" s="17"/>
      <c r="F873" s="17"/>
      <c r="G873" s="17"/>
      <c r="H873" s="16"/>
      <c r="I873" s="17"/>
      <c r="J873" s="16"/>
      <c r="K873" s="17"/>
      <c r="L873" s="16"/>
      <c r="M873" s="17"/>
      <c r="N873" s="16"/>
      <c r="O873" s="17"/>
      <c r="P873" s="16"/>
      <c r="Q873" s="17"/>
      <c r="R873" s="17"/>
      <c r="S873" s="17"/>
      <c r="T873" s="17"/>
    </row>
    <row r="874" spans="4:20" ht="24.95" customHeight="1" x14ac:dyDescent="0.3">
      <c r="D874" s="23"/>
      <c r="E874" s="17"/>
      <c r="F874" s="17"/>
      <c r="G874" s="17"/>
      <c r="H874" s="16"/>
      <c r="I874" s="17"/>
      <c r="J874" s="16"/>
      <c r="K874" s="17"/>
      <c r="L874" s="16"/>
      <c r="M874" s="17"/>
      <c r="N874" s="16"/>
      <c r="O874" s="17"/>
      <c r="P874" s="16"/>
      <c r="Q874" s="17"/>
      <c r="R874" s="17"/>
      <c r="S874" s="17"/>
      <c r="T874" s="17"/>
    </row>
    <row r="875" spans="4:20" ht="24.95" customHeight="1" x14ac:dyDescent="0.3">
      <c r="D875" s="23"/>
      <c r="E875" s="17"/>
      <c r="F875" s="17"/>
      <c r="G875" s="17"/>
      <c r="H875" s="16"/>
      <c r="I875" s="17"/>
      <c r="J875" s="16"/>
      <c r="K875" s="17"/>
      <c r="L875" s="16"/>
      <c r="M875" s="17"/>
      <c r="N875" s="16"/>
      <c r="O875" s="17"/>
      <c r="P875" s="16"/>
      <c r="Q875" s="17"/>
      <c r="R875" s="17"/>
      <c r="S875" s="17"/>
      <c r="T875" s="17"/>
    </row>
    <row r="876" spans="4:20" ht="24.95" customHeight="1" x14ac:dyDescent="0.3">
      <c r="D876" s="23"/>
      <c r="E876" s="17"/>
      <c r="F876" s="17"/>
      <c r="G876" s="17"/>
      <c r="H876" s="16"/>
      <c r="I876" s="17"/>
      <c r="J876" s="16"/>
      <c r="K876" s="17"/>
      <c r="L876" s="16"/>
      <c r="M876" s="17"/>
      <c r="N876" s="16"/>
      <c r="O876" s="17"/>
      <c r="P876" s="16"/>
      <c r="Q876" s="17"/>
      <c r="R876" s="17"/>
      <c r="S876" s="17"/>
      <c r="T876" s="17"/>
    </row>
    <row r="877" spans="4:20" ht="24.95" customHeight="1" x14ac:dyDescent="0.3">
      <c r="D877" s="23"/>
      <c r="E877" s="17"/>
      <c r="F877" s="17"/>
      <c r="G877" s="17"/>
      <c r="H877" s="16"/>
      <c r="I877" s="17"/>
      <c r="J877" s="16"/>
      <c r="K877" s="17"/>
      <c r="L877" s="16"/>
      <c r="M877" s="17"/>
      <c r="N877" s="16"/>
      <c r="O877" s="17"/>
      <c r="P877" s="16"/>
      <c r="Q877" s="17"/>
      <c r="R877" s="17"/>
      <c r="S877" s="17"/>
      <c r="T877" s="17"/>
    </row>
    <row r="878" spans="4:20" ht="24.95" customHeight="1" x14ac:dyDescent="0.3">
      <c r="D878" s="23"/>
      <c r="E878" s="17"/>
      <c r="F878" s="17"/>
      <c r="G878" s="17"/>
      <c r="H878" s="16"/>
      <c r="I878" s="17"/>
      <c r="J878" s="16"/>
      <c r="K878" s="17"/>
      <c r="L878" s="16"/>
      <c r="M878" s="17"/>
      <c r="N878" s="16"/>
      <c r="O878" s="17"/>
      <c r="P878" s="16"/>
      <c r="Q878" s="17"/>
      <c r="R878" s="17"/>
      <c r="S878" s="17"/>
      <c r="T878" s="17"/>
    </row>
    <row r="879" spans="4:20" ht="24.95" customHeight="1" x14ac:dyDescent="0.3">
      <c r="D879" s="23"/>
      <c r="E879" s="17"/>
      <c r="F879" s="17"/>
      <c r="G879" s="17"/>
      <c r="H879" s="16"/>
      <c r="I879" s="17"/>
      <c r="J879" s="16"/>
      <c r="K879" s="17"/>
      <c r="L879" s="16"/>
      <c r="M879" s="17"/>
      <c r="N879" s="16"/>
      <c r="O879" s="17"/>
      <c r="P879" s="16"/>
      <c r="Q879" s="17"/>
      <c r="R879" s="17"/>
      <c r="S879" s="17"/>
      <c r="T879" s="17"/>
    </row>
    <row r="880" spans="4:20" ht="24.95" customHeight="1" x14ac:dyDescent="0.3">
      <c r="D880" s="23"/>
      <c r="E880" s="17"/>
      <c r="F880" s="17"/>
      <c r="G880" s="17"/>
      <c r="H880" s="16"/>
      <c r="I880" s="17"/>
      <c r="J880" s="16"/>
      <c r="K880" s="17"/>
      <c r="L880" s="16"/>
      <c r="M880" s="17"/>
      <c r="N880" s="16"/>
      <c r="O880" s="17"/>
      <c r="P880" s="16"/>
      <c r="Q880" s="17"/>
      <c r="R880" s="17"/>
      <c r="S880" s="17"/>
      <c r="T880" s="17"/>
    </row>
    <row r="881" spans="4:20" ht="24.95" customHeight="1" x14ac:dyDescent="0.3">
      <c r="D881" s="23"/>
      <c r="E881" s="17"/>
      <c r="F881" s="17"/>
      <c r="G881" s="17"/>
      <c r="H881" s="16"/>
      <c r="I881" s="17"/>
      <c r="J881" s="16"/>
      <c r="K881" s="17"/>
      <c r="L881" s="16"/>
      <c r="M881" s="17"/>
      <c r="N881" s="16"/>
      <c r="O881" s="17"/>
      <c r="P881" s="16"/>
      <c r="Q881" s="17"/>
      <c r="R881" s="17"/>
      <c r="S881" s="17"/>
      <c r="T881" s="17"/>
    </row>
    <row r="882" spans="4:20" ht="24.95" customHeight="1" x14ac:dyDescent="0.3">
      <c r="D882" s="23"/>
      <c r="E882" s="17"/>
      <c r="F882" s="17"/>
      <c r="G882" s="17"/>
      <c r="H882" s="16"/>
      <c r="I882" s="17"/>
      <c r="J882" s="16"/>
      <c r="K882" s="17"/>
      <c r="L882" s="16"/>
      <c r="M882" s="17"/>
      <c r="N882" s="16"/>
      <c r="O882" s="17"/>
      <c r="P882" s="16"/>
      <c r="Q882" s="17"/>
      <c r="R882" s="17"/>
      <c r="S882" s="17"/>
      <c r="T882" s="17"/>
    </row>
    <row r="883" spans="4:20" ht="24.95" customHeight="1" x14ac:dyDescent="0.3">
      <c r="D883" s="23"/>
      <c r="E883" s="17"/>
      <c r="F883" s="17"/>
      <c r="G883" s="17"/>
      <c r="H883" s="16"/>
      <c r="I883" s="17"/>
      <c r="J883" s="16"/>
      <c r="K883" s="17"/>
      <c r="L883" s="16"/>
      <c r="M883" s="17"/>
      <c r="N883" s="16"/>
      <c r="O883" s="17"/>
      <c r="P883" s="16"/>
      <c r="Q883" s="17"/>
      <c r="R883" s="17"/>
      <c r="S883" s="17"/>
      <c r="T883" s="17"/>
    </row>
    <row r="884" spans="4:20" ht="24.95" customHeight="1" x14ac:dyDescent="0.3">
      <c r="D884" s="23"/>
      <c r="E884" s="17"/>
      <c r="F884" s="17"/>
      <c r="G884" s="17"/>
      <c r="H884" s="16"/>
      <c r="I884" s="17"/>
      <c r="J884" s="16"/>
      <c r="K884" s="17"/>
      <c r="L884" s="16"/>
      <c r="M884" s="17"/>
      <c r="N884" s="16"/>
      <c r="O884" s="17"/>
      <c r="P884" s="16"/>
      <c r="Q884" s="17"/>
      <c r="R884" s="17"/>
      <c r="S884" s="17"/>
      <c r="T884" s="17"/>
    </row>
    <row r="885" spans="4:20" ht="24.95" customHeight="1" x14ac:dyDescent="0.3">
      <c r="D885" s="23"/>
      <c r="E885" s="17"/>
      <c r="F885" s="17"/>
      <c r="G885" s="17"/>
      <c r="H885" s="16"/>
      <c r="I885" s="17"/>
      <c r="J885" s="16"/>
      <c r="K885" s="17"/>
      <c r="L885" s="16"/>
      <c r="M885" s="17"/>
      <c r="N885" s="16"/>
      <c r="O885" s="17"/>
      <c r="P885" s="16"/>
      <c r="Q885" s="17"/>
      <c r="R885" s="17"/>
      <c r="S885" s="17"/>
      <c r="T885" s="17"/>
    </row>
    <row r="886" spans="4:20" ht="24.95" customHeight="1" x14ac:dyDescent="0.3">
      <c r="D886" s="23"/>
      <c r="E886" s="17"/>
      <c r="F886" s="17"/>
      <c r="G886" s="17"/>
      <c r="H886" s="16"/>
      <c r="I886" s="17"/>
      <c r="J886" s="16"/>
      <c r="K886" s="17"/>
      <c r="L886" s="16"/>
      <c r="M886" s="17"/>
      <c r="N886" s="16"/>
      <c r="O886" s="17"/>
      <c r="P886" s="16"/>
      <c r="Q886" s="17"/>
      <c r="R886" s="17"/>
      <c r="S886" s="17"/>
      <c r="T886" s="17"/>
    </row>
    <row r="887" spans="4:20" ht="24.95" customHeight="1" x14ac:dyDescent="0.3">
      <c r="D887" s="23"/>
      <c r="E887" s="17"/>
      <c r="F887" s="17"/>
      <c r="G887" s="17"/>
      <c r="H887" s="16"/>
      <c r="I887" s="17"/>
      <c r="J887" s="16"/>
      <c r="K887" s="17"/>
      <c r="L887" s="16"/>
      <c r="M887" s="17"/>
      <c r="N887" s="16"/>
      <c r="O887" s="17"/>
      <c r="P887" s="16"/>
      <c r="Q887" s="17"/>
      <c r="R887" s="17"/>
      <c r="S887" s="17"/>
      <c r="T887" s="17"/>
    </row>
    <row r="888" spans="4:20" ht="24.95" customHeight="1" x14ac:dyDescent="0.3">
      <c r="D888" s="23"/>
      <c r="E888" s="17"/>
      <c r="F888" s="17"/>
      <c r="G888" s="17"/>
      <c r="H888" s="16"/>
      <c r="I888" s="17"/>
      <c r="J888" s="16"/>
      <c r="K888" s="17"/>
      <c r="L888" s="16"/>
      <c r="M888" s="17"/>
      <c r="N888" s="16"/>
      <c r="O888" s="17"/>
      <c r="P888" s="16"/>
      <c r="Q888" s="17"/>
      <c r="R888" s="17"/>
      <c r="S888" s="17"/>
      <c r="T888" s="17"/>
    </row>
    <row r="889" spans="4:20" ht="24.95" customHeight="1" x14ac:dyDescent="0.3">
      <c r="D889" s="23"/>
      <c r="E889" s="17"/>
      <c r="F889" s="17"/>
      <c r="G889" s="17"/>
      <c r="H889" s="16"/>
      <c r="I889" s="17"/>
      <c r="J889" s="16"/>
      <c r="K889" s="17"/>
      <c r="L889" s="16"/>
      <c r="M889" s="17"/>
      <c r="N889" s="16"/>
      <c r="O889" s="17"/>
      <c r="P889" s="16"/>
      <c r="Q889" s="17"/>
      <c r="R889" s="17"/>
      <c r="S889" s="17"/>
      <c r="T889" s="17"/>
    </row>
    <row r="890" spans="4:20" ht="24.95" customHeight="1" x14ac:dyDescent="0.3">
      <c r="D890" s="23"/>
      <c r="E890" s="17"/>
      <c r="F890" s="17"/>
      <c r="G890" s="17"/>
      <c r="H890" s="16"/>
      <c r="I890" s="17"/>
      <c r="J890" s="16"/>
      <c r="K890" s="17"/>
      <c r="L890" s="16"/>
      <c r="M890" s="17"/>
      <c r="N890" s="16"/>
      <c r="O890" s="17"/>
      <c r="P890" s="16"/>
      <c r="Q890" s="17"/>
      <c r="R890" s="17"/>
      <c r="S890" s="17"/>
      <c r="T890" s="17"/>
    </row>
    <row r="891" spans="4:20" ht="24.95" customHeight="1" x14ac:dyDescent="0.3">
      <c r="D891" s="23"/>
      <c r="E891" s="17"/>
      <c r="F891" s="17"/>
      <c r="G891" s="17"/>
      <c r="H891" s="16"/>
      <c r="I891" s="17"/>
      <c r="J891" s="16"/>
      <c r="K891" s="17"/>
      <c r="L891" s="16"/>
      <c r="M891" s="17"/>
      <c r="N891" s="16"/>
      <c r="O891" s="17"/>
      <c r="P891" s="16"/>
      <c r="Q891" s="17"/>
      <c r="R891" s="17"/>
      <c r="S891" s="17"/>
      <c r="T891" s="17"/>
    </row>
    <row r="892" spans="4:20" ht="24.95" customHeight="1" x14ac:dyDescent="0.3">
      <c r="D892" s="23"/>
      <c r="E892" s="17"/>
      <c r="F892" s="17"/>
      <c r="G892" s="17"/>
      <c r="H892" s="16"/>
      <c r="I892" s="17"/>
      <c r="J892" s="16"/>
      <c r="K892" s="17"/>
      <c r="L892" s="16"/>
      <c r="M892" s="17"/>
      <c r="N892" s="16"/>
      <c r="O892" s="17"/>
      <c r="P892" s="16"/>
      <c r="Q892" s="17"/>
      <c r="R892" s="17"/>
      <c r="S892" s="17"/>
      <c r="T892" s="17"/>
    </row>
    <row r="893" spans="4:20" ht="24.95" customHeight="1" x14ac:dyDescent="0.3">
      <c r="D893" s="23"/>
      <c r="E893" s="17"/>
      <c r="F893" s="17"/>
      <c r="G893" s="17"/>
      <c r="H893" s="16"/>
      <c r="I893" s="17"/>
      <c r="J893" s="16"/>
      <c r="K893" s="17"/>
      <c r="L893" s="16"/>
      <c r="M893" s="17"/>
      <c r="N893" s="16"/>
      <c r="O893" s="17"/>
      <c r="P893" s="16"/>
      <c r="Q893" s="17"/>
      <c r="R893" s="17"/>
      <c r="S893" s="17"/>
      <c r="T893" s="17"/>
    </row>
    <row r="894" spans="4:20" ht="24.95" customHeight="1" x14ac:dyDescent="0.3">
      <c r="D894" s="23"/>
      <c r="E894" s="17"/>
      <c r="F894" s="17"/>
      <c r="G894" s="17"/>
      <c r="H894" s="16"/>
      <c r="I894" s="17"/>
      <c r="J894" s="16"/>
      <c r="K894" s="17"/>
      <c r="L894" s="16"/>
      <c r="M894" s="17"/>
      <c r="N894" s="16"/>
      <c r="O894" s="17"/>
      <c r="P894" s="16"/>
      <c r="Q894" s="17"/>
      <c r="R894" s="17"/>
      <c r="S894" s="17"/>
      <c r="T894" s="17"/>
    </row>
    <row r="895" spans="4:20" ht="24.95" customHeight="1" x14ac:dyDescent="0.3">
      <c r="D895" s="23"/>
      <c r="E895" s="17"/>
      <c r="F895" s="17"/>
      <c r="G895" s="17"/>
      <c r="H895" s="16"/>
      <c r="I895" s="17"/>
      <c r="J895" s="16"/>
      <c r="K895" s="17"/>
      <c r="L895" s="16"/>
      <c r="M895" s="17"/>
      <c r="N895" s="16"/>
      <c r="O895" s="17"/>
      <c r="P895" s="16"/>
      <c r="Q895" s="17"/>
      <c r="R895" s="17"/>
      <c r="S895" s="17"/>
      <c r="T895" s="17"/>
    </row>
    <row r="896" spans="4:20" ht="24.95" customHeight="1" x14ac:dyDescent="0.3">
      <c r="D896" s="23"/>
      <c r="E896" s="17"/>
      <c r="F896" s="17"/>
      <c r="G896" s="17"/>
      <c r="H896" s="16"/>
      <c r="I896" s="17"/>
      <c r="J896" s="16"/>
      <c r="K896" s="17"/>
      <c r="L896" s="16"/>
      <c r="M896" s="17"/>
      <c r="N896" s="16"/>
      <c r="O896" s="17"/>
      <c r="P896" s="16"/>
      <c r="Q896" s="17"/>
      <c r="R896" s="17"/>
      <c r="S896" s="17"/>
      <c r="T896" s="17"/>
    </row>
    <row r="897" spans="4:20" ht="24.95" customHeight="1" x14ac:dyDescent="0.3">
      <c r="D897" s="23"/>
      <c r="E897" s="17"/>
      <c r="F897" s="17"/>
      <c r="G897" s="17"/>
      <c r="H897" s="16"/>
      <c r="I897" s="17"/>
      <c r="J897" s="16"/>
      <c r="K897" s="17"/>
      <c r="L897" s="16"/>
      <c r="M897" s="17"/>
      <c r="N897" s="16"/>
      <c r="O897" s="17"/>
      <c r="P897" s="16"/>
      <c r="Q897" s="17"/>
      <c r="R897" s="17"/>
      <c r="S897" s="17"/>
      <c r="T897" s="17"/>
    </row>
    <row r="898" spans="4:20" ht="24.95" customHeight="1" x14ac:dyDescent="0.3">
      <c r="D898" s="23"/>
      <c r="E898" s="17"/>
      <c r="F898" s="17"/>
      <c r="G898" s="17"/>
      <c r="H898" s="16"/>
      <c r="I898" s="17"/>
      <c r="J898" s="16"/>
      <c r="K898" s="17"/>
      <c r="L898" s="16"/>
      <c r="M898" s="17"/>
      <c r="N898" s="16"/>
      <c r="O898" s="17"/>
      <c r="P898" s="16"/>
      <c r="Q898" s="17"/>
      <c r="R898" s="17"/>
      <c r="S898" s="17"/>
      <c r="T898" s="17"/>
    </row>
    <row r="899" spans="4:20" ht="24.95" customHeight="1" x14ac:dyDescent="0.3">
      <c r="D899" s="23"/>
      <c r="E899" s="17"/>
      <c r="F899" s="17"/>
      <c r="G899" s="17"/>
      <c r="H899" s="16"/>
      <c r="I899" s="17"/>
      <c r="J899" s="16"/>
      <c r="K899" s="17"/>
      <c r="L899" s="16"/>
      <c r="M899" s="17"/>
      <c r="N899" s="16"/>
      <c r="O899" s="17"/>
      <c r="P899" s="16"/>
      <c r="Q899" s="17"/>
      <c r="R899" s="17"/>
      <c r="S899" s="17"/>
      <c r="T899" s="17"/>
    </row>
    <row r="900" spans="4:20" ht="24.95" customHeight="1" x14ac:dyDescent="0.3">
      <c r="D900" s="23"/>
      <c r="E900" s="17"/>
      <c r="F900" s="17"/>
      <c r="G900" s="17"/>
      <c r="H900" s="16"/>
      <c r="I900" s="17"/>
      <c r="J900" s="16"/>
      <c r="K900" s="17"/>
      <c r="L900" s="16"/>
      <c r="M900" s="17"/>
      <c r="N900" s="16"/>
      <c r="O900" s="17"/>
      <c r="P900" s="16"/>
      <c r="Q900" s="17"/>
      <c r="R900" s="17"/>
      <c r="S900" s="17"/>
      <c r="T900" s="17"/>
    </row>
    <row r="901" spans="4:20" ht="24.95" customHeight="1" x14ac:dyDescent="0.3">
      <c r="D901" s="23"/>
      <c r="E901" s="17"/>
      <c r="F901" s="17"/>
      <c r="G901" s="17"/>
      <c r="H901" s="16"/>
      <c r="I901" s="17"/>
      <c r="J901" s="16"/>
      <c r="K901" s="17"/>
      <c r="L901" s="16"/>
      <c r="M901" s="17"/>
      <c r="N901" s="16"/>
      <c r="O901" s="17"/>
      <c r="P901" s="16"/>
      <c r="Q901" s="17"/>
      <c r="R901" s="17"/>
      <c r="S901" s="17"/>
      <c r="T901" s="17"/>
    </row>
    <row r="902" spans="4:20" ht="24.95" customHeight="1" x14ac:dyDescent="0.3">
      <c r="D902" s="23"/>
      <c r="E902" s="17"/>
      <c r="F902" s="17"/>
      <c r="G902" s="17"/>
      <c r="H902" s="16"/>
      <c r="I902" s="17"/>
      <c r="J902" s="16"/>
      <c r="K902" s="17"/>
      <c r="L902" s="16"/>
      <c r="M902" s="17"/>
      <c r="N902" s="16"/>
      <c r="O902" s="17"/>
      <c r="P902" s="16"/>
      <c r="Q902" s="17"/>
      <c r="R902" s="17"/>
      <c r="S902" s="17"/>
      <c r="T902" s="17"/>
    </row>
    <row r="903" spans="4:20" ht="24.95" customHeight="1" x14ac:dyDescent="0.3">
      <c r="D903" s="23"/>
      <c r="E903" s="17"/>
      <c r="F903" s="17"/>
      <c r="G903" s="17"/>
      <c r="H903" s="16"/>
      <c r="I903" s="17"/>
      <c r="J903" s="16"/>
      <c r="K903" s="17"/>
      <c r="L903" s="16"/>
      <c r="M903" s="17"/>
      <c r="N903" s="16"/>
      <c r="O903" s="17"/>
      <c r="P903" s="16"/>
      <c r="Q903" s="17"/>
      <c r="R903" s="17"/>
      <c r="S903" s="17"/>
      <c r="T903" s="17"/>
    </row>
    <row r="904" spans="4:20" ht="24.95" customHeight="1" x14ac:dyDescent="0.3">
      <c r="D904" s="23"/>
      <c r="E904" s="17"/>
      <c r="F904" s="17"/>
      <c r="G904" s="17"/>
      <c r="H904" s="16"/>
      <c r="I904" s="17"/>
      <c r="J904" s="16"/>
      <c r="K904" s="17"/>
      <c r="L904" s="16"/>
      <c r="M904" s="17"/>
      <c r="N904" s="16"/>
      <c r="O904" s="17"/>
      <c r="P904" s="16"/>
      <c r="Q904" s="17"/>
      <c r="R904" s="17"/>
      <c r="S904" s="17"/>
      <c r="T904" s="17"/>
    </row>
    <row r="905" spans="4:20" ht="24.95" customHeight="1" x14ac:dyDescent="0.3">
      <c r="D905" s="23"/>
      <c r="E905" s="17"/>
      <c r="F905" s="17"/>
      <c r="G905" s="17"/>
      <c r="H905" s="16"/>
      <c r="I905" s="17"/>
      <c r="J905" s="16"/>
      <c r="K905" s="17"/>
      <c r="L905" s="16"/>
      <c r="M905" s="17"/>
      <c r="N905" s="16"/>
      <c r="O905" s="17"/>
      <c r="P905" s="16"/>
      <c r="Q905" s="17"/>
      <c r="R905" s="17"/>
      <c r="S905" s="17"/>
      <c r="T905" s="17"/>
    </row>
    <row r="906" spans="4:20" ht="24.95" customHeight="1" x14ac:dyDescent="0.3">
      <c r="D906" s="23"/>
      <c r="E906" s="17"/>
      <c r="F906" s="17"/>
      <c r="G906" s="17"/>
      <c r="H906" s="16"/>
      <c r="I906" s="17"/>
      <c r="J906" s="16"/>
      <c r="K906" s="17"/>
      <c r="L906" s="16"/>
      <c r="M906" s="17"/>
      <c r="N906" s="16"/>
      <c r="O906" s="17"/>
      <c r="P906" s="16"/>
      <c r="Q906" s="17"/>
      <c r="R906" s="17"/>
      <c r="S906" s="17"/>
      <c r="T906" s="17"/>
    </row>
    <row r="907" spans="4:20" ht="24.95" customHeight="1" x14ac:dyDescent="0.3">
      <c r="D907" s="23"/>
      <c r="E907" s="17"/>
      <c r="F907" s="17"/>
      <c r="G907" s="17"/>
      <c r="H907" s="16"/>
      <c r="I907" s="17"/>
      <c r="J907" s="16"/>
      <c r="K907" s="17"/>
      <c r="L907" s="16"/>
      <c r="M907" s="17"/>
      <c r="N907" s="16"/>
      <c r="O907" s="17"/>
      <c r="P907" s="16"/>
      <c r="Q907" s="17"/>
      <c r="R907" s="17"/>
      <c r="S907" s="17"/>
      <c r="T907" s="17"/>
    </row>
    <row r="908" spans="4:20" ht="24.95" customHeight="1" x14ac:dyDescent="0.3">
      <c r="D908" s="23"/>
      <c r="E908" s="17"/>
      <c r="F908" s="17"/>
      <c r="G908" s="17"/>
      <c r="H908" s="16"/>
      <c r="I908" s="17"/>
      <c r="J908" s="16"/>
      <c r="K908" s="17"/>
      <c r="L908" s="16"/>
      <c r="M908" s="17"/>
      <c r="N908" s="16"/>
      <c r="O908" s="17"/>
      <c r="P908" s="16"/>
      <c r="Q908" s="17"/>
      <c r="R908" s="17"/>
      <c r="S908" s="17"/>
      <c r="T908" s="17"/>
    </row>
    <row r="909" spans="4:20" ht="24.95" customHeight="1" x14ac:dyDescent="0.3">
      <c r="D909" s="23"/>
      <c r="E909" s="17"/>
      <c r="F909" s="17"/>
      <c r="G909" s="17"/>
      <c r="H909" s="16"/>
      <c r="I909" s="17"/>
      <c r="J909" s="16"/>
      <c r="K909" s="17"/>
      <c r="L909" s="16"/>
      <c r="M909" s="17"/>
      <c r="N909" s="16"/>
      <c r="O909" s="17"/>
      <c r="P909" s="16"/>
      <c r="Q909" s="17"/>
      <c r="R909" s="17"/>
      <c r="S909" s="17"/>
      <c r="T909" s="17"/>
    </row>
    <row r="910" spans="4:20" ht="24.95" customHeight="1" x14ac:dyDescent="0.3">
      <c r="D910" s="23"/>
      <c r="E910" s="17"/>
      <c r="F910" s="17"/>
      <c r="G910" s="17"/>
      <c r="H910" s="16"/>
      <c r="I910" s="17"/>
      <c r="J910" s="16"/>
      <c r="K910" s="17"/>
      <c r="L910" s="16"/>
      <c r="M910" s="17"/>
      <c r="N910" s="16"/>
      <c r="O910" s="17"/>
      <c r="P910" s="16"/>
      <c r="Q910" s="17"/>
      <c r="R910" s="17"/>
      <c r="S910" s="17"/>
      <c r="T910" s="17"/>
    </row>
    <row r="911" spans="4:20" ht="24.95" customHeight="1" x14ac:dyDescent="0.3">
      <c r="D911" s="23"/>
      <c r="E911" s="17"/>
      <c r="F911" s="17"/>
      <c r="G911" s="17"/>
      <c r="H911" s="16"/>
      <c r="I911" s="17"/>
      <c r="J911" s="16"/>
      <c r="K911" s="17"/>
      <c r="L911" s="16"/>
      <c r="M911" s="17"/>
      <c r="N911" s="16"/>
      <c r="O911" s="17"/>
      <c r="P911" s="16"/>
      <c r="Q911" s="17"/>
      <c r="R911" s="17"/>
      <c r="S911" s="17"/>
      <c r="T911" s="17"/>
    </row>
    <row r="912" spans="4:20" ht="24.95" customHeight="1" x14ac:dyDescent="0.3">
      <c r="D912" s="23"/>
      <c r="E912" s="17"/>
      <c r="F912" s="17"/>
      <c r="G912" s="17"/>
      <c r="H912" s="16"/>
      <c r="I912" s="17"/>
      <c r="J912" s="16"/>
      <c r="K912" s="17"/>
      <c r="L912" s="16"/>
      <c r="M912" s="17"/>
      <c r="N912" s="16"/>
      <c r="O912" s="17"/>
      <c r="P912" s="16"/>
      <c r="Q912" s="17"/>
      <c r="R912" s="17"/>
      <c r="S912" s="17"/>
      <c r="T912" s="17"/>
    </row>
    <row r="913" spans="4:20" ht="24.95" customHeight="1" x14ac:dyDescent="0.3">
      <c r="D913" s="23"/>
      <c r="E913" s="17"/>
      <c r="F913" s="17"/>
      <c r="G913" s="17"/>
      <c r="H913" s="16"/>
      <c r="I913" s="17"/>
      <c r="J913" s="16"/>
      <c r="K913" s="17"/>
      <c r="L913" s="16"/>
      <c r="M913" s="17"/>
      <c r="N913" s="16"/>
      <c r="O913" s="17"/>
      <c r="P913" s="16"/>
      <c r="Q913" s="17"/>
      <c r="R913" s="17"/>
      <c r="S913" s="17"/>
      <c r="T913" s="17"/>
    </row>
    <row r="914" spans="4:20" ht="24.95" customHeight="1" x14ac:dyDescent="0.3">
      <c r="D914" s="23"/>
      <c r="E914" s="17"/>
      <c r="F914" s="17"/>
      <c r="G914" s="17"/>
      <c r="H914" s="16"/>
      <c r="I914" s="17"/>
      <c r="J914" s="16"/>
      <c r="K914" s="17"/>
      <c r="L914" s="16"/>
      <c r="M914" s="17"/>
      <c r="N914" s="16"/>
      <c r="O914" s="17"/>
      <c r="P914" s="16"/>
      <c r="Q914" s="17"/>
      <c r="R914" s="17"/>
      <c r="S914" s="17"/>
      <c r="T914" s="17"/>
    </row>
    <row r="915" spans="4:20" ht="24.95" customHeight="1" x14ac:dyDescent="0.3">
      <c r="D915" s="23"/>
      <c r="E915" s="17"/>
      <c r="F915" s="17"/>
      <c r="G915" s="17"/>
      <c r="H915" s="16"/>
      <c r="I915" s="17"/>
      <c r="J915" s="16"/>
      <c r="K915" s="17"/>
      <c r="L915" s="16"/>
      <c r="M915" s="17"/>
      <c r="N915" s="16"/>
      <c r="O915" s="17"/>
      <c r="P915" s="16"/>
      <c r="Q915" s="17"/>
      <c r="R915" s="17"/>
      <c r="S915" s="17"/>
      <c r="T915" s="17"/>
    </row>
    <row r="916" spans="4:20" ht="24.95" customHeight="1" x14ac:dyDescent="0.3">
      <c r="D916" s="23"/>
      <c r="E916" s="17"/>
      <c r="F916" s="17"/>
      <c r="G916" s="17"/>
      <c r="H916" s="16"/>
      <c r="I916" s="17"/>
      <c r="J916" s="16"/>
      <c r="K916" s="17"/>
      <c r="L916" s="16"/>
      <c r="M916" s="17"/>
      <c r="N916" s="16"/>
      <c r="O916" s="17"/>
      <c r="P916" s="16"/>
      <c r="Q916" s="17"/>
      <c r="R916" s="17"/>
      <c r="S916" s="17"/>
      <c r="T916" s="17"/>
    </row>
    <row r="917" spans="4:20" ht="24.95" customHeight="1" x14ac:dyDescent="0.3">
      <c r="D917" s="23"/>
      <c r="E917" s="17"/>
      <c r="F917" s="17"/>
      <c r="G917" s="17"/>
      <c r="H917" s="16"/>
      <c r="I917" s="17"/>
      <c r="J917" s="16"/>
      <c r="K917" s="17"/>
      <c r="L917" s="16"/>
      <c r="M917" s="17"/>
      <c r="N917" s="16"/>
      <c r="O917" s="17"/>
      <c r="P917" s="16"/>
      <c r="Q917" s="17"/>
      <c r="R917" s="17"/>
      <c r="S917" s="17"/>
      <c r="T917" s="17"/>
    </row>
    <row r="918" spans="4:20" ht="24.95" customHeight="1" x14ac:dyDescent="0.3">
      <c r="D918" s="23"/>
      <c r="E918" s="17"/>
      <c r="F918" s="17"/>
      <c r="G918" s="17"/>
      <c r="H918" s="16"/>
      <c r="I918" s="17"/>
      <c r="J918" s="16"/>
      <c r="K918" s="17"/>
      <c r="L918" s="16"/>
      <c r="M918" s="17"/>
      <c r="N918" s="16"/>
      <c r="O918" s="17"/>
      <c r="P918" s="16"/>
      <c r="Q918" s="17"/>
      <c r="R918" s="17"/>
      <c r="S918" s="17"/>
      <c r="T918" s="17"/>
    </row>
    <row r="919" spans="4:20" ht="24.95" customHeight="1" x14ac:dyDescent="0.3">
      <c r="D919" s="23"/>
      <c r="E919" s="17"/>
      <c r="F919" s="17"/>
      <c r="G919" s="17"/>
      <c r="H919" s="16"/>
      <c r="I919" s="17"/>
      <c r="J919" s="16"/>
      <c r="K919" s="17"/>
      <c r="L919" s="16"/>
      <c r="M919" s="17"/>
      <c r="N919" s="16"/>
      <c r="O919" s="17"/>
      <c r="P919" s="16"/>
      <c r="Q919" s="17"/>
      <c r="R919" s="17"/>
      <c r="S919" s="17"/>
      <c r="T919" s="17"/>
    </row>
    <row r="920" spans="4:20" ht="24.95" customHeight="1" x14ac:dyDescent="0.3">
      <c r="D920" s="23"/>
      <c r="E920" s="17"/>
      <c r="F920" s="17"/>
      <c r="G920" s="17"/>
      <c r="H920" s="16"/>
      <c r="I920" s="17"/>
      <c r="J920" s="16"/>
      <c r="K920" s="17"/>
      <c r="L920" s="16"/>
      <c r="M920" s="17"/>
      <c r="N920" s="16"/>
      <c r="O920" s="17"/>
      <c r="P920" s="16"/>
      <c r="Q920" s="17"/>
      <c r="R920" s="17"/>
      <c r="S920" s="17"/>
      <c r="T920" s="17"/>
    </row>
    <row r="921" spans="4:20" ht="24.95" customHeight="1" x14ac:dyDescent="0.3">
      <c r="D921" s="23"/>
      <c r="E921" s="17"/>
      <c r="F921" s="17"/>
      <c r="G921" s="17"/>
      <c r="H921" s="16"/>
      <c r="I921" s="17"/>
      <c r="J921" s="16"/>
      <c r="K921" s="17"/>
      <c r="L921" s="16"/>
      <c r="M921" s="17"/>
      <c r="N921" s="16"/>
      <c r="O921" s="17"/>
      <c r="P921" s="16"/>
      <c r="Q921" s="17"/>
      <c r="R921" s="17"/>
      <c r="S921" s="17"/>
      <c r="T921" s="17"/>
    </row>
    <row r="922" spans="4:20" ht="24.95" customHeight="1" x14ac:dyDescent="0.3">
      <c r="D922" s="23"/>
      <c r="E922" s="17"/>
      <c r="F922" s="17"/>
      <c r="G922" s="17"/>
      <c r="H922" s="16"/>
      <c r="I922" s="17"/>
      <c r="J922" s="16"/>
      <c r="K922" s="17"/>
      <c r="L922" s="16"/>
      <c r="M922" s="17"/>
      <c r="N922" s="16"/>
      <c r="O922" s="17"/>
      <c r="P922" s="16"/>
      <c r="Q922" s="17"/>
      <c r="R922" s="17"/>
      <c r="S922" s="17"/>
      <c r="T922" s="17"/>
    </row>
    <row r="923" spans="4:20" ht="24.95" customHeight="1" x14ac:dyDescent="0.3">
      <c r="D923" s="23"/>
      <c r="E923" s="17"/>
      <c r="F923" s="17"/>
      <c r="G923" s="17"/>
      <c r="H923" s="16"/>
      <c r="I923" s="17"/>
      <c r="J923" s="16"/>
      <c r="K923" s="17"/>
      <c r="L923" s="16"/>
      <c r="M923" s="17"/>
      <c r="N923" s="16"/>
      <c r="O923" s="17"/>
      <c r="P923" s="16"/>
      <c r="Q923" s="17"/>
      <c r="R923" s="17"/>
      <c r="S923" s="17"/>
      <c r="T923" s="17"/>
    </row>
    <row r="924" spans="4:20" ht="24.95" customHeight="1" x14ac:dyDescent="0.3">
      <c r="D924" s="23"/>
      <c r="E924" s="17"/>
      <c r="F924" s="17"/>
      <c r="G924" s="17"/>
      <c r="H924" s="16"/>
      <c r="I924" s="17"/>
      <c r="J924" s="16"/>
      <c r="K924" s="17"/>
      <c r="L924" s="16"/>
      <c r="M924" s="17"/>
      <c r="N924" s="16"/>
      <c r="O924" s="17"/>
      <c r="P924" s="16"/>
      <c r="Q924" s="17"/>
      <c r="R924" s="17"/>
      <c r="S924" s="17"/>
      <c r="T924" s="17"/>
    </row>
    <row r="925" spans="4:20" ht="24.95" customHeight="1" x14ac:dyDescent="0.3">
      <c r="D925" s="23"/>
      <c r="E925" s="17"/>
      <c r="F925" s="17"/>
      <c r="G925" s="17"/>
      <c r="H925" s="16"/>
      <c r="I925" s="17"/>
      <c r="J925" s="16"/>
      <c r="K925" s="17"/>
      <c r="L925" s="16"/>
      <c r="M925" s="17"/>
      <c r="N925" s="16"/>
      <c r="O925" s="17"/>
      <c r="P925" s="16"/>
      <c r="Q925" s="17"/>
      <c r="R925" s="17"/>
      <c r="S925" s="17"/>
      <c r="T925" s="17"/>
    </row>
    <row r="926" spans="4:20" ht="24.95" customHeight="1" x14ac:dyDescent="0.3">
      <c r="D926" s="23"/>
      <c r="E926" s="17"/>
      <c r="F926" s="17"/>
      <c r="G926" s="17"/>
      <c r="H926" s="16"/>
      <c r="I926" s="17"/>
      <c r="J926" s="16"/>
      <c r="K926" s="17"/>
      <c r="L926" s="16"/>
      <c r="M926" s="17"/>
      <c r="N926" s="16"/>
      <c r="O926" s="17"/>
      <c r="P926" s="16"/>
      <c r="Q926" s="17"/>
      <c r="R926" s="17"/>
      <c r="S926" s="17"/>
      <c r="T926" s="17"/>
    </row>
    <row r="927" spans="4:20" ht="24.95" customHeight="1" x14ac:dyDescent="0.3">
      <c r="D927" s="23"/>
      <c r="E927" s="17"/>
      <c r="F927" s="17"/>
      <c r="G927" s="17"/>
      <c r="H927" s="16"/>
      <c r="I927" s="17"/>
      <c r="J927" s="16"/>
      <c r="K927" s="17"/>
      <c r="L927" s="16"/>
      <c r="M927" s="17"/>
      <c r="N927" s="16"/>
      <c r="O927" s="17"/>
      <c r="P927" s="16"/>
      <c r="Q927" s="17"/>
      <c r="R927" s="17"/>
      <c r="S927" s="17"/>
      <c r="T927" s="17"/>
    </row>
    <row r="928" spans="4:20" ht="24.95" customHeight="1" x14ac:dyDescent="0.3">
      <c r="D928" s="23"/>
      <c r="E928" s="17"/>
      <c r="F928" s="17"/>
      <c r="G928" s="17"/>
      <c r="H928" s="16"/>
      <c r="I928" s="17"/>
      <c r="J928" s="16"/>
      <c r="K928" s="17"/>
      <c r="L928" s="16"/>
      <c r="M928" s="17"/>
      <c r="N928" s="16"/>
      <c r="O928" s="17"/>
      <c r="P928" s="16"/>
      <c r="Q928" s="17"/>
      <c r="R928" s="17"/>
      <c r="S928" s="17"/>
      <c r="T928" s="17"/>
    </row>
    <row r="929" spans="4:20" ht="24.95" customHeight="1" x14ac:dyDescent="0.3">
      <c r="D929" s="23"/>
      <c r="E929" s="17"/>
      <c r="F929" s="17"/>
      <c r="G929" s="17"/>
      <c r="H929" s="16"/>
      <c r="I929" s="17"/>
      <c r="J929" s="16"/>
      <c r="K929" s="17"/>
      <c r="L929" s="16"/>
      <c r="M929" s="17"/>
      <c r="N929" s="16"/>
      <c r="O929" s="17"/>
      <c r="P929" s="16"/>
      <c r="Q929" s="17"/>
      <c r="R929" s="17"/>
      <c r="S929" s="17"/>
      <c r="T929" s="17"/>
    </row>
    <row r="930" spans="4:20" ht="24.95" customHeight="1" x14ac:dyDescent="0.3">
      <c r="D930" s="23"/>
      <c r="E930" s="17"/>
      <c r="F930" s="17"/>
      <c r="G930" s="17"/>
      <c r="H930" s="16"/>
      <c r="I930" s="17"/>
      <c r="J930" s="16"/>
      <c r="K930" s="17"/>
      <c r="L930" s="16"/>
      <c r="M930" s="17"/>
      <c r="N930" s="16"/>
      <c r="O930" s="17"/>
      <c r="P930" s="16"/>
      <c r="Q930" s="17"/>
      <c r="R930" s="17"/>
      <c r="S930" s="17"/>
      <c r="T930" s="17"/>
    </row>
    <row r="931" spans="4:20" ht="24.95" customHeight="1" x14ac:dyDescent="0.3">
      <c r="D931" s="23"/>
      <c r="E931" s="17"/>
      <c r="F931" s="17"/>
      <c r="G931" s="17"/>
      <c r="H931" s="16"/>
      <c r="I931" s="17"/>
      <c r="J931" s="16"/>
      <c r="K931" s="17"/>
      <c r="L931" s="16"/>
      <c r="M931" s="17"/>
      <c r="N931" s="16"/>
      <c r="O931" s="17"/>
      <c r="P931" s="16"/>
      <c r="Q931" s="17"/>
      <c r="R931" s="17"/>
      <c r="S931" s="17"/>
      <c r="T931" s="17"/>
    </row>
    <row r="932" spans="4:20" ht="24.95" customHeight="1" x14ac:dyDescent="0.3">
      <c r="D932" s="23"/>
      <c r="E932" s="17"/>
      <c r="F932" s="17"/>
      <c r="G932" s="17"/>
      <c r="H932" s="16"/>
      <c r="I932" s="17"/>
      <c r="J932" s="16"/>
      <c r="K932" s="17"/>
      <c r="L932" s="16"/>
      <c r="M932" s="17"/>
      <c r="N932" s="16"/>
      <c r="O932" s="17"/>
      <c r="P932" s="16"/>
      <c r="Q932" s="17"/>
      <c r="R932" s="17"/>
      <c r="S932" s="17"/>
      <c r="T932" s="17"/>
    </row>
    <row r="933" spans="4:20" ht="24.95" customHeight="1" x14ac:dyDescent="0.3">
      <c r="D933" s="23"/>
      <c r="E933" s="17"/>
      <c r="F933" s="17"/>
      <c r="G933" s="17"/>
      <c r="H933" s="16"/>
      <c r="I933" s="17"/>
      <c r="J933" s="16"/>
      <c r="K933" s="17"/>
      <c r="L933" s="16"/>
      <c r="M933" s="17"/>
      <c r="N933" s="16"/>
      <c r="O933" s="17"/>
      <c r="P933" s="16"/>
      <c r="Q933" s="17"/>
      <c r="R933" s="17"/>
      <c r="S933" s="17"/>
      <c r="T933" s="17"/>
    </row>
    <row r="934" spans="4:20" ht="24.95" customHeight="1" x14ac:dyDescent="0.3">
      <c r="D934" s="23"/>
      <c r="E934" s="17"/>
      <c r="F934" s="17"/>
      <c r="G934" s="17"/>
      <c r="H934" s="16"/>
      <c r="I934" s="17"/>
      <c r="J934" s="16"/>
      <c r="K934" s="17"/>
      <c r="L934" s="16"/>
      <c r="M934" s="17"/>
      <c r="N934" s="16"/>
      <c r="O934" s="17"/>
      <c r="P934" s="16"/>
      <c r="Q934" s="17"/>
      <c r="R934" s="17"/>
      <c r="S934" s="17"/>
      <c r="T934" s="17"/>
    </row>
    <row r="935" spans="4:20" ht="24.95" customHeight="1" x14ac:dyDescent="0.3">
      <c r="D935" s="23"/>
      <c r="E935" s="17"/>
      <c r="F935" s="17"/>
      <c r="G935" s="17"/>
      <c r="H935" s="16"/>
      <c r="I935" s="17"/>
      <c r="J935" s="16"/>
      <c r="K935" s="17"/>
      <c r="L935" s="16"/>
      <c r="M935" s="17"/>
      <c r="N935" s="16"/>
      <c r="O935" s="17"/>
      <c r="P935" s="16"/>
      <c r="Q935" s="17"/>
      <c r="R935" s="17"/>
      <c r="S935" s="17"/>
      <c r="T935" s="17"/>
    </row>
    <row r="936" spans="4:20" ht="24.95" customHeight="1" x14ac:dyDescent="0.3">
      <c r="D936" s="23"/>
      <c r="E936" s="17"/>
      <c r="F936" s="17"/>
      <c r="G936" s="17"/>
      <c r="H936" s="16"/>
      <c r="I936" s="17"/>
      <c r="J936" s="16"/>
      <c r="K936" s="17"/>
      <c r="L936" s="16"/>
      <c r="M936" s="17"/>
      <c r="N936" s="16"/>
      <c r="O936" s="17"/>
      <c r="P936" s="16"/>
      <c r="Q936" s="17"/>
      <c r="R936" s="17"/>
      <c r="S936" s="17"/>
      <c r="T936" s="17"/>
    </row>
    <row r="937" spans="4:20" ht="24.95" customHeight="1" x14ac:dyDescent="0.3">
      <c r="D937" s="23"/>
      <c r="E937" s="17"/>
      <c r="F937" s="17"/>
      <c r="G937" s="17"/>
      <c r="H937" s="16"/>
      <c r="I937" s="17"/>
      <c r="J937" s="16"/>
      <c r="K937" s="17"/>
      <c r="L937" s="16"/>
      <c r="M937" s="17"/>
      <c r="N937" s="16"/>
      <c r="O937" s="17"/>
      <c r="P937" s="16"/>
      <c r="Q937" s="17"/>
      <c r="R937" s="17"/>
      <c r="S937" s="17"/>
      <c r="T937" s="17"/>
    </row>
    <row r="938" spans="4:20" ht="24.95" customHeight="1" x14ac:dyDescent="0.3">
      <c r="D938" s="23"/>
      <c r="E938" s="17"/>
      <c r="F938" s="17"/>
      <c r="G938" s="17"/>
      <c r="H938" s="16"/>
      <c r="I938" s="17"/>
      <c r="J938" s="16"/>
      <c r="K938" s="17"/>
      <c r="L938" s="16"/>
      <c r="M938" s="17"/>
      <c r="N938" s="16"/>
      <c r="O938" s="17"/>
      <c r="P938" s="16"/>
      <c r="Q938" s="17"/>
      <c r="R938" s="17"/>
      <c r="S938" s="17"/>
      <c r="T938" s="17"/>
    </row>
    <row r="939" spans="4:20" ht="24.95" customHeight="1" x14ac:dyDescent="0.3">
      <c r="D939" s="23"/>
      <c r="E939" s="17"/>
      <c r="F939" s="17"/>
      <c r="G939" s="17"/>
      <c r="H939" s="16"/>
      <c r="I939" s="17"/>
      <c r="J939" s="16"/>
      <c r="K939" s="17"/>
      <c r="L939" s="16"/>
      <c r="M939" s="17"/>
      <c r="N939" s="16"/>
      <c r="O939" s="17"/>
      <c r="P939" s="16"/>
      <c r="Q939" s="17"/>
      <c r="R939" s="17"/>
      <c r="S939" s="17"/>
      <c r="T939" s="17"/>
    </row>
    <row r="940" spans="4:20" ht="24.95" customHeight="1" x14ac:dyDescent="0.3">
      <c r="D940" s="23"/>
      <c r="E940" s="17"/>
      <c r="F940" s="17"/>
      <c r="G940" s="17"/>
      <c r="H940" s="16"/>
      <c r="I940" s="17"/>
      <c r="J940" s="16"/>
      <c r="K940" s="17"/>
      <c r="L940" s="16"/>
      <c r="M940" s="17"/>
      <c r="N940" s="16"/>
      <c r="O940" s="17"/>
      <c r="P940" s="16"/>
      <c r="Q940" s="17"/>
      <c r="R940" s="17"/>
      <c r="S940" s="17"/>
      <c r="T940" s="17"/>
    </row>
    <row r="941" spans="4:20" ht="24.95" customHeight="1" x14ac:dyDescent="0.3">
      <c r="D941" s="23"/>
      <c r="E941" s="17"/>
      <c r="F941" s="17"/>
      <c r="G941" s="17"/>
      <c r="H941" s="16"/>
      <c r="I941" s="17"/>
      <c r="J941" s="16"/>
      <c r="K941" s="17"/>
      <c r="L941" s="16"/>
      <c r="M941" s="17"/>
      <c r="N941" s="16"/>
      <c r="O941" s="17"/>
      <c r="P941" s="16"/>
      <c r="Q941" s="17"/>
      <c r="R941" s="17"/>
      <c r="S941" s="17"/>
      <c r="T941" s="17"/>
    </row>
    <row r="942" spans="4:20" ht="24.95" customHeight="1" x14ac:dyDescent="0.3">
      <c r="D942" s="23"/>
      <c r="E942" s="17"/>
      <c r="F942" s="17"/>
      <c r="G942" s="17"/>
      <c r="H942" s="16"/>
      <c r="I942" s="17"/>
      <c r="J942" s="16"/>
      <c r="K942" s="17"/>
      <c r="L942" s="16"/>
      <c r="M942" s="17"/>
      <c r="N942" s="16"/>
      <c r="O942" s="17"/>
      <c r="P942" s="16"/>
      <c r="Q942" s="17"/>
      <c r="R942" s="17"/>
      <c r="S942" s="17"/>
      <c r="T942" s="17"/>
    </row>
    <row r="943" spans="4:20" ht="24.95" customHeight="1" x14ac:dyDescent="0.3">
      <c r="D943" s="23"/>
      <c r="E943" s="17"/>
      <c r="F943" s="17"/>
      <c r="G943" s="17"/>
      <c r="H943" s="16"/>
      <c r="I943" s="17"/>
      <c r="J943" s="16"/>
      <c r="K943" s="17"/>
      <c r="L943" s="16"/>
      <c r="M943" s="17"/>
      <c r="N943" s="16"/>
      <c r="O943" s="17"/>
      <c r="P943" s="16"/>
      <c r="Q943" s="17"/>
      <c r="R943" s="17"/>
      <c r="S943" s="17"/>
      <c r="T943" s="17"/>
    </row>
    <row r="944" spans="4:20" ht="24.95" customHeight="1" x14ac:dyDescent="0.3">
      <c r="D944" s="23"/>
      <c r="E944" s="17"/>
      <c r="F944" s="17"/>
      <c r="G944" s="17"/>
      <c r="H944" s="16"/>
      <c r="I944" s="17"/>
      <c r="J944" s="16"/>
      <c r="K944" s="17"/>
      <c r="L944" s="16"/>
      <c r="M944" s="17"/>
      <c r="N944" s="16"/>
      <c r="O944" s="17"/>
      <c r="P944" s="16"/>
      <c r="Q944" s="17"/>
      <c r="R944" s="17"/>
      <c r="S944" s="17"/>
      <c r="T944" s="17"/>
    </row>
    <row r="945" spans="4:20" ht="24.95" customHeight="1" x14ac:dyDescent="0.3">
      <c r="D945" s="23"/>
      <c r="E945" s="17"/>
      <c r="F945" s="17"/>
      <c r="G945" s="17"/>
      <c r="H945" s="16"/>
      <c r="I945" s="17"/>
      <c r="J945" s="16"/>
      <c r="K945" s="17"/>
      <c r="L945" s="16"/>
      <c r="M945" s="17"/>
      <c r="N945" s="16"/>
      <c r="O945" s="17"/>
      <c r="P945" s="16"/>
      <c r="Q945" s="17"/>
      <c r="R945" s="17"/>
      <c r="S945" s="17"/>
      <c r="T945" s="17"/>
    </row>
    <row r="946" spans="4:20" ht="24.95" customHeight="1" x14ac:dyDescent="0.3">
      <c r="D946" s="23"/>
      <c r="E946" s="17"/>
      <c r="F946" s="17"/>
      <c r="G946" s="17"/>
      <c r="H946" s="16"/>
      <c r="I946" s="17"/>
      <c r="J946" s="16"/>
      <c r="K946" s="17"/>
      <c r="L946" s="16"/>
      <c r="M946" s="17"/>
      <c r="N946" s="16"/>
      <c r="O946" s="17"/>
      <c r="P946" s="16"/>
      <c r="Q946" s="17"/>
      <c r="R946" s="17"/>
      <c r="S946" s="17"/>
      <c r="T946" s="17"/>
    </row>
    <row r="947" spans="4:20" ht="24.95" customHeight="1" x14ac:dyDescent="0.3">
      <c r="D947" s="23"/>
      <c r="E947" s="17"/>
      <c r="F947" s="17"/>
      <c r="G947" s="17"/>
      <c r="H947" s="16"/>
      <c r="I947" s="17"/>
      <c r="J947" s="16"/>
      <c r="K947" s="17"/>
      <c r="L947" s="16"/>
      <c r="M947" s="17"/>
      <c r="N947" s="16"/>
      <c r="O947" s="17"/>
      <c r="P947" s="16"/>
      <c r="Q947" s="17"/>
      <c r="R947" s="17"/>
      <c r="S947" s="17"/>
      <c r="T947" s="17"/>
    </row>
    <row r="948" spans="4:20" ht="24.95" customHeight="1" x14ac:dyDescent="0.3">
      <c r="D948" s="23"/>
      <c r="E948" s="17"/>
      <c r="F948" s="17"/>
      <c r="G948" s="17"/>
      <c r="H948" s="16"/>
      <c r="I948" s="17"/>
      <c r="J948" s="16"/>
      <c r="K948" s="17"/>
      <c r="L948" s="16"/>
      <c r="M948" s="17"/>
      <c r="N948" s="16"/>
      <c r="O948" s="17"/>
      <c r="P948" s="16"/>
      <c r="Q948" s="17"/>
      <c r="R948" s="17"/>
      <c r="S948" s="17"/>
      <c r="T948" s="17"/>
    </row>
    <row r="949" spans="4:20" ht="24.95" customHeight="1" x14ac:dyDescent="0.3">
      <c r="D949" s="23"/>
      <c r="E949" s="17"/>
      <c r="F949" s="17"/>
      <c r="G949" s="17"/>
      <c r="H949" s="16"/>
      <c r="I949" s="17"/>
      <c r="J949" s="16"/>
      <c r="K949" s="17"/>
      <c r="L949" s="16"/>
      <c r="M949" s="17"/>
      <c r="N949" s="16"/>
      <c r="O949" s="17"/>
      <c r="P949" s="16"/>
      <c r="Q949" s="17"/>
      <c r="R949" s="17"/>
      <c r="S949" s="17"/>
      <c r="T949" s="17"/>
    </row>
    <row r="950" spans="4:20" ht="24.95" customHeight="1" x14ac:dyDescent="0.3">
      <c r="D950" s="23"/>
      <c r="E950" s="17"/>
      <c r="F950" s="17"/>
      <c r="G950" s="17"/>
      <c r="H950" s="16"/>
      <c r="I950" s="17"/>
      <c r="J950" s="16"/>
      <c r="K950" s="17"/>
      <c r="L950" s="16"/>
      <c r="M950" s="17"/>
      <c r="N950" s="16"/>
      <c r="O950" s="17"/>
      <c r="P950" s="16"/>
      <c r="Q950" s="17"/>
      <c r="R950" s="17"/>
      <c r="S950" s="17"/>
      <c r="T950" s="17"/>
    </row>
    <row r="951" spans="4:20" ht="24.95" customHeight="1" x14ac:dyDescent="0.3">
      <c r="D951" s="23"/>
      <c r="E951" s="17"/>
      <c r="F951" s="17"/>
      <c r="G951" s="17"/>
      <c r="H951" s="16"/>
      <c r="I951" s="17"/>
      <c r="J951" s="16"/>
      <c r="K951" s="17"/>
      <c r="L951" s="16"/>
      <c r="M951" s="17"/>
      <c r="N951" s="16"/>
      <c r="O951" s="17"/>
      <c r="P951" s="16"/>
      <c r="Q951" s="17"/>
      <c r="R951" s="17"/>
      <c r="S951" s="17"/>
      <c r="T951" s="17"/>
    </row>
    <row r="952" spans="4:20" ht="24.95" customHeight="1" x14ac:dyDescent="0.3">
      <c r="D952" s="23"/>
      <c r="E952" s="17"/>
      <c r="F952" s="17"/>
      <c r="G952" s="17"/>
      <c r="H952" s="16"/>
      <c r="I952" s="17"/>
      <c r="J952" s="16"/>
      <c r="K952" s="17"/>
      <c r="L952" s="16"/>
      <c r="M952" s="17"/>
      <c r="N952" s="16"/>
      <c r="O952" s="17"/>
      <c r="P952" s="16"/>
      <c r="Q952" s="17"/>
      <c r="R952" s="17"/>
      <c r="S952" s="17"/>
      <c r="T952" s="17"/>
    </row>
    <row r="953" spans="4:20" ht="24.95" customHeight="1" x14ac:dyDescent="0.3">
      <c r="D953" s="23"/>
      <c r="E953" s="17"/>
      <c r="F953" s="17"/>
      <c r="G953" s="17"/>
      <c r="H953" s="16"/>
      <c r="I953" s="17"/>
      <c r="J953" s="16"/>
      <c r="K953" s="17"/>
      <c r="L953" s="16"/>
      <c r="M953" s="17"/>
      <c r="N953" s="16"/>
      <c r="O953" s="17"/>
      <c r="P953" s="16"/>
      <c r="Q953" s="17"/>
      <c r="R953" s="17"/>
      <c r="S953" s="17"/>
      <c r="T953" s="17"/>
    </row>
    <row r="954" spans="4:20" ht="24.95" customHeight="1" x14ac:dyDescent="0.3">
      <c r="D954" s="23"/>
      <c r="E954" s="17"/>
      <c r="F954" s="17"/>
      <c r="G954" s="17"/>
      <c r="H954" s="16"/>
      <c r="I954" s="17"/>
      <c r="J954" s="16"/>
      <c r="K954" s="17"/>
      <c r="L954" s="16"/>
      <c r="M954" s="17"/>
      <c r="N954" s="16"/>
      <c r="O954" s="17"/>
      <c r="P954" s="16"/>
      <c r="Q954" s="17"/>
      <c r="R954" s="17"/>
      <c r="S954" s="17"/>
      <c r="T954" s="17"/>
    </row>
    <row r="955" spans="4:20" ht="24.95" customHeight="1" x14ac:dyDescent="0.3">
      <c r="D955" s="23"/>
      <c r="E955" s="17"/>
      <c r="F955" s="17"/>
      <c r="G955" s="17"/>
      <c r="H955" s="16"/>
      <c r="I955" s="17"/>
      <c r="J955" s="16"/>
      <c r="K955" s="17"/>
      <c r="L955" s="16"/>
      <c r="M955" s="17"/>
      <c r="N955" s="16"/>
      <c r="O955" s="17"/>
      <c r="P955" s="16"/>
      <c r="Q955" s="17"/>
      <c r="R955" s="17"/>
      <c r="S955" s="17"/>
      <c r="T955" s="17"/>
    </row>
    <row r="956" spans="4:20" ht="24.95" customHeight="1" x14ac:dyDescent="0.3">
      <c r="D956" s="23"/>
      <c r="E956" s="17"/>
      <c r="F956" s="17"/>
      <c r="G956" s="17"/>
      <c r="H956" s="16"/>
      <c r="I956" s="17"/>
      <c r="J956" s="16"/>
      <c r="K956" s="17"/>
      <c r="L956" s="16"/>
      <c r="M956" s="17"/>
      <c r="N956" s="16"/>
      <c r="O956" s="17"/>
      <c r="P956" s="16"/>
      <c r="Q956" s="17"/>
      <c r="R956" s="17"/>
      <c r="S956" s="17"/>
      <c r="T956" s="17"/>
    </row>
    <row r="957" spans="4:20" ht="24.95" customHeight="1" x14ac:dyDescent="0.3">
      <c r="D957" s="23"/>
      <c r="E957" s="17"/>
      <c r="F957" s="17"/>
      <c r="G957" s="17"/>
      <c r="H957" s="16"/>
      <c r="I957" s="17"/>
      <c r="J957" s="16"/>
      <c r="K957" s="17"/>
      <c r="L957" s="16"/>
      <c r="M957" s="17"/>
      <c r="N957" s="16"/>
      <c r="O957" s="17"/>
      <c r="P957" s="16"/>
      <c r="Q957" s="17"/>
      <c r="R957" s="17"/>
      <c r="S957" s="17"/>
      <c r="T957" s="17"/>
    </row>
    <row r="958" spans="4:20" ht="24.95" customHeight="1" x14ac:dyDescent="0.3">
      <c r="D958" s="23"/>
      <c r="E958" s="17"/>
      <c r="F958" s="17"/>
      <c r="G958" s="17"/>
      <c r="H958" s="16"/>
      <c r="I958" s="17"/>
      <c r="J958" s="16"/>
      <c r="K958" s="17"/>
      <c r="L958" s="16"/>
      <c r="M958" s="17"/>
      <c r="N958" s="16"/>
      <c r="O958" s="17"/>
      <c r="P958" s="16"/>
      <c r="Q958" s="17"/>
      <c r="R958" s="17"/>
      <c r="S958" s="17"/>
      <c r="T958" s="17"/>
    </row>
    <row r="959" spans="4:20" ht="24.95" customHeight="1" x14ac:dyDescent="0.3">
      <c r="D959" s="23"/>
      <c r="E959" s="17"/>
      <c r="F959" s="17"/>
      <c r="G959" s="17"/>
      <c r="H959" s="16"/>
      <c r="I959" s="17"/>
      <c r="J959" s="16"/>
      <c r="K959" s="17"/>
      <c r="L959" s="16"/>
      <c r="M959" s="17"/>
      <c r="N959" s="16"/>
      <c r="O959" s="17"/>
      <c r="P959" s="16"/>
      <c r="Q959" s="17"/>
      <c r="R959" s="17"/>
      <c r="S959" s="17"/>
      <c r="T959" s="17"/>
    </row>
    <row r="960" spans="4:20" ht="24.95" customHeight="1" x14ac:dyDescent="0.3">
      <c r="D960" s="23"/>
      <c r="E960" s="17"/>
      <c r="F960" s="17"/>
      <c r="G960" s="17"/>
      <c r="H960" s="16"/>
      <c r="I960" s="17"/>
      <c r="J960" s="16"/>
      <c r="K960" s="17"/>
      <c r="L960" s="16"/>
      <c r="M960" s="17"/>
      <c r="N960" s="16"/>
      <c r="O960" s="17"/>
      <c r="P960" s="16"/>
      <c r="Q960" s="17"/>
      <c r="R960" s="17"/>
      <c r="S960" s="17"/>
      <c r="T960" s="17"/>
    </row>
    <row r="961" spans="4:20" ht="24.95" customHeight="1" x14ac:dyDescent="0.3">
      <c r="D961" s="23"/>
      <c r="E961" s="17"/>
      <c r="F961" s="17"/>
      <c r="G961" s="17"/>
      <c r="H961" s="16"/>
      <c r="I961" s="17"/>
      <c r="J961" s="16"/>
      <c r="K961" s="17"/>
      <c r="L961" s="16"/>
      <c r="M961" s="17"/>
      <c r="N961" s="16"/>
      <c r="O961" s="17"/>
      <c r="P961" s="16"/>
      <c r="Q961" s="17"/>
      <c r="R961" s="17"/>
      <c r="S961" s="17"/>
      <c r="T961" s="17"/>
    </row>
    <row r="962" spans="4:20" ht="24.95" customHeight="1" x14ac:dyDescent="0.3">
      <c r="D962" s="23"/>
      <c r="E962" s="17"/>
      <c r="F962" s="17"/>
      <c r="G962" s="17"/>
      <c r="H962" s="16"/>
      <c r="I962" s="17"/>
      <c r="J962" s="16"/>
      <c r="K962" s="17"/>
      <c r="L962" s="16"/>
      <c r="M962" s="17"/>
      <c r="N962" s="16"/>
      <c r="O962" s="17"/>
      <c r="P962" s="16"/>
      <c r="Q962" s="17"/>
      <c r="R962" s="17"/>
      <c r="S962" s="17"/>
      <c r="T962" s="17"/>
    </row>
    <row r="963" spans="4:20" ht="24.95" customHeight="1" x14ac:dyDescent="0.3">
      <c r="D963" s="23"/>
      <c r="E963" s="17"/>
      <c r="F963" s="17"/>
      <c r="G963" s="17"/>
      <c r="H963" s="16"/>
      <c r="I963" s="17"/>
      <c r="J963" s="16"/>
      <c r="K963" s="17"/>
      <c r="L963" s="16"/>
      <c r="M963" s="17"/>
      <c r="N963" s="16"/>
      <c r="O963" s="17"/>
      <c r="P963" s="16"/>
      <c r="Q963" s="17"/>
      <c r="R963" s="17"/>
      <c r="S963" s="17"/>
      <c r="T963" s="17"/>
    </row>
    <row r="964" spans="4:20" ht="24.95" customHeight="1" x14ac:dyDescent="0.3">
      <c r="D964" s="23"/>
      <c r="E964" s="17"/>
      <c r="F964" s="17"/>
      <c r="G964" s="17"/>
      <c r="H964" s="16"/>
      <c r="I964" s="17"/>
      <c r="J964" s="16"/>
      <c r="K964" s="17"/>
      <c r="L964" s="16"/>
      <c r="M964" s="17"/>
      <c r="N964" s="16"/>
      <c r="O964" s="17"/>
      <c r="P964" s="16"/>
      <c r="Q964" s="17"/>
      <c r="R964" s="17"/>
      <c r="S964" s="17"/>
      <c r="T964" s="17"/>
    </row>
    <row r="965" spans="4:20" ht="24.95" customHeight="1" x14ac:dyDescent="0.3">
      <c r="D965" s="23"/>
      <c r="E965" s="17"/>
      <c r="F965" s="17"/>
      <c r="G965" s="17"/>
      <c r="H965" s="16"/>
      <c r="I965" s="17"/>
      <c r="J965" s="16"/>
      <c r="K965" s="17"/>
      <c r="L965" s="16"/>
      <c r="M965" s="17"/>
      <c r="N965" s="16"/>
      <c r="O965" s="17"/>
      <c r="P965" s="16"/>
      <c r="Q965" s="17"/>
      <c r="R965" s="17"/>
      <c r="S965" s="17"/>
      <c r="T965" s="17"/>
    </row>
    <row r="966" spans="4:20" ht="24.95" customHeight="1" x14ac:dyDescent="0.3">
      <c r="D966" s="23"/>
      <c r="E966" s="17"/>
      <c r="F966" s="17"/>
      <c r="G966" s="17"/>
      <c r="H966" s="16"/>
      <c r="I966" s="17"/>
      <c r="J966" s="16"/>
      <c r="K966" s="17"/>
      <c r="L966" s="16"/>
      <c r="M966" s="17"/>
      <c r="N966" s="16"/>
      <c r="O966" s="17"/>
      <c r="P966" s="16"/>
      <c r="Q966" s="17"/>
      <c r="R966" s="17"/>
      <c r="S966" s="17"/>
      <c r="T966" s="17"/>
    </row>
    <row r="967" spans="4:20" ht="24.95" customHeight="1" x14ac:dyDescent="0.3">
      <c r="D967" s="23"/>
      <c r="E967" s="17"/>
      <c r="F967" s="17"/>
      <c r="G967" s="17"/>
      <c r="H967" s="16"/>
      <c r="I967" s="17"/>
      <c r="J967" s="16"/>
      <c r="K967" s="17"/>
      <c r="L967" s="16"/>
      <c r="M967" s="17"/>
      <c r="N967" s="16"/>
      <c r="O967" s="17"/>
      <c r="P967" s="16"/>
      <c r="Q967" s="17"/>
      <c r="R967" s="17"/>
      <c r="S967" s="17"/>
      <c r="T967" s="17"/>
    </row>
    <row r="968" spans="4:20" ht="24.95" customHeight="1" x14ac:dyDescent="0.3">
      <c r="D968" s="23"/>
      <c r="E968" s="17"/>
      <c r="F968" s="17"/>
      <c r="G968" s="17"/>
      <c r="H968" s="16"/>
      <c r="I968" s="17"/>
      <c r="J968" s="16"/>
      <c r="K968" s="17"/>
      <c r="L968" s="16"/>
      <c r="M968" s="17"/>
      <c r="N968" s="16"/>
      <c r="O968" s="17"/>
      <c r="P968" s="16"/>
      <c r="Q968" s="17"/>
      <c r="R968" s="17"/>
      <c r="S968" s="17"/>
      <c r="T968" s="17"/>
    </row>
    <row r="969" spans="4:20" ht="24.95" customHeight="1" x14ac:dyDescent="0.3">
      <c r="D969" s="23"/>
      <c r="E969" s="17"/>
      <c r="F969" s="17"/>
      <c r="G969" s="17"/>
      <c r="H969" s="16"/>
      <c r="I969" s="17"/>
      <c r="J969" s="16"/>
      <c r="K969" s="17"/>
      <c r="L969" s="16"/>
      <c r="M969" s="17"/>
      <c r="N969" s="16"/>
      <c r="O969" s="17"/>
      <c r="P969" s="16"/>
      <c r="Q969" s="17"/>
      <c r="R969" s="17"/>
      <c r="S969" s="17"/>
      <c r="T969" s="17"/>
    </row>
    <row r="970" spans="4:20" ht="24.95" customHeight="1" x14ac:dyDescent="0.3">
      <c r="D970" s="23"/>
      <c r="E970" s="17"/>
      <c r="F970" s="17"/>
      <c r="G970" s="17"/>
      <c r="H970" s="16"/>
      <c r="I970" s="17"/>
      <c r="J970" s="16"/>
      <c r="K970" s="17"/>
      <c r="L970" s="16"/>
      <c r="M970" s="17"/>
      <c r="N970" s="16"/>
      <c r="O970" s="17"/>
      <c r="P970" s="16"/>
      <c r="Q970" s="17"/>
      <c r="R970" s="17"/>
      <c r="S970" s="17"/>
      <c r="T970" s="17"/>
    </row>
    <row r="971" spans="4:20" ht="24.95" customHeight="1" x14ac:dyDescent="0.3">
      <c r="D971" s="23"/>
      <c r="E971" s="17"/>
      <c r="F971" s="17"/>
      <c r="G971" s="17"/>
      <c r="H971" s="16"/>
      <c r="I971" s="17"/>
      <c r="J971" s="16"/>
      <c r="K971" s="17"/>
      <c r="L971" s="16"/>
      <c r="M971" s="17"/>
      <c r="N971" s="16"/>
      <c r="O971" s="17"/>
      <c r="P971" s="16"/>
      <c r="Q971" s="17"/>
      <c r="R971" s="17"/>
      <c r="S971" s="17"/>
      <c r="T971" s="17"/>
    </row>
    <row r="972" spans="4:20" ht="24.95" customHeight="1" x14ac:dyDescent="0.3">
      <c r="D972" s="23"/>
      <c r="E972" s="17"/>
      <c r="F972" s="17"/>
      <c r="G972" s="17"/>
      <c r="H972" s="16"/>
      <c r="I972" s="17"/>
      <c r="J972" s="16"/>
      <c r="K972" s="17"/>
      <c r="L972" s="16"/>
      <c r="M972" s="17"/>
      <c r="N972" s="16"/>
      <c r="O972" s="17"/>
      <c r="P972" s="16"/>
      <c r="Q972" s="17"/>
      <c r="R972" s="17"/>
      <c r="S972" s="17"/>
      <c r="T972" s="17"/>
    </row>
    <row r="973" spans="4:20" ht="24.95" customHeight="1" x14ac:dyDescent="0.3">
      <c r="D973" s="23"/>
      <c r="E973" s="17"/>
      <c r="F973" s="17"/>
      <c r="G973" s="17"/>
      <c r="H973" s="16"/>
      <c r="I973" s="17"/>
      <c r="J973" s="16"/>
      <c r="K973" s="17"/>
      <c r="L973" s="16"/>
      <c r="M973" s="17"/>
      <c r="N973" s="16"/>
      <c r="O973" s="17"/>
      <c r="P973" s="16"/>
      <c r="Q973" s="17"/>
      <c r="R973" s="17"/>
      <c r="S973" s="17"/>
      <c r="T973" s="17"/>
    </row>
    <row r="974" spans="4:20" ht="24.95" customHeight="1" x14ac:dyDescent="0.3">
      <c r="D974" s="23"/>
      <c r="E974" s="17"/>
      <c r="F974" s="17"/>
      <c r="G974" s="17"/>
      <c r="H974" s="16"/>
      <c r="I974" s="17"/>
      <c r="J974" s="16"/>
      <c r="K974" s="17"/>
      <c r="L974" s="16"/>
      <c r="M974" s="17"/>
      <c r="N974" s="16"/>
      <c r="O974" s="17"/>
      <c r="P974" s="16"/>
      <c r="Q974" s="17"/>
      <c r="R974" s="17"/>
      <c r="S974" s="17"/>
      <c r="T974" s="17"/>
    </row>
    <row r="975" spans="4:20" ht="24.95" customHeight="1" x14ac:dyDescent="0.3">
      <c r="D975" s="23"/>
      <c r="E975" s="17"/>
      <c r="F975" s="17"/>
      <c r="G975" s="17"/>
      <c r="H975" s="16"/>
      <c r="I975" s="17"/>
      <c r="J975" s="16"/>
      <c r="K975" s="17"/>
      <c r="L975" s="16"/>
      <c r="M975" s="17"/>
      <c r="N975" s="16"/>
      <c r="O975" s="17"/>
      <c r="P975" s="16"/>
      <c r="Q975" s="17"/>
      <c r="R975" s="17"/>
      <c r="S975" s="17"/>
      <c r="T975" s="17"/>
    </row>
    <row r="976" spans="4:20" ht="24.95" customHeight="1" x14ac:dyDescent="0.3">
      <c r="D976" s="23"/>
      <c r="E976" s="17"/>
      <c r="F976" s="17"/>
      <c r="G976" s="17"/>
      <c r="H976" s="16"/>
      <c r="I976" s="17"/>
      <c r="J976" s="16"/>
      <c r="K976" s="17"/>
      <c r="L976" s="16"/>
      <c r="M976" s="17"/>
      <c r="N976" s="16"/>
      <c r="O976" s="17"/>
      <c r="P976" s="16"/>
      <c r="Q976" s="17"/>
      <c r="R976" s="17"/>
      <c r="S976" s="17"/>
      <c r="T976" s="17"/>
    </row>
    <row r="977" spans="4:20" ht="24.95" customHeight="1" x14ac:dyDescent="0.3">
      <c r="D977" s="23"/>
      <c r="E977" s="17"/>
      <c r="F977" s="17"/>
      <c r="G977" s="17"/>
      <c r="H977" s="16"/>
      <c r="I977" s="17"/>
      <c r="J977" s="16"/>
      <c r="K977" s="17"/>
      <c r="L977" s="16"/>
      <c r="M977" s="17"/>
      <c r="N977" s="16"/>
      <c r="O977" s="17"/>
      <c r="P977" s="16"/>
      <c r="Q977" s="17"/>
      <c r="R977" s="17"/>
      <c r="S977" s="17"/>
      <c r="T977" s="17"/>
    </row>
    <row r="978" spans="4:20" ht="24.95" customHeight="1" x14ac:dyDescent="0.3">
      <c r="D978" s="23"/>
      <c r="E978" s="17"/>
      <c r="F978" s="17"/>
      <c r="G978" s="17"/>
      <c r="H978" s="16"/>
      <c r="I978" s="17"/>
      <c r="J978" s="16"/>
      <c r="K978" s="17"/>
      <c r="L978" s="16"/>
      <c r="M978" s="17"/>
      <c r="N978" s="16"/>
      <c r="O978" s="17"/>
      <c r="P978" s="16"/>
      <c r="Q978" s="17"/>
      <c r="R978" s="17"/>
      <c r="S978" s="17"/>
      <c r="T978" s="17"/>
    </row>
    <row r="979" spans="4:20" ht="24.95" customHeight="1" x14ac:dyDescent="0.3">
      <c r="D979" s="23"/>
      <c r="E979" s="17"/>
      <c r="F979" s="17"/>
      <c r="G979" s="17"/>
      <c r="H979" s="16"/>
      <c r="I979" s="17"/>
      <c r="J979" s="16"/>
      <c r="K979" s="17"/>
      <c r="L979" s="16"/>
      <c r="M979" s="17"/>
      <c r="N979" s="16"/>
      <c r="O979" s="17"/>
      <c r="P979" s="16"/>
      <c r="Q979" s="17"/>
      <c r="R979" s="17"/>
      <c r="S979" s="17"/>
      <c r="T979" s="17"/>
    </row>
    <row r="980" spans="4:20" ht="24.95" customHeight="1" x14ac:dyDescent="0.3">
      <c r="D980" s="23"/>
      <c r="E980" s="17"/>
      <c r="F980" s="17"/>
      <c r="G980" s="17"/>
      <c r="H980" s="16"/>
      <c r="I980" s="17"/>
      <c r="J980" s="16"/>
      <c r="K980" s="17"/>
      <c r="L980" s="16"/>
      <c r="M980" s="17"/>
      <c r="N980" s="16"/>
      <c r="O980" s="17"/>
      <c r="P980" s="16"/>
      <c r="Q980" s="17"/>
      <c r="R980" s="17"/>
      <c r="S980" s="17"/>
      <c r="T980" s="17"/>
    </row>
    <row r="981" spans="4:20" ht="24.95" customHeight="1" x14ac:dyDescent="0.3">
      <c r="D981" s="23"/>
      <c r="E981" s="17"/>
      <c r="F981" s="17"/>
      <c r="G981" s="17"/>
      <c r="H981" s="16"/>
      <c r="I981" s="17"/>
      <c r="J981" s="16"/>
      <c r="K981" s="17"/>
      <c r="L981" s="16"/>
      <c r="M981" s="17"/>
      <c r="N981" s="16"/>
      <c r="O981" s="17"/>
      <c r="P981" s="16"/>
      <c r="Q981" s="17"/>
      <c r="R981" s="17"/>
      <c r="S981" s="17"/>
      <c r="T981" s="17"/>
    </row>
    <row r="982" spans="4:20" ht="24.95" customHeight="1" x14ac:dyDescent="0.3">
      <c r="D982" s="23"/>
      <c r="E982" s="17"/>
      <c r="F982" s="17"/>
      <c r="G982" s="17"/>
      <c r="H982" s="16"/>
      <c r="I982" s="17"/>
      <c r="J982" s="16"/>
      <c r="K982" s="17"/>
      <c r="L982" s="16"/>
      <c r="M982" s="17"/>
      <c r="N982" s="16"/>
      <c r="O982" s="17"/>
      <c r="P982" s="16"/>
      <c r="Q982" s="17"/>
      <c r="R982" s="17"/>
      <c r="S982" s="17"/>
      <c r="T982" s="17"/>
    </row>
    <row r="983" spans="4:20" ht="24.95" customHeight="1" x14ac:dyDescent="0.3">
      <c r="D983" s="23"/>
      <c r="E983" s="17"/>
      <c r="F983" s="17"/>
      <c r="G983" s="17"/>
      <c r="H983" s="16"/>
      <c r="I983" s="17"/>
      <c r="J983" s="16"/>
      <c r="K983" s="17"/>
      <c r="L983" s="16"/>
      <c r="M983" s="17"/>
      <c r="N983" s="16"/>
      <c r="O983" s="17"/>
      <c r="P983" s="16"/>
      <c r="Q983" s="17"/>
      <c r="R983" s="17"/>
      <c r="S983" s="17"/>
      <c r="T983" s="17"/>
    </row>
    <row r="984" spans="4:20" ht="24.95" customHeight="1" x14ac:dyDescent="0.3">
      <c r="D984" s="23"/>
      <c r="E984" s="17"/>
      <c r="F984" s="17"/>
      <c r="G984" s="17"/>
      <c r="H984" s="16"/>
      <c r="I984" s="17"/>
      <c r="J984" s="16"/>
      <c r="K984" s="17"/>
      <c r="L984" s="16"/>
      <c r="M984" s="17"/>
      <c r="N984" s="16"/>
      <c r="O984" s="17"/>
      <c r="P984" s="16"/>
      <c r="Q984" s="17"/>
      <c r="R984" s="17"/>
      <c r="S984" s="17"/>
      <c r="T984" s="17"/>
    </row>
    <row r="985" spans="4:20" ht="24.95" customHeight="1" x14ac:dyDescent="0.3">
      <c r="D985" s="23"/>
      <c r="E985" s="17"/>
      <c r="F985" s="17"/>
      <c r="G985" s="17"/>
      <c r="H985" s="16"/>
      <c r="I985" s="17"/>
      <c r="J985" s="16"/>
      <c r="K985" s="17"/>
      <c r="L985" s="16"/>
      <c r="M985" s="17"/>
      <c r="N985" s="16"/>
      <c r="O985" s="17"/>
      <c r="P985" s="16"/>
      <c r="Q985" s="17"/>
      <c r="R985" s="17"/>
      <c r="S985" s="17"/>
      <c r="T985" s="17"/>
    </row>
    <row r="986" spans="4:20" ht="24.95" customHeight="1" x14ac:dyDescent="0.3">
      <c r="D986" s="23"/>
      <c r="E986" s="17"/>
      <c r="F986" s="17"/>
      <c r="G986" s="17"/>
      <c r="H986" s="16"/>
      <c r="I986" s="17"/>
      <c r="J986" s="16"/>
      <c r="K986" s="17"/>
      <c r="L986" s="16"/>
      <c r="M986" s="17"/>
      <c r="N986" s="16"/>
      <c r="O986" s="17"/>
      <c r="P986" s="16"/>
      <c r="Q986" s="17"/>
      <c r="R986" s="17"/>
      <c r="S986" s="17"/>
      <c r="T986" s="17"/>
    </row>
    <row r="987" spans="4:20" ht="24.95" customHeight="1" x14ac:dyDescent="0.3">
      <c r="D987" s="23"/>
      <c r="E987" s="17"/>
      <c r="F987" s="17"/>
      <c r="G987" s="17"/>
      <c r="H987" s="16"/>
      <c r="I987" s="17"/>
      <c r="J987" s="16"/>
      <c r="K987" s="17"/>
      <c r="L987" s="16"/>
      <c r="M987" s="17"/>
      <c r="N987" s="16"/>
      <c r="O987" s="17"/>
      <c r="P987" s="16"/>
      <c r="Q987" s="17"/>
      <c r="R987" s="17"/>
      <c r="S987" s="17"/>
      <c r="T987" s="17"/>
    </row>
    <row r="988" spans="4:20" ht="24.95" customHeight="1" x14ac:dyDescent="0.3">
      <c r="D988" s="23"/>
      <c r="E988" s="17"/>
      <c r="F988" s="17"/>
      <c r="G988" s="17"/>
      <c r="H988" s="16"/>
      <c r="I988" s="17"/>
      <c r="J988" s="16"/>
      <c r="K988" s="17"/>
      <c r="L988" s="16"/>
      <c r="M988" s="17"/>
      <c r="N988" s="16"/>
      <c r="O988" s="17"/>
      <c r="P988" s="16"/>
      <c r="Q988" s="17"/>
      <c r="R988" s="17"/>
      <c r="S988" s="17"/>
      <c r="T988" s="17"/>
    </row>
    <row r="989" spans="4:20" ht="24.95" customHeight="1" x14ac:dyDescent="0.3">
      <c r="D989" s="23"/>
      <c r="E989" s="17"/>
      <c r="F989" s="17"/>
      <c r="G989" s="17"/>
      <c r="H989" s="16"/>
      <c r="I989" s="17"/>
      <c r="J989" s="16"/>
      <c r="K989" s="17"/>
      <c r="L989" s="16"/>
      <c r="M989" s="17"/>
      <c r="N989" s="16"/>
      <c r="O989" s="17"/>
      <c r="P989" s="16"/>
      <c r="Q989" s="17"/>
      <c r="R989" s="17"/>
      <c r="S989" s="17"/>
      <c r="T989" s="17"/>
    </row>
    <row r="990" spans="4:20" ht="24.95" customHeight="1" x14ac:dyDescent="0.3">
      <c r="D990" s="23"/>
      <c r="E990" s="17"/>
      <c r="F990" s="17"/>
      <c r="G990" s="17"/>
      <c r="H990" s="16"/>
      <c r="I990" s="17"/>
      <c r="J990" s="16"/>
      <c r="K990" s="17"/>
      <c r="L990" s="16"/>
      <c r="M990" s="17"/>
      <c r="N990" s="16"/>
      <c r="O990" s="17"/>
      <c r="P990" s="16"/>
      <c r="Q990" s="17"/>
      <c r="R990" s="17"/>
      <c r="S990" s="17"/>
      <c r="T990" s="17"/>
    </row>
    <row r="991" spans="4:20" ht="24.95" customHeight="1" x14ac:dyDescent="0.3">
      <c r="D991" s="23"/>
      <c r="E991" s="17"/>
      <c r="F991" s="17"/>
      <c r="G991" s="17"/>
      <c r="H991" s="16"/>
      <c r="I991" s="17"/>
      <c r="J991" s="16"/>
      <c r="K991" s="17"/>
      <c r="L991" s="16"/>
      <c r="M991" s="17"/>
      <c r="N991" s="16"/>
      <c r="O991" s="17"/>
      <c r="P991" s="16"/>
      <c r="Q991" s="17"/>
      <c r="R991" s="17"/>
      <c r="S991" s="17"/>
      <c r="T991" s="17"/>
    </row>
    <row r="992" spans="4:20" ht="24.95" customHeight="1" x14ac:dyDescent="0.3">
      <c r="D992" s="23"/>
      <c r="E992" s="17"/>
      <c r="F992" s="17"/>
      <c r="G992" s="17"/>
      <c r="H992" s="16"/>
      <c r="I992" s="17"/>
      <c r="J992" s="16"/>
      <c r="K992" s="17"/>
      <c r="L992" s="16"/>
      <c r="M992" s="17"/>
      <c r="N992" s="16"/>
      <c r="O992" s="17"/>
      <c r="P992" s="16"/>
      <c r="Q992" s="17"/>
      <c r="R992" s="17"/>
      <c r="S992" s="17"/>
      <c r="T992" s="17"/>
    </row>
    <row r="993" spans="4:20" ht="24.95" customHeight="1" x14ac:dyDescent="0.3">
      <c r="D993" s="23"/>
      <c r="E993" s="17"/>
      <c r="F993" s="17"/>
      <c r="G993" s="17"/>
      <c r="H993" s="16"/>
      <c r="I993" s="17"/>
      <c r="J993" s="16"/>
      <c r="K993" s="17"/>
      <c r="L993" s="16"/>
      <c r="M993" s="17"/>
      <c r="N993" s="16"/>
      <c r="O993" s="17"/>
      <c r="P993" s="16"/>
      <c r="Q993" s="17"/>
      <c r="R993" s="17"/>
      <c r="S993" s="17"/>
      <c r="T993" s="17"/>
    </row>
    <row r="994" spans="4:20" ht="24.95" customHeight="1" x14ac:dyDescent="0.3">
      <c r="D994" s="23"/>
      <c r="E994" s="17"/>
      <c r="F994" s="17"/>
      <c r="G994" s="17"/>
      <c r="H994" s="16"/>
      <c r="I994" s="17"/>
      <c r="J994" s="16"/>
      <c r="K994" s="17"/>
      <c r="L994" s="16"/>
      <c r="M994" s="17"/>
      <c r="N994" s="16"/>
      <c r="O994" s="17"/>
      <c r="P994" s="16"/>
      <c r="Q994" s="17"/>
      <c r="R994" s="17"/>
      <c r="S994" s="17"/>
      <c r="T994" s="17"/>
    </row>
    <row r="995" spans="4:20" ht="24.95" customHeight="1" x14ac:dyDescent="0.3">
      <c r="D995" s="23"/>
      <c r="E995" s="17"/>
      <c r="F995" s="17"/>
      <c r="G995" s="17"/>
      <c r="H995" s="16"/>
      <c r="I995" s="17"/>
      <c r="J995" s="16"/>
      <c r="K995" s="17"/>
      <c r="L995" s="16"/>
      <c r="M995" s="17"/>
      <c r="N995" s="16"/>
      <c r="O995" s="17"/>
      <c r="P995" s="16"/>
      <c r="Q995" s="17"/>
      <c r="R995" s="17"/>
      <c r="S995" s="17"/>
      <c r="T995" s="17"/>
    </row>
    <row r="996" spans="4:20" ht="24.95" customHeight="1" x14ac:dyDescent="0.3">
      <c r="D996" s="23"/>
      <c r="E996" s="17"/>
      <c r="F996" s="17"/>
      <c r="G996" s="17"/>
      <c r="H996" s="16"/>
      <c r="I996" s="17"/>
      <c r="J996" s="16"/>
      <c r="K996" s="17"/>
      <c r="L996" s="16"/>
      <c r="M996" s="17"/>
      <c r="N996" s="16"/>
      <c r="O996" s="17"/>
      <c r="P996" s="16"/>
      <c r="Q996" s="17"/>
      <c r="R996" s="17"/>
      <c r="S996" s="17"/>
      <c r="T996" s="17"/>
    </row>
    <row r="997" spans="4:20" ht="24.95" customHeight="1" x14ac:dyDescent="0.3">
      <c r="D997" s="23"/>
      <c r="E997" s="17"/>
      <c r="F997" s="17"/>
      <c r="G997" s="17"/>
      <c r="H997" s="16"/>
      <c r="I997" s="17"/>
      <c r="J997" s="16"/>
      <c r="K997" s="17"/>
      <c r="L997" s="16"/>
      <c r="M997" s="17"/>
      <c r="N997" s="16"/>
      <c r="O997" s="17"/>
      <c r="P997" s="16"/>
      <c r="Q997" s="17"/>
      <c r="R997" s="17"/>
      <c r="S997" s="17"/>
      <c r="T997" s="17"/>
    </row>
    <row r="998" spans="4:20" ht="24.95" customHeight="1" x14ac:dyDescent="0.3">
      <c r="D998" s="23"/>
      <c r="E998" s="17"/>
      <c r="F998" s="17"/>
      <c r="G998" s="17"/>
      <c r="H998" s="16"/>
      <c r="I998" s="17"/>
      <c r="J998" s="16"/>
      <c r="K998" s="17"/>
      <c r="L998" s="16"/>
      <c r="M998" s="17"/>
      <c r="N998" s="16"/>
      <c r="O998" s="17"/>
      <c r="P998" s="16"/>
      <c r="Q998" s="17"/>
      <c r="R998" s="17"/>
      <c r="S998" s="17"/>
      <c r="T998" s="17"/>
    </row>
    <row r="999" spans="4:20" ht="24.95" customHeight="1" x14ac:dyDescent="0.3">
      <c r="D999" s="23"/>
      <c r="E999" s="17"/>
      <c r="F999" s="17"/>
      <c r="G999" s="17"/>
      <c r="H999" s="16"/>
      <c r="I999" s="17"/>
      <c r="J999" s="16"/>
      <c r="K999" s="17"/>
      <c r="L999" s="16"/>
      <c r="M999" s="17"/>
      <c r="N999" s="16"/>
      <c r="O999" s="17"/>
      <c r="P999" s="16"/>
      <c r="Q999" s="17"/>
      <c r="R999" s="17"/>
      <c r="S999" s="17"/>
      <c r="T999" s="17"/>
    </row>
    <row r="1000" spans="4:20" ht="24.95" customHeight="1" x14ac:dyDescent="0.3">
      <c r="D1000" s="23"/>
      <c r="E1000" s="17"/>
      <c r="F1000" s="17"/>
      <c r="G1000" s="17"/>
      <c r="H1000" s="16"/>
      <c r="I1000" s="17"/>
      <c r="J1000" s="16"/>
      <c r="K1000" s="17"/>
      <c r="L1000" s="16"/>
      <c r="M1000" s="17"/>
      <c r="N1000" s="16"/>
      <c r="O1000" s="17"/>
      <c r="P1000" s="16"/>
      <c r="Q1000" s="17"/>
      <c r="R1000" s="17"/>
      <c r="S1000" s="17"/>
      <c r="T1000" s="17"/>
    </row>
    <row r="1001" spans="4:20" ht="24.95" customHeight="1" x14ac:dyDescent="0.3">
      <c r="D1001" s="23"/>
      <c r="E1001" s="17"/>
      <c r="F1001" s="17"/>
      <c r="G1001" s="17"/>
      <c r="H1001" s="16"/>
      <c r="I1001" s="17"/>
      <c r="J1001" s="16"/>
      <c r="K1001" s="17"/>
      <c r="L1001" s="16"/>
      <c r="M1001" s="17"/>
      <c r="N1001" s="16"/>
      <c r="O1001" s="17"/>
      <c r="P1001" s="16"/>
      <c r="Q1001" s="17"/>
      <c r="R1001" s="17"/>
      <c r="S1001" s="17"/>
      <c r="T1001" s="17"/>
    </row>
    <row r="1002" spans="4:20" ht="24.95" customHeight="1" x14ac:dyDescent="0.3">
      <c r="D1002" s="23"/>
      <c r="E1002" s="17"/>
      <c r="F1002" s="17"/>
      <c r="G1002" s="17"/>
      <c r="H1002" s="16"/>
      <c r="I1002" s="17"/>
      <c r="J1002" s="16"/>
      <c r="K1002" s="17"/>
      <c r="L1002" s="16"/>
      <c r="M1002" s="17"/>
      <c r="N1002" s="16"/>
      <c r="O1002" s="17"/>
      <c r="P1002" s="16"/>
      <c r="Q1002" s="17"/>
      <c r="R1002" s="17"/>
      <c r="S1002" s="17"/>
      <c r="T1002" s="17"/>
    </row>
    <row r="1003" spans="4:20" ht="24.95" customHeight="1" x14ac:dyDescent="0.3">
      <c r="D1003" s="23"/>
      <c r="E1003" s="17"/>
      <c r="F1003" s="17"/>
      <c r="G1003" s="17"/>
      <c r="H1003" s="16"/>
      <c r="I1003" s="17"/>
      <c r="J1003" s="16"/>
      <c r="K1003" s="17"/>
      <c r="L1003" s="16"/>
      <c r="M1003" s="17"/>
      <c r="N1003" s="16"/>
      <c r="O1003" s="17"/>
      <c r="P1003" s="16"/>
      <c r="Q1003" s="17"/>
      <c r="R1003" s="17"/>
      <c r="S1003" s="17"/>
      <c r="T1003" s="17"/>
    </row>
    <row r="1004" spans="4:20" ht="24.95" customHeight="1" x14ac:dyDescent="0.3">
      <c r="D1004" s="23"/>
      <c r="E1004" s="17"/>
      <c r="F1004" s="17"/>
      <c r="G1004" s="17"/>
      <c r="H1004" s="16"/>
      <c r="I1004" s="17"/>
      <c r="J1004" s="16"/>
      <c r="K1004" s="17"/>
      <c r="L1004" s="16"/>
      <c r="M1004" s="17"/>
      <c r="N1004" s="16"/>
      <c r="O1004" s="17"/>
      <c r="P1004" s="16"/>
      <c r="Q1004" s="17"/>
      <c r="R1004" s="17"/>
      <c r="S1004" s="17"/>
      <c r="T1004" s="17"/>
    </row>
    <row r="1005" spans="4:20" ht="24.95" customHeight="1" x14ac:dyDescent="0.3">
      <c r="E1005" s="17"/>
      <c r="F1005" s="17"/>
      <c r="G1005" s="17"/>
      <c r="H1005" s="16"/>
      <c r="I1005" s="17"/>
      <c r="J1005" s="16"/>
      <c r="K1005" s="17"/>
      <c r="L1005" s="16"/>
      <c r="M1005" s="17"/>
      <c r="N1005" s="16"/>
      <c r="O1005" s="17"/>
      <c r="P1005" s="16"/>
      <c r="Q1005" s="17"/>
      <c r="R1005" s="17"/>
      <c r="S1005" s="17"/>
      <c r="T1005" s="17"/>
    </row>
    <row r="1006" spans="4:20" ht="24.95" customHeight="1" x14ac:dyDescent="0.3">
      <c r="T1006" s="17"/>
    </row>
  </sheetData>
  <autoFilter ref="A1:U822" xr:uid="{00000000-0009-0000-0000-000009000000}"/>
  <mergeCells count="11">
    <mergeCell ref="A782:A787"/>
    <mergeCell ref="A788:A790"/>
    <mergeCell ref="A791:A793"/>
    <mergeCell ref="A794:A796"/>
    <mergeCell ref="A797:A801"/>
    <mergeCell ref="A1:B1"/>
    <mergeCell ref="H1:I1"/>
    <mergeCell ref="J1:K1"/>
    <mergeCell ref="L1:M1"/>
    <mergeCell ref="N1:O1"/>
    <mergeCell ref="P1:Q1"/>
  </mergeCells>
  <phoneticPr fontId="2" type="noConversion"/>
  <conditionalFormatting sqref="F2:F254">
    <cfRule type="duplicateValues" dxfId="422" priority="154"/>
    <cfRule type="duplicateValues" dxfId="421" priority="155"/>
  </conditionalFormatting>
  <conditionalFormatting sqref="F255">
    <cfRule type="duplicateValues" dxfId="419" priority="151"/>
    <cfRule type="duplicateValues" dxfId="420" priority="152"/>
  </conditionalFormatting>
  <conditionalFormatting sqref="F256">
    <cfRule type="duplicateValues" dxfId="417" priority="140"/>
    <cfRule type="duplicateValues" dxfId="418" priority="150"/>
  </conditionalFormatting>
  <conditionalFormatting sqref="F257">
    <cfRule type="duplicateValues" dxfId="416" priority="139"/>
    <cfRule type="duplicateValues" dxfId="415" priority="149"/>
  </conditionalFormatting>
  <conditionalFormatting sqref="F258">
    <cfRule type="duplicateValues" dxfId="413" priority="138"/>
    <cfRule type="duplicateValues" dxfId="414" priority="148"/>
  </conditionalFormatting>
  <conditionalFormatting sqref="F259">
    <cfRule type="duplicateValues" dxfId="411" priority="137"/>
    <cfRule type="duplicateValues" dxfId="412" priority="147"/>
  </conditionalFormatting>
  <conditionalFormatting sqref="F260">
    <cfRule type="duplicateValues" dxfId="409" priority="136"/>
    <cfRule type="duplicateValues" dxfId="410" priority="146"/>
  </conditionalFormatting>
  <conditionalFormatting sqref="F261">
    <cfRule type="duplicateValues" dxfId="407" priority="135"/>
    <cfRule type="duplicateValues" dxfId="408" priority="145"/>
  </conditionalFormatting>
  <conditionalFormatting sqref="F262">
    <cfRule type="duplicateValues" dxfId="405" priority="134"/>
    <cfRule type="duplicateValues" dxfId="406" priority="144"/>
  </conditionalFormatting>
  <conditionalFormatting sqref="F263">
    <cfRule type="duplicateValues" dxfId="403" priority="133"/>
    <cfRule type="duplicateValues" dxfId="404" priority="143"/>
  </conditionalFormatting>
  <conditionalFormatting sqref="F264">
    <cfRule type="duplicateValues" dxfId="401" priority="132"/>
    <cfRule type="duplicateValues" dxfId="402" priority="142"/>
  </conditionalFormatting>
  <conditionalFormatting sqref="F265">
    <cfRule type="duplicateValues" dxfId="400" priority="131"/>
    <cfRule type="duplicateValues" dxfId="399" priority="141"/>
  </conditionalFormatting>
  <conditionalFormatting sqref="F266">
    <cfRule type="duplicateValues" dxfId="397" priority="120"/>
    <cfRule type="duplicateValues" dxfId="398" priority="130"/>
  </conditionalFormatting>
  <conditionalFormatting sqref="F267">
    <cfRule type="duplicateValues" dxfId="396" priority="119"/>
    <cfRule type="duplicateValues" dxfId="395" priority="129"/>
  </conditionalFormatting>
  <conditionalFormatting sqref="F268">
    <cfRule type="duplicateValues" dxfId="393" priority="118"/>
    <cfRule type="duplicateValues" dxfId="394" priority="128"/>
  </conditionalFormatting>
  <conditionalFormatting sqref="F269">
    <cfRule type="duplicateValues" dxfId="391" priority="117"/>
    <cfRule type="duplicateValues" dxfId="392" priority="127"/>
  </conditionalFormatting>
  <conditionalFormatting sqref="F270">
    <cfRule type="duplicateValues" dxfId="389" priority="116"/>
    <cfRule type="duplicateValues" dxfId="390" priority="126"/>
  </conditionalFormatting>
  <conditionalFormatting sqref="F271">
    <cfRule type="duplicateValues" dxfId="387" priority="115"/>
    <cfRule type="duplicateValues" dxfId="388" priority="125"/>
  </conditionalFormatting>
  <conditionalFormatting sqref="F272">
    <cfRule type="duplicateValues" dxfId="385" priority="114"/>
    <cfRule type="duplicateValues" dxfId="386" priority="124"/>
  </conditionalFormatting>
  <conditionalFormatting sqref="F273">
    <cfRule type="duplicateValues" dxfId="383" priority="113"/>
    <cfRule type="duplicateValues" dxfId="384" priority="123"/>
  </conditionalFormatting>
  <conditionalFormatting sqref="F274">
    <cfRule type="duplicateValues" dxfId="381" priority="112"/>
    <cfRule type="duplicateValues" dxfId="382" priority="122"/>
  </conditionalFormatting>
  <conditionalFormatting sqref="F275">
    <cfRule type="duplicateValues" dxfId="379" priority="111"/>
    <cfRule type="duplicateValues" dxfId="380" priority="121"/>
  </conditionalFormatting>
  <conditionalFormatting sqref="F276">
    <cfRule type="duplicateValues" dxfId="378" priority="108"/>
    <cfRule type="duplicateValues" dxfId="377" priority="110"/>
  </conditionalFormatting>
  <conditionalFormatting sqref="F277">
    <cfRule type="duplicateValues" dxfId="375" priority="107"/>
    <cfRule type="duplicateValues" dxfId="376" priority="109"/>
  </conditionalFormatting>
  <conditionalFormatting sqref="F278">
    <cfRule type="duplicateValues" dxfId="374" priority="105"/>
    <cfRule type="duplicateValues" dxfId="373" priority="106"/>
  </conditionalFormatting>
  <conditionalFormatting sqref="F279">
    <cfRule type="duplicateValues" dxfId="371" priority="96"/>
    <cfRule type="duplicateValues" dxfId="372" priority="104"/>
  </conditionalFormatting>
  <conditionalFormatting sqref="F280">
    <cfRule type="duplicateValues" dxfId="369" priority="95"/>
    <cfRule type="duplicateValues" dxfId="370" priority="103"/>
  </conditionalFormatting>
  <conditionalFormatting sqref="F281">
    <cfRule type="duplicateValues" dxfId="367" priority="94"/>
    <cfRule type="duplicateValues" dxfId="368" priority="102"/>
  </conditionalFormatting>
  <conditionalFormatting sqref="F282">
    <cfRule type="duplicateValues" dxfId="365" priority="93"/>
    <cfRule type="duplicateValues" dxfId="366" priority="101"/>
  </conditionalFormatting>
  <conditionalFormatting sqref="F283">
    <cfRule type="duplicateValues" dxfId="363" priority="92"/>
    <cfRule type="duplicateValues" dxfId="364" priority="100"/>
  </conditionalFormatting>
  <conditionalFormatting sqref="F284">
    <cfRule type="duplicateValues" dxfId="361" priority="91"/>
    <cfRule type="duplicateValues" dxfId="362" priority="99"/>
  </conditionalFormatting>
  <conditionalFormatting sqref="F285">
    <cfRule type="duplicateValues" dxfId="359" priority="90"/>
    <cfRule type="duplicateValues" dxfId="360" priority="98"/>
  </conditionalFormatting>
  <conditionalFormatting sqref="F286">
    <cfRule type="duplicateValues" dxfId="357" priority="89"/>
    <cfRule type="duplicateValues" dxfId="358" priority="97"/>
  </conditionalFormatting>
  <conditionalFormatting sqref="F287">
    <cfRule type="duplicateValues" dxfId="355" priority="82"/>
    <cfRule type="duplicateValues" dxfId="356" priority="88"/>
  </conditionalFormatting>
  <conditionalFormatting sqref="F288">
    <cfRule type="duplicateValues" dxfId="354" priority="81"/>
    <cfRule type="duplicateValues" dxfId="353" priority="87"/>
  </conditionalFormatting>
  <conditionalFormatting sqref="F289">
    <cfRule type="duplicateValues" dxfId="352" priority="80"/>
    <cfRule type="duplicateValues" dxfId="351" priority="86"/>
  </conditionalFormatting>
  <conditionalFormatting sqref="F290">
    <cfRule type="duplicateValues" dxfId="350" priority="79"/>
    <cfRule type="duplicateValues" dxfId="349" priority="85"/>
  </conditionalFormatting>
  <conditionalFormatting sqref="F291">
    <cfRule type="duplicateValues" dxfId="347" priority="78"/>
    <cfRule type="duplicateValues" dxfId="348" priority="84"/>
  </conditionalFormatting>
  <conditionalFormatting sqref="F292">
    <cfRule type="duplicateValues" dxfId="345" priority="77"/>
    <cfRule type="duplicateValues" dxfId="346" priority="83"/>
  </conditionalFormatting>
  <conditionalFormatting sqref="F293">
    <cfRule type="duplicateValues" dxfId="343" priority="51"/>
    <cfRule type="duplicateValues" dxfId="344" priority="76"/>
  </conditionalFormatting>
  <conditionalFormatting sqref="F294">
    <cfRule type="duplicateValues" dxfId="341" priority="50"/>
    <cfRule type="duplicateValues" dxfId="342" priority="75"/>
  </conditionalFormatting>
  <conditionalFormatting sqref="F295">
    <cfRule type="duplicateValues" dxfId="339" priority="49"/>
    <cfRule type="duplicateValues" dxfId="340" priority="74"/>
  </conditionalFormatting>
  <conditionalFormatting sqref="F296">
    <cfRule type="duplicateValues" dxfId="337" priority="48"/>
    <cfRule type="duplicateValues" dxfId="338" priority="73"/>
  </conditionalFormatting>
  <conditionalFormatting sqref="F297">
    <cfRule type="duplicateValues" dxfId="335" priority="47"/>
    <cfRule type="duplicateValues" dxfId="336" priority="72"/>
  </conditionalFormatting>
  <conditionalFormatting sqref="F298">
    <cfRule type="duplicateValues" dxfId="333" priority="46"/>
    <cfRule type="duplicateValues" dxfId="334" priority="71"/>
  </conditionalFormatting>
  <conditionalFormatting sqref="F299">
    <cfRule type="duplicateValues" dxfId="331" priority="45"/>
    <cfRule type="duplicateValues" dxfId="332" priority="70"/>
  </conditionalFormatting>
  <conditionalFormatting sqref="F300">
    <cfRule type="duplicateValues" dxfId="330" priority="44"/>
    <cfRule type="duplicateValues" dxfId="329" priority="69"/>
  </conditionalFormatting>
  <conditionalFormatting sqref="F301">
    <cfRule type="duplicateValues" dxfId="328" priority="43"/>
    <cfRule type="duplicateValues" dxfId="327" priority="68"/>
  </conditionalFormatting>
  <conditionalFormatting sqref="F302">
    <cfRule type="duplicateValues" dxfId="326" priority="42"/>
    <cfRule type="duplicateValues" dxfId="325" priority="67"/>
  </conditionalFormatting>
  <conditionalFormatting sqref="F303">
    <cfRule type="duplicateValues" dxfId="323" priority="41"/>
    <cfRule type="duplicateValues" dxfId="324" priority="66"/>
  </conditionalFormatting>
  <conditionalFormatting sqref="F304">
    <cfRule type="duplicateValues" dxfId="321" priority="40"/>
    <cfRule type="duplicateValues" dxfId="322" priority="65"/>
  </conditionalFormatting>
  <conditionalFormatting sqref="F305">
    <cfRule type="duplicateValues" dxfId="319" priority="39"/>
    <cfRule type="duplicateValues" dxfId="320" priority="64"/>
  </conditionalFormatting>
  <conditionalFormatting sqref="F306">
    <cfRule type="duplicateValues" dxfId="317" priority="38"/>
    <cfRule type="duplicateValues" dxfId="318" priority="63"/>
  </conditionalFormatting>
  <conditionalFormatting sqref="F307">
    <cfRule type="duplicateValues" dxfId="315" priority="37"/>
    <cfRule type="duplicateValues" dxfId="316" priority="62"/>
  </conditionalFormatting>
  <conditionalFormatting sqref="F308">
    <cfRule type="duplicateValues" dxfId="313" priority="36"/>
    <cfRule type="duplicateValues" dxfId="314" priority="61"/>
  </conditionalFormatting>
  <conditionalFormatting sqref="F309">
    <cfRule type="duplicateValues" dxfId="311" priority="35"/>
    <cfRule type="duplicateValues" dxfId="312" priority="60"/>
  </conditionalFormatting>
  <conditionalFormatting sqref="F310">
    <cfRule type="duplicateValues" dxfId="309" priority="34"/>
    <cfRule type="duplicateValues" dxfId="310" priority="59"/>
  </conditionalFormatting>
  <conditionalFormatting sqref="F311">
    <cfRule type="duplicateValues" dxfId="307" priority="33"/>
    <cfRule type="duplicateValues" dxfId="308" priority="58"/>
  </conditionalFormatting>
  <conditionalFormatting sqref="F312">
    <cfRule type="duplicateValues" dxfId="305" priority="32"/>
    <cfRule type="duplicateValues" dxfId="306" priority="57"/>
  </conditionalFormatting>
  <conditionalFormatting sqref="F313">
    <cfRule type="duplicateValues" dxfId="304" priority="31"/>
    <cfRule type="duplicateValues" dxfId="303" priority="56"/>
  </conditionalFormatting>
  <conditionalFormatting sqref="F314">
    <cfRule type="duplicateValues" dxfId="301" priority="30"/>
    <cfRule type="duplicateValues" dxfId="302" priority="55"/>
  </conditionalFormatting>
  <conditionalFormatting sqref="F315">
    <cfRule type="duplicateValues" dxfId="299" priority="29"/>
    <cfRule type="duplicateValues" dxfId="300" priority="54"/>
  </conditionalFormatting>
  <conditionalFormatting sqref="F316">
    <cfRule type="duplicateValues" dxfId="298" priority="28"/>
    <cfRule type="duplicateValues" dxfId="297" priority="53"/>
  </conditionalFormatting>
  <conditionalFormatting sqref="F317">
    <cfRule type="duplicateValues" dxfId="296" priority="27"/>
    <cfRule type="duplicateValues" dxfId="295" priority="52"/>
  </conditionalFormatting>
  <conditionalFormatting sqref="F318">
    <cfRule type="duplicateValues" dxfId="293" priority="13"/>
    <cfRule type="duplicateValues" dxfId="294" priority="26"/>
  </conditionalFormatting>
  <conditionalFormatting sqref="F319">
    <cfRule type="duplicateValues" dxfId="291" priority="12"/>
    <cfRule type="duplicateValues" dxfId="292" priority="25"/>
  </conditionalFormatting>
  <conditionalFormatting sqref="F320">
    <cfRule type="duplicateValues" dxfId="289" priority="11"/>
    <cfRule type="duplicateValues" dxfId="290" priority="24"/>
  </conditionalFormatting>
  <conditionalFormatting sqref="F321">
    <cfRule type="duplicateValues" dxfId="287" priority="10"/>
    <cfRule type="duplicateValues" dxfId="288" priority="23"/>
  </conditionalFormatting>
  <conditionalFormatting sqref="F322">
    <cfRule type="duplicateValues" dxfId="286" priority="9"/>
    <cfRule type="duplicateValues" dxfId="285" priority="22"/>
  </conditionalFormatting>
  <conditionalFormatting sqref="F323">
    <cfRule type="duplicateValues" dxfId="283" priority="8"/>
    <cfRule type="duplicateValues" dxfId="284" priority="21"/>
  </conditionalFormatting>
  <conditionalFormatting sqref="F324">
    <cfRule type="duplicateValues" dxfId="281" priority="7"/>
    <cfRule type="duplicateValues" dxfId="282" priority="20"/>
  </conditionalFormatting>
  <conditionalFormatting sqref="F325">
    <cfRule type="duplicateValues" dxfId="279" priority="6"/>
    <cfRule type="duplicateValues" dxfId="280" priority="19"/>
  </conditionalFormatting>
  <conditionalFormatting sqref="F326">
    <cfRule type="duplicateValues" dxfId="277" priority="5"/>
    <cfRule type="duplicateValues" dxfId="278" priority="18"/>
  </conditionalFormatting>
  <conditionalFormatting sqref="F327">
    <cfRule type="duplicateValues" dxfId="275" priority="4"/>
    <cfRule type="duplicateValues" dxfId="276" priority="17"/>
  </conditionalFormatting>
  <conditionalFormatting sqref="F328">
    <cfRule type="duplicateValues" dxfId="274" priority="3"/>
    <cfRule type="duplicateValues" dxfId="273" priority="16"/>
  </conditionalFormatting>
  <conditionalFormatting sqref="F329">
    <cfRule type="duplicateValues" dxfId="272" priority="2"/>
    <cfRule type="duplicateValues" dxfId="271" priority="15"/>
  </conditionalFormatting>
  <conditionalFormatting sqref="F330">
    <cfRule type="duplicateValues" dxfId="270" priority="1"/>
    <cfRule type="duplicateValues" dxfId="269" priority="14"/>
  </conditionalFormatting>
  <conditionalFormatting sqref="F1006:F65583">
    <cfRule type="duplicateValues" dxfId="268" priority="153"/>
  </conditionalFormatting>
  <hyperlinks>
    <hyperlink ref="T135" r:id="rId1" xr:uid="{11278D0B-92F3-45AC-9BCE-0715E5FD4546}"/>
    <hyperlink ref="T136" r:id="rId2" xr:uid="{D7ED04CC-B07D-4000-B349-C080D485E19B}"/>
    <hyperlink ref="T134" r:id="rId3" xr:uid="{D60BC7CC-934A-4534-B21D-BA788E1CBF58}"/>
    <hyperlink ref="T128" r:id="rId4" xr:uid="{37BA6F9B-8350-495E-8E25-17C5B148B89C}"/>
    <hyperlink ref="T129" r:id="rId5" xr:uid="{273396B3-ACD6-4384-B108-1042E1F841AC}"/>
    <hyperlink ref="T130" r:id="rId6" xr:uid="{81953CED-EE6E-467E-9454-8CD680DE0B48}"/>
    <hyperlink ref="T131" r:id="rId7" xr:uid="{6317AB2E-D1FC-4585-8BEA-681ABA73D957}"/>
    <hyperlink ref="T132" r:id="rId8" xr:uid="{96619016-5206-4954-AE0A-62567F5AC833}"/>
    <hyperlink ref="T133" r:id="rId9" xr:uid="{30887C9F-B12B-490C-8143-B24E6E6E72B0}"/>
    <hyperlink ref="T126" r:id="rId10" xr:uid="{D4F46E38-B472-4B5E-B82C-57E351C66E12}"/>
    <hyperlink ref="T127" r:id="rId11" xr:uid="{A4DF9D28-4019-4D55-B84C-5D7EA133AA0D}"/>
    <hyperlink ref="T124" r:id="rId12" xr:uid="{17DF21AE-7639-4A38-A29A-61749394F91F}"/>
    <hyperlink ref="T125" r:id="rId13" xr:uid="{EC544D1A-E468-43F1-B06E-44502F8C8AD8}"/>
    <hyperlink ref="T123" r:id="rId14" xr:uid="{F2B9D861-11A8-46B2-B259-FB1A393968F9}"/>
    <hyperlink ref="T121" r:id="rId15" xr:uid="{265575DB-4A22-479C-9CF7-AFA3E24DA834}"/>
    <hyperlink ref="T122" r:id="rId16" xr:uid="{6003B4F3-8133-4636-9A90-40F02DCFBAB9}"/>
    <hyperlink ref="T119" r:id="rId17" xr:uid="{7F12D722-89BD-4B91-88C1-483E0DDF0557}"/>
    <hyperlink ref="T120" r:id="rId18" xr:uid="{CDBC75DD-6DE1-4B9F-A4DC-8967E7794406}"/>
    <hyperlink ref="T115" r:id="rId19" xr:uid="{B5F102BB-34A4-471F-AE7B-AD63AFE2677F}"/>
    <hyperlink ref="T116" r:id="rId20" xr:uid="{AE0F2932-0A87-4F5F-8FA8-54D048ACB17B}"/>
    <hyperlink ref="T117" r:id="rId21" xr:uid="{0F0BF98C-0643-4A64-8E5E-EEEDD272A469}"/>
    <hyperlink ref="T118" r:id="rId22" xr:uid="{7A3A7ADB-A08F-4584-A177-A6ABAC47AFAE}"/>
    <hyperlink ref="T114" r:id="rId23" xr:uid="{E23315E1-2B7A-4DEF-A5C5-28BB71D19D3E}"/>
    <hyperlink ref="T110" r:id="rId24" xr:uid="{9F75B967-8670-4C0D-A15F-087AECB3BF10}"/>
    <hyperlink ref="T111" r:id="rId25" xr:uid="{CAFC5906-361F-423D-A5EF-A51BB830468D}"/>
    <hyperlink ref="T112" r:id="rId26" xr:uid="{8CC484CD-B769-4338-83B2-CCBDF8256FBB}"/>
    <hyperlink ref="T113" r:id="rId27" xr:uid="{9D902599-D192-4602-BF56-BD82C4B1EEA6}"/>
    <hyperlink ref="T107" r:id="rId28" xr:uid="{8BAF4C3C-A2EE-4676-9FE4-109C1979D502}"/>
    <hyperlink ref="T104" r:id="rId29" xr:uid="{7493DFFD-A19B-4F85-9CBC-C35885EABD11}"/>
    <hyperlink ref="T103" r:id="rId30" xr:uid="{19C410AE-A751-44D5-9261-1B272AC3A6D2}"/>
    <hyperlink ref="T102" r:id="rId31" xr:uid="{3D19E2A8-7109-4380-838A-F2F12E1C0DF5}"/>
    <hyperlink ref="T101" r:id="rId32" xr:uid="{2DA607C8-F82C-4771-A891-4C7CCB947B72}"/>
    <hyperlink ref="T100" r:id="rId33" xr:uid="{8A7412D3-E814-45C8-844C-F42315B9DCBE}"/>
    <hyperlink ref="T96" r:id="rId34" xr:uid="{916B49DD-F8F0-42FA-9478-DC690F7DFB41}"/>
    <hyperlink ref="T95" r:id="rId35" xr:uid="{D8BBF67F-7C95-418C-92C4-D918497BD853}"/>
    <hyperlink ref="T94" r:id="rId36" xr:uid="{A78B1ABA-6227-429D-A58A-B2A9E9C4049B}"/>
    <hyperlink ref="T93" r:id="rId37" xr:uid="{70211D4B-ECBA-4BB3-A73B-E81ACFEF01AD}"/>
    <hyperlink ref="T83" r:id="rId38" xr:uid="{12F99B39-9CF8-48BF-A28E-B9523DFD7F9F}"/>
    <hyperlink ref="T84" r:id="rId39" xr:uid="{341A43F3-E573-4888-AD36-E8BAA064DE43}"/>
    <hyperlink ref="T85" r:id="rId40" xr:uid="{0F90B9A6-80D3-4028-AA54-60DB003263EF}"/>
    <hyperlink ref="T86" r:id="rId41" xr:uid="{ED137E75-02DB-44C5-B866-035674FCD5DB}"/>
    <hyperlink ref="T87" r:id="rId42" xr:uid="{C43EEDBF-B18B-4643-B5DF-E1AB2467E6B2}"/>
    <hyperlink ref="T88" r:id="rId43" xr:uid="{B7AB13C6-3390-4FBF-8E13-45957348BB5A}"/>
    <hyperlink ref="T89" r:id="rId44" xr:uid="{A4D19584-174F-4A74-9533-61A04507E5DB}"/>
    <hyperlink ref="T90" r:id="rId45" xr:uid="{8922A719-3CDD-40A1-9ACB-AAB8A4513B61}"/>
    <hyperlink ref="T91" r:id="rId46" xr:uid="{DFBBB402-D9EC-4D7F-87D9-EB0DEAE27991}"/>
    <hyperlink ref="T92" r:id="rId47" xr:uid="{BD7E5772-4ABE-47D0-B588-493FDB17668F}"/>
    <hyperlink ref="T82" r:id="rId48" xr:uid="{5BAC21B3-A2A6-480F-85EC-33DAE621B07E}"/>
    <hyperlink ref="T80" r:id="rId49" xr:uid="{D872DA62-0038-461D-AECF-BEC95CA4AAE5}"/>
    <hyperlink ref="T81" r:id="rId50" xr:uid="{E2623AE4-B243-4D78-B36B-1B194417989D}"/>
    <hyperlink ref="T79" r:id="rId51" xr:uid="{31DF4B5E-C430-404F-AE83-19F41245AA5F}"/>
    <hyperlink ref="T77" r:id="rId52" xr:uid="{ADAC6E44-8404-4262-9F5C-BE0514437E97}"/>
    <hyperlink ref="T78" r:id="rId53" xr:uid="{09DF9752-EB09-4E2D-9396-0FFB98038FE0}"/>
    <hyperlink ref="T76" r:id="rId54" xr:uid="{84B794FD-DFEB-4552-B83F-ABFE952BBA69}"/>
    <hyperlink ref="T72" r:id="rId55" xr:uid="{72B0C790-43C4-4A52-ACD5-0DDA3F64F879}"/>
    <hyperlink ref="T73" r:id="rId56" xr:uid="{EF49588B-97C7-40F5-8DA0-6CC7B425E683}"/>
    <hyperlink ref="T71" r:id="rId57" xr:uid="{C3092706-9838-46F1-938A-8576CE038E43}"/>
    <hyperlink ref="T69" r:id="rId58" xr:uid="{5D1B31D9-BD07-4FDD-A289-12F1D0C209EF}"/>
    <hyperlink ref="T70" r:id="rId59" xr:uid="{9923AD3E-EE5D-4CFE-AE21-1C743C438382}"/>
    <hyperlink ref="T68" r:id="rId60" xr:uid="{4CF46A50-7C02-4C8F-94F3-F81620AC01F1}"/>
    <hyperlink ref="T65" r:id="rId61" xr:uid="{B1C3349E-5605-4311-A486-B12292BB5B1C}"/>
    <hyperlink ref="T63" r:id="rId62" xr:uid="{26EC4CA1-8E0E-44E2-A5DA-E0F2760B94D4}"/>
    <hyperlink ref="T64" r:id="rId63" xr:uid="{B124794F-970D-4152-9F10-4B3A869B8BE9}"/>
    <hyperlink ref="T62" r:id="rId64" xr:uid="{84EA9D56-1F95-4D43-A5CF-563BFAED09AD}"/>
    <hyperlink ref="T60" r:id="rId65" xr:uid="{1D97C1A0-0832-4195-968B-D347BE88C687}"/>
    <hyperlink ref="T61" r:id="rId66" xr:uid="{08F3B90A-F970-44E9-B187-2E7C36E0EC94}"/>
    <hyperlink ref="T59" r:id="rId67" xr:uid="{5A42C493-DDAA-4762-AC66-BBE1E6E2CB87}"/>
    <hyperlink ref="T58" r:id="rId68" xr:uid="{8AFB5096-BFCD-4F46-B4C8-2C4A981AC8F4}"/>
    <hyperlink ref="T57" r:id="rId69" xr:uid="{7FA85E46-0F0D-4F5B-A57C-3EFE83CF9417}"/>
    <hyperlink ref="T55" r:id="rId70" xr:uid="{C7E9018F-FD5E-4F79-BA38-0139EEE6CAA1}"/>
    <hyperlink ref="T56" r:id="rId71" xr:uid="{8E7E17AF-F317-456E-A887-24A69C91B44F}"/>
    <hyperlink ref="T54" r:id="rId72" xr:uid="{20BFFBB6-0557-4CF1-BB97-66D394403CAE}"/>
    <hyperlink ref="T50" r:id="rId73" xr:uid="{66D6330C-CC27-4EA9-A43D-FEA95E9404C4}"/>
    <hyperlink ref="T51" r:id="rId74" xr:uid="{1C1ACC49-9E57-4A3E-8074-6FD72E8EEB55}"/>
    <hyperlink ref="T49" r:id="rId75" xr:uid="{7DE6982D-60CE-4DF0-8D70-80CF38161440}"/>
    <hyperlink ref="T48" r:id="rId76" xr:uid="{CD9E28F2-C063-4079-B5B8-0328AFE073E2}"/>
    <hyperlink ref="T47" r:id="rId77" xr:uid="{C4BDB2BC-05D5-4BFC-B7BB-309ABAE89A69}"/>
    <hyperlink ref="T46" r:id="rId78" xr:uid="{CA13E577-5BB5-442C-A876-10817AD0AB22}"/>
    <hyperlink ref="T39" r:id="rId79" xr:uid="{D73A3C70-DFB6-4F5E-A4D6-9C60FF83FD93}"/>
    <hyperlink ref="T40" r:id="rId80" xr:uid="{8EE4C7BE-42EF-4FD7-A61B-5EF37C8F45CE}"/>
    <hyperlink ref="T41" r:id="rId81" xr:uid="{3A0837A1-CC54-46F7-B016-7C920522F37B}"/>
    <hyperlink ref="T42" r:id="rId82" xr:uid="{284A34CD-82EA-498E-AB85-791640671B6B}"/>
    <hyperlink ref="T35" r:id="rId83" xr:uid="{48BE940D-5103-47FC-BCED-5A063A81F66F}"/>
    <hyperlink ref="T36" r:id="rId84" xr:uid="{D2342E25-D021-436F-AD6C-41D39C44CCBB}"/>
    <hyperlink ref="T37" r:id="rId85" xr:uid="{F3467B04-A548-49EE-9457-D69989751A8A}"/>
    <hyperlink ref="T38" r:id="rId86" xr:uid="{FB6C161F-878E-48BB-B4FA-703209E67246}"/>
    <hyperlink ref="T32" r:id="rId87" xr:uid="{4B4B8B1C-BCF2-454A-B313-31D8C3A58A7A}"/>
    <hyperlink ref="T33" r:id="rId88" xr:uid="{393C45CD-B88F-4A4F-89C9-46EFBC05CB66}"/>
    <hyperlink ref="T34" r:id="rId89" xr:uid="{F7E0B602-31CB-40BC-BFB3-F95C1C810675}"/>
    <hyperlink ref="T30" r:id="rId90" xr:uid="{ECF48360-63BE-4203-A5C0-F572CDBDE62C}"/>
    <hyperlink ref="T29" r:id="rId91" xr:uid="{45D1057C-1159-4115-9AC4-11E1A12D0FC8}"/>
    <hyperlink ref="T23" r:id="rId92" xr:uid="{84AAADF1-8354-4008-AAE3-7C732EE6BCB3}"/>
    <hyperlink ref="T24" r:id="rId93" xr:uid="{8F9F2841-9E57-43B9-9B70-8B8D19BCAE45}"/>
    <hyperlink ref="T25" r:id="rId94" xr:uid="{B6F08EB0-3A7E-42C4-AC71-E3372440B9DD}"/>
    <hyperlink ref="T26" r:id="rId95" xr:uid="{0F68EE87-C23D-422B-9A64-0F2EB027A251}"/>
    <hyperlink ref="T27" r:id="rId96" xr:uid="{6416E628-FE26-4348-9A4B-EC3812E66A4F}"/>
    <hyperlink ref="T28" r:id="rId97" xr:uid="{E9B05738-E943-466E-8A62-B198337EE3AE}"/>
    <hyperlink ref="T19" r:id="rId98" xr:uid="{E3764CC8-8373-4B9D-958A-172EA3455191}"/>
    <hyperlink ref="T17" r:id="rId99" xr:uid="{6B641865-30A8-4DE7-BB23-9C55EE79B0E6}"/>
    <hyperlink ref="T16" r:id="rId100" xr:uid="{BBB15B6C-51F1-4A17-8185-C2A14B3CF150}"/>
    <hyperlink ref="T14" r:id="rId101" xr:uid="{A4D7DA05-81B8-4505-A090-7FAFCF4B5225}"/>
    <hyperlink ref="T15" r:id="rId102" xr:uid="{14AE918A-9F63-48A0-8C6F-4326F1650457}"/>
    <hyperlink ref="T5" r:id="rId103" xr:uid="{96F39A47-ACE2-49F2-BC8D-C280CA613FA3}"/>
    <hyperlink ref="T6" r:id="rId104" xr:uid="{47E17E4F-F44F-4B00-822C-052374D14D40}"/>
    <hyperlink ref="T7" r:id="rId105" xr:uid="{88CB14B2-DDD9-4DFD-B8D3-2ADEAB07E77B}"/>
    <hyperlink ref="T4" r:id="rId106" xr:uid="{D36266F8-1C8A-4FE0-8BF8-7F0933CDC3F1}"/>
    <hyperlink ref="T3" r:id="rId107" xr:uid="{A4D0A524-7A70-4A66-AFE3-E8DEA91C1E00}"/>
    <hyperlink ref="T109" r:id="rId108" xr:uid="{52856429-73E5-46C5-9A0D-420E3CB6107A}"/>
    <hyperlink ref="T105" r:id="rId109" xr:uid="{9887B5BD-2587-4F44-9C9B-4875BB41DCE4}"/>
    <hyperlink ref="T106" r:id="rId110" xr:uid="{8AFAAA8F-FA8E-4A60-ABD8-FF2555B1938A}"/>
    <hyperlink ref="T99" r:id="rId111" xr:uid="{9758526B-0FE4-488B-AAE2-EB59CDDA13C5}"/>
    <hyperlink ref="T98" r:id="rId112" xr:uid="{DDF59E32-0F1B-4B70-8AAF-31355E31DC9D}"/>
    <hyperlink ref="T97" r:id="rId113" xr:uid="{AA707E5E-8A71-423D-8E55-DB8E69AD6133}"/>
    <hyperlink ref="T74" r:id="rId114" xr:uid="{182AFBC0-E92B-40EF-8279-F1A65425C21C}"/>
    <hyperlink ref="T75" r:id="rId115" xr:uid="{97885492-D120-41A5-A06B-CBB29BC5AA4D}"/>
    <hyperlink ref="T66" r:id="rId116" xr:uid="{2AFDF962-CD4E-4CD5-A850-3A4FDFBF424E}"/>
    <hyperlink ref="T67" r:id="rId117" xr:uid="{075D5A6B-60EC-40D0-8A10-A7CFF0163CC4}"/>
    <hyperlink ref="T53" r:id="rId118" xr:uid="{389DAF75-3C30-40C5-8603-8017F7FFE9FA}"/>
    <hyperlink ref="T52" r:id="rId119" xr:uid="{A31D2728-6082-4D63-9201-AFCBEBC190A0}"/>
    <hyperlink ref="T43" r:id="rId120" xr:uid="{959185D2-B919-4F11-B6A3-FC9DF132CFA0}"/>
    <hyperlink ref="T44" r:id="rId121" xr:uid="{23190E47-0AAE-43BA-A0D7-FCA162D9D3FF}"/>
    <hyperlink ref="T45" r:id="rId122" xr:uid="{9CEEC740-EEE2-4E36-9572-4AA230889759}"/>
    <hyperlink ref="T31" r:id="rId123" xr:uid="{37F24430-B3D1-4F14-A407-810B4FD0F73B}"/>
    <hyperlink ref="T20" r:id="rId124" xr:uid="{6C742F95-C5DD-45AE-80F1-57EA21B7E50B}"/>
    <hyperlink ref="T21" r:id="rId125" xr:uid="{577C838F-892C-4945-AC3E-AC5400CD7DA7}"/>
    <hyperlink ref="T22" r:id="rId126" xr:uid="{CAE7658C-3FCC-4C11-B8B4-11ABD0AB562A}"/>
    <hyperlink ref="T18" r:id="rId127" xr:uid="{A189A612-5EC8-4B08-89A7-91DF9629BDA0}"/>
    <hyperlink ref="T8" r:id="rId128" xr:uid="{70422294-150D-41A0-B8B4-0089CFDA5350}"/>
    <hyperlink ref="T9" r:id="rId129" xr:uid="{6508C1BD-FEA3-4509-A2FC-A9911C90545B}"/>
    <hyperlink ref="T10" r:id="rId130" xr:uid="{454333E4-3E2B-4447-B445-C47E511ABB77}"/>
    <hyperlink ref="T11" r:id="rId131" xr:uid="{F6A0CA89-9C60-4B33-8625-19EDBEAF8CA4}"/>
    <hyperlink ref="T12" r:id="rId132" xr:uid="{410AA3A8-F09A-4757-B447-667F147A6E70}"/>
    <hyperlink ref="T13" r:id="rId133" xr:uid="{0CBA67D8-CC8B-4C3A-B875-B96961F3495C}"/>
    <hyperlink ref="T2" r:id="rId134" xr:uid="{1D22D114-2365-44A3-9A86-77B8E268D4AC}"/>
    <hyperlink ref="T137" r:id="rId135" xr:uid="{9ABFDCCC-397F-4071-944F-25B2AC0888F0}"/>
    <hyperlink ref="T139" r:id="rId136" xr:uid="{FB11601D-6C63-4C32-B17A-7CFAA09433D0}"/>
    <hyperlink ref="T140" r:id="rId137" xr:uid="{A4431CC7-B3C9-4E1A-966B-F11BE68B9364}"/>
    <hyperlink ref="T141" r:id="rId138" xr:uid="{B3E78724-D296-4C85-9CA7-244AB65371A6}"/>
    <hyperlink ref="T142" r:id="rId139" xr:uid="{C5F30AED-3401-43BA-BE9E-04FB40C293C7}"/>
    <hyperlink ref="T144" r:id="rId140" xr:uid="{1763D834-52EE-45E3-B5D8-605C7779A2EC}"/>
    <hyperlink ref="T149" r:id="rId141" xr:uid="{1B5369A5-B4F2-4392-9F6F-0169D1A6CCE4}"/>
    <hyperlink ref="T150" r:id="rId142" xr:uid="{FD3E5372-864F-446E-8078-91D5BA2EE7E3}"/>
    <hyperlink ref="T151" r:id="rId143" xr:uid="{F09A7E3E-DA8B-4626-AD12-9FD8658DA9F0}"/>
    <hyperlink ref="T152" r:id="rId144" xr:uid="{D3810292-9C6F-43BE-BA50-05520DB0BD3A}"/>
    <hyperlink ref="T153" r:id="rId145" xr:uid="{3C59337F-EF82-4BB6-A93E-88CA041C1A68}"/>
    <hyperlink ref="T154" r:id="rId146" xr:uid="{9FC54EF0-18BC-4FBC-8815-46C862174F9E}"/>
    <hyperlink ref="T155" r:id="rId147" xr:uid="{33909C8F-6AE1-4BF1-9913-45C1B194BFF2}"/>
    <hyperlink ref="T157" r:id="rId148" xr:uid="{DCC540F8-356C-4C5F-B098-41025C168952}"/>
    <hyperlink ref="T158" r:id="rId149" xr:uid="{07636CF0-7639-4260-9CE1-B42244AE657B}"/>
    <hyperlink ref="T159" r:id="rId150" xr:uid="{B62F1724-3EC2-4A62-A10B-E843B0BC71B0}"/>
    <hyperlink ref="T161" r:id="rId151" xr:uid="{B4BE644D-0CCD-450E-8904-61B80E2D4E40}"/>
    <hyperlink ref="T164" r:id="rId152" xr:uid="{6258CFA3-3B1A-491E-BD57-91C9A6E8AB1E}"/>
    <hyperlink ref="T165" r:id="rId153" xr:uid="{E8F99497-2234-480A-B106-DF00FB33B657}"/>
    <hyperlink ref="T143" r:id="rId154" xr:uid="{990A3229-296E-4196-82DD-79F3D5CFDD26}"/>
    <hyperlink ref="T145" r:id="rId155" xr:uid="{1CDDDAB8-5B05-41F2-A5F4-09097884FEC8}"/>
    <hyperlink ref="T146" r:id="rId156" xr:uid="{E880FF65-8C41-4DFB-AEF9-4CD5AB12DFFB}"/>
    <hyperlink ref="T147" r:id="rId157" xr:uid="{1D21E737-7847-4964-AB48-B79789C7BF05}"/>
    <hyperlink ref="T148" r:id="rId158" xr:uid="{38A40F9F-C115-41FC-BE5F-C1A929D00C2A}"/>
    <hyperlink ref="T156" r:id="rId159" xr:uid="{E5B21DD1-1D0E-40BA-A48A-69A63366616B}"/>
    <hyperlink ref="T160" r:id="rId160" xr:uid="{4E38656C-B165-40CC-B644-566067377914}"/>
    <hyperlink ref="T162" r:id="rId161" xr:uid="{6CA8C1C8-D169-484B-9D46-8C2CF4188DCA}"/>
    <hyperlink ref="T163" r:id="rId162" xr:uid="{6EB640BD-4B07-4D19-B2D1-F1CE1F792B0E}"/>
    <hyperlink ref="T166" r:id="rId163" xr:uid="{01175A40-1B56-483C-8800-D914B162E3C6}"/>
    <hyperlink ref="T168" r:id="rId164" xr:uid="{54DE2DF5-C7A9-466C-BDE9-540D116D8533}"/>
    <hyperlink ref="T169" r:id="rId165" xr:uid="{F01B2390-F477-43DD-B04C-12E4553F2265}"/>
    <hyperlink ref="T170" r:id="rId166" xr:uid="{94100D5E-5680-4A53-AA3F-D6FD9647D826}"/>
    <hyperlink ref="T184" r:id="rId167" xr:uid="{2C1F816A-5E73-4C1D-8542-46AC587AA93D}"/>
    <hyperlink ref="T180" r:id="rId168" xr:uid="{8BD5DC31-D094-4935-B23C-81D37A5A3F1D}"/>
    <hyperlink ref="T178" r:id="rId169" xr:uid="{746F29E4-64B8-4406-879F-3FF0AB1F6C6D}"/>
    <hyperlink ref="T179" r:id="rId170" xr:uid="{52014BE2-AB70-4D6F-BB16-A2ED8CBBE133}"/>
    <hyperlink ref="T175" r:id="rId171" xr:uid="{42927FF3-5EA8-4E03-A140-B18D3D922A09}"/>
    <hyperlink ref="T176" r:id="rId172" xr:uid="{B02A897E-AB62-4BA1-9E26-E2DCDE5BB3E5}"/>
    <hyperlink ref="T172" r:id="rId173" xr:uid="{3C8B383F-77B8-48F1-8738-4A6E4E97AA38}"/>
    <hyperlink ref="T171" r:id="rId174" xr:uid="{FCAB0777-6BDA-41F8-A642-D185DF46D544}"/>
    <hyperlink ref="T181" r:id="rId175" xr:uid="{3101F884-021C-4C65-9582-D9D3EA261E86}"/>
    <hyperlink ref="T182" r:id="rId176" xr:uid="{D384AA4E-04D6-4045-A9DC-55C181CBF341}"/>
    <hyperlink ref="T195" r:id="rId177" xr:uid="{74CB2319-5E40-4E9A-837F-FB06194A338E}"/>
    <hyperlink ref="T196" r:id="rId178" xr:uid="{03E858F2-F1EC-4CCC-8E4E-31811D00BE02}"/>
    <hyperlink ref="T197" r:id="rId179" xr:uid="{DE231445-18A4-4747-8D8A-C28C295BA839}"/>
    <hyperlink ref="T194" r:id="rId180" xr:uid="{8A767CA2-17EF-465D-AB2E-E2BAC473BA3D}"/>
    <hyperlink ref="T191" r:id="rId181" xr:uid="{F8A41999-C749-4104-B8D7-2BEDC0ADB0AB}"/>
    <hyperlink ref="T190" r:id="rId182" xr:uid="{E1B0AC79-7636-4EC7-94A8-F93DC5C22155}"/>
    <hyperlink ref="T188" r:id="rId183" xr:uid="{ADA559D1-4BF3-4673-A618-05AB0BC2157D}"/>
    <hyperlink ref="T187" r:id="rId184" xr:uid="{1CB99894-2BFB-4B92-A3CD-0A1A320F1C5A}"/>
    <hyperlink ref="T186" r:id="rId185" xr:uid="{60D83A37-847A-44F7-BB86-748335680956}"/>
    <hyperlink ref="T177" r:id="rId186" xr:uid="{6EFFE75C-DD04-4350-83B7-03FC6810C969}"/>
    <hyperlink ref="T173" r:id="rId187" xr:uid="{D2DF3443-1B3E-4084-842C-28ECAC7E4F31}"/>
    <hyperlink ref="T198" r:id="rId188" xr:uid="{0BA0BD89-7E87-4399-8674-41D080CD3231}"/>
    <hyperlink ref="T199" r:id="rId189" xr:uid="{697275CA-9CD2-440E-ACD8-8ACDB1303503}"/>
    <hyperlink ref="T200" r:id="rId190" xr:uid="{F9C8A64E-1A99-4B9B-8175-5CF679BBDCDE}"/>
    <hyperlink ref="T201" r:id="rId191" xr:uid="{76453FF7-AD97-439C-A0D3-D5D08FBA1681}"/>
    <hyperlink ref="T202" r:id="rId192" xr:uid="{1601DD84-1828-4677-97FE-38872EFD5B86}"/>
    <hyperlink ref="T192" r:id="rId193" xr:uid="{19E6D807-8F34-472A-A38C-5D71EB2CC939}"/>
    <hyperlink ref="T193" r:id="rId194" xr:uid="{97FDE13F-2E2A-4A10-BF80-5B6C9CCA00EF}"/>
    <hyperlink ref="T189" r:id="rId195" xr:uid="{7EFE10FD-44B6-439F-A1E9-CFAEE635C716}"/>
    <hyperlink ref="T185" r:id="rId196" xr:uid="{9E6A81E5-7955-4C63-BB29-5252964E9DFA}"/>
    <hyperlink ref="T167" r:id="rId197" xr:uid="{3DEA0021-034C-4DD3-87F3-BA13FB86E929}"/>
    <hyperlink ref="T226" r:id="rId198" xr:uid="{DC75CC61-74E2-4568-A81E-E41A9627C918}"/>
    <hyperlink ref="T219" r:id="rId199" xr:uid="{B236649A-6849-411B-B287-BC1077074305}"/>
    <hyperlink ref="T220" r:id="rId200" xr:uid="{437EECF1-5D8A-4BA7-8FEC-E9302CD7E9B4}"/>
    <hyperlink ref="T221" r:id="rId201" xr:uid="{C3C6463F-9106-4C17-806C-49CB9A9A9213}"/>
    <hyperlink ref="T222" r:id="rId202" xr:uid="{68EC9FB8-A80C-4A63-82C6-8AA674D8FD57}"/>
    <hyperlink ref="T223" r:id="rId203" xr:uid="{59902796-EC32-449A-BAA5-F70279615284}"/>
    <hyperlink ref="T224" r:id="rId204" xr:uid="{49B85630-84C8-46A5-BD0E-75EFCEE55270}"/>
    <hyperlink ref="T218" r:id="rId205" xr:uid="{1706E422-B6FD-4462-BAFA-7F38025F05E0}"/>
    <hyperlink ref="T215" r:id="rId206" xr:uid="{1DF90E1F-BEF0-44D4-9E76-E8C5CB35BC9F}"/>
    <hyperlink ref="T216" r:id="rId207" xr:uid="{EDE41526-1EE2-496E-B42C-2535B33C660D}"/>
    <hyperlink ref="T217" r:id="rId208" xr:uid="{C28D3866-6CAB-4227-A80C-DFCD5A474830}"/>
    <hyperlink ref="T213" r:id="rId209" xr:uid="{637F45E0-1AA7-4517-804D-CB9B88CBE41B}"/>
    <hyperlink ref="T214" r:id="rId210" xr:uid="{31976A38-2A48-4363-8D1D-39361653FDC3}"/>
    <hyperlink ref="T211" r:id="rId211" xr:uid="{F1B68A24-9021-4FB7-AA48-BD13CE9EBE0F}"/>
    <hyperlink ref="T209" r:id="rId212" xr:uid="{ADA80952-6E76-4DAE-B337-6B9EDABB2EF2}"/>
    <hyperlink ref="T210" r:id="rId213" xr:uid="{029910D8-9FE4-4CE0-8DC3-0A4F8258F4C3}"/>
    <hyperlink ref="T207" r:id="rId214" xr:uid="{4919E945-FD8F-4150-9C6A-8DE6BE2D4B93}"/>
    <hyperlink ref="T208" r:id="rId215" xr:uid="{18EAAC38-6924-446C-BFC6-1D4388CCA28E}"/>
    <hyperlink ref="T203" r:id="rId216" xr:uid="{E44F047B-60B2-4202-BA05-9878D41CC5E7}"/>
    <hyperlink ref="T204" r:id="rId217" xr:uid="{528D5175-F31F-4D15-893C-46043A3838C8}"/>
    <hyperlink ref="T225" r:id="rId218" xr:uid="{60EA1CD5-B90B-4FF1-9912-7215AF5B41C7}"/>
    <hyperlink ref="T212" r:id="rId219" xr:uid="{FFBAA21D-0C42-479A-9D0A-F0B86B05CC07}"/>
    <hyperlink ref="T205" r:id="rId220" xr:uid="{82272E70-9A38-46A3-8D1B-4FA3AAA82FAF}"/>
    <hyperlink ref="T206" r:id="rId221" xr:uid="{7AC7D875-EE62-475A-99E0-31689687BE15}"/>
    <hyperlink ref="T183" r:id="rId222" xr:uid="{FF86CC1C-D4B7-4897-AD8D-5BA044120EC1}"/>
    <hyperlink ref="T174" r:id="rId223" xr:uid="{0554758E-4811-4A27-86AA-F07DFF3EA0CD}"/>
    <hyperlink ref="T138" r:id="rId224" xr:uid="{CDCAADC2-7946-4362-91B3-058EB1373312}"/>
    <hyperlink ref="T108" r:id="rId225" xr:uid="{A9CBABB6-E8AB-44A8-84D4-A81C300AFD5C}"/>
    <hyperlink ref="T230" r:id="rId226" xr:uid="{A77AEEEB-B80F-4100-8458-5A4D973A69B5}"/>
    <hyperlink ref="T231" r:id="rId227" xr:uid="{FB7BF670-5A99-467A-AF27-D70B54A7901C}"/>
    <hyperlink ref="T232" r:id="rId228" xr:uid="{02E1BD0B-9D67-4CD4-85A4-FAEE38796BE0}"/>
    <hyperlink ref="T233" r:id="rId229" xr:uid="{D605D6C7-94B8-491B-A64C-4C0DE9A4B9B3}"/>
    <hyperlink ref="T234" r:id="rId230" xr:uid="{34DAB071-F954-44B3-90B6-B5B83C33AC21}"/>
    <hyperlink ref="T235" r:id="rId231" xr:uid="{210D593D-0CE5-4CBD-AFCB-3878019C77CB}"/>
    <hyperlink ref="T236" r:id="rId232" xr:uid="{02A5C98E-530E-48BD-AE92-176CC0829D27}"/>
    <hyperlink ref="T237" r:id="rId233" xr:uid="{7B91C4EA-9D33-4CF7-BC77-E281E3E6EECD}"/>
    <hyperlink ref="T238" r:id="rId234" xr:uid="{2DE1BA2A-56EE-411D-B59E-DDEA66438AAA}"/>
    <hyperlink ref="T239" r:id="rId235" xr:uid="{861AFD0F-D29A-4E86-AEB4-86CF72462936}"/>
    <hyperlink ref="T241" r:id="rId236" xr:uid="{64683110-DD5F-4D94-B080-2D3494AFC76D}"/>
    <hyperlink ref="T227" r:id="rId237" xr:uid="{8DEC38D0-8454-48D7-BBEA-391C91D226E6}"/>
    <hyperlink ref="T228" r:id="rId238" xr:uid="{43D4DAB0-8BE7-40B6-8B48-03CD0AE73AE9}"/>
    <hyperlink ref="T229" r:id="rId239" xr:uid="{C28E0184-19CF-40C6-B433-89BECDC41458}"/>
    <hyperlink ref="T240" r:id="rId240" xr:uid="{159448D2-164C-411E-9B86-81E88DA1347B}"/>
    <hyperlink ref="T242" r:id="rId241" xr:uid="{3DB4B0E2-9876-41EB-8D50-3C6528A000F5}"/>
    <hyperlink ref="T243" r:id="rId242" xr:uid="{96D3DDBD-25E1-461C-85AA-AC649C2B2828}"/>
    <hyperlink ref="T248" r:id="rId243" xr:uid="{7CA93ED1-7829-4A9B-AC05-52B9F14EF206}"/>
    <hyperlink ref="T249" r:id="rId244" xr:uid="{36037A86-B64E-425D-A780-AC80032BE90C}"/>
    <hyperlink ref="T251" r:id="rId245" xr:uid="{53667138-1C35-4155-8B79-5A55EF8F5FB2}"/>
    <hyperlink ref="T252" r:id="rId246" xr:uid="{10C8A322-EB87-45BC-B10E-6B9AC626D95B}"/>
    <hyperlink ref="T253" r:id="rId247" xr:uid="{21FFB166-5145-4498-8325-AF0FA23DF3DE}"/>
    <hyperlink ref="T254" r:id="rId248" xr:uid="{55410E8D-CBCF-43DA-A424-B87226FA0A12}"/>
    <hyperlink ref="T244" r:id="rId249" xr:uid="{32D4201E-1F5A-4689-B074-370EC08B2AD2}"/>
    <hyperlink ref="T245" r:id="rId250" xr:uid="{3923404C-F72D-49A8-8159-BA60129DAD93}"/>
    <hyperlink ref="T246" r:id="rId251" xr:uid="{231AE413-C550-4111-8F01-09C9AFEA82B0}"/>
    <hyperlink ref="T247" r:id="rId252" xr:uid="{6F9A0D27-0186-461E-8242-016B31FC3E55}"/>
    <hyperlink ref="T250" r:id="rId253" xr:uid="{3A5FC1EC-AD61-457E-91AE-30B96920A99F}"/>
    <hyperlink ref="T255" r:id="rId254" tooltip="https://www.ttbz.org.cn/StandardManage/Detail/104635/" xr:uid="{18DA6E64-145E-4278-8217-B9444B1A3B8D}"/>
    <hyperlink ref="T256" r:id="rId255" tooltip="https://www.ttbz.org.cn/StandardManage/Detail/105846/" xr:uid="{829ED931-5C86-414E-A499-06480BD21872}"/>
    <hyperlink ref="T257" r:id="rId256" tooltip="https://www.ttbz.org.cn/StandardManage/Detail/105848/" xr:uid="{39120D7D-4206-4FEB-B902-D10E3B0D26B5}"/>
    <hyperlink ref="T258" r:id="rId257" tooltip="https://www.ttbz.org.cn/StandardManage/Detail/105851/" xr:uid="{830091E0-D464-4CB9-87A9-29FE5F2EB01D}"/>
    <hyperlink ref="T259" r:id="rId258" tooltip="https://www.ttbz.org.cn/StandardManage/Detail/105853/" xr:uid="{5A8504E4-8C2E-43B2-BF4C-4421493DE04B}"/>
    <hyperlink ref="T260" r:id="rId259" tooltip="https://www.ttbz.org.cn/StandardManage/Detail/102939/" xr:uid="{23822124-BE31-468F-B2B6-1301AEA0F230}"/>
    <hyperlink ref="T261" r:id="rId260" tooltip="https://www.ttbz.org.cn/StandardManage/Detail/102948/" xr:uid="{A4F3672E-DEB6-4E1B-A26D-B2100B2EC6D0}"/>
    <hyperlink ref="T265" r:id="rId261" tooltip="https://www.ttbz.org.cn/StandardManage/Detail/106344/" xr:uid="{DC560965-B44E-4601-A05D-CDB6A29ACF15}"/>
    <hyperlink ref="T262" r:id="rId262" tooltip="https://www.ttbz.org.cn/StandardManage/Detail/102934/" xr:uid="{89EAE12D-238D-41C1-9975-BBFFF59D3B8A}"/>
    <hyperlink ref="T263" r:id="rId263" tooltip="https://www.ttbz.org.cn/StandardManage/Detail/102950/" xr:uid="{7F5747A9-798A-4BBA-B106-29AAB527CD03}"/>
    <hyperlink ref="T264" r:id="rId264" tooltip="https://www.ttbz.org.cn/StandardManage/Detail/102955/" xr:uid="{F815B2A4-70CE-459D-8E7E-B18A0EF6B935}"/>
    <hyperlink ref="T266" r:id="rId265" tooltip="https://www.ttbz.org.cn/StandardManage/Detail/108294/" xr:uid="{F02430C5-B868-43D0-9AE0-320101091AD5}"/>
    <hyperlink ref="T267" r:id="rId266" tooltip="https://www.ttbz.org.cn/StandardManage/Detail/108297/" xr:uid="{1D5E49DE-144B-4849-8EE3-340D436D30C1}"/>
    <hyperlink ref="T268" r:id="rId267" tooltip="https://www.ttbz.org.cn/StandardManage/Detail/108300/" xr:uid="{BC3AA839-37B3-4D46-A1C5-B4AD17932EAE}"/>
    <hyperlink ref="T269" r:id="rId268" tooltip="https://www.ttbz.org.cn/StandardManage/Detail/108301/" xr:uid="{CB08A878-0781-4E2D-B7BD-926D6E2E490F}"/>
    <hyperlink ref="T270" r:id="rId269" tooltip="https://www.ttbz.org.cn/StandardManage/Detail/107047/" xr:uid="{6D901A10-251B-4A14-B3BE-73D0928E0DC0}"/>
    <hyperlink ref="T271" r:id="rId270" tooltip="https://www.ttbz.org.cn/StandardManage/Detail/107051/" xr:uid="{E37CAE3D-ECF8-4258-8856-10606A7C9BCC}"/>
    <hyperlink ref="T272" r:id="rId271" tooltip="https://www.ttbz.org.cn/StandardManage/Detail/107052/" xr:uid="{656F9EFB-2916-4F0B-99EB-E23A5FD75AE4}"/>
    <hyperlink ref="T273" r:id="rId272" tooltip="https://www.ttbz.org.cn/StandardManage/Detail/108874/" xr:uid="{7E966DD8-DB35-4949-9235-9226BA8816B0}"/>
    <hyperlink ref="T274" r:id="rId273" tooltip="https://www.ttbz.org.cn/StandardManage/Detail/108935/" xr:uid="{4A0CE6D7-F2BE-46B3-8D63-01C56C9870C0}"/>
    <hyperlink ref="T275" r:id="rId274" tooltip="https://www.ttbz.org.cn/StandardManage/Detail/108936/" xr:uid="{72E10AF7-3202-4804-B772-DB09FC6CEBED}"/>
    <hyperlink ref="T276" r:id="rId275" tooltip="https://www.ttbz.org.cn/StandardManage/Detail/108975/" xr:uid="{FAC62C9E-0DFB-4FF3-AF0C-B71EA838EE5C}"/>
    <hyperlink ref="T277" r:id="rId276" tooltip="https://www.ttbz.org.cn/StandardManage/Detail/109026/" xr:uid="{DA59B95C-741D-4692-A102-B97BCBF15908}"/>
    <hyperlink ref="T278" r:id="rId277" tooltip="https://www.ttbz.org.cn/StandardManage/Detail/109289/" xr:uid="{98039466-7190-4E26-82F8-957D860372F7}"/>
    <hyperlink ref="T280" r:id="rId278" tooltip="https://www.ttbz.org.cn/StandardManage/Detail/109598/" xr:uid="{D82D6FA4-B097-4E77-8F29-2D7F85EE9A1E}"/>
    <hyperlink ref="T284" r:id="rId279" tooltip="https://www.ttbz.org.cn/StandardManage/Detail/109667/" xr:uid="{18754EDA-5D18-4467-A7A0-0EDB31AE0A9D}"/>
    <hyperlink ref="T285" r:id="rId280" tooltip="https://www.ttbz.org.cn/StandardManage/Detail/109910/" xr:uid="{EE619343-6923-4515-A269-8D6E6156747A}"/>
    <hyperlink ref="T286" r:id="rId281" tooltip="https://www.ttbz.org.cn/StandardManage/Detail/109548/" xr:uid="{612BC9C3-F94C-48C8-AC97-5BDD8B6E21B7}"/>
    <hyperlink ref="T279" r:id="rId282" tooltip="https://www.ttbz.org.cn/StandardManage/Detail/109394/" xr:uid="{F10DEC97-0CA8-4B70-9F64-663556315FAF}"/>
    <hyperlink ref="T281" r:id="rId283" tooltip="https://www.ttbz.org.cn/StandardManage/Detail/109460/" xr:uid="{B2B9BAFC-7452-4C76-8C00-4EC0C7083D31}"/>
    <hyperlink ref="T282" r:id="rId284" tooltip="https://www.ttbz.org.cn/StandardManage/Detail/109526/" xr:uid="{EA32DE00-41D3-4083-B8F2-3C86900874FF}"/>
    <hyperlink ref="T283" r:id="rId285" tooltip="https://www.ttbz.org.cn/StandardManage/Detail/109611/" xr:uid="{0D39C415-742D-4C3B-ADE1-65DDA3213E57}"/>
    <hyperlink ref="T287" r:id="rId286" tooltip="https://www.ttbz.org.cn/StandardManage/Detail/110533/" xr:uid="{34FB4745-264C-4F42-8EA8-9CEE10486118}"/>
    <hyperlink ref="T289" r:id="rId287" tooltip="https://www.ttbz.org.cn/StandardManage/Detail/111031/" xr:uid="{73DBC6D9-13C4-48A4-9239-F390F5552057}"/>
    <hyperlink ref="T291" r:id="rId288" tooltip="https://www.ttbz.org.cn/StandardManage/Detail/111571/" xr:uid="{8162663C-451C-43D7-9ED6-1AC8ACEBF3EB}"/>
    <hyperlink ref="T292" r:id="rId289" tooltip="https://www.ttbz.org.cn/StandardManage/Detail/111572/" xr:uid="{595F1A92-FD64-4BF3-86AC-B0ADCDCDEC95}"/>
    <hyperlink ref="T288" r:id="rId290" tooltip="https://www.ttbz.org.cn/StandardManage/Detail/110748/" xr:uid="{D68C6632-6001-41A0-ADE0-6CDCE8BA4F5D}"/>
    <hyperlink ref="T290" r:id="rId291" tooltip="https://www.ttbz.org.cn/StandardManage/Detail/111307/" xr:uid="{98C50DAB-7601-4C34-9B3D-54B47D609AFE}"/>
    <hyperlink ref="T293" r:id="rId292" tooltip="https://www.ttbz.org.cn/StandardManage/Detail/111310/" xr:uid="{5081A379-176C-4AEE-9F3D-86CE6F465F1E}"/>
    <hyperlink ref="T294" r:id="rId293" tooltip="https://www.ttbz.org.cn/StandardManage/Detail/111656/" xr:uid="{2A0F48AE-7A1F-44D5-AF51-3991781BC067}"/>
    <hyperlink ref="T295" r:id="rId294" tooltip="https://www.ttbz.org.cn/StandardManage/Detail/111660/" xr:uid="{9D2FFFD0-1BD0-4D43-8FF0-2BEEBC6AA0E0}"/>
    <hyperlink ref="T296" r:id="rId295" tooltip="https://www.ttbz.org.cn/StandardManage/Detail/111664/" xr:uid="{E373C67F-3555-4525-8CD8-02775F145BCF}"/>
    <hyperlink ref="T297" r:id="rId296" tooltip="https://www.ttbz.org.cn/StandardManage/Detail/111667/" xr:uid="{01FFB266-F258-4A52-8458-487F38FDC666}"/>
    <hyperlink ref="T298" r:id="rId297" tooltip="https://www.ttbz.org.cn/StandardManage/Detail/111675/" xr:uid="{2B2C2A0C-71DC-4C17-A884-04A5BEA59606}"/>
    <hyperlink ref="T312" r:id="rId298" tooltip="https://www.ttbz.org.cn/StandardManage/Detail/111843/" xr:uid="{FB71B2A1-4F4F-474C-99D9-459BC05FFE97}"/>
    <hyperlink ref="T313" r:id="rId299" tooltip="https://www.ttbz.org.cn/StandardManage/Detail/111848/" xr:uid="{5FC8DB5A-707C-42BE-B77B-0A833C373C55}"/>
    <hyperlink ref="T314" r:id="rId300" tooltip="https://www.ttbz.org.cn/StandardManage/Detail/112024/" xr:uid="{6B6471E1-1C2D-4BC9-8611-3B5C461544CF}"/>
    <hyperlink ref="T315" r:id="rId301" tooltip="https://www.ttbz.org.cn/StandardManage/Detail/112281/" xr:uid="{4FA86E8E-CAC0-4F10-89BE-DE6555340EA4}"/>
    <hyperlink ref="T317" r:id="rId302" tooltip="https://www.ttbz.org.cn/StandardManage/Detail/112583/" xr:uid="{5D7B3CC1-6D41-4ACE-B7EC-EC8488ACCE9B}"/>
    <hyperlink ref="T316" r:id="rId303" tooltip="https://www.ttbz.org.cn/StandardManage/Detail/112438/" xr:uid="{CDA759B1-63BE-4606-A503-40E1438326FA}"/>
    <hyperlink ref="T299" r:id="rId304" tooltip="https://www.ttbz.org.cn/StandardManage/Detail/65840/" xr:uid="{DC6EB87F-A7F0-4483-8DDC-761C147C7F28}"/>
    <hyperlink ref="T300" r:id="rId305" tooltip="https://www.ttbz.org.cn/StandardManage/Detail/66139/" xr:uid="{17B4B865-439E-4EFE-9A12-E6D769122C9C}"/>
    <hyperlink ref="T301" r:id="rId306" tooltip="https://www.ttbz.org.cn/StandardManage/Detail/111309/" xr:uid="{746F3A40-2D50-44AD-9276-0243CB7E0071}"/>
    <hyperlink ref="T302" r:id="rId307" tooltip="https://www.ttbz.org.cn/StandardManage/Detail/111624/" xr:uid="{3C52925A-6F3B-4964-B114-8B1EB8EB8224}"/>
    <hyperlink ref="T303" r:id="rId308" tooltip="https://www.ttbz.org.cn/StandardManage/Detail/111672/" xr:uid="{99499C4F-7D72-45D0-B008-0C9935477C70}"/>
    <hyperlink ref="T304" r:id="rId309" tooltip="https://www.ttbz.org.cn/StandardManage/Detail/111673/" xr:uid="{655641EE-C1D6-4D7F-A76B-9D610EF74CE5}"/>
    <hyperlink ref="T305" r:id="rId310" tooltip="https://www.ttbz.org.cn/StandardManage/Detail/111674/" xr:uid="{AC1714DE-A55E-41FF-9D04-450C21380BBB}"/>
    <hyperlink ref="T306" r:id="rId311" tooltip="https://www.ttbz.org.cn/StandardManage/Detail/111748/" xr:uid="{752736E5-A9B9-4056-9570-7BEBCD133426}"/>
    <hyperlink ref="T307" r:id="rId312" tooltip="https://www.ttbz.org.cn/StandardManage/Detail/111750/" xr:uid="{8B489371-B227-49E6-BEFC-44E9BC8E9CE3}"/>
    <hyperlink ref="T308" r:id="rId313" tooltip="https://www.ttbz.org.cn/StandardManage/Detail/111751/" xr:uid="{D6490118-3CAD-4A21-AC45-01480455D03C}"/>
    <hyperlink ref="T309" r:id="rId314" tooltip="https://www.ttbz.org.cn/StandardManage/Detail/111752/" xr:uid="{F69EA92D-EB07-47C9-BF3D-18E14E816BE5}"/>
    <hyperlink ref="T310" r:id="rId315" tooltip="https://www.ttbz.org.cn/StandardManage/Detail/111753/" xr:uid="{6E727E65-8D8D-4A95-9AFA-65DB9911C8EB}"/>
    <hyperlink ref="T311" r:id="rId316" tooltip="https://www.ttbz.org.cn/StandardManage/Detail/111754/" xr:uid="{0F891497-EF5C-429F-A4B4-AD5CD7AEABB2}"/>
    <hyperlink ref="T318" r:id="rId317" tooltip="https://www.ttbz.org.cn/StandardManage/Detail/112992/" xr:uid="{4DE4C08E-B516-44DB-AEE6-627964D11FE0}"/>
    <hyperlink ref="T324" r:id="rId318" tooltip="https://www.ttbz.org.cn/StandardManage/Detail/113041/" xr:uid="{25E843C3-B35E-4000-9D82-F51A7F133E38}"/>
    <hyperlink ref="T325" r:id="rId319" tooltip="https://www.ttbz.org.cn/StandardManage/Detail/113367/" xr:uid="{39ABC41A-A819-401C-A13F-D5C197517D4D}"/>
    <hyperlink ref="T327" r:id="rId320" tooltip="https://www.ttbz.org.cn/StandardManage/Detail/113685/" xr:uid="{68492CA4-D928-4620-A493-34A92502381C}"/>
    <hyperlink ref="T328" r:id="rId321" tooltip="https://www.ttbz.org.cn/StandardManage/Detail/113696/" xr:uid="{581A6647-70AE-4BB7-8FAF-E56437106B07}"/>
    <hyperlink ref="T329" r:id="rId322" tooltip="https://www.ttbz.org.cn/StandardManage/Detail/113761/" xr:uid="{8421D1DE-045A-4AE8-B165-E1B008E7CA4E}"/>
    <hyperlink ref="T330" r:id="rId323" tooltip="https://www.ttbz.org.cn/StandardManage/Detail/113319/" xr:uid="{8B62C3AA-DE3F-438B-A53C-EE772DEDA501}"/>
    <hyperlink ref="T319" r:id="rId324" tooltip="https://www.ttbz.org.cn/StandardManage/Detail/113054/" xr:uid="{9E2F04F7-9843-46A8-8AA5-8EBF0D9A4033}"/>
    <hyperlink ref="T320" r:id="rId325" tooltip="https://www.ttbz.org.cn/StandardManage/Detail/113154/" xr:uid="{30DCB896-1310-4D7E-99FC-83400EA1A4F0}"/>
    <hyperlink ref="T321" r:id="rId326" tooltip="https://www.ttbz.org.cn/StandardManage/Detail/113155/" xr:uid="{64B85A2B-1EC8-4EC9-936A-52B35F07821A}"/>
    <hyperlink ref="T322" r:id="rId327" tooltip="https://www.ttbz.org.cn/StandardManage/Detail/113156/" xr:uid="{F442B6DC-5C9E-4877-813D-8C30D6834061}"/>
    <hyperlink ref="T323" r:id="rId328" tooltip="https://www.ttbz.org.cn/StandardManage/Detail/113157/" xr:uid="{2A5F8A7F-ECA6-40EA-952B-AB262FB333DC}"/>
    <hyperlink ref="T326" r:id="rId329" tooltip="https://www.ttbz.org.cn/StandardManage/Detail/113622/" xr:uid="{257961F7-86A8-4361-BBAB-7F1B4DFA4BAF}"/>
    <hyperlink ref="T331" r:id="rId330" tooltip="https://www.ttbz.org.cn/StandardManage/Detail/114275/" xr:uid="{04701B28-C6EA-42AC-8450-FD64B79B7A71}"/>
    <hyperlink ref="T332" r:id="rId331" tooltip="https://www.ttbz.org.cn/StandardManage/Detail/114365/" xr:uid="{2FA5CD1A-0574-4FCB-A1FB-1CA10BD8452D}"/>
    <hyperlink ref="T333" r:id="rId332" tooltip="https://www.ttbz.org.cn/StandardManage/Detail/112721/" xr:uid="{B86D753C-7D2B-4C20-9A33-54601926C5C7}"/>
    <hyperlink ref="T334" r:id="rId333" tooltip="https://www.ttbz.org.cn/StandardManage/Detail/114446/" xr:uid="{8487B152-DA6C-49C0-9980-06C6CF888DAB}"/>
    <hyperlink ref="T335" r:id="rId334" tooltip="https://www.ttbz.org.cn/StandardManage/Detail/114587/" xr:uid="{52D527C3-993A-443C-BDD2-1121A6CBA08B}"/>
    <hyperlink ref="T336" r:id="rId335" tooltip="https://www.ttbz.org.cn/StandardManage/Detail/114640/" xr:uid="{96C6CBC0-F00A-45DE-9110-E58A8992E87F}"/>
    <hyperlink ref="T337" r:id="rId336" tooltip="https://www.ttbz.org.cn/StandardManage/Detail/115270/" xr:uid="{F06D6517-A5B4-46D2-A249-CDE69D63E2CE}"/>
    <hyperlink ref="T338" r:id="rId337" tooltip="https://www.ttbz.org.cn/StandardManage/Detail/115272/" xr:uid="{7923E6D8-E900-42B3-A29B-F42E1606A50C}"/>
    <hyperlink ref="T339" r:id="rId338" tooltip="https://www.ttbz.org.cn/StandardManage/Detail/115275/" xr:uid="{1B331BBD-F136-4B7C-B6C0-8BA090657840}"/>
    <hyperlink ref="T340" r:id="rId339" tooltip="https://www.ttbz.org.cn/StandardManage/Detail/115276/" xr:uid="{29BC9A0E-541C-4A78-BFA0-8EEED0C8E205}"/>
    <hyperlink ref="T341" r:id="rId340" tooltip="https://www.ttbz.org.cn/StandardManage/Detail/115282/" xr:uid="{7E99115A-2E60-43E1-94EE-361F43D622D4}"/>
    <hyperlink ref="T342" r:id="rId341" tooltip="https://www.ttbz.org.cn/StandardManage/Detail/115285/" xr:uid="{07E35E2F-70C4-4ABC-8A30-494F43BC9151}"/>
    <hyperlink ref="T343" r:id="rId342" tooltip="https://www.ttbz.org.cn/StandardManage/Detail/115170/" xr:uid="{0C5A8494-7F6E-4C65-8A41-2353B5A35BD1}"/>
    <hyperlink ref="T348" r:id="rId343" tooltip="https://www.ttbz.org.cn/StandardManage/Detail/115992/" xr:uid="{4C334EC5-DB4C-4370-9B3C-7054E2B173C8}"/>
    <hyperlink ref="T344" r:id="rId344" tooltip="https://www.ttbz.org.cn/StandardManage/Detail/115465/" xr:uid="{83217397-1BE4-4F93-8973-DC4E4FB079BE}"/>
    <hyperlink ref="T345" r:id="rId345" tooltip="https://www.ttbz.org.cn/StandardManage/Detail/115768/" xr:uid="{5C959B01-C9E0-47E2-94CF-1B26C946C5A7}"/>
    <hyperlink ref="T346" r:id="rId346" tooltip="https://www.ttbz.org.cn/StandardManage/Detail/115809/" xr:uid="{31C5FB66-B36E-4073-A350-C969235E69ED}"/>
    <hyperlink ref="T347" r:id="rId347" tooltip="https://www.ttbz.org.cn/StandardManage/Detail/115865/" xr:uid="{DA4F9DA9-B5DE-482B-AC39-8F5581719214}"/>
    <hyperlink ref="T349" r:id="rId348" tooltip="https://www.ttbz.org.cn/StandardManage/Detail/115931/" xr:uid="{D77A3D00-41D0-4FE7-BB5A-54B472A5BDF9}"/>
    <hyperlink ref="T350" r:id="rId349" tooltip="https://www.ttbz.org.cn/StandardManage/Detail/116298/" xr:uid="{7FE2BB5B-B008-436F-A9BA-0793B6C6FEDF}"/>
    <hyperlink ref="T351" r:id="rId350" tooltip="https://www.ttbz.org.cn/StandardManage/Detail/116407/" xr:uid="{F251B0AA-6719-4338-A28E-EFDF40ED2EBA}"/>
    <hyperlink ref="T352" r:id="rId351" tooltip="https://www.ttbz.org.cn/StandardManage/Detail/116436/" xr:uid="{D6581C68-019F-460C-A83A-0F6C1FF9BA6A}"/>
    <hyperlink ref="T353" r:id="rId352" tooltip="https://www.ttbz.org.cn/StandardManage/Detail/116438/" xr:uid="{5A2F79E7-3AC3-41BB-90C9-F98BADA4D216}"/>
    <hyperlink ref="T354" r:id="rId353" tooltip="https://www.ttbz.org.cn/StandardManage/Detail/116441/" xr:uid="{E3D5A26E-A48A-4293-BAB3-E585D8F4F356}"/>
    <hyperlink ref="T355" r:id="rId354" tooltip="https://www.ttbz.org.cn/StandardManage/Detail/116505/" xr:uid="{706083F9-5533-42C3-B7B5-DE526D2B862F}"/>
    <hyperlink ref="T356" r:id="rId355" tooltip="https://www.ttbz.org.cn/StandardManage/Detail/116910/" xr:uid="{901A5380-9738-4D5D-BE50-8A8A84BCF527}"/>
    <hyperlink ref="T357" r:id="rId356" tooltip="https://www.ttbz.org.cn/StandardManage/Detail/116957/" xr:uid="{4E461FD4-3826-434C-BFA2-0294EB45938B}"/>
    <hyperlink ref="T358" r:id="rId357" tooltip="https://www.ttbz.org.cn/StandardManage/Detail/116960/" xr:uid="{A68281C7-68E9-4094-AC44-263722911951}"/>
    <hyperlink ref="T359" r:id="rId358" tooltip="https://www.ttbz.org.cn/StandardManage/Detail/117450/" xr:uid="{7C600C1D-ADAA-43B5-BA94-C61B2D3FE6C5}"/>
    <hyperlink ref="T360" r:id="rId359" tooltip="https://www.ttbz.org.cn/StandardManage/Detail/117451/" xr:uid="{8550B9D3-C5EE-4C48-9E34-99ACCC7AE1AA}"/>
    <hyperlink ref="T361" r:id="rId360" tooltip="https://www.ttbz.org.cn/StandardManage/Detail/117616/" xr:uid="{2D87B874-3D82-4321-9BD9-F53A673C92BC}"/>
    <hyperlink ref="T362" r:id="rId361" tooltip="https://www.ttbz.org.cn/StandardManage/Detail/117620/" xr:uid="{809B445B-0DB1-4E61-908F-A2934080BCAB}"/>
    <hyperlink ref="T363" r:id="rId362" tooltip="https://www.ttbz.org.cn/StandardManage/Detail/117647/" xr:uid="{A2D16978-2330-4303-BACC-F40B26753C8E}"/>
    <hyperlink ref="T364" r:id="rId363" tooltip="https://www.ttbz.org.cn/StandardManage/Detail/118094/" xr:uid="{BE5A3865-8E7E-4B6E-8620-06AE5097512B}"/>
    <hyperlink ref="T365" r:id="rId364" tooltip="https://www.ttbz.org.cn/StandardManage/Detail/118110/" xr:uid="{8C79C7B2-46E4-46D5-B6F1-772655A800C9}"/>
    <hyperlink ref="T366" r:id="rId365" tooltip="https://www.ttbz.org.cn/StandardManage/Detail/118096/" xr:uid="{CE448BD6-1423-4C54-BF74-6772331726C4}"/>
    <hyperlink ref="T367" r:id="rId366" tooltip="https://www.ttbz.org.cn/StandardManage/Detail/118100/" xr:uid="{BE1AB4E2-E9CE-4AF3-A065-C428BD8EA462}"/>
    <hyperlink ref="T368" r:id="rId367" tooltip="https://www.ttbz.org.cn/StandardManage/Detail/118103/" xr:uid="{7CAEA8C8-A279-4E26-BF4C-1348768C9882}"/>
    <hyperlink ref="T369" r:id="rId368" tooltip="https://www.ttbz.org.cn/StandardManage/Detail/117594/" xr:uid="{230ED868-88FE-4A02-A902-AAA234F14573}"/>
    <hyperlink ref="T370" r:id="rId369" tooltip="https://www.ttbz.org.cn/StandardManage/Detail/119086/" xr:uid="{131DB8F5-D478-453F-9EB5-C84816557F2F}"/>
    <hyperlink ref="T371" r:id="rId370" tooltip="https://www.ttbz.org.cn/StandardManage/Detail/119088/" xr:uid="{F497CB11-56B8-4557-B007-C10485DA34DF}"/>
    <hyperlink ref="T372" r:id="rId371" tooltip="https://www.ttbz.org.cn/StandardManage/Detail/119091/" xr:uid="{F1541664-E987-495D-A26C-C6572AF99262}"/>
    <hyperlink ref="T373" r:id="rId372" tooltip="https://www.ttbz.org.cn/StandardManage/Detail/119093/" xr:uid="{5D4DBFAA-63FD-4044-96FA-E481A98AAE75}"/>
    <hyperlink ref="T378" r:id="rId373" tooltip="https://www.ttbz.org.cn/StandardManage/Detail/119346/" xr:uid="{90CC8205-14D7-4BE2-8B17-99D2382DC6DC}"/>
    <hyperlink ref="T379" r:id="rId374" tooltip="https://www.ttbz.org.cn/StandardManage/Detail/113138/" xr:uid="{CE3786C4-9CF5-4294-8039-824D46AD01CE}"/>
    <hyperlink ref="T380" r:id="rId375" tooltip="https://www.ttbz.org.cn/StandardManage/Detail/119373/" xr:uid="{8734E7CB-EAED-400D-8D58-A274FFE67B00}"/>
    <hyperlink ref="T381" r:id="rId376" tooltip="https://www.ttbz.org.cn/StandardManage/Detail/119806/" xr:uid="{072A010B-B3C7-45D0-8AD9-F153C8BAF231}"/>
    <hyperlink ref="T382" r:id="rId377" tooltip="https://www.ttbz.org.cn/StandardManage/Detail/119818/" xr:uid="{7AB4C57F-ADA2-4BFD-9124-039273A2E356}"/>
    <hyperlink ref="T388" r:id="rId378" tooltip="https://www.ttbz.org.cn/StandardManage/Detail/120439/" xr:uid="{6B3D190D-979F-4E7D-88C3-EB9054D7C3C3}"/>
    <hyperlink ref="T389" r:id="rId379" tooltip="https://www.ttbz.org.cn/StandardManage/Detail/120444/" xr:uid="{69D03559-2AD6-4B42-AF9F-5ED9A039E890}"/>
    <hyperlink ref="T390" r:id="rId380" tooltip="https://www.ttbz.org.cn/StandardManage/Detail/120445/" xr:uid="{97EE39A4-4FE1-4D7D-8942-B21693D3DCA3}"/>
    <hyperlink ref="T394" r:id="rId381" tooltip="https://www.ttbz.org.cn/StandardManage/Detail/120590/" xr:uid="{803CA58D-57C3-4CE5-B5FF-C5516BFE3ED8}"/>
    <hyperlink ref="T397" r:id="rId382" tooltip="https://www.ttbz.org.cn/StandardManage/Detail/120698/" xr:uid="{CB1F06EE-A53F-4D5A-85E7-67F17A18BFD5}"/>
    <hyperlink ref="T398" r:id="rId383" tooltip="https://www.ttbz.org.cn/StandardManage/Detail/120845/" xr:uid="{C7217D63-6AF8-46DA-BF4E-E252ABCE5641}"/>
    <hyperlink ref="T399" r:id="rId384" tooltip="https://www.ttbz.org.cn/StandardManage/Detail/119878/" xr:uid="{BC77FD3E-5E22-4C7E-9E71-226107DFD27E}"/>
    <hyperlink ref="T400" r:id="rId385" tooltip="https://www.ttbz.org.cn/StandardManage/Detail/121042/" xr:uid="{CAF68F28-8395-4719-A695-5C95C502FE04}"/>
    <hyperlink ref="T401" r:id="rId386" tooltip="https://www.ttbz.org.cn/StandardManage/Detail/120987/" xr:uid="{8B5A982D-9B9F-4587-95E8-103F2CF1782D}"/>
    <hyperlink ref="T403" r:id="rId387" tooltip="https://www.ttbz.org.cn/StandardManage/Detail/119517/" xr:uid="{AF88A4AD-FE62-44CD-B818-052E0D8D3064}"/>
    <hyperlink ref="T404" r:id="rId388" tooltip="https://www.ttbz.org.cn/StandardManage/Detail/121271/" xr:uid="{1EB0C0B0-78B8-4B78-82F5-A18BCF682A74}"/>
    <hyperlink ref="T405" r:id="rId389" tooltip="https://www.ttbz.org.cn/StandardManage/Detail/121272/" xr:uid="{2A98583D-DD20-422E-AF88-77AFEAD48064}"/>
    <hyperlink ref="T406" r:id="rId390" tooltip="https://www.ttbz.org.cn/StandardManage/Detail/121273/" xr:uid="{B45ECD26-56E7-4F8E-95A6-B8F891C5AF23}"/>
    <hyperlink ref="T407" r:id="rId391" tooltip="https://www.ttbz.org.cn/StandardManage/Detail/121275/" xr:uid="{BACF86D9-5420-4E0D-9498-291A1171CF65}"/>
    <hyperlink ref="T408" r:id="rId392" tooltip="https://www.ttbz.org.cn/StandardManage/Detail/121344/" xr:uid="{89787516-58B7-498E-A1E5-A6A3DAC0632D}"/>
    <hyperlink ref="T409" r:id="rId393" tooltip="https://www.ttbz.org.cn/StandardManage/Detail/120957/" xr:uid="{66F12576-84C8-4BCB-BFD2-5B74B40D6378}"/>
    <hyperlink ref="T410" r:id="rId394" tooltip="https://www.ttbz.org.cn/StandardManage/Detail/121654/" xr:uid="{A1D7B395-8FE4-4595-AB48-EBE757FD425E}"/>
    <hyperlink ref="T411" r:id="rId395" tooltip="https://www.ttbz.org.cn/StandardManage/Detail/121672/" xr:uid="{0CFA8CBB-58A9-4809-8C53-AAA77F679BE5}"/>
    <hyperlink ref="T412" r:id="rId396" tooltip="https://www.ttbz.org.cn/StandardManage/Detail/121718/" xr:uid="{9DC68414-4D31-4D8A-AEC3-67C924451880}"/>
    <hyperlink ref="T413" r:id="rId397" tooltip="https://www.ttbz.org.cn/StandardManage/Detail/121480/" xr:uid="{CF1C7DC0-8586-46B7-BD4E-57A8B4789B50}"/>
    <hyperlink ref="T414" r:id="rId398" tooltip="https://www.ttbz.org.cn/StandardManage/Detail/121481/" xr:uid="{4CEC38AB-4DB5-421A-A73F-B41A10414A36}"/>
    <hyperlink ref="T374" r:id="rId399" tooltip="https://www.ttbz.org.cn/StandardManage/Detail/119098/" xr:uid="{5B6FBA45-3A2B-44DC-ADFD-AFC17DC08BCB}"/>
    <hyperlink ref="T375" r:id="rId400" tooltip="https://www.ttbz.org.cn/StandardManage/Detail/119099/" xr:uid="{C91F387D-C083-4759-9379-B15ECD250826}"/>
    <hyperlink ref="T376" r:id="rId401" tooltip="https://www.ttbz.org.cn/StandardManage/Detail/119101/" xr:uid="{83E6B8A5-B87C-4009-BF61-B9C689E025D0}"/>
    <hyperlink ref="T377" r:id="rId402" tooltip="https://www.ttbz.org.cn/StandardManage/Detail/119102/" xr:uid="{57755497-78E7-4F3E-BF96-B27E0EBB09F3}"/>
    <hyperlink ref="T383" r:id="rId403" tooltip="https://www.ttbz.org.cn/StandardManage/Detail/119807/" xr:uid="{D771D702-0D39-4077-9A29-ABAC60B3E5B5}"/>
    <hyperlink ref="T384" r:id="rId404" tooltip="https://www.ttbz.org.cn/StandardManage/Detail/119808/" xr:uid="{C71FDA93-695F-4E20-BE40-CD9588736FC1}"/>
    <hyperlink ref="T385" r:id="rId405" tooltip="https://www.ttbz.org.cn/StandardManage/Detail/119809/" xr:uid="{BC4C8286-011F-446B-854D-88F3CF75F269}"/>
    <hyperlink ref="T386" r:id="rId406" tooltip="https://www.ttbz.org.cn/StandardManage/Detail/119810/" xr:uid="{A6C08DA2-45D8-43C9-B078-D79B71039232}"/>
    <hyperlink ref="T387" r:id="rId407" tooltip="https://www.ttbz.org.cn/StandardManage/Detail/119811/" xr:uid="{924D6080-7BF8-44A6-B36A-AA76DDD992B0}"/>
    <hyperlink ref="T391" r:id="rId408" tooltip="https://www.ttbz.org.cn/StandardManage/Detail/120448/" xr:uid="{9219359C-0670-4973-97A6-690A7AD1D515}"/>
    <hyperlink ref="T392" r:id="rId409" tooltip="https://www.ttbz.org.cn/StandardManage/Detail/120449/" xr:uid="{9E9E6C5F-2953-4F6C-AC18-AB04040AB257}"/>
    <hyperlink ref="T393" r:id="rId410" tooltip="https://www.ttbz.org.cn/StandardManage/Detail/120461/" xr:uid="{D6C4618F-2D3F-4019-A8A8-157B51AA2A9F}"/>
    <hyperlink ref="T395" r:id="rId411" tooltip="https://www.ttbz.org.cn/StandardManage/Detail/120591/" xr:uid="{C6A0379A-91B9-4555-A2C5-AEB117880CB9}"/>
    <hyperlink ref="T396" r:id="rId412" tooltip="https://www.ttbz.org.cn/StandardManage/Detail/120592/" xr:uid="{2C9C76B7-18A4-464B-875B-BABF8E33A974}"/>
    <hyperlink ref="T416" r:id="rId413" tooltip="https://www.ttbz.org.cn/StandardManage/Detail/123153/" xr:uid="{E75DF3E1-3386-443F-A24E-0E823534AC99}"/>
    <hyperlink ref="T417" r:id="rId414" tooltip="https://www.ttbz.org.cn/StandardManage/Detail/123157/" xr:uid="{22B63853-6793-4E3B-A835-6D0BE495A3B4}"/>
    <hyperlink ref="T418" r:id="rId415" tooltip="https://www.ttbz.org.cn/StandardManage/Detail/123158/" xr:uid="{EAED9B4E-9589-4589-93AA-6C2BCB2483EC}"/>
    <hyperlink ref="T419" r:id="rId416" tooltip="https://www.ttbz.org.cn/StandardManage/Detail/123180/" xr:uid="{C4AB3029-27E1-4D93-807E-B068773FCD6C}"/>
    <hyperlink ref="T420" r:id="rId417" tooltip="https://www.ttbz.org.cn/StandardManage/Detail/123369/" xr:uid="{21942E6A-8DEB-4844-A013-7951BCEF8B11}"/>
    <hyperlink ref="T421" r:id="rId418" tooltip="https://www.ttbz.org.cn/StandardManage/Detail/123680/" xr:uid="{B249C4C6-A721-4424-95EA-18B2621C6592}"/>
    <hyperlink ref="T423" r:id="rId419" tooltip="https://www.ttbz.org.cn/StandardManage/Detail/123067/" xr:uid="{41651AF7-A094-4FC3-8F82-D12525FE22B5}"/>
    <hyperlink ref="T424" r:id="rId420" tooltip="https://www.ttbz.org.cn/StandardManage/Detail/124348/" xr:uid="{FCD919EA-4B09-4193-8329-1168D64ABE43}"/>
    <hyperlink ref="T425" r:id="rId421" tooltip="https://www.ttbz.org.cn/StandardManage/Detail/124350/" xr:uid="{4CD7D488-F943-4C2E-A161-0B625E6EEB6D}"/>
    <hyperlink ref="T426" r:id="rId422" tooltip="https://www.ttbz.org.cn/StandardManage/Detail/124550/" xr:uid="{6E8DAE0E-59C0-49FC-AB4B-C16896758E75}"/>
    <hyperlink ref="T427" r:id="rId423" tooltip="https://www.ttbz.org.cn/StandardManage/Detail/117728/" xr:uid="{13391A8B-5D7D-4C25-9330-F2FB51380E9D}"/>
    <hyperlink ref="T428" r:id="rId424" tooltip="https://www.ttbz.org.cn/StandardManage/Detail/124620/" xr:uid="{E6151B0B-4A11-4B48-9838-EE3F50034C0A}"/>
    <hyperlink ref="T429" r:id="rId425" tooltip="https://www.ttbz.org.cn/StandardManage/Detail/124721/" xr:uid="{E9DB7A49-267F-41E5-B662-C3937933AF17}"/>
    <hyperlink ref="T431" r:id="rId426" tooltip="https://www.ttbz.org.cn/StandardManage/Detail/124750/" xr:uid="{85F4A44A-66CE-4BBE-A7DB-B0E74372D758}"/>
    <hyperlink ref="T430" r:id="rId427" tooltip="https://www.ttbz.org.cn/StandardManage/Detail/124726/" xr:uid="{E3EDD2DA-C504-44E2-9A29-439C350B0E05}"/>
    <hyperlink ref="T435" r:id="rId428" tooltip="https://www.ttbz.org.cn/StandardManage/Detail/125535/" xr:uid="{6ED65B6C-B79E-45AA-B014-482BB1A02D5E}"/>
    <hyperlink ref="T437" r:id="rId429" tooltip="https://www.ttbz.org.cn/StandardManage/Detail/125643/" xr:uid="{D3615FC5-BB52-4A13-AFDA-71E2D69CC607}"/>
    <hyperlink ref="T438" r:id="rId430" tooltip="https://www.ttbz.org.cn/StandardManage/Detail/126216/" xr:uid="{3EE170AE-C803-460E-9BF4-813F1521D24B}"/>
    <hyperlink ref="T442" r:id="rId431" tooltip="https://www.ttbz.org.cn/StandardManage/Detail/126495/" xr:uid="{ED5F2CC0-2945-4EF9-8954-CB8918D6F2E8}"/>
    <hyperlink ref="T422" r:id="rId432" tooltip="https://www.ttbz.org.cn/StandardManage/Detail/123607/" xr:uid="{D7B154D4-9CE3-4B28-AA44-334FC6672753}"/>
    <hyperlink ref="T432" r:id="rId433" tooltip="https://www.ttbz.org.cn/StandardManage/Detail/124732/" xr:uid="{339EE00D-3A12-46CB-ABC5-05094721C94C}"/>
    <hyperlink ref="T433" r:id="rId434" tooltip="https://www.ttbz.org.cn/StandardManage/Detail/124747/" xr:uid="{338BDDF2-0947-4991-9917-B1AFC8AF55D8}"/>
    <hyperlink ref="T434" r:id="rId435" tooltip="https://www.ttbz.org.cn/StandardManage/Detail/124753/" xr:uid="{9FE86420-346D-40B4-A4B3-1969555B6525}"/>
    <hyperlink ref="T436" r:id="rId436" tooltip="https://www.ttbz.org.cn/StandardManage/Detail/125533/" xr:uid="{15C637AF-2FBD-4EDC-A85C-FB224642F72E}"/>
    <hyperlink ref="T439" r:id="rId437" tooltip="https://www.ttbz.org.cn/StandardManage/Detail/126115/" xr:uid="{0D377443-F766-41EA-B41B-93AFD37FCC5D}"/>
    <hyperlink ref="T402" r:id="rId438" tooltip="https://www.ttbz.org.cn/StandardManage/Detail/120769/" xr:uid="{804E8770-DD94-4EF4-AB5A-803408AA0E98}"/>
    <hyperlink ref="T440" r:id="rId439" tooltip="https://www.ttbz.org.cn/StandardManage/Detail/126198/" xr:uid="{014CC7FB-A49F-45FD-9838-BD8CA10B1399}"/>
    <hyperlink ref="T441" r:id="rId440" tooltip="https://www.ttbz.org.cn/StandardManage/Detail/126195/" xr:uid="{2466F055-87B9-41D0-8E1E-F590CAD3F08B}"/>
    <hyperlink ref="T415" r:id="rId441" tooltip="https://www.ttbz.org.cn/StandardManage/Detail/122912/" xr:uid="{5A3C9123-5E3F-42C5-B8FE-C4C666793191}"/>
    <hyperlink ref="T443" r:id="rId442" tooltip="https://www.ttbz.org.cn/StandardManage/Detail/110545/" xr:uid="{511E5727-2D15-4960-9F92-D668B7C4F39F}"/>
    <hyperlink ref="T444" r:id="rId443" tooltip="https://www.ttbz.org.cn/StandardManage/Detail/118557/" xr:uid="{32D3AECF-8004-4BF5-9978-970C82DB5404}"/>
    <hyperlink ref="T445" r:id="rId444" tooltip="https://www.ttbz.org.cn/StandardManage/Detail/126380/" xr:uid="{3B7B266E-4B6B-42DA-9679-A2C97D1465C9}"/>
    <hyperlink ref="T446" r:id="rId445" tooltip="https://www.ttbz.org.cn/StandardManage/Detail/126796/" xr:uid="{F5987457-B384-4938-91BC-ECC7307DE73C}"/>
    <hyperlink ref="T447" r:id="rId446" tooltip="https://www.ttbz.org.cn/StandardManage/Detail/127201/" xr:uid="{0F0A4788-BA8F-4E35-9084-0A7E83804EF3}"/>
    <hyperlink ref="T449" r:id="rId447" tooltip="https://www.ttbz.org.cn/StandardManage/Detail/127672/" xr:uid="{AA8DB010-05FE-4E04-918A-8FE1D16584E1}"/>
    <hyperlink ref="T451" r:id="rId448" tooltip="https://www.ttbz.org.cn/StandardManage/Detail/125492/" xr:uid="{40D65840-0A51-42FC-94A1-FAC001B8B576}"/>
    <hyperlink ref="T452" r:id="rId449" tooltip="https://www.ttbz.org.cn/StandardManage/Detail/127931/" xr:uid="{8AB1A824-9CB5-43A0-8AD0-B722341265F9}"/>
    <hyperlink ref="T453" r:id="rId450" tooltip="https://www.ttbz.org.cn/StandardManage/Detail/127937/" xr:uid="{C6296C7A-C3E4-4187-ACAC-7A629A10C7D5}"/>
    <hyperlink ref="T454" r:id="rId451" tooltip="https://www.ttbz.org.cn/StandardManage/Detail/129507/" xr:uid="{13B430B7-0DB9-4636-AEA5-A3231A51FFC8}"/>
    <hyperlink ref="T455" r:id="rId452" tooltip="https://www.ttbz.org.cn/StandardManage/Detail/129538/" xr:uid="{F073DD49-46AA-4377-9E38-400A707243AC}"/>
    <hyperlink ref="T448" r:id="rId453" tooltip="https://www.ttbz.org.cn/StandardManage/Detail/126873/" xr:uid="{C8125D3E-A6C5-44D3-AA97-CD6013DAF0F2}"/>
    <hyperlink ref="T450" r:id="rId454" tooltip="https://www.ttbz.org.cn/StandardManage/Detail/127190/" xr:uid="{741BB2D5-3BB1-40AD-8656-29CE1184E104}"/>
    <hyperlink ref="T456" r:id="rId455" tooltip="https://www.ttbz.org.cn/StandardManage/Detail/130093/" xr:uid="{E0028263-1F5B-4FA7-9E50-B2AA9143B2A7}"/>
    <hyperlink ref="T457" r:id="rId456" tooltip="https://www.ttbz.org.cn/StandardManage/Detail/130097/" xr:uid="{8E6D2D71-4718-4CB3-995F-E31B4765CEC6}"/>
    <hyperlink ref="T458" r:id="rId457" tooltip="https://www.ttbz.org.cn/StandardManage/Detail/130117/" xr:uid="{ACB9A0B3-B608-49D6-854F-0ACFF16F3819}"/>
    <hyperlink ref="T459" r:id="rId458" tooltip="https://www.ttbz.org.cn/StandardManage/Detail/127847/" xr:uid="{74946E12-ADF6-43A4-ADA0-C4F49DE6E83A}"/>
    <hyperlink ref="T460" r:id="rId459" tooltip="https://www.ttbz.org.cn/StandardManage/Detail/127850/" xr:uid="{D754563B-AF1A-4A4F-ADBE-CCE24D6039B7}"/>
    <hyperlink ref="T461" r:id="rId460" tooltip="https://www.ttbz.org.cn/StandardManage/Detail/129939/" xr:uid="{A64F0B51-3FF9-4660-B92A-BC9C6EBFBC7B}"/>
    <hyperlink ref="T462" r:id="rId461" tooltip="https://www.ttbz.org.cn/StandardManage/Detail/129958/" xr:uid="{A3ED0101-E37B-495E-8C3F-62287AEB2E71}"/>
    <hyperlink ref="T463" r:id="rId462" tooltip="https://www.ttbz.org.cn/StandardManage/Detail/130208/" xr:uid="{91ABA180-C08B-476A-9A2F-8D6735381B61}"/>
    <hyperlink ref="T464" r:id="rId463" tooltip="https://www.ttbz.org.cn/StandardManage/Detail/130241/" xr:uid="{342CFF22-518D-4A0A-80FD-DE3BA6A86385}"/>
    <hyperlink ref="T465" r:id="rId464" tooltip="https://www.ttbz.org.cn/StandardManage/Detail/127277/" xr:uid="{84C2D472-7E26-4785-A911-CA73DA2D7138}"/>
    <hyperlink ref="T466" r:id="rId465" tooltip="https://www.ttbz.org.cn/StandardManage/Detail/130300/" xr:uid="{BECD014F-AAD3-4C22-A796-79312D10DCB3}"/>
    <hyperlink ref="T467" r:id="rId466" tooltip="https://www.ttbz.org.cn/StandardManage/Detail/130302/" xr:uid="{DA2D222C-8F25-4B59-AD0F-F3D664347254}"/>
    <hyperlink ref="T468" r:id="rId467" tooltip="https://www.ttbz.org.cn/StandardManage/Detail/130588/" xr:uid="{E791F754-8594-418C-A866-3DFD70C5CDCD}"/>
    <hyperlink ref="T469" r:id="rId468" tooltip="https://www.ttbz.org.cn/StandardManage/Detail/130605/" xr:uid="{25E62E83-B404-434D-8EE7-AF3D74420340}"/>
    <hyperlink ref="T470" r:id="rId469" tooltip="https://www.ttbz.org.cn/StandardManage/Detail/130812/" xr:uid="{6012DAC0-0A83-4B5F-80B2-DFCC7CB6A0DB}"/>
    <hyperlink ref="T471" r:id="rId470" tooltip="https://www.ttbz.org.cn/StandardManage/Detail/130892/" xr:uid="{69B0F106-511F-4BFE-90BC-BAE5EF7BD8EE}"/>
    <hyperlink ref="T472" r:id="rId471" tooltip="https://www.ttbz.org.cn/StandardManage/Detail/130894/" xr:uid="{E1F6DA7C-8235-4B39-BD60-3F740602BA7B}"/>
    <hyperlink ref="T473" r:id="rId472" tooltip="https://www.ttbz.org.cn/StandardManage/Detail/130897/" xr:uid="{20D9792A-DB4A-4BBA-89BE-EB04B167CE35}"/>
    <hyperlink ref="T474" r:id="rId473" tooltip="https://www.ttbz.org.cn/StandardManage/Detail/130909/" xr:uid="{4CC090B7-0DD2-4A94-A86B-F56C867F1A24}"/>
    <hyperlink ref="T475" r:id="rId474" tooltip="https://www.ttbz.org.cn/StandardManage/Detail/130942/" xr:uid="{2E0FB342-6773-4B2B-89C8-E8DC67EC84AD}"/>
    <hyperlink ref="T476" r:id="rId475" tooltip="https://www.ttbz.org.cn/StandardManage/Detail/130960/" xr:uid="{381420B5-9275-4FBB-8A0F-E6ED1EDC0F3C}"/>
    <hyperlink ref="T477" r:id="rId476" tooltip="https://www.ttbz.org.cn/StandardManage/Detail/131112/" xr:uid="{CE91D138-1A1A-4440-812B-A3D8DDDD90C3}"/>
    <hyperlink ref="T478" r:id="rId477" tooltip="https://www.ttbz.org.cn/StandardManage/Detail/131114/" xr:uid="{D25F63C0-9322-48C5-A237-6FB5D5F088B8}"/>
    <hyperlink ref="T479" r:id="rId478" tooltip="https://www.ttbz.org.cn/StandardManage/Detail/131116/" xr:uid="{24EF4625-888C-4749-A0FB-8CE1EAB3345F}"/>
    <hyperlink ref="T480" r:id="rId479" tooltip="https://www.ttbz.org.cn/StandardManage/Detail/130681/" xr:uid="{6BAAD88B-0805-4E95-9130-41A2D2A98742}"/>
    <hyperlink ref="T481" r:id="rId480" tooltip="https://www.ttbz.org.cn/StandardManage/Detail/131279/" xr:uid="{91184152-1BDE-4F2B-B3ED-E409AF89A33A}"/>
    <hyperlink ref="T482" r:id="rId481" tooltip="https://www.ttbz.org.cn/StandardManage/Detail/131298/" xr:uid="{1DA96095-16F4-4428-9E33-22E923F59226}"/>
    <hyperlink ref="T483" r:id="rId482" tooltip="https://www.ttbz.org.cn/StandardManage/Detail/131300/" xr:uid="{F844FC46-892F-48E0-9B4F-4C8633A61176}"/>
    <hyperlink ref="T484" r:id="rId483" tooltip="https://www.ttbz.org.cn/StandardManage/Detail/131301/" xr:uid="{6950DC72-DE65-4E92-BB00-6638C565DEEA}"/>
    <hyperlink ref="T486" r:id="rId484" tooltip="https://www.ttbz.org.cn/StandardManage/Detail/131679/" xr:uid="{7562B9B9-AFE5-4C55-8E2E-490E526F5549}"/>
    <hyperlink ref="T487" r:id="rId485" tooltip="https://www.ttbz.org.cn/StandardManage/Detail/131924/" xr:uid="{E08CB5EE-0444-4CD9-AAA5-68E1D0B0B02B}"/>
    <hyperlink ref="T488" r:id="rId486" tooltip="https://www.ttbz.org.cn/StandardManage/Detail/131961/" xr:uid="{62A32543-84BB-43A1-BD2B-6ABF0ADA28AC}"/>
    <hyperlink ref="T485" r:id="rId487" tooltip="https://www.ttbz.org.cn/StandardManage/Detail/67722/" xr:uid="{2AA5845E-9446-47C4-829E-8BDC850A69F2}"/>
    <hyperlink ref="T489" r:id="rId488" tooltip="https://www.ttbz.org.cn/StandardManage/Detail/132029/" xr:uid="{5F09A33A-D699-4348-B3D4-8B3A95E28C21}"/>
    <hyperlink ref="T490" r:id="rId489" tooltip="https://www.ttbz.org.cn/StandardManage/Detail/132030/" xr:uid="{84F7EA23-8326-4061-AC63-9694DF05A0A2}"/>
    <hyperlink ref="T491" r:id="rId490" tooltip="https://www.ttbz.org.cn/StandardManage/Detail/132186/" xr:uid="{3F49D6C0-AAA1-4836-A7FC-072BA7F82749}"/>
    <hyperlink ref="T492" r:id="rId491" tooltip="https://www.ttbz.org.cn/StandardManage/Detail/132188/" xr:uid="{5AB86BE4-A768-4614-A659-141AF460839E}"/>
    <hyperlink ref="T493" r:id="rId492" tooltip="https://www.ttbz.org.cn/StandardManage/Detail/132158/" xr:uid="{D457808D-D091-4E0F-95E5-16942587FB67}"/>
    <hyperlink ref="T494" r:id="rId493" tooltip="https://www.ttbz.org.cn/StandardManage/Detail/132519/" xr:uid="{64CCB054-6146-483A-AB5B-5480523044A6}"/>
    <hyperlink ref="T495" r:id="rId494" tooltip="https://www.ttbz.org.cn/StandardManage/Detail/132436/" xr:uid="{812FFC2C-DC17-4887-807A-90EEDE6116E8}"/>
    <hyperlink ref="T496" r:id="rId495" tooltip="https://www.ttbz.org.cn/StandardManage/Detail/132438/" xr:uid="{D4A2412B-44B6-4193-8B74-24558CBFBFCB}"/>
    <hyperlink ref="T497" r:id="rId496" tooltip="https://www.ttbz.org.cn/StandardManage/Detail/132439/" xr:uid="{6B2F8046-0CE8-4FC4-B59B-1C5BECF9C752}"/>
    <hyperlink ref="T498" r:id="rId497" tooltip="https://www.ttbz.org.cn/StandardManage/Detail/132444/" xr:uid="{D53A5BD3-A017-424F-9792-F1D693DFD60C}"/>
    <hyperlink ref="T499" r:id="rId498" tooltip="https://www.ttbz.org.cn/StandardManage/Detail/132632/" xr:uid="{0D8962A0-772F-444D-B357-2DA4BF8E2FDC}"/>
    <hyperlink ref="T500" r:id="rId499" tooltip="https://www.ttbz.org.cn/StandardManage/Detail/132634/" xr:uid="{8D07994F-7A12-4D3E-9C77-08048F8B94A0}"/>
    <hyperlink ref="T502" r:id="rId500" tooltip="https://www.ttbz.org.cn/StandardManage/Detail/132892/" xr:uid="{AA7ADC74-A77D-4E74-A576-FEC517A68D27}"/>
    <hyperlink ref="T503" r:id="rId501" tooltip="https://www.ttbz.org.cn/StandardManage/Detail/132903/" xr:uid="{DBE47C3E-8777-4E21-8E76-ED6FA1CC11B9}"/>
    <hyperlink ref="T504" r:id="rId502" tooltip="https://www.ttbz.org.cn/StandardManage/Detail/132929/" xr:uid="{A5B373D3-E8F3-4911-9A29-723C13BA7F4A}"/>
    <hyperlink ref="T505" r:id="rId503" tooltip="https://www.ttbz.org.cn/StandardManage/Detail/132930/" xr:uid="{98BD2858-709C-4F59-9CCD-117ACA651E9A}"/>
    <hyperlink ref="T506" r:id="rId504" tooltip="https://www.ttbz.org.cn/StandardManage/Detail/132932/" xr:uid="{617F1B21-4ABB-45F8-92EA-CB1BDA3FC69A}"/>
    <hyperlink ref="T507" r:id="rId505" tooltip="https://www.ttbz.org.cn/StandardManage/Detail/132933/" xr:uid="{13473EAB-14DE-484F-A22F-B634DC35E917}"/>
    <hyperlink ref="T508" r:id="rId506" tooltip="https://www.ttbz.org.cn/StandardManage/Detail/132934/" xr:uid="{80C5489B-6902-424F-8EB3-B62C404230F9}"/>
    <hyperlink ref="T509" r:id="rId507" tooltip="https://www.ttbz.org.cn/StandardManage/Detail/132936/" xr:uid="{EAC41191-0803-4AEF-93E4-5555B6E63841}"/>
    <hyperlink ref="T510" r:id="rId508" tooltip="https://www.ttbz.org.cn/StandardManage/Detail/132942/" xr:uid="{71E19CB9-EFAD-42AF-81DD-3344933F6331}"/>
    <hyperlink ref="T501" r:id="rId509" tooltip="https://www.ttbz.org.cn/StandardManage/Detail/132434/" xr:uid="{239A8BD6-0B4F-49DC-9E63-577F2B8D16C8}"/>
    <hyperlink ref="T512" r:id="rId510" tooltip="https://www.ttbz.org.cn/StandardManage/Detail/133332/" xr:uid="{4F80129F-CBBB-4E77-8B46-6A4F6EE5D33C}"/>
    <hyperlink ref="T513" r:id="rId511" tooltip="https://www.ttbz.org.cn/StandardManage/Detail/133334/" xr:uid="{0FDDB77D-B709-4909-867B-A312187A264C}"/>
    <hyperlink ref="T515" r:id="rId512" tooltip="https://www.ttbz.org.cn/StandardManage/Detail/133500/" xr:uid="{9FA54639-F1E3-4D4F-835F-7357D61A2489}"/>
    <hyperlink ref="T517" r:id="rId513" tooltip="https://www.ttbz.org.cn/StandardManage/Detail/134118/" xr:uid="{9F352DCA-9327-4169-8B32-ABDE326D275B}"/>
    <hyperlink ref="T518" r:id="rId514" tooltip="https://www.ttbz.org.cn/StandardManage/Detail/134356/" xr:uid="{FACD99C7-BDDB-45DC-BEB6-D567EAC24AB1}"/>
    <hyperlink ref="T522" r:id="rId515" tooltip="https://www.ttbz.org.cn/StandardManage/Detail/134032/" xr:uid="{E0B0FD70-24AA-406D-8ACD-84851B43AEC5}"/>
    <hyperlink ref="T523" r:id="rId516" tooltip="https://www.ttbz.org.cn/StandardManage/Detail/134034/" xr:uid="{98B720E2-FE39-4D16-9F1E-BE72A783509F}"/>
    <hyperlink ref="T524" r:id="rId517" tooltip="https://www.ttbz.org.cn/StandardManage/Detail/134065/" xr:uid="{70CC003F-93A5-4D42-B785-C57AF5444C0D}"/>
    <hyperlink ref="T530" r:id="rId518" tooltip="https://www.ttbz.org.cn/StandardManage/Detail/134072/" xr:uid="{73E0BFF8-55F3-4144-AB1A-C0ADFECF1850}"/>
    <hyperlink ref="T531" r:id="rId519" tooltip="https://www.ttbz.org.cn/StandardManage/Detail/134093/" xr:uid="{204CEE72-F859-4C3B-8DD0-59D96D6CD129}"/>
    <hyperlink ref="T532" r:id="rId520" tooltip="https://www.ttbz.org.cn/StandardManage/Detail/134099/" xr:uid="{80AEBEA1-BE29-4844-BB19-E49BB0D4335A}"/>
    <hyperlink ref="T533" r:id="rId521" tooltip="https://www.ttbz.org.cn/StandardManage/Detail/134100/" xr:uid="{09C48F3E-55B2-47FB-B04B-E2DB4131C0E3}"/>
    <hyperlink ref="T534" r:id="rId522" tooltip="https://www.ttbz.org.cn/StandardManage/Detail/134502/" xr:uid="{0BD3CEA7-7CD1-49BC-9853-4138B7845345}"/>
    <hyperlink ref="T536" r:id="rId523" tooltip="https://www.ttbz.org.cn/StandardManage/Detail/134809/" xr:uid="{BAF6D9F6-EB77-4C96-B09E-F924418318D3}"/>
    <hyperlink ref="T537" r:id="rId524" tooltip="https://www.ttbz.org.cn/StandardManage/Detail/134815/" xr:uid="{3D17BEA2-1B9F-44EC-9274-8D02F5C49246}"/>
    <hyperlink ref="T538" r:id="rId525" tooltip="https://www.ttbz.org.cn/StandardManage/Detail/134817/" xr:uid="{AFD6FCF7-DD56-43FC-8852-A6876C118DE6}"/>
    <hyperlink ref="T539" r:id="rId526" tooltip="https://www.ttbz.org.cn/StandardManage/Detail/134902/" xr:uid="{CE24B23B-BFFD-4A8D-8D49-3EE26598D9E2}"/>
    <hyperlink ref="T540" r:id="rId527" tooltip="https://www.ttbz.org.cn/StandardManage/Detail/134904/" xr:uid="{69FCCD61-1171-4F25-A36D-FECA60DDDB09}"/>
    <hyperlink ref="T544" r:id="rId528" tooltip="https://www.ttbz.org.cn/StandardManage/Detail/134795/" xr:uid="{FC0A57C8-9C79-4E85-B7B7-224F82211F10}"/>
    <hyperlink ref="T516" r:id="rId529" tooltip="https://www.ttbz.org.cn/StandardManage/Detail/133501/" xr:uid="{55F35E78-0186-44F9-923B-82AC28EC591C}"/>
    <hyperlink ref="T519" r:id="rId530" tooltip="https://www.ttbz.org.cn/StandardManage/Detail/134451/" xr:uid="{2D22D00F-6525-4588-BAFC-E08C78B19A08}"/>
    <hyperlink ref="T521" r:id="rId531" tooltip="https://www.ttbz.org.cn/StandardManage/Detail/134097/" xr:uid="{93629B55-963D-45F6-AA4C-F4F5B7C39DCD}"/>
    <hyperlink ref="T535" r:id="rId532" tooltip="https://www.ttbz.org.cn/StandardManage/Detail/134676/" xr:uid="{3A0B0B32-490D-457A-8AF9-2E9006B744B2}"/>
    <hyperlink ref="T541" r:id="rId533" tooltip="https://www.ttbz.org.cn/StandardManage/Detail/134813/" xr:uid="{2E83CF2E-A392-4592-9756-30AD41C973AB}"/>
    <hyperlink ref="T542" r:id="rId534" tooltip="https://www.ttbz.org.cn/StandardManage/Detail/134814/" xr:uid="{2D382A7A-99FC-4F84-82FF-EB663F33CEBB}"/>
    <hyperlink ref="T543" r:id="rId535" tooltip="https://www.ttbz.org.cn/StandardManage/Detail/135033/" xr:uid="{EC48B0CB-9457-4D52-ABEF-C6A1144D1325}"/>
    <hyperlink ref="T514" r:id="rId536" tooltip="https://www.ttbz.org.cn/StandardManage/Detail/133439/" xr:uid="{5133F5A9-B1BC-49E0-AE9B-30290BB761A2}"/>
    <hyperlink ref="T525" r:id="rId537" tooltip="https://www.ttbz.org.cn/StandardManage/Detail/134037/" xr:uid="{816F7876-E0EA-4AA3-A40A-9F1620A839DD}"/>
    <hyperlink ref="T526" r:id="rId538" tooltip="https://www.ttbz.org.cn/StandardManage/Detail/134039/" xr:uid="{353999E4-358A-47B3-BFFA-DEE807B1C816}"/>
    <hyperlink ref="T527" r:id="rId539" tooltip="https://www.ttbz.org.cn/StandardManage/Detail/134047/" xr:uid="{532DDF5A-CFB0-41D2-999E-F894E925C4A3}"/>
    <hyperlink ref="T528" r:id="rId540" tooltip="https://www.ttbz.org.cn/StandardManage/Detail/134574/" xr:uid="{2B6DD7F8-6E5B-4CDB-86FE-08395942EF9D}"/>
    <hyperlink ref="T545" r:id="rId541" tooltip="https://www.ttbz.org.cn/StandardManage/Detail/102148/" xr:uid="{242A4B7E-5D7B-4A30-BAE0-99F80D013156}"/>
    <hyperlink ref="T546" r:id="rId542" tooltip="https://www.ttbz.org.cn/StandardManage/Detail/107047/" xr:uid="{D521926A-DF41-46DA-943F-BD204D4C151C}"/>
    <hyperlink ref="T547" r:id="rId543" tooltip="https://www.ttbz.org.cn/StandardManage/Detail/107051/" xr:uid="{28CFEFF5-8960-4584-BC76-EE44646714A0}"/>
    <hyperlink ref="T548" r:id="rId544" tooltip="https://www.ttbz.org.cn/StandardManage/Detail/107052/" xr:uid="{2EC14DDD-6283-479F-A6EF-832E531CA142}"/>
    <hyperlink ref="T549" r:id="rId545" tooltip="https://www.ttbz.org.cn/StandardManage/Detail/135475/" xr:uid="{76E4C41F-F9CE-4B51-AAEC-45E753020830}"/>
    <hyperlink ref="T550" r:id="rId546" tooltip="https://www.ttbz.org.cn/StandardManage/Detail/135491/" xr:uid="{99F70846-74C8-4E80-A921-EA87065BA23A}"/>
    <hyperlink ref="T551" r:id="rId547" tooltip="https://www.ttbz.org.cn/StandardManage/Detail/135674/" xr:uid="{1D11E800-D197-42C8-8482-F46CD2C4DC8D}"/>
    <hyperlink ref="T552" r:id="rId548" tooltip="https://www.ttbz.org.cn/StandardManage/Detail/135902/" xr:uid="{AB2A156F-1B88-4146-BE80-05A2EFFB4F5F}"/>
    <hyperlink ref="T553" r:id="rId549" tooltip="https://www.ttbz.org.cn/StandardManage/Detail/135956/" xr:uid="{903D9A7E-B556-4D68-B1F7-AD3AB13E4B00}"/>
    <hyperlink ref="T554" r:id="rId550" tooltip="https://www.ttbz.org.cn/StandardManage/Detail/136013/" xr:uid="{D8432629-2B19-4619-8BA3-031D828CC8F8}"/>
    <hyperlink ref="T555" r:id="rId551" tooltip="https://www.ttbz.org.cn/StandardManage/Detail/136182/" xr:uid="{2335F109-F3B4-4E77-B0A4-F6EEC82F5C74}"/>
    <hyperlink ref="T556" r:id="rId552" tooltip="https://www.ttbz.org.cn/StandardManage/Detail/136361/" xr:uid="{5F4CD898-986A-439C-8010-53EE26E2D784}"/>
    <hyperlink ref="T557" r:id="rId553" tooltip="https://www.ttbz.org.cn/StandardManage/Detail/136374/" xr:uid="{336C4CA8-8B6C-4C69-956D-83A6BB2AA910}"/>
    <hyperlink ref="T558" r:id="rId554" tooltip="https://www.ttbz.org.cn/StandardManage/Detail/117594/" xr:uid="{12922CCD-2CF6-4898-B0C3-F9DD1ED9F9C6}"/>
    <hyperlink ref="T559" r:id="rId555" tooltip="https://www.ttbz.org.cn/StandardManage/Detail/119373/" xr:uid="{BFA03999-4029-49C0-B335-CDDEC3D84140}"/>
    <hyperlink ref="T560" r:id="rId556" tooltip="https://www.ttbz.org.cn/StandardManage/Detail/124550/" xr:uid="{5C2231DB-02E3-4C50-AFAA-2FDFD0D2FDD1}"/>
    <hyperlink ref="T561" r:id="rId557" tooltip="https://www.ttbz.org.cn/StandardManage/Detail/136315/" xr:uid="{BDE465D2-D329-4EF4-ABDD-8FB3BF7E938E}"/>
    <hyperlink ref="T562" r:id="rId558" tooltip="https://www.ttbz.org.cn/StandardManage/Detail/136316/" xr:uid="{546F2436-BFBF-4938-A99D-56DB9A598852}"/>
    <hyperlink ref="T563" r:id="rId559" tooltip="https://www.ttbz.org.cn/StandardManage/Detail/136466/" xr:uid="{949D8058-3A84-4128-8633-47BEC9B168E0}"/>
    <hyperlink ref="T564" r:id="rId560" tooltip="https://www.ttbz.org.cn/StandardManage/Detail/136375/" xr:uid="{4B1C65CE-A79B-4EBC-83BA-7388FFC48065}"/>
    <hyperlink ref="T566" r:id="rId561" tooltip="https://www.ttbz.org.cn/StandardManage/Detail/136749/" xr:uid="{258350AB-C077-4938-B82E-1C51D16CBF24}"/>
    <hyperlink ref="T567" r:id="rId562" tooltip="https://www.ttbz.org.cn/StandardManage/Detail/136753/" xr:uid="{AD821356-0C28-4A12-93E1-181650588708}"/>
    <hyperlink ref="T568" r:id="rId563" tooltip="https://www.ttbz.org.cn/StandardManage/Detail/137181/" xr:uid="{00242185-8A20-4BF7-82AC-A0A0AEE00377}"/>
    <hyperlink ref="T569" r:id="rId564" tooltip="https://www.ttbz.org.cn/StandardManage/Detail/137183/" xr:uid="{8450042C-55EC-4FFB-B6BD-5D8EB661F03E}"/>
    <hyperlink ref="T570" r:id="rId565" tooltip="https://www.ttbz.org.cn/StandardManage/Detail/137189/" xr:uid="{97C65ADE-979D-4F42-9335-D33AB19BFCAF}"/>
    <hyperlink ref="T571" r:id="rId566" tooltip="https://www.ttbz.org.cn/StandardManage/Detail/136257/" xr:uid="{A11A7AB6-C21D-4DCD-8635-D3365169903A}"/>
    <hyperlink ref="T572" r:id="rId567" tooltip="https://www.ttbz.org.cn/StandardManage/Detail/136260/" xr:uid="{A5F1DC23-5C35-4C67-BA0C-E586AF9E68F5}"/>
    <hyperlink ref="T573" r:id="rId568" tooltip="https://www.ttbz.org.cn/StandardManage/Detail/136287/" xr:uid="{4FE6F4CE-32D9-4818-A705-CB9CEA3E6040}"/>
    <hyperlink ref="T574" r:id="rId569" tooltip="https://www.ttbz.org.cn/StandardManage/Detail/136289/" xr:uid="{E7712F4F-E8CE-49FF-913A-531769E1568A}"/>
    <hyperlink ref="T575" r:id="rId570" tooltip="https://www.ttbz.org.cn/StandardManage/Detail/137281/" xr:uid="{3E2B6911-21C3-46FC-8752-C38856F5B6D4}"/>
    <hyperlink ref="T576" r:id="rId571" tooltip="https://www.ttbz.org.cn/StandardManage/Detail/137282/" xr:uid="{DE70580B-0E23-43EE-B1FF-36D6008A67F6}"/>
    <hyperlink ref="T577" r:id="rId572" tooltip="https://www.ttbz.org.cn/StandardManage/Detail/137299/" xr:uid="{610AFE2B-5B76-4169-AD5C-39E1A589A568}"/>
    <hyperlink ref="T578" r:id="rId573" tooltip="https://www.ttbz.org.cn/StandardManage/Detail/136755/" xr:uid="{2DF9C979-E414-4AC7-8CE2-87F74689C692}"/>
    <hyperlink ref="T579" r:id="rId574" tooltip="https://www.ttbz.org.cn/StandardManage/Detail/137722/" xr:uid="{E4490D6B-362E-4290-978A-6416B4763488}"/>
    <hyperlink ref="T580" r:id="rId575" tooltip="https://www.ttbz.org.cn/StandardManage/Detail/137744/" xr:uid="{45E72498-6C26-4CCB-B99B-046BD8CE67C9}"/>
    <hyperlink ref="T581" r:id="rId576" tooltip="https://www.ttbz.org.cn/StandardManage/Detail/129100/" xr:uid="{F0438E68-551D-4BCA-9946-2CE57D4E39A5}"/>
    <hyperlink ref="T582" r:id="rId577" tooltip="https://www.ttbz.org.cn/StandardManage/Detail/138005/" xr:uid="{FA3E23E8-926B-41DE-A942-E58131FF4F72}"/>
    <hyperlink ref="T583" r:id="rId578" tooltip="https://www.ttbz.org.cn/StandardManage/Detail/79396/" xr:uid="{8A0E2532-F90D-4B24-B8F3-FBCF4BE6974A}"/>
    <hyperlink ref="T584" r:id="rId579" tooltip="https://www.ttbz.org.cn/StandardManage/Detail/94293/" xr:uid="{3BF2C2DD-D9F0-4F9F-9BE2-B65C002C72C0}"/>
    <hyperlink ref="T585" r:id="rId580" tooltip="https://www.ttbz.org.cn/StandardManage/Detail/99394/" xr:uid="{FD1F9909-2130-4DD7-8C26-CEE0C8B23D07}"/>
    <hyperlink ref="T586" r:id="rId581" tooltip="https://www.ttbz.org.cn/StandardManage/Detail/99401/" xr:uid="{1D8DF975-BED8-47F1-9ACE-EF7CA68C7C9D}"/>
    <hyperlink ref="T589" r:id="rId582" tooltip="https://www.ttbz.org.cn/StandardManage/Detail/119517/" xr:uid="{03900110-AB8E-44AA-AC86-684DF289FB81}"/>
    <hyperlink ref="T590" r:id="rId583" tooltip="https://www.ttbz.org.cn/StandardManage/Detail/138121/" xr:uid="{024D5A85-C1CC-4876-85B8-73F37625C67C}"/>
    <hyperlink ref="T591" r:id="rId584" tooltip="https://www.ttbz.org.cn/StandardManage/Detail/138130/" xr:uid="{CB24AB27-0467-495C-BC03-201A058C86DD}"/>
    <hyperlink ref="T592" r:id="rId585" tooltip="https://www.ttbz.org.cn/StandardManage/Detail/138766/" xr:uid="{95CC7A79-9271-48D4-8F96-DB1E52F2E693}"/>
    <hyperlink ref="T593" r:id="rId586" tooltip="https://www.ttbz.org.cn/StandardManage/Detail/138140/" xr:uid="{6AF97F4C-FE1D-4217-A764-B83AC4D17AC0}"/>
    <hyperlink ref="T594" r:id="rId587" tooltip="https://www.ttbz.org.cn/StandardManage/Detail/138145/" xr:uid="{66AB3D4D-6AD0-402D-ADFF-AAE7DC201094}"/>
    <hyperlink ref="T595" r:id="rId588" tooltip="https://www.ttbz.org.cn/StandardManage/Detail/138162/" xr:uid="{49DEF2A4-754C-4007-AB36-5863C409DBD6}"/>
    <hyperlink ref="T565" r:id="rId589" tooltip="https://www.ttbz.org.cn/StandardManage/Detail/137079/" xr:uid="{D0402E8C-6552-41A0-9618-D99C9F9F3740}"/>
    <hyperlink ref="T587" r:id="rId590" tooltip="https://www.ttbz.org.cn/StandardManage/Detail/94378/" xr:uid="{C18DCEB4-9E92-442F-A78B-0AE331A27344}"/>
    <hyperlink ref="T588" r:id="rId591" tooltip="https://www.ttbz.org.cn/StandardManage/Detail/99399/" xr:uid="{0E60FC80-D9C5-4F40-AEFD-158A32EFD47B}"/>
    <hyperlink ref="T596" r:id="rId592" tooltip="https://www.ttbz.org.cn/StandardManage/Detail/138183/" xr:uid="{0F9A8144-AB8A-43AA-B41E-2922F3E78D99}"/>
    <hyperlink ref="T597" r:id="rId593" tooltip="https://www.ttbz.org.cn/StandardManage/Detail/140246/" xr:uid="{410AE1D1-B2B2-4CCA-8CED-9E3201083928}"/>
    <hyperlink ref="T598" r:id="rId594" tooltip="https://www.ttbz.org.cn/StandardManage/Detail/140280/" xr:uid="{0C5A6F95-9078-4F1B-833B-B11B5E43631D}"/>
    <hyperlink ref="T599" r:id="rId595" tooltip="https://www.ttbz.org.cn/StandardManage/Detail/140347/" xr:uid="{F015EF34-5806-4312-8B18-40B24FF0F534}"/>
    <hyperlink ref="T601" r:id="rId596" tooltip="https://www.ttbz.org.cn/StandardManage/Detail/138886/" xr:uid="{28B62FC5-7314-4EB3-98F2-6206D00522C0}"/>
    <hyperlink ref="T602" r:id="rId597" tooltip="https://www.ttbz.org.cn/StandardManage/Detail/140972/" xr:uid="{A87CEC32-1370-4051-8CF3-0EBEFCDB4BB2}"/>
    <hyperlink ref="T603" r:id="rId598" tooltip="https://www.ttbz.org.cn/StandardManage/Detail/140974/" xr:uid="{EB991F48-E994-4872-A0FB-C9F90429B57B}"/>
    <hyperlink ref="T604" r:id="rId599" tooltip="https://www.ttbz.org.cn/StandardManage/Detail/140684/" xr:uid="{0022645F-407E-4E31-89A6-180106229962}"/>
    <hyperlink ref="T605" r:id="rId600" tooltip="https://www.ttbz.org.cn/StandardManage/Detail/140687/" xr:uid="{2B5CD65A-174B-4E14-8C6A-0175962A1250}"/>
    <hyperlink ref="T606" r:id="rId601" tooltip="https://www.ttbz.org.cn/StandardManage/Detail/140694/" xr:uid="{DF72F9F8-2FCD-46C2-85C6-2F4A305F867C}"/>
    <hyperlink ref="T607" r:id="rId602" tooltip="https://www.ttbz.org.cn/StandardManage/Detail/140708/" xr:uid="{D2C537BF-4885-455F-9558-95BD4DC81D8D}"/>
    <hyperlink ref="T608" r:id="rId603" tooltip="https://www.ttbz.org.cn/StandardManage/Detail/140709/" xr:uid="{54A7F4D4-CF66-400A-905C-EEBF4AFA770E}"/>
    <hyperlink ref="T615" r:id="rId604" tooltip="https://www.ttbz.org.cn/StandardManage/Detail/141283/" xr:uid="{1E04909B-4B43-410B-933A-11D0C5990FF9}"/>
    <hyperlink ref="T616" r:id="rId605" tooltip="https://www.ttbz.org.cn/StandardManage/Detail/141285/" xr:uid="{EE7A2713-F419-412F-9429-D1DDCD5B7C71}"/>
    <hyperlink ref="T600" r:id="rId606" tooltip="https://www.ttbz.org.cn/StandardManage/Detail/140325/" xr:uid="{2CAA1141-35AA-4398-ACA5-CAF2A203FAA1}"/>
    <hyperlink ref="T613" r:id="rId607" tooltip="https://www.ttbz.org.cn/StandardManage/Detail/140685/" xr:uid="{9D26595B-85AC-4DE2-982C-FF3C7D678EE4}"/>
    <hyperlink ref="T617" r:id="rId608" tooltip="https://www.ttbz.org.cn/StandardManage/Detail/141293/" xr:uid="{69C82928-39A0-4C55-8A30-A2BB9679E9F2}"/>
    <hyperlink ref="T609" r:id="rId609" tooltip="https://www.ttbz.org.cn/StandardManage/Detail/140707/" xr:uid="{7CC8159A-B8BC-4706-A89B-93E9A5B39A55}"/>
    <hyperlink ref="T610" r:id="rId610" tooltip="https://www.ttbz.org.cn/StandardManage/Detail/140719/" xr:uid="{C993ADD3-C857-40A9-A55D-FF16409BAC56}"/>
    <hyperlink ref="T611" r:id="rId611" tooltip="https://www.ttbz.org.cn/StandardManage/Detail/140720/" xr:uid="{6069F7D2-D444-4E49-93E4-75ECFE626543}"/>
    <hyperlink ref="T612" r:id="rId612" tooltip="https://www.ttbz.org.cn/StandardManage/Detail/140721/" xr:uid="{CEA1E2B9-4EDA-43BA-9206-002ADFF04E09}"/>
    <hyperlink ref="T614" r:id="rId613" tooltip="https://www.ttbz.org.cn/StandardManage/Detail/140710/" xr:uid="{84E6B7F7-6AE9-4274-9945-5F06042E646C}"/>
    <hyperlink ref="T622" r:id="rId614" tooltip="https://www.ttbz.org.cn/StandardManage/Detail/141885/" xr:uid="{66A63162-58F0-45EC-8FF7-BC9766A467D1}"/>
    <hyperlink ref="T626" r:id="rId615" tooltip="https://www.ttbz.org.cn/StandardManage/Detail/142574/" xr:uid="{CB1915AD-BE8B-49C1-A091-F153E4AB4EAF}"/>
    <hyperlink ref="T627" r:id="rId616" tooltip="https://www.ttbz.org.cn/StandardManage/Detail/62775/" xr:uid="{F162B0BD-2E87-4453-869E-DE407381C5D8}"/>
    <hyperlink ref="T629" r:id="rId617" tooltip="https://www.ttbz.org.cn/StandardManage/Detail/142786/" xr:uid="{832AA244-1DD4-4E7F-ADE1-674CA059D49B}"/>
    <hyperlink ref="T628" r:id="rId618" tooltip="https://www.ttbz.org.cn/StandardManage/Detail/142784/" xr:uid="{6FE7B248-3151-4351-82EE-AF6ADC3695F1}"/>
    <hyperlink ref="T630" r:id="rId619" tooltip="https://www.ttbz.org.cn/StandardManage/Detail/142759/" xr:uid="{054875D5-E435-4A12-B01C-07CE02FFF061}"/>
    <hyperlink ref="T618" r:id="rId620" tooltip="https://www.ttbz.org.cn/StandardManage/Detail/141684/" xr:uid="{4F663408-9AC0-451C-AC15-53423F0FB84B}"/>
    <hyperlink ref="T619" r:id="rId621" tooltip="https://www.ttbz.org.cn/StandardManage/Detail/141687/" xr:uid="{A45FE1FE-4A99-4EB8-B849-8884D85641A8}"/>
    <hyperlink ref="T620" r:id="rId622" tooltip="https://www.ttbz.org.cn/StandardManage/Detail/141686/" xr:uid="{7ACE23E6-7F01-464D-BDED-CD8C0358F77C}"/>
    <hyperlink ref="T623" r:id="rId623" tooltip="https://www.ttbz.org.cn/StandardManage/Detail/141883/" xr:uid="{10EB1A63-8CB7-45CA-8EB3-D1DCE8E35860}"/>
    <hyperlink ref="T624" r:id="rId624" tooltip="https://www.ttbz.org.cn/StandardManage/Detail/141643/" xr:uid="{3AAC40FE-4360-44BA-B05A-F9B145FF5D33}"/>
    <hyperlink ref="T621" r:id="rId625" tooltip="https://www.ttbz.org.cn/StandardManage/Detail/141688/" xr:uid="{846828B3-004B-490A-9808-3BCA007A5E73}"/>
    <hyperlink ref="T625" r:id="rId626" tooltip="https://www.ttbz.org.cn/StandardManage/Detail/142068/" xr:uid="{55597372-2814-4949-9199-CCD1277BAA60}"/>
    <hyperlink ref="T640" r:id="rId627" tooltip="https://www.ttbz.org.cn/StandardManage/Detail/143283/" xr:uid="{F91FE99D-8F0F-4083-8348-A44F9F71C619}"/>
    <hyperlink ref="T631" r:id="rId628" tooltip="https://www.ttbz.org.cn/StandardManage/Detail/140297/" xr:uid="{9C4F1E41-2F06-47BE-98B0-274F3A0B6791}"/>
    <hyperlink ref="T632" r:id="rId629" tooltip="https://www.ttbz.org.cn/StandardManage/Detail/143295/" xr:uid="{C1854BD7-5CBF-4228-9409-DF840927CCBE}"/>
    <hyperlink ref="T634" r:id="rId630" tooltip="https://www.ttbz.org.cn/StandardManage/Detail/143697/" xr:uid="{8E43E1A1-D6FB-4F33-97E3-50446DD81EF0}"/>
    <hyperlink ref="T635" r:id="rId631" tooltip="https://www.ttbz.org.cn/StandardManage/Detail/143698/" xr:uid="{DC6DB9A6-ED82-4F99-B322-7C479AC72C36}"/>
    <hyperlink ref="T636" r:id="rId632" tooltip="https://www.ttbz.org.cn/StandardManage/Detail/142126/" xr:uid="{D284DD57-4994-4EEA-AE6C-D9E4F6F00CEC}"/>
    <hyperlink ref="T637" r:id="rId633" tooltip="https://www.ttbz.org.cn/StandardManage/Detail/143284/" xr:uid="{69409673-A032-41FC-A492-43AEACD15AA0}"/>
    <hyperlink ref="T638" r:id="rId634" tooltip="https://www.ttbz.org.cn/StandardManage/Detail/143299/" xr:uid="{CD764583-2112-419D-9B2C-EAA603713C6D}"/>
    <hyperlink ref="T633" r:id="rId635" tooltip="https://www.ttbz.org.cn/StandardManage/Detail/143298/" xr:uid="{700AF2B0-8F03-4223-BEC0-6A601CD98BA1}"/>
    <hyperlink ref="T641" r:id="rId636" tooltip="https://www.ttbz.org.cn/StandardManage/Detail/144359/" xr:uid="{E91FC4AD-5FE3-4324-ACE5-FD16AB6922B1}"/>
    <hyperlink ref="T642" r:id="rId637" tooltip="https://www.ttbz.org.cn/StandardManage/Detail/144360/" xr:uid="{41021235-660E-49EF-91C3-458DB831ABF0}"/>
    <hyperlink ref="T643" r:id="rId638" tooltip="https://www.ttbz.org.cn/StandardManage/Detail/144361/" xr:uid="{9212A32B-D9CD-4A14-A7F9-8890D293B64C}"/>
    <hyperlink ref="T644" r:id="rId639" tooltip="https://www.ttbz.org.cn/StandardManage/Detail/144365/" xr:uid="{465B8A80-30BC-40E6-A13B-96195EBFAC3E}"/>
    <hyperlink ref="T645" r:id="rId640" tooltip="https://www.ttbz.org.cn/StandardManage/Detail/144399/" xr:uid="{C2B186E0-242E-42DF-B62F-8A7FF5C49197}"/>
    <hyperlink ref="T647" r:id="rId641" tooltip="https://www.ttbz.org.cn/StandardManage/Detail/145119/" xr:uid="{3BCEAFDF-0543-4049-BE0F-D4D7C03C1F80}"/>
    <hyperlink ref="T648" r:id="rId642" tooltip="https://www.ttbz.org.cn/StandardManage/Detail/145120/" xr:uid="{B6AEE92D-319F-4F96-AFDA-1AAC30FE8A72}"/>
    <hyperlink ref="T649" r:id="rId643" tooltip="https://www.ttbz.org.cn/StandardManage/Detail/144878/" xr:uid="{97EDC93E-BA2A-4E4F-AEB2-722E8DF20EF2}"/>
    <hyperlink ref="T650" r:id="rId644" tooltip="https://www.ttbz.org.cn/StandardManage/Detail/144907/" xr:uid="{EE34D87D-5CA6-4737-B163-89A115D34770}"/>
    <hyperlink ref="T651" r:id="rId645" tooltip="https://www.ttbz.org.cn/StandardManage/Detail/144957/" xr:uid="{5699F570-8210-4594-935A-D467B85551D8}"/>
    <hyperlink ref="T652" r:id="rId646" tooltip="https://www.ttbz.org.cn/StandardManage/Detail/144960/" xr:uid="{A74F8A69-49B2-4740-80AB-327355368237}"/>
    <hyperlink ref="T653" r:id="rId647" tooltip="https://www.ttbz.org.cn/StandardManage/Detail/144964/" xr:uid="{5ECEEFF2-562E-47F6-9D00-CB8616B041D3}"/>
    <hyperlink ref="T654" r:id="rId648" tooltip="https://www.ttbz.org.cn/StandardManage/Detail/145036/" xr:uid="{8B1C4CBF-D696-4E91-878E-D4B2D75D6DCB}"/>
    <hyperlink ref="T655" r:id="rId649" tooltip="https://www.ttbz.org.cn/StandardManage/Detail/145037/" xr:uid="{508A8D09-04B3-4A7E-A62A-EE0781BE31D0}"/>
    <hyperlink ref="T656" r:id="rId650" tooltip="https://www.ttbz.org.cn/StandardManage/Detail/145252/" xr:uid="{63A905F5-EBD7-4806-AAC7-19759F8525FA}"/>
    <hyperlink ref="T657" r:id="rId651" tooltip="https://www.ttbz.org.cn/StandardManage/Detail/145258/" xr:uid="{7AB1FF10-AF54-49F6-A603-5DF1A8CC1FE8}"/>
    <hyperlink ref="T646" r:id="rId652" tooltip="https://www.ttbz.org.cn/StandardManage/Detail/144870/" xr:uid="{7D92E8C4-0B45-462A-8701-4284BCB5DE9C}"/>
    <hyperlink ref="T659" r:id="rId653" tooltip="https://www.ttbz.org.cn/StandardManage/Detail/142668/" xr:uid="{04F5661D-574A-470C-8E06-C1324B4328D1}"/>
    <hyperlink ref="T661" r:id="rId654" tooltip="https://www.ttbz.org.cn/StandardManage/Detail/145336/" xr:uid="{B7D3CC1E-A1FF-4FC5-B743-1C0B1508486F}"/>
    <hyperlink ref="T662" r:id="rId655" tooltip="https://www.ttbz.org.cn/StandardManage/Detail/145695/" xr:uid="{CE4467CD-961F-43BD-A003-7D3AF0454CF9}"/>
    <hyperlink ref="T663" r:id="rId656" tooltip="https://www.ttbz.org.cn/StandardManage/Detail/145828/" xr:uid="{E28F5D5B-328C-4539-9D1B-DC4249D58882}"/>
    <hyperlink ref="T664" r:id="rId657" tooltip="https://www.ttbz.org.cn/StandardManage/Detail/145917/" xr:uid="{05BB5D71-718E-419B-8E29-38ED549913D5}"/>
    <hyperlink ref="T665" r:id="rId658" tooltip="https://www.ttbz.org.cn/StandardManage/Detail/145963/" xr:uid="{C25C13B5-670C-43C6-AF09-E6FCE84D83B7}"/>
    <hyperlink ref="T666" r:id="rId659" tooltip="https://www.ttbz.org.cn/StandardManage/Detail/146565/" xr:uid="{BBC86D21-C96B-43BB-95EA-4EF7EAFBC45D}"/>
    <hyperlink ref="T658" r:id="rId660" tooltip="https://www.ttbz.org.cn/StandardManage/Detail/145414/" xr:uid="{CDFEEF09-C0D9-4683-91CD-A1DDAD3455FC}"/>
    <hyperlink ref="T660" r:id="rId661" tooltip="https://www.ttbz.org.cn/StandardManage/Detail/145338/" xr:uid="{3A457073-A8B8-4DAE-A03A-8AE8FB989D3A}"/>
    <hyperlink ref="T667" r:id="rId662" tooltip="https://www.ttbz.org.cn/StandardManage/Detail/147244/" xr:uid="{F0557DCC-E81F-4E37-B232-DE041512B521}"/>
    <hyperlink ref="T668" r:id="rId663" tooltip="https://www.ttbz.org.cn/StandardManage/Detail/147375/" xr:uid="{736281C0-C884-47E3-A658-7FD4D51662E4}"/>
    <hyperlink ref="T669" r:id="rId664" tooltip="https://www.ttbz.org.cn/StandardManage/Detail/147392/" xr:uid="{F94CC4A1-5989-4A8E-904F-53C2D946AECE}"/>
    <hyperlink ref="T670" r:id="rId665" tooltip="https://www.ttbz.org.cn/StandardManage/Detail/147472/" xr:uid="{F26529AD-98AC-4566-AC29-7685191EA0E4}"/>
    <hyperlink ref="T671" r:id="rId666" tooltip="https://www.ttbz.org.cn/StandardManage/Detail/147476/" xr:uid="{A71F3B7A-79E6-48F7-9E16-C060DAB3A993}"/>
    <hyperlink ref="T672" r:id="rId667" tooltip="https://www.ttbz.org.cn/StandardManage/Detail/147508/" xr:uid="{DD26E9A6-7587-461C-9D63-4516CD82EC1C}"/>
    <hyperlink ref="T673" r:id="rId668" tooltip="https://www.ttbz.org.cn/StandardManage/Detail/147509/" xr:uid="{591A5B49-78A1-4ECD-9B47-A53FA6EF6ED7}"/>
    <hyperlink ref="T675" r:id="rId669" tooltip="https://www.ttbz.org.cn/StandardManage/Detail/147892/" xr:uid="{4E0AB1F0-7A03-4044-9B7E-19E2B0CEAD0A}"/>
    <hyperlink ref="T676" r:id="rId670" tooltip="https://www.ttbz.org.cn/StandardManage/Detail/148091/" xr:uid="{181F29B4-7B92-43FC-9314-7C7D1E7C5824}"/>
    <hyperlink ref="T677" r:id="rId671" tooltip="https://www.ttbz.org.cn/StandardManage/Detail/145565/" xr:uid="{9052F567-04DF-4988-B923-4D9EFD2CE9C6}"/>
    <hyperlink ref="T678" r:id="rId672" tooltip="https://www.ttbz.org.cn/StandardManage/Detail/148314/" xr:uid="{636B0FC5-97EA-47F6-98A8-4997349C52B4}"/>
    <hyperlink ref="T679" r:id="rId673" tooltip="https://www.ttbz.org.cn/StandardManage/Detail/148318/" xr:uid="{6A8CECE0-4D5C-4D53-8CB0-2929173B1FF6}"/>
    <hyperlink ref="T674" r:id="rId674" tooltip="https://www.ttbz.org.cn/StandardManage/Detail/147813/" xr:uid="{23BC55E1-3230-4A9C-9957-32E2498FF315}"/>
    <hyperlink ref="T680" r:id="rId675" tooltip="https://www.ttbz.org.cn/StandardManage/Detail/148444/" xr:uid="{6528BDA1-CE25-4DD2-9813-1AA88C95D842}"/>
    <hyperlink ref="T681" r:id="rId676" tooltip="https://www.ttbz.org.cn/StandardManage/Detail/148465/" xr:uid="{FCA6A0F8-B8A4-4E79-811C-17B4D10B9CE2}"/>
    <hyperlink ref="T682" r:id="rId677" tooltip="https://www.ttbz.org.cn/StandardManage/Detail/148782/" xr:uid="{30080A4A-CD8C-4BA8-8FC3-4BB87345B8D7}"/>
    <hyperlink ref="T684" r:id="rId678" tooltip="https://www.ttbz.org.cn/StandardManage/Detail/149351/" xr:uid="{E69C3DFC-3A57-4F6F-A0CD-7D491AEDAA1F}"/>
    <hyperlink ref="T685" r:id="rId679" tooltip="https://www.ttbz.org.cn/StandardManage/Detail/149352/" xr:uid="{0C812D71-6D18-4F06-85D5-8C8157B42E63}"/>
    <hyperlink ref="T686" r:id="rId680" tooltip="https://www.ttbz.org.cn/StandardManage/Detail/149353/" xr:uid="{7B6857B1-8B88-42F8-896B-410E2F536AEE}"/>
    <hyperlink ref="T687" r:id="rId681" tooltip="https://www.ttbz.org.cn/StandardManage/Detail/149569/" xr:uid="{8303C294-6F66-4BB3-ADB1-23D3C95C64CF}"/>
    <hyperlink ref="T683" r:id="rId682" tooltip="https://www.ttbz.org.cn/StandardManage/Detail/149233/" xr:uid="{6C8A8EC6-C5E4-4F42-BB70-494DB7431C0C}"/>
    <hyperlink ref="T689" r:id="rId683" tooltip="https://www.ttbz.org.cn/StandardManage/Detail/150547/" xr:uid="{22F8D39C-45E1-47BB-8ABA-E32B156DD732}"/>
    <hyperlink ref="T690" r:id="rId684" tooltip="https://www.ttbz.org.cn/StandardManage/Detail/151245/" xr:uid="{19240F6C-C57B-46D1-8569-3C481E07E2B6}"/>
    <hyperlink ref="T691" r:id="rId685" tooltip="https://www.ttbz.org.cn/StandardManage/Detail/151323/" xr:uid="{E2D3954E-EFEA-4F6A-BAFE-9A0A45F82C05}"/>
    <hyperlink ref="T692" r:id="rId686" tooltip="https://www.ttbz.org.cn/StandardManage/Detail/151336/" xr:uid="{F500D5D8-30ED-4756-886A-2EE5B07C61F3}"/>
    <hyperlink ref="T693" r:id="rId687" tooltip="https://www.ttbz.org.cn/StandardManage/Detail/151339/" xr:uid="{B145D31C-B604-45E9-8A32-6799BCA2886C}"/>
    <hyperlink ref="T688" r:id="rId688" tooltip="https://www.ttbz.org.cn/StandardManage/Detail/150446/" xr:uid="{90881924-1492-4CE9-877B-2EA45BA7E7F5}"/>
    <hyperlink ref="T694" r:id="rId689" tooltip="https://www.ttbz.org.cn/StandardManage/Detail/151224/" xr:uid="{FA5E0839-CE19-4666-B379-177A576555BF}"/>
    <hyperlink ref="T695" r:id="rId690" tooltip="https://www.ttbz.org.cn/StandardManage/Detail/152093/" xr:uid="{F8767935-8A6C-4F7C-B893-43222F719537}"/>
    <hyperlink ref="T696" r:id="rId691" tooltip="https://www.ttbz.org.cn/StandardManage/Detail/152097/" xr:uid="{1538A299-0B85-477A-83DD-10884E1FE92C}"/>
    <hyperlink ref="T699" r:id="rId692" tooltip="https://www.ttbz.org.cn/StandardManage/Detail/153560/" xr:uid="{C110253E-822E-4743-AB4C-7B245D4144E4}"/>
    <hyperlink ref="T700" r:id="rId693" tooltip="https://www.ttbz.org.cn/StandardManage/Detail/154184/" xr:uid="{443B08F0-A442-402D-8C68-60397AB57A4A}"/>
    <hyperlink ref="T701" r:id="rId694" tooltip="https://www.ttbz.org.cn/StandardManage/Detail/153641/" xr:uid="{BD20C8B1-8B35-4495-8B51-EA16E302D1FC}"/>
    <hyperlink ref="T703" r:id="rId695" tooltip="https://www.ttbz.org.cn/StandardManage/Detail/154797/" xr:uid="{9411149E-7D42-4DEC-ADD5-EA59C9B38FE2}"/>
    <hyperlink ref="T704" r:id="rId696" tooltip="https://www.ttbz.org.cn/StandardManage/Detail/154941/" xr:uid="{84C84289-CE0D-4D53-A810-C54DDECFA80D}"/>
    <hyperlink ref="T705" r:id="rId697" tooltip="https://www.ttbz.org.cn/StandardManage/Detail/154973/" xr:uid="{AAA3F31B-992F-4EF8-BDA3-4EB49081E284}"/>
    <hyperlink ref="T697" r:id="rId698" tooltip="https://www.ttbz.org.cn/StandardManage/Detail/150573/" xr:uid="{D87247B5-BD82-4416-BCE6-7B19062019DD}"/>
    <hyperlink ref="T698" r:id="rId699" tooltip="https://www.ttbz.org.cn/StandardManage/Detail/150574/" xr:uid="{0C9C1673-7B6C-459D-B211-54BF4C8C6C2A}"/>
    <hyperlink ref="T702" r:id="rId700" tooltip="https://www.ttbz.org.cn/StandardManage/Detail/154304/" xr:uid="{C3A08B08-18DC-4499-9D09-6D2548AB11E2}"/>
    <hyperlink ref="T706" r:id="rId701" tooltip="https://www.ttbz.org.cn/StandardManage/Detail/154922/" xr:uid="{57544FF3-0108-4D4C-A0AB-4B5A1C18DAA0}"/>
    <hyperlink ref="T707" r:id="rId702" tooltip="https://www.ttbz.org.cn/StandardManage/Detail/151440/" xr:uid="{0D8F1E5D-BCE9-4B88-9A1A-5F68C023B429}"/>
    <hyperlink ref="T708" r:id="rId703" tooltip="https://www.ttbz.org.cn/StandardManage/Detail/156066/" xr:uid="{6D2E243C-758D-43DA-87CD-2BA58A2833C4}"/>
    <hyperlink ref="T709" r:id="rId704" tooltip="https://www.ttbz.org.cn/StandardManage/Detail/156322/" xr:uid="{5555A203-B172-4589-950E-F1F7D68E6741}"/>
    <hyperlink ref="T710" r:id="rId705" tooltip="https://www.ttbz.org.cn/StandardManage/Detail/156323/" xr:uid="{D5510DE3-BCE0-4F62-AEC7-093B567B997C}"/>
    <hyperlink ref="T711" r:id="rId706" tooltip="https://www.ttbz.org.cn/StandardManage/Detail/156316/" xr:uid="{87BD1540-C5D7-4484-BB3F-BE43AB43F60B}"/>
    <hyperlink ref="T712" r:id="rId707" tooltip="https://www.ttbz.org.cn/StandardManage/Detail/156324/" xr:uid="{430DF4B1-4B0C-4440-883D-E990152CC93D}"/>
    <hyperlink ref="T713" r:id="rId708" tooltip="https://www.ttbz.org.cn/StandardManage/Detail/156779/" xr:uid="{5FB38C90-2FA8-48BA-8B2D-481CA93B77D1}"/>
    <hyperlink ref="T714" r:id="rId709" tooltip="https://www.ttbz.org.cn/StandardManage/Detail/156896/" xr:uid="{80C846AD-13B6-457B-972E-9FC3689F71EF}"/>
    <hyperlink ref="T715" r:id="rId710" tooltip="https://www.ttbz.org.cn/StandardManage/Detail/156900/" xr:uid="{BE0759EC-D113-42A7-9F46-086AEEFE8181}"/>
    <hyperlink ref="T716" r:id="rId711" tooltip="https://www.ttbz.org.cn/StandardManage/Detail/156902/" xr:uid="{02F31BF8-145D-4BDC-A45F-93FD4F4BF03E}"/>
    <hyperlink ref="T717" r:id="rId712" tooltip="https://www.ttbz.org.cn/StandardManage/Detail/157123/" xr:uid="{4FE0CC6C-3422-41ED-9F8D-C593BC4A020B}"/>
    <hyperlink ref="T719" r:id="rId713" tooltip="https://www.ttbz.org.cn/StandardManage/Detail/157748/" xr:uid="{6EF5976D-4E3B-4CBD-BF51-BF8BDD8A6D0D}"/>
    <hyperlink ref="T720" r:id="rId714" tooltip="https://www.ttbz.org.cn/StandardManage/Detail/157749/" xr:uid="{0B5AA58C-564E-4815-9BD5-113936901F78}"/>
    <hyperlink ref="T721" r:id="rId715" tooltip="https://www.ttbz.org.cn/StandardManage/Detail/157761/" xr:uid="{3B0BDC31-7059-48AE-9D5C-AAB6A0C89DD2}"/>
    <hyperlink ref="T722" r:id="rId716" tooltip="https://www.ttbz.org.cn/StandardManage/Detail/157807/" xr:uid="{1BD7902C-10B9-4FE0-AF03-50F860B94877}"/>
    <hyperlink ref="T723" r:id="rId717" tooltip="https://www.ttbz.org.cn/StandardManage/Detail/157809/" xr:uid="{A8C4C3AC-D3C3-4EF1-94F9-E2F4DBDF11CE}"/>
    <hyperlink ref="T724" r:id="rId718" tooltip="https://www.ttbz.org.cn/StandardManage/Detail/157871/" xr:uid="{4AD0818B-6E6D-4942-95A2-92D506450369}"/>
    <hyperlink ref="T725" r:id="rId719" tooltip="https://www.ttbz.org.cn/StandardManage/Detail/157872/" xr:uid="{F8059AD9-A3DB-440B-AD47-B3B71B0EBC6E}"/>
    <hyperlink ref="T726" r:id="rId720" tooltip="https://www.ttbz.org.cn/StandardManage/Detail/157937/" xr:uid="{09DEBFE1-22D4-48C7-8266-ADC09D2E6094}"/>
    <hyperlink ref="T727" r:id="rId721" tooltip="https://www.ttbz.org.cn/StandardManage/Detail/157949/" xr:uid="{63F2F8EF-485D-4C86-947B-5FDD012364F0}"/>
    <hyperlink ref="T728" r:id="rId722" tooltip="https://www.ttbz.org.cn/StandardManage/Detail/157956/" xr:uid="{789C821B-1AF1-46B3-8B11-A534F9937535}"/>
    <hyperlink ref="T718" r:id="rId723" tooltip="https://www.ttbz.org.cn/StandardManage/Detail/154744/" xr:uid="{53AA3AEB-8358-418C-9E73-4AA026DDD79E}"/>
    <hyperlink ref="T729" r:id="rId724" tooltip="https://www.ttbz.org.cn/StandardManage/Detail/157798/" xr:uid="{FB0ADE31-1E57-4732-B0E9-84E14EB44634}"/>
    <hyperlink ref="T731" r:id="rId725" tooltip="https://www.ttbz.org.cn/StandardManage/Detail/158016/" xr:uid="{D2DE72D4-B1F2-4108-8694-FE9879AE0C26}"/>
    <hyperlink ref="T732" r:id="rId726" tooltip="https://www.ttbz.org.cn/StandardManage/Detail/158042/" xr:uid="{789A7461-9914-4042-B44C-BD3C0B82FD9A}"/>
    <hyperlink ref="T733" r:id="rId727" tooltip="https://www.ttbz.org.cn/StandardManage/Detail/156750/" xr:uid="{7EC37B6B-ACDF-4099-8D67-1E8655972796}"/>
    <hyperlink ref="T736" r:id="rId728" tooltip="https://www.ttbz.org.cn/StandardManage/Detail/158426/" xr:uid="{61C2985E-78B0-4F58-BF7A-EAAA4238BB16}"/>
    <hyperlink ref="T738" r:id="rId729" tooltip="https://www.ttbz.org.cn/StandardManage/Detail/158596/" xr:uid="{9736FE66-76D9-42EE-9927-780063820D02}"/>
    <hyperlink ref="T739" r:id="rId730" tooltip="https://www.ttbz.org.cn/StandardManage/Detail/158605/" xr:uid="{16801230-C95C-4978-A7E6-B15BA3207D57}"/>
    <hyperlink ref="T740" r:id="rId731" tooltip="https://www.ttbz.org.cn/StandardManage/Detail/158682/" xr:uid="{83E1547B-5C7D-4AF6-BB1D-5F56AB7219F4}"/>
    <hyperlink ref="T741" r:id="rId732" tooltip="https://www.ttbz.org.cn/StandardManage/Detail/158684/" xr:uid="{20F0F44A-A05C-4239-B05E-3B7E2467CEEE}"/>
    <hyperlink ref="T742" r:id="rId733" tooltip="https://www.ttbz.org.cn/StandardManage/Detail/158685/" xr:uid="{3821E7E7-0220-40D9-AF0E-5A0E408F9749}"/>
    <hyperlink ref="T743" r:id="rId734" tooltip="https://www.ttbz.org.cn/StandardManage/Detail/158297/" xr:uid="{67FCAE9E-27A0-4FDA-9BD1-BE5ED3872B27}"/>
    <hyperlink ref="T744" r:id="rId735" tooltip="https://www.ttbz.org.cn/StandardManage/Detail/158787/" xr:uid="{38D15FDB-3ECE-4DEF-9BDA-DDFF2FD65A73}"/>
    <hyperlink ref="T734" r:id="rId736" tooltip="https://www.ttbz.org.cn/StandardManage/Detail/158258/" xr:uid="{C2997FE7-0DD0-4F53-B00E-2F4FA3D9125E}"/>
    <hyperlink ref="T735" r:id="rId737" tooltip="https://www.ttbz.org.cn/StandardManage/Detail/158262/" xr:uid="{3CE1A01D-C17E-4237-BA47-A885C8CB7B07}"/>
    <hyperlink ref="T745" r:id="rId738" tooltip="https://www.ttbz.org.cn/StandardManage/Detail/159084/" xr:uid="{AE71EC44-1D8C-419D-A952-5ED8C2A53140}"/>
    <hyperlink ref="T746" r:id="rId739" tooltip="https://www.ttbz.org.cn/StandardManage/Detail/159085/" xr:uid="{E7D91096-017F-4896-AA7B-23C4186BDE86}"/>
    <hyperlink ref="T747" r:id="rId740" tooltip="https://www.ttbz.org.cn/StandardManage/Detail/159090/" xr:uid="{7182A16C-A2CA-466B-9A00-8B5722E0D4FD}"/>
    <hyperlink ref="T748" r:id="rId741" tooltip="https://www.ttbz.org.cn/StandardManage/Detail/159482/" xr:uid="{EAFA939D-D012-4A89-8E63-9EF2DBB6DD76}"/>
    <hyperlink ref="T749" r:id="rId742" tooltip="https://www.ttbz.org.cn/StandardManage/Detail/159709/" xr:uid="{67F94FC7-BC47-4D3F-92C2-7DC21692E718}"/>
    <hyperlink ref="T750" r:id="rId743" tooltip="https://www.ttbz.org.cn/StandardManage/Detail/154859/" xr:uid="{65D0E6A7-5DBC-4CA3-87DE-A89B8C32C8B7}"/>
    <hyperlink ref="T751" r:id="rId744" tooltip="https://www.ttbz.org.cn/StandardManage/Detail/159766/" xr:uid="{38AB7756-A672-4091-860E-C29787E155DD}"/>
    <hyperlink ref="T752" r:id="rId745" tooltip="https://www.ttbz.org.cn/StandardManage/Detail/159767/" xr:uid="{4C907D39-52C7-4FC2-8C30-AD7F0BA90867}"/>
    <hyperlink ref="T753" r:id="rId746" tooltip="https://www.ttbz.org.cn/StandardManage/Detail/160454/" xr:uid="{C0F7DF59-6343-4051-B6F7-9F971C467960}"/>
    <hyperlink ref="T754" r:id="rId747" tooltip="https://www.ttbz.org.cn/StandardManage/Detail/160456/" xr:uid="{9FACC06A-B756-46E1-9536-6F19B2255587}"/>
    <hyperlink ref="T755" r:id="rId748" tooltip="https://www.ttbz.org.cn/StandardManage/Detail/160457/" xr:uid="{CD35F1C1-4D2D-4EC5-9C9C-3B9124BD833D}"/>
    <hyperlink ref="T757" r:id="rId749" tooltip="https://www.ttbz.org.cn/StandardManage/Detail/160782/" xr:uid="{C57DA8A1-0220-428B-AA8A-999BB0B9166A}"/>
    <hyperlink ref="T758" r:id="rId750" tooltip="https://www.ttbz.org.cn/StandardManage/Detail/160786/" xr:uid="{DA760814-2F2D-4CFE-8B8B-935A9093DC28}"/>
    <hyperlink ref="T759" r:id="rId751" tooltip="https://www.ttbz.org.cn/StandardManage/Detail/160795/" xr:uid="{7644C807-C1E6-4D2C-8670-153027B2DAA1}"/>
    <hyperlink ref="T760" r:id="rId752" tooltip="https://www.ttbz.org.cn/StandardManage/Detail/160668/" xr:uid="{2D3E45E8-5767-4023-A865-1A3899831EB7}"/>
    <hyperlink ref="T761" r:id="rId753" tooltip="https://www.ttbz.org.cn/StandardManage/Detail/161142/" xr:uid="{41D2C4A3-6367-4EB3-B7FD-E0F47FE2EDF6}"/>
    <hyperlink ref="T756" r:id="rId754" tooltip="https://www.ttbz.org.cn/StandardManage/Detail/160448/" xr:uid="{E463FF31-8681-4938-A6AB-A1BE066D02A6}"/>
    <hyperlink ref="T764" r:id="rId755" tooltip="https://www.ttbz.org.cn/StandardManage/Detail/161662/" xr:uid="{2054C2F6-DA8C-49B0-AC85-A872C0653AD9}"/>
    <hyperlink ref="T765" r:id="rId756" tooltip="https://www.ttbz.org.cn/StandardManage/Detail/161670/" xr:uid="{A49B39F9-D7FC-4FC3-89CE-0801CFCBF0AF}"/>
    <hyperlink ref="T772" r:id="rId757" tooltip="https://www.ttbz.org.cn/StandardManage/Detail/161965/" xr:uid="{4C2F8D7A-2DC9-4BC9-9BA4-9E720F6DD96F}"/>
    <hyperlink ref="T766" r:id="rId758" tooltip="https://www.ttbz.org.cn/StandardManage/Detail/161833/" xr:uid="{E24BFE92-47B9-46B7-81A5-323C02C01E8F}"/>
    <hyperlink ref="T767" r:id="rId759" tooltip="https://www.ttbz.org.cn/StandardManage/Detail/161662/" xr:uid="{160FE7A7-4ABA-458A-B705-117A8E8AACCA}"/>
    <hyperlink ref="T768" r:id="rId760" tooltip="https://www.ttbz.org.cn/StandardManage/Detail/161670/" xr:uid="{27FE2D9F-09CE-4FE1-A51B-832FF6E56B61}"/>
    <hyperlink ref="T773" r:id="rId761" tooltip="https://www.ttbz.org.cn/StandardManage/Detail/162244/" xr:uid="{994D6D0D-AEF7-48C2-A96C-5EB0D5ECA652}"/>
    <hyperlink ref="T774" r:id="rId762" tooltip="https://www.ttbz.org.cn/StandardManage/Detail/161771/" xr:uid="{0C901555-D737-41FA-A142-8C7B9E5438C3}"/>
    <hyperlink ref="T775" r:id="rId763" tooltip="https://www.ttbz.org.cn/StandardManage/Detail/162301/" xr:uid="{F8D045F0-ED0B-4DAF-AD19-CECAD951EB82}"/>
    <hyperlink ref="T763" r:id="rId764" tooltip="https://www.ttbz.org.cn/StandardManage/Detail/161755/" xr:uid="{DEE6F3AF-F6C8-4B2A-9D2A-72B27236B175}"/>
    <hyperlink ref="T771" r:id="rId765" tooltip="https://www.ttbz.org.cn/StandardManage/Detail/161966/" xr:uid="{3C55B10E-E6EE-480D-AFFF-CDD37D60439B}"/>
    <hyperlink ref="T770" r:id="rId766" tooltip="https://www.ttbz.org.cn/StandardManage/Detail/161966/" xr:uid="{A3860C4C-417D-4BEB-B6D5-FF39F6AAC2A2}"/>
    <hyperlink ref="T769" r:id="rId767" tooltip="https://www.ttbz.org.cn/StandardManage/Detail/161833/" xr:uid="{2B187754-24DA-4E19-A000-A79593CFD46B}"/>
    <hyperlink ref="T777" r:id="rId768" tooltip="https://www.ttbz.org.cn/StandardManage/Detail/155330/" xr:uid="{47F1295B-64CE-4F8F-8A36-5A30EBF02563}"/>
    <hyperlink ref="T778" r:id="rId769" tooltip="https://www.ttbz.org.cn/StandardManage/Detail/163480/" xr:uid="{B2C2BE51-68E2-4F6A-B604-966073455081}"/>
    <hyperlink ref="T779" r:id="rId770" tooltip="https://www.ttbz.org.cn/StandardManage/Detail/163486/" xr:uid="{2817DC37-E0BD-4352-BA93-7D65FCFEB752}"/>
    <hyperlink ref="T780" r:id="rId771" tooltip="https://www.ttbz.org.cn/StandardManage/Detail/163509/" xr:uid="{2D1CBA6D-47CB-44C2-8A9E-08CA63E32520}"/>
    <hyperlink ref="T781" r:id="rId772" tooltip="https://www.ttbz.org.cn/StandardManage/Detail/163487/" xr:uid="{99768C3C-88E6-44E5-A854-F2681EC7AE6C}"/>
    <hyperlink ref="T782" r:id="rId773" tooltip="https://www.ttbz.org.cn/StandardManage/Detail/163489/" xr:uid="{FB8BE964-57D4-4C84-B4CB-299F1B6FC3BD}"/>
    <hyperlink ref="T783" r:id="rId774" tooltip="https://www.ttbz.org.cn/StandardManage/Detail/163490/" xr:uid="{4EA01CDE-DDE5-4966-990D-8BBD453FD261}"/>
    <hyperlink ref="T784" r:id="rId775" tooltip="https://www.ttbz.org.cn/StandardManage/Detail/163774/" xr:uid="{A9A33DEC-D942-405F-AACE-103E3A021A98}"/>
    <hyperlink ref="T785" r:id="rId776" tooltip="https://www.ttbz.org.cn/StandardManage/Detail/163814/" xr:uid="{06FB8C23-53D0-4055-9538-EDAD2C6422DD}"/>
    <hyperlink ref="T786" r:id="rId777" tooltip="https://www.ttbz.org.cn/StandardManage/Detail/163184/" xr:uid="{EA69D15F-68A1-4679-9E19-F31FCEF63B42}"/>
    <hyperlink ref="T789" r:id="rId778" tooltip="https://www.ttbz.org.cn/StandardManage/Detail/164189/" xr:uid="{51A6D8B0-3F51-4E71-9C59-51A879D283EE}"/>
    <hyperlink ref="T790" r:id="rId779" tooltip="https://www.ttbz.org.cn/StandardManage/Detail/164190/" xr:uid="{A4DAECFF-0EFD-4E36-B8A9-1CFA1FED6A5B}"/>
    <hyperlink ref="T791" r:id="rId780" tooltip="https://www.ttbz.org.cn/StandardManage/Detail/159340/" xr:uid="{FE4A9BA9-73E1-4103-B317-8F7FBD8AD44B}"/>
    <hyperlink ref="T792" r:id="rId781" tooltip="https://www.ttbz.org.cn/StandardManage/Detail/160573/" xr:uid="{B31316D7-39F9-49E2-B057-365C3331D1D8}"/>
    <hyperlink ref="T793" r:id="rId782" tooltip="https://www.ttbz.org.cn/StandardManage/Detail/162910/" xr:uid="{45ABC519-CD3C-48CA-B183-C00AA5CE620E}"/>
    <hyperlink ref="T794" r:id="rId783" tooltip="https://www.ttbz.org.cn/StandardManage/Detail/162914/" xr:uid="{D0D10896-B118-429E-B739-1882533D467E}"/>
    <hyperlink ref="T795" r:id="rId784" tooltip="https://www.ttbz.org.cn/StandardManage/Detail/163507/" xr:uid="{65EFC79B-5DFE-4EF2-B41C-A0EF9B1CC581}"/>
    <hyperlink ref="T796" r:id="rId785" tooltip="https://www.ttbz.org.cn/StandardManage/Detail/163511/" xr:uid="{AD0A5202-AC9C-498C-85E3-9BCA7054194E}"/>
    <hyperlink ref="T797" r:id="rId786" tooltip="https://www.ttbz.org.cn/StandardManage/Detail/163648/" xr:uid="{1F7F724A-5992-4AE4-B1CF-DCA6CADADFE7}"/>
    <hyperlink ref="T798" r:id="rId787" tooltip="https://www.ttbz.org.cn/StandardManage/Detail/163651/" xr:uid="{0CBBA9BD-E7D8-4309-BBF0-618D9E0C223C}"/>
    <hyperlink ref="T799" r:id="rId788" tooltip="https://www.ttbz.org.cn/StandardManage/Detail/163854/" xr:uid="{5E8D71E8-C083-4F23-99E2-AE34B4D17B48}"/>
    <hyperlink ref="T800" r:id="rId789" tooltip="https://www.ttbz.org.cn/StandardManage/Detail/163855/" xr:uid="{BE417626-6F2E-4714-A28D-2D5727E00E3B}"/>
    <hyperlink ref="T801" r:id="rId790" tooltip="https://www.ttbz.org.cn/StandardManage/Detail/163856/" xr:uid="{0776C256-0175-4E6B-94A2-A227BCAF056B}"/>
    <hyperlink ref="T802" r:id="rId791" tooltip="https://www.ttbz.org.cn/StandardManage/Detail/163857/" xr:uid="{B63B8CF5-8BE4-47B8-A701-A74662AAB668}"/>
    <hyperlink ref="T803" r:id="rId792" tooltip="https://www.ttbz.org.cn/StandardManage/Detail/163858/" xr:uid="{BB25FB8B-27A3-4CFC-A3E4-BEE59B36465C}"/>
    <hyperlink ref="T788" r:id="rId793" tooltip="https://www.ttbz.org.cn/StandardManage/Detail/160900/" xr:uid="{2AE1EF9F-9855-4FE3-80AF-30969B721412}"/>
    <hyperlink ref="T787" r:id="rId794" tooltip="https://www.ttbz.org.cn/StandardManage/Detail/164036/" xr:uid="{3E72BBED-B3DA-4EAA-9157-212921ACDD54}"/>
    <hyperlink ref="T804" r:id="rId795" tooltip="https://www.ttbz.org.cn/StandardManage/Detail/164668/" xr:uid="{5430792A-5DFA-4E57-969A-BF8F1D03AA4B}"/>
    <hyperlink ref="T805" r:id="rId796" xr:uid="{F0267430-81E7-4912-9A28-C55E819E0537}"/>
    <hyperlink ref="T808" r:id="rId797" xr:uid="{CB94C66D-6084-4AA7-8EDF-D2EAFF439CA1}"/>
    <hyperlink ref="T809" r:id="rId798" xr:uid="{35F70E5B-B324-49EB-BEA0-03BB07479144}"/>
    <hyperlink ref="T806" r:id="rId799" xr:uid="{70AA4862-6B30-4FC4-857E-367E738D0B1A}"/>
    <hyperlink ref="T807" r:id="rId800" xr:uid="{96112D6A-3913-4CC4-B658-A3C20E8D9B98}"/>
    <hyperlink ref="T737" r:id="rId801" tooltip="https://www.ttbz.org.cn/standardDetail.html?id=wutv73ybqy9zum7pe8xep9riqwoj223" xr:uid="{56CB6922-07E9-48DF-9B8C-761CFD2728E5}"/>
    <hyperlink ref="T762" r:id="rId802" tooltip="https://www.ttbz.org.cn/StandardManage/Detail/161142/" xr:uid="{75013089-82C1-4B71-9AF8-749C902D070B}"/>
    <hyperlink ref="T776" r:id="rId803" tooltip="https://www.ttbz.org.cn/StandardManage/Detail/161142/" xr:uid="{6EDA0219-2B26-4440-815B-78CACC4A6490}"/>
    <hyperlink ref="T810" r:id="rId804" tooltip="https://www.ttbz.org.cn/StandardManage/Detail/161142/" xr:uid="{AB3CDA22-AA7B-49CA-AB9E-620EE7BDE184}"/>
    <hyperlink ref="T811" r:id="rId805" tooltip="https://www.ttbz.org.cn/StandardManage/Detail/161142/" xr:uid="{2AC59B73-D074-43E3-B943-29D6A7D292C2}"/>
    <hyperlink ref="T812" r:id="rId806" tooltip="https://www.ttbz.org.cn/StandardManage/Detail/161142/" xr:uid="{873CE370-DEAC-47E4-A885-9E9EC095DA99}"/>
    <hyperlink ref="T814" r:id="rId807" tooltip="https://www.ttbz.org.cn/standardDetail/05b893db02234e49bde8ca82f7d4fa02.html" xr:uid="{6609300C-3B25-4555-AE0B-C40232D7E935}"/>
    <hyperlink ref="T813" r:id="rId808" tooltip="https://www.ttbz.org.cn/standardDetail/d190f403b86d4f52935ef111982018c1.html" xr:uid="{275DB0E6-10A4-4C08-B395-8C15E6937F9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668E-A9AE-41FD-9923-48ADA3F6E5F3}">
  <dimension ref="A1:AE97"/>
  <sheetViews>
    <sheetView topLeftCell="B1" workbookViewId="0">
      <pane ySplit="1" topLeftCell="A32" activePane="bottomLeft" state="frozen"/>
      <selection activeCell="T813" sqref="T813"/>
      <selection pane="bottomLeft" activeCell="T813" sqref="T813"/>
    </sheetView>
  </sheetViews>
  <sheetFormatPr defaultColWidth="9" defaultRowHeight="24.95" customHeight="1" x14ac:dyDescent="0.3"/>
  <cols>
    <col min="1" max="1" width="10.59765625" style="13" customWidth="1"/>
    <col min="2" max="2" width="13.1328125" style="13" customWidth="1"/>
    <col min="3" max="3" width="3.1328125" customWidth="1"/>
    <col min="4" max="4" width="5.59765625" style="24" customWidth="1"/>
    <col min="5" max="7" width="25.59765625" style="24" customWidth="1"/>
    <col min="8" max="9" width="10.59765625" style="24" customWidth="1"/>
    <col min="10" max="10" width="25.59765625" style="24" customWidth="1"/>
    <col min="11" max="12" width="10.59765625" style="24" customWidth="1"/>
    <col min="13" max="13" width="25.59765625" style="24" customWidth="1"/>
    <col min="14" max="15" width="10.59765625" style="24" customWidth="1"/>
    <col min="16" max="16" width="3.59765625" style="24" customWidth="1"/>
    <col min="17" max="17" width="12.59765625" style="24" customWidth="1"/>
    <col min="18" max="18" width="3.59765625" style="24" customWidth="1"/>
    <col min="19" max="19" width="12.59765625" style="24" customWidth="1"/>
    <col min="20" max="20" width="3.59765625" style="24" customWidth="1"/>
    <col min="21" max="21" width="12.59765625" style="24" customWidth="1"/>
    <col min="22" max="22" width="3.59765625" style="24" customWidth="1"/>
    <col min="23" max="23" width="12.59765625" style="24" customWidth="1"/>
    <col min="24" max="24" width="3.59765625" style="24" customWidth="1"/>
    <col min="25" max="25" width="12.59765625" style="24" customWidth="1"/>
    <col min="26" max="28" width="15.59765625" style="24" customWidth="1"/>
    <col min="29" max="29" width="15.59765625" customWidth="1"/>
    <col min="30" max="31" width="15.59765625" style="24" customWidth="1"/>
  </cols>
  <sheetData>
    <row r="1" spans="1:31" ht="24.95" customHeight="1" x14ac:dyDescent="0.3">
      <c r="A1" s="20" t="s">
        <v>0</v>
      </c>
      <c r="B1" s="25"/>
      <c r="D1" s="9" t="s">
        <v>1</v>
      </c>
      <c r="E1" s="9" t="s">
        <v>1739</v>
      </c>
      <c r="F1" s="9" t="s">
        <v>4</v>
      </c>
      <c r="G1" s="26" t="s">
        <v>1740</v>
      </c>
      <c r="H1" s="26" t="s">
        <v>1741</v>
      </c>
      <c r="I1" s="26"/>
      <c r="J1" s="26" t="s">
        <v>1742</v>
      </c>
      <c r="K1" s="26" t="s">
        <v>1741</v>
      </c>
      <c r="L1" s="26"/>
      <c r="M1" s="26" t="s">
        <v>1743</v>
      </c>
      <c r="N1" s="26" t="s">
        <v>1741</v>
      </c>
      <c r="O1" s="26"/>
      <c r="P1" s="27" t="s">
        <v>5</v>
      </c>
      <c r="Q1" s="28"/>
      <c r="R1" s="27" t="s">
        <v>6</v>
      </c>
      <c r="S1" s="28"/>
      <c r="T1" s="27" t="s">
        <v>7</v>
      </c>
      <c r="U1" s="28"/>
      <c r="V1" s="27" t="s">
        <v>8</v>
      </c>
      <c r="W1" s="28"/>
      <c r="X1" s="27" t="s">
        <v>9</v>
      </c>
      <c r="Y1" s="28"/>
      <c r="Z1" s="9" t="s">
        <v>1744</v>
      </c>
      <c r="AA1" s="9" t="s">
        <v>11</v>
      </c>
      <c r="AB1" s="9" t="s">
        <v>1745</v>
      </c>
      <c r="AC1" s="9" t="s">
        <v>1746</v>
      </c>
      <c r="AD1" s="9" t="s">
        <v>1747</v>
      </c>
      <c r="AE1" s="9" t="s">
        <v>1748</v>
      </c>
    </row>
    <row r="2" spans="1:31" ht="24.95" customHeight="1" x14ac:dyDescent="0.3">
      <c r="D2" s="6">
        <f>ROW()-1</f>
        <v>1</v>
      </c>
      <c r="E2" s="29" t="s">
        <v>1749</v>
      </c>
      <c r="F2" s="29" t="s">
        <v>1750</v>
      </c>
      <c r="G2" s="29" t="s">
        <v>1751</v>
      </c>
      <c r="H2" s="29" t="s">
        <v>1752</v>
      </c>
      <c r="I2" s="30" t="str">
        <f>VLOOKUP(H2,[1]VLOOKUP!$A$2:$B$35,2,FALSE)</f>
        <v>华东</v>
      </c>
      <c r="J2" s="29"/>
      <c r="K2" s="29"/>
      <c r="L2" s="30" t="e">
        <f>VLOOKUP(K2,[1]VLOOKUP!$A$2:$B$35,2,FALSE)</f>
        <v>#N/A</v>
      </c>
      <c r="M2" s="29"/>
      <c r="N2" s="29"/>
      <c r="O2" s="30" t="e">
        <f>VLOOKUP(N2,[1]VLOOKUP!$A$2:$B$35,2,FALSE)</f>
        <v>#N/A</v>
      </c>
      <c r="P2" s="6">
        <v>1</v>
      </c>
      <c r="Q2" s="8" t="s">
        <v>21</v>
      </c>
      <c r="R2" s="6"/>
      <c r="S2" s="6"/>
      <c r="T2" s="6"/>
      <c r="U2" s="6"/>
      <c r="V2" s="6"/>
      <c r="W2" s="6"/>
      <c r="X2" s="6"/>
      <c r="Y2" s="6"/>
      <c r="Z2" s="29" t="s">
        <v>1753</v>
      </c>
      <c r="AA2" s="29" t="s">
        <v>17</v>
      </c>
      <c r="AB2" s="29">
        <v>39959</v>
      </c>
      <c r="AC2" s="29">
        <v>39963</v>
      </c>
      <c r="AD2" s="29" t="s">
        <v>1754</v>
      </c>
      <c r="AE2" s="29">
        <v>40156</v>
      </c>
    </row>
    <row r="3" spans="1:31" ht="24.95" customHeight="1" x14ac:dyDescent="0.3">
      <c r="A3" s="9" t="s">
        <v>5</v>
      </c>
      <c r="B3" s="8">
        <f>SUM(P2:P1000)</f>
        <v>7</v>
      </c>
      <c r="D3" s="6">
        <f t="shared" ref="D3:D63" si="0">ROW()-1</f>
        <v>2</v>
      </c>
      <c r="E3" s="29" t="s">
        <v>1755</v>
      </c>
      <c r="F3" s="29" t="s">
        <v>1756</v>
      </c>
      <c r="G3" s="29" t="s">
        <v>1757</v>
      </c>
      <c r="H3" s="29" t="s">
        <v>1758</v>
      </c>
      <c r="I3" s="30" t="str">
        <f>VLOOKUP(H3,[1]VLOOKUP!$A$2:$B$35,2,FALSE)</f>
        <v>华南</v>
      </c>
      <c r="J3" s="29" t="s">
        <v>1759</v>
      </c>
      <c r="K3" s="29" t="s">
        <v>1760</v>
      </c>
      <c r="L3" s="30" t="str">
        <f>VLOOKUP(K3,[1]VLOOKUP!$A$2:$B$35,2,FALSE)</f>
        <v>华北</v>
      </c>
      <c r="M3" s="29" t="s">
        <v>1761</v>
      </c>
      <c r="N3" s="29" t="s">
        <v>1760</v>
      </c>
      <c r="O3" s="30" t="str">
        <f>VLOOKUP(N3,[1]VLOOKUP!$A$2:$B$35,2,FALSE)</f>
        <v>华北</v>
      </c>
      <c r="P3" s="6"/>
      <c r="Q3" s="6"/>
      <c r="R3" s="6"/>
      <c r="S3" s="6"/>
      <c r="T3" s="6"/>
      <c r="U3" s="6"/>
      <c r="V3" s="6"/>
      <c r="W3" s="6"/>
      <c r="X3" s="6">
        <v>1</v>
      </c>
      <c r="Y3" s="8" t="s">
        <v>16</v>
      </c>
      <c r="Z3" s="29" t="s">
        <v>1762</v>
      </c>
      <c r="AA3" s="29" t="s">
        <v>17</v>
      </c>
      <c r="AB3" s="29">
        <v>41975</v>
      </c>
      <c r="AC3" s="29">
        <v>42065</v>
      </c>
      <c r="AD3" s="29" t="s">
        <v>1763</v>
      </c>
      <c r="AE3" s="29">
        <v>42029</v>
      </c>
    </row>
    <row r="4" spans="1:31" ht="24.95" customHeight="1" x14ac:dyDescent="0.3">
      <c r="A4" s="9" t="s">
        <v>6</v>
      </c>
      <c r="B4" s="8">
        <f>SUM(R2:S1000)</f>
        <v>5</v>
      </c>
      <c r="D4" s="6">
        <f t="shared" si="0"/>
        <v>3</v>
      </c>
      <c r="E4" s="29" t="s">
        <v>1764</v>
      </c>
      <c r="F4" s="29" t="s">
        <v>1765</v>
      </c>
      <c r="G4" s="29" t="s">
        <v>1766</v>
      </c>
      <c r="H4" s="29" t="s">
        <v>1767</v>
      </c>
      <c r="I4" s="30" t="str">
        <f>VLOOKUP(H4,[1]VLOOKUP!$A$2:$B$35,2,FALSE)</f>
        <v>华北</v>
      </c>
      <c r="J4" s="29" t="s">
        <v>1768</v>
      </c>
      <c r="K4" s="29" t="s">
        <v>1767</v>
      </c>
      <c r="L4" s="30" t="str">
        <f>VLOOKUP(K4,[1]VLOOKUP!$A$2:$B$35,2,FALSE)</f>
        <v>华北</v>
      </c>
      <c r="M4" s="29"/>
      <c r="N4" s="29"/>
      <c r="O4" s="30" t="e">
        <f>VLOOKUP(N4,[1]VLOOKUP!$A$2:$B$35,2,FALSE)</f>
        <v>#N/A</v>
      </c>
      <c r="P4" s="6"/>
      <c r="Q4" s="6"/>
      <c r="R4" s="6"/>
      <c r="S4" s="6"/>
      <c r="T4" s="6"/>
      <c r="U4" s="6"/>
      <c r="V4" s="6"/>
      <c r="W4" s="6"/>
      <c r="X4" s="6">
        <v>1</v>
      </c>
      <c r="Y4" s="8" t="s">
        <v>16</v>
      </c>
      <c r="Z4" s="29" t="s">
        <v>1769</v>
      </c>
      <c r="AA4" s="29" t="s">
        <v>17</v>
      </c>
      <c r="AB4" s="29">
        <v>43826</v>
      </c>
      <c r="AC4" s="29">
        <v>43858</v>
      </c>
      <c r="AD4" s="29" t="s">
        <v>1770</v>
      </c>
      <c r="AE4" s="29">
        <v>43921</v>
      </c>
    </row>
    <row r="5" spans="1:31" ht="24.95" customHeight="1" x14ac:dyDescent="0.3">
      <c r="A5" s="9" t="s">
        <v>7</v>
      </c>
      <c r="B5" s="8">
        <f>SUM(T2:T1000)</f>
        <v>15</v>
      </c>
      <c r="D5" s="6">
        <f t="shared" si="0"/>
        <v>4</v>
      </c>
      <c r="E5" s="29" t="s">
        <v>1771</v>
      </c>
      <c r="F5" s="29" t="s">
        <v>150</v>
      </c>
      <c r="G5" s="29" t="s">
        <v>1772</v>
      </c>
      <c r="H5" s="29" t="s">
        <v>1773</v>
      </c>
      <c r="I5" s="30" t="str">
        <f>VLOOKUP(H5,[1]VLOOKUP!$A$2:$B$35,2,FALSE)</f>
        <v>华东</v>
      </c>
      <c r="J5" s="29" t="s">
        <v>1774</v>
      </c>
      <c r="K5" s="29" t="s">
        <v>1773</v>
      </c>
      <c r="L5" s="30" t="str">
        <f>VLOOKUP(K5,[1]VLOOKUP!$A$2:$B$35,2,FALSE)</f>
        <v>华东</v>
      </c>
      <c r="M5" s="29" t="s">
        <v>1775</v>
      </c>
      <c r="N5" s="29" t="s">
        <v>1773</v>
      </c>
      <c r="O5" s="30" t="str">
        <f>VLOOKUP(N5,[1]VLOOKUP!$A$2:$B$35,2,FALSE)</f>
        <v>华东</v>
      </c>
      <c r="P5" s="6"/>
      <c r="Q5" s="6"/>
      <c r="R5" s="6"/>
      <c r="S5" s="6"/>
      <c r="T5" s="6"/>
      <c r="U5" s="6"/>
      <c r="V5" s="6"/>
      <c r="W5" s="6"/>
      <c r="X5" s="6">
        <v>1</v>
      </c>
      <c r="Y5" s="8" t="s">
        <v>16</v>
      </c>
      <c r="Z5" s="29" t="s">
        <v>1776</v>
      </c>
      <c r="AA5" s="29" t="s">
        <v>17</v>
      </c>
      <c r="AB5" s="29">
        <v>44028</v>
      </c>
      <c r="AC5" s="29">
        <v>44059</v>
      </c>
      <c r="AD5" s="29" t="s">
        <v>1777</v>
      </c>
      <c r="AE5" s="29">
        <v>44063</v>
      </c>
    </row>
    <row r="6" spans="1:31" ht="24.95" customHeight="1" x14ac:dyDescent="0.3">
      <c r="A6" s="9" t="s">
        <v>8</v>
      </c>
      <c r="B6" s="8">
        <f>SUM(V2:V1000)</f>
        <v>14</v>
      </c>
      <c r="D6" s="6">
        <f t="shared" si="0"/>
        <v>5</v>
      </c>
      <c r="E6" s="29" t="s">
        <v>1778</v>
      </c>
      <c r="F6" s="29" t="s">
        <v>1779</v>
      </c>
      <c r="G6" s="29" t="s">
        <v>1772</v>
      </c>
      <c r="H6" s="29" t="s">
        <v>1773</v>
      </c>
      <c r="I6" s="30" t="str">
        <f>VLOOKUP(H6,[1]VLOOKUP!$A$2:$B$35,2,FALSE)</f>
        <v>华东</v>
      </c>
      <c r="J6" s="29" t="s">
        <v>1780</v>
      </c>
      <c r="K6" s="29" t="s">
        <v>1773</v>
      </c>
      <c r="L6" s="30" t="str">
        <f>VLOOKUP(K6,[1]VLOOKUP!$A$2:$B$35,2,FALSE)</f>
        <v>华东</v>
      </c>
      <c r="M6" s="29" t="s">
        <v>1781</v>
      </c>
      <c r="N6" s="29" t="s">
        <v>1773</v>
      </c>
      <c r="O6" s="30" t="str">
        <f>VLOOKUP(N6,[1]VLOOKUP!$A$2:$B$35,2,FALSE)</f>
        <v>华东</v>
      </c>
      <c r="P6" s="6"/>
      <c r="Q6" s="6"/>
      <c r="R6" s="6"/>
      <c r="S6" s="6"/>
      <c r="T6" s="6"/>
      <c r="U6" s="6"/>
      <c r="V6" s="6">
        <v>1</v>
      </c>
      <c r="W6" s="8" t="s">
        <v>77</v>
      </c>
      <c r="X6" s="6"/>
      <c r="Y6" s="6"/>
      <c r="Z6" s="29" t="s">
        <v>1776</v>
      </c>
      <c r="AA6" s="29" t="s">
        <v>17</v>
      </c>
      <c r="AB6" s="29">
        <v>44063</v>
      </c>
      <c r="AC6" s="29">
        <v>44094</v>
      </c>
      <c r="AD6" s="29" t="s">
        <v>1782</v>
      </c>
      <c r="AE6" s="29">
        <v>44082</v>
      </c>
    </row>
    <row r="7" spans="1:31" ht="24.95" customHeight="1" x14ac:dyDescent="0.3">
      <c r="A7" s="9" t="s">
        <v>9</v>
      </c>
      <c r="B7" s="8">
        <f>SUM(X2:X1000)</f>
        <v>22</v>
      </c>
      <c r="D7" s="6">
        <f t="shared" si="0"/>
        <v>6</v>
      </c>
      <c r="E7" s="29" t="s">
        <v>1783</v>
      </c>
      <c r="F7" s="29" t="s">
        <v>1784</v>
      </c>
      <c r="G7" s="29" t="s">
        <v>1772</v>
      </c>
      <c r="H7" s="29" t="s">
        <v>1773</v>
      </c>
      <c r="I7" s="30" t="str">
        <f>VLOOKUP(H7,[1]VLOOKUP!$A$2:$B$35,2,FALSE)</f>
        <v>华东</v>
      </c>
      <c r="J7" s="29" t="s">
        <v>1775</v>
      </c>
      <c r="K7" s="29" t="s">
        <v>1773</v>
      </c>
      <c r="L7" s="30" t="str">
        <f>VLOOKUP(K7,[1]VLOOKUP!$A$2:$B$35,2,FALSE)</f>
        <v>华东</v>
      </c>
      <c r="M7" s="29" t="s">
        <v>1785</v>
      </c>
      <c r="N7" s="29" t="s">
        <v>1773</v>
      </c>
      <c r="O7" s="30" t="str">
        <f>VLOOKUP(N7,[1]VLOOKUP!$A$2:$B$35,2,FALSE)</f>
        <v>华东</v>
      </c>
      <c r="P7" s="6"/>
      <c r="Q7" s="6"/>
      <c r="R7" s="6"/>
      <c r="S7" s="6"/>
      <c r="T7" s="6">
        <v>1</v>
      </c>
      <c r="U7" s="8" t="s">
        <v>92</v>
      </c>
      <c r="V7" s="6"/>
      <c r="W7" s="6"/>
      <c r="X7" s="6"/>
      <c r="Y7" s="6"/>
      <c r="Z7" s="29" t="s">
        <v>1776</v>
      </c>
      <c r="AA7" s="29" t="s">
        <v>17</v>
      </c>
      <c r="AB7" s="29">
        <v>44074</v>
      </c>
      <c r="AC7" s="29">
        <v>44105</v>
      </c>
      <c r="AD7" s="29" t="s">
        <v>1786</v>
      </c>
      <c r="AE7" s="29">
        <v>44090</v>
      </c>
    </row>
    <row r="8" spans="1:31" ht="24.95" customHeight="1" x14ac:dyDescent="0.3">
      <c r="D8" s="6">
        <f t="shared" si="0"/>
        <v>7</v>
      </c>
      <c r="E8" s="29" t="s">
        <v>1787</v>
      </c>
      <c r="F8" s="29" t="s">
        <v>1788</v>
      </c>
      <c r="G8" s="29" t="s">
        <v>1772</v>
      </c>
      <c r="H8" s="29" t="s">
        <v>1773</v>
      </c>
      <c r="I8" s="30" t="str">
        <f>VLOOKUP(H8,[1]VLOOKUP!$A$2:$B$35,2,FALSE)</f>
        <v>华东</v>
      </c>
      <c r="J8" s="29" t="s">
        <v>1789</v>
      </c>
      <c r="K8" s="29" t="s">
        <v>1773</v>
      </c>
      <c r="L8" s="30" t="str">
        <f>VLOOKUP(K8,[1]VLOOKUP!$A$2:$B$35,2,FALSE)</f>
        <v>华东</v>
      </c>
      <c r="M8" s="29" t="s">
        <v>1775</v>
      </c>
      <c r="N8" s="29" t="s">
        <v>1773</v>
      </c>
      <c r="O8" s="30" t="str">
        <f>VLOOKUP(N8,[1]VLOOKUP!$A$2:$B$35,2,FALSE)</f>
        <v>华东</v>
      </c>
      <c r="P8" s="6"/>
      <c r="Q8" s="6"/>
      <c r="R8" s="6"/>
      <c r="S8" s="6"/>
      <c r="T8" s="6">
        <v>1</v>
      </c>
      <c r="U8" s="8" t="s">
        <v>92</v>
      </c>
      <c r="V8" s="6"/>
      <c r="W8" s="6"/>
      <c r="X8" s="6"/>
      <c r="Y8" s="6"/>
      <c r="Z8" s="29" t="s">
        <v>1776</v>
      </c>
      <c r="AA8" s="29" t="s">
        <v>17</v>
      </c>
      <c r="AB8" s="29">
        <v>44074</v>
      </c>
      <c r="AC8" s="29">
        <v>44105</v>
      </c>
      <c r="AD8" s="29" t="s">
        <v>1790</v>
      </c>
      <c r="AE8" s="29">
        <v>44090</v>
      </c>
    </row>
    <row r="9" spans="1:31" ht="24.95" customHeight="1" x14ac:dyDescent="0.3">
      <c r="D9" s="6">
        <f t="shared" si="0"/>
        <v>8</v>
      </c>
      <c r="E9" s="29" t="s">
        <v>1791</v>
      </c>
      <c r="F9" s="29" t="s">
        <v>1792</v>
      </c>
      <c r="G9" s="29" t="s">
        <v>1772</v>
      </c>
      <c r="H9" s="29" t="s">
        <v>1773</v>
      </c>
      <c r="I9" s="30" t="str">
        <f>VLOOKUP(H9,[1]VLOOKUP!$A$2:$B$35,2,FALSE)</f>
        <v>华东</v>
      </c>
      <c r="J9" s="29" t="s">
        <v>1775</v>
      </c>
      <c r="K9" s="29" t="s">
        <v>1773</v>
      </c>
      <c r="L9" s="30" t="str">
        <f>VLOOKUP(K9,[1]VLOOKUP!$A$2:$B$35,2,FALSE)</f>
        <v>华东</v>
      </c>
      <c r="M9" s="29" t="s">
        <v>1789</v>
      </c>
      <c r="N9" s="29" t="s">
        <v>1773</v>
      </c>
      <c r="O9" s="30" t="str">
        <f>VLOOKUP(N9,[1]VLOOKUP!$A$2:$B$35,2,FALSE)</f>
        <v>华东</v>
      </c>
      <c r="P9" s="6"/>
      <c r="Q9" s="6"/>
      <c r="R9" s="6"/>
      <c r="S9" s="6"/>
      <c r="T9" s="6"/>
      <c r="U9" s="6"/>
      <c r="V9" s="6"/>
      <c r="W9" s="6"/>
      <c r="X9" s="6">
        <v>1</v>
      </c>
      <c r="Y9" s="8" t="s">
        <v>16</v>
      </c>
      <c r="Z9" s="29" t="s">
        <v>1776</v>
      </c>
      <c r="AA9" s="29" t="s">
        <v>17</v>
      </c>
      <c r="AB9" s="29">
        <v>44074</v>
      </c>
      <c r="AC9" s="29">
        <v>44105</v>
      </c>
      <c r="AD9" s="29" t="s">
        <v>1793</v>
      </c>
      <c r="AE9" s="29">
        <v>44090</v>
      </c>
    </row>
    <row r="10" spans="1:31" ht="24.95" customHeight="1" x14ac:dyDescent="0.3">
      <c r="D10" s="6">
        <f t="shared" si="0"/>
        <v>9</v>
      </c>
      <c r="E10" s="29" t="s">
        <v>1794</v>
      </c>
      <c r="F10" s="29" t="s">
        <v>1795</v>
      </c>
      <c r="G10" s="29" t="s">
        <v>1772</v>
      </c>
      <c r="H10" s="29" t="s">
        <v>1773</v>
      </c>
      <c r="I10" s="30" t="str">
        <f>VLOOKUP(H10,[1]VLOOKUP!$A$2:$B$35,2,FALSE)</f>
        <v>华东</v>
      </c>
      <c r="J10" s="29" t="s">
        <v>1796</v>
      </c>
      <c r="K10" s="29" t="s">
        <v>1797</v>
      </c>
      <c r="L10" s="30" t="str">
        <f>VLOOKUP(K10,[1]VLOOKUP!$A$2:$B$35,2,FALSE)</f>
        <v>华北</v>
      </c>
      <c r="M10" s="29" t="s">
        <v>1789</v>
      </c>
      <c r="N10" s="29" t="s">
        <v>1773</v>
      </c>
      <c r="O10" s="30" t="str">
        <f>VLOOKUP(N10,[1]VLOOKUP!$A$2:$B$35,2,FALSE)</f>
        <v>华东</v>
      </c>
      <c r="P10" s="6"/>
      <c r="Q10" s="6"/>
      <c r="R10" s="6"/>
      <c r="S10" s="6"/>
      <c r="T10" s="6"/>
      <c r="U10" s="6"/>
      <c r="V10" s="6"/>
      <c r="W10" s="6"/>
      <c r="X10" s="6">
        <v>1</v>
      </c>
      <c r="Y10" s="8" t="s">
        <v>16</v>
      </c>
      <c r="Z10" s="29" t="s">
        <v>1776</v>
      </c>
      <c r="AA10" s="29" t="s">
        <v>17</v>
      </c>
      <c r="AB10" s="29">
        <v>44074</v>
      </c>
      <c r="AC10" s="29">
        <v>44105</v>
      </c>
      <c r="AD10" s="29" t="s">
        <v>1798</v>
      </c>
      <c r="AE10" s="29">
        <v>44090</v>
      </c>
    </row>
    <row r="11" spans="1:31" ht="24.95" customHeight="1" x14ac:dyDescent="0.3">
      <c r="D11" s="6">
        <f t="shared" si="0"/>
        <v>10</v>
      </c>
      <c r="E11" s="29" t="s">
        <v>1799</v>
      </c>
      <c r="F11" s="29" t="s">
        <v>1800</v>
      </c>
      <c r="G11" s="29" t="s">
        <v>1772</v>
      </c>
      <c r="H11" s="29" t="s">
        <v>1773</v>
      </c>
      <c r="I11" s="30" t="str">
        <f>VLOOKUP(H11,[1]VLOOKUP!$A$2:$B$35,2,FALSE)</f>
        <v>华东</v>
      </c>
      <c r="J11" s="29" t="s">
        <v>1796</v>
      </c>
      <c r="K11" s="29" t="s">
        <v>1797</v>
      </c>
      <c r="L11" s="30" t="str">
        <f>VLOOKUP(K11,[1]VLOOKUP!$A$2:$B$35,2,FALSE)</f>
        <v>华北</v>
      </c>
      <c r="M11" s="29" t="s">
        <v>1775</v>
      </c>
      <c r="N11" s="29" t="s">
        <v>1773</v>
      </c>
      <c r="O11" s="30" t="str">
        <f>VLOOKUP(N11,[1]VLOOKUP!$A$2:$B$35,2,FALSE)</f>
        <v>华东</v>
      </c>
      <c r="P11" s="6"/>
      <c r="Q11" s="6"/>
      <c r="R11" s="6"/>
      <c r="S11" s="6"/>
      <c r="T11" s="6"/>
      <c r="U11" s="6"/>
      <c r="V11" s="6"/>
      <c r="W11" s="6"/>
      <c r="X11" s="6">
        <v>1</v>
      </c>
      <c r="Y11" s="8" t="s">
        <v>16</v>
      </c>
      <c r="Z11" s="29" t="s">
        <v>1776</v>
      </c>
      <c r="AA11" s="29" t="s">
        <v>17</v>
      </c>
      <c r="AB11" s="29">
        <v>44074</v>
      </c>
      <c r="AC11" s="29">
        <v>44105</v>
      </c>
      <c r="AD11" s="29" t="s">
        <v>1801</v>
      </c>
      <c r="AE11" s="29">
        <v>44090</v>
      </c>
    </row>
    <row r="12" spans="1:31" ht="24.95" customHeight="1" x14ac:dyDescent="0.3">
      <c r="D12" s="6">
        <f t="shared" si="0"/>
        <v>11</v>
      </c>
      <c r="E12" s="29" t="s">
        <v>1802</v>
      </c>
      <c r="F12" s="29" t="s">
        <v>1803</v>
      </c>
      <c r="G12" s="29" t="s">
        <v>1772</v>
      </c>
      <c r="H12" s="29" t="s">
        <v>1773</v>
      </c>
      <c r="I12" s="30" t="str">
        <f>VLOOKUP(H12,[1]VLOOKUP!$A$2:$B$35,2,FALSE)</f>
        <v>华东</v>
      </c>
      <c r="J12" s="29" t="s">
        <v>1796</v>
      </c>
      <c r="K12" s="29" t="s">
        <v>1797</v>
      </c>
      <c r="L12" s="30" t="str">
        <f>VLOOKUP(K12,[1]VLOOKUP!$A$2:$B$35,2,FALSE)</f>
        <v>华北</v>
      </c>
      <c r="M12" s="29" t="s">
        <v>1804</v>
      </c>
      <c r="N12" s="29" t="s">
        <v>1773</v>
      </c>
      <c r="O12" s="30" t="str">
        <f>VLOOKUP(N12,[1]VLOOKUP!$A$2:$B$35,2,FALSE)</f>
        <v>华东</v>
      </c>
      <c r="P12" s="6"/>
      <c r="Q12" s="6"/>
      <c r="R12" s="6"/>
      <c r="S12" s="6"/>
      <c r="T12" s="6"/>
      <c r="U12" s="6"/>
      <c r="V12" s="6"/>
      <c r="W12" s="6"/>
      <c r="X12" s="6">
        <v>1</v>
      </c>
      <c r="Y12" s="8" t="s">
        <v>58</v>
      </c>
      <c r="Z12" s="29" t="s">
        <v>1776</v>
      </c>
      <c r="AA12" s="29" t="s">
        <v>17</v>
      </c>
      <c r="AB12" s="29">
        <v>44074</v>
      </c>
      <c r="AC12" s="29">
        <v>44105</v>
      </c>
      <c r="AD12" s="29" t="s">
        <v>1805</v>
      </c>
      <c r="AE12" s="29">
        <v>44090</v>
      </c>
    </row>
    <row r="13" spans="1:31" ht="24.95" customHeight="1" x14ac:dyDescent="0.3">
      <c r="D13" s="6">
        <f t="shared" si="0"/>
        <v>12</v>
      </c>
      <c r="E13" s="29" t="s">
        <v>1806</v>
      </c>
      <c r="F13" s="29" t="s">
        <v>1807</v>
      </c>
      <c r="G13" s="29" t="s">
        <v>1808</v>
      </c>
      <c r="H13" s="29" t="s">
        <v>1809</v>
      </c>
      <c r="I13" s="30" t="str">
        <f>VLOOKUP(H13,[1]VLOOKUP!$A$2:$B$35,2,FALSE)</f>
        <v>华东</v>
      </c>
      <c r="J13" s="29" t="s">
        <v>1810</v>
      </c>
      <c r="K13" s="29" t="s">
        <v>1809</v>
      </c>
      <c r="L13" s="30" t="str">
        <f>VLOOKUP(K13,[1]VLOOKUP!$A$2:$B$35,2,FALSE)</f>
        <v>华东</v>
      </c>
      <c r="M13" s="29" t="s">
        <v>1811</v>
      </c>
      <c r="N13" s="29" t="s">
        <v>1809</v>
      </c>
      <c r="O13" s="30" t="str">
        <f>VLOOKUP(N13,[1]VLOOKUP!$A$2:$B$35,2,FALSE)</f>
        <v>华东</v>
      </c>
      <c r="P13" s="6"/>
      <c r="Q13" s="6"/>
      <c r="R13" s="6"/>
      <c r="S13" s="6"/>
      <c r="T13" s="6">
        <v>1</v>
      </c>
      <c r="U13" s="8" t="s">
        <v>92</v>
      </c>
      <c r="V13" s="6"/>
      <c r="W13" s="6"/>
      <c r="X13" s="6"/>
      <c r="Y13" s="6"/>
      <c r="Z13" s="29" t="s">
        <v>1812</v>
      </c>
      <c r="AA13" s="29" t="s">
        <v>17</v>
      </c>
      <c r="AB13" s="29">
        <v>44228</v>
      </c>
      <c r="AC13" s="29">
        <v>44317</v>
      </c>
      <c r="AD13" s="29" t="s">
        <v>1813</v>
      </c>
      <c r="AE13" s="29">
        <v>44328</v>
      </c>
    </row>
    <row r="14" spans="1:31" ht="24.95" customHeight="1" x14ac:dyDescent="0.3">
      <c r="D14" s="6">
        <f t="shared" si="0"/>
        <v>13</v>
      </c>
      <c r="E14" s="29" t="s">
        <v>1814</v>
      </c>
      <c r="F14" s="29" t="s">
        <v>1815</v>
      </c>
      <c r="G14" s="29" t="s">
        <v>1816</v>
      </c>
      <c r="H14" s="29" t="s">
        <v>1809</v>
      </c>
      <c r="I14" s="30" t="str">
        <f>VLOOKUP(H14,[1]VLOOKUP!$A$2:$B$35,2,FALSE)</f>
        <v>华东</v>
      </c>
      <c r="J14" s="29" t="s">
        <v>1817</v>
      </c>
      <c r="K14" s="29" t="s">
        <v>1809</v>
      </c>
      <c r="L14" s="30" t="str">
        <f>VLOOKUP(K14,[1]VLOOKUP!$A$2:$B$35,2,FALSE)</f>
        <v>华东</v>
      </c>
      <c r="M14" s="29" t="s">
        <v>1818</v>
      </c>
      <c r="N14" s="29" t="s">
        <v>1809</v>
      </c>
      <c r="O14" s="30" t="str">
        <f>VLOOKUP(N14,[1]VLOOKUP!$A$2:$B$35,2,FALSE)</f>
        <v>华东</v>
      </c>
      <c r="P14" s="6"/>
      <c r="Q14" s="6"/>
      <c r="R14" s="6"/>
      <c r="S14" s="6"/>
      <c r="T14" s="6"/>
      <c r="U14" s="6"/>
      <c r="V14" s="6">
        <v>1</v>
      </c>
      <c r="W14" s="8" t="s">
        <v>77</v>
      </c>
      <c r="X14" s="6"/>
      <c r="Y14" s="6"/>
      <c r="Z14" s="29" t="s">
        <v>1812</v>
      </c>
      <c r="AA14" s="29" t="s">
        <v>17</v>
      </c>
      <c r="AB14" s="29">
        <v>44404</v>
      </c>
      <c r="AC14" s="29">
        <v>44470</v>
      </c>
      <c r="AD14" s="29" t="s">
        <v>1819</v>
      </c>
      <c r="AE14" s="29">
        <v>44509</v>
      </c>
    </row>
    <row r="15" spans="1:31" ht="24.95" customHeight="1" x14ac:dyDescent="0.3">
      <c r="D15" s="6">
        <f t="shared" si="0"/>
        <v>14</v>
      </c>
      <c r="E15" s="29" t="s">
        <v>1820</v>
      </c>
      <c r="F15" s="29" t="s">
        <v>1821</v>
      </c>
      <c r="G15" s="29" t="s">
        <v>1772</v>
      </c>
      <c r="H15" s="29" t="s">
        <v>1773</v>
      </c>
      <c r="I15" s="30" t="str">
        <f>VLOOKUP(H15,[1]VLOOKUP!$A$2:$B$35,2,FALSE)</f>
        <v>华东</v>
      </c>
      <c r="J15" s="29" t="s">
        <v>1785</v>
      </c>
      <c r="K15" s="29" t="s">
        <v>1773</v>
      </c>
      <c r="L15" s="30" t="str">
        <f>VLOOKUP(K15,[1]VLOOKUP!$A$2:$B$35,2,FALSE)</f>
        <v>华东</v>
      </c>
      <c r="M15" s="29" t="s">
        <v>1775</v>
      </c>
      <c r="N15" s="29" t="s">
        <v>1773</v>
      </c>
      <c r="O15" s="30" t="str">
        <f>VLOOKUP(N15,[1]VLOOKUP!$A$2:$B$35,2,FALSE)</f>
        <v>华东</v>
      </c>
      <c r="P15" s="6">
        <v>1</v>
      </c>
      <c r="Q15" s="8" t="s">
        <v>21</v>
      </c>
      <c r="R15" s="6"/>
      <c r="S15" s="6"/>
      <c r="T15" s="6"/>
      <c r="U15" s="6"/>
      <c r="V15" s="6"/>
      <c r="W15" s="6"/>
      <c r="X15" s="6"/>
      <c r="Y15" s="6"/>
      <c r="Z15" s="29" t="s">
        <v>1776</v>
      </c>
      <c r="AA15" s="29" t="s">
        <v>17</v>
      </c>
      <c r="AB15" s="29">
        <v>44543</v>
      </c>
      <c r="AC15" s="29">
        <v>44574</v>
      </c>
      <c r="AD15" s="29" t="s">
        <v>1822</v>
      </c>
      <c r="AE15" s="29">
        <v>44551</v>
      </c>
    </row>
    <row r="16" spans="1:31" ht="24.95" customHeight="1" x14ac:dyDescent="0.3">
      <c r="D16" s="6">
        <f t="shared" si="0"/>
        <v>15</v>
      </c>
      <c r="E16" s="29" t="s">
        <v>1823</v>
      </c>
      <c r="F16" s="29" t="s">
        <v>1824</v>
      </c>
      <c r="G16" s="29" t="s">
        <v>1825</v>
      </c>
      <c r="H16" s="29" t="s">
        <v>1826</v>
      </c>
      <c r="I16" s="30" t="str">
        <f>VLOOKUP(H16,[1]VLOOKUP!$A$2:$B$35,2,FALSE)</f>
        <v>东北</v>
      </c>
      <c r="J16" s="29" t="s">
        <v>1827</v>
      </c>
      <c r="K16" s="29" t="s">
        <v>1826</v>
      </c>
      <c r="L16" s="30" t="str">
        <f>VLOOKUP(K16,[1]VLOOKUP!$A$2:$B$35,2,FALSE)</f>
        <v>东北</v>
      </c>
      <c r="M16" s="29" t="s">
        <v>1828</v>
      </c>
      <c r="N16" s="29" t="s">
        <v>1826</v>
      </c>
      <c r="O16" s="30" t="str">
        <f>VLOOKUP(N16,[1]VLOOKUP!$A$2:$B$35,2,FALSE)</f>
        <v>东北</v>
      </c>
      <c r="P16" s="6"/>
      <c r="Q16" s="6"/>
      <c r="R16" s="6"/>
      <c r="S16" s="6"/>
      <c r="T16" s="6">
        <v>1</v>
      </c>
      <c r="U16" s="8" t="s">
        <v>92</v>
      </c>
      <c r="V16" s="6"/>
      <c r="W16" s="6"/>
      <c r="X16" s="6"/>
      <c r="Y16" s="6"/>
      <c r="Z16" s="29" t="s">
        <v>1829</v>
      </c>
      <c r="AA16" s="29" t="s">
        <v>17</v>
      </c>
      <c r="AB16" s="29">
        <v>44834</v>
      </c>
      <c r="AC16" s="29">
        <v>44864</v>
      </c>
      <c r="AD16" s="29" t="s">
        <v>1830</v>
      </c>
      <c r="AE16" s="29">
        <v>44866</v>
      </c>
    </row>
    <row r="17" spans="4:31" ht="24.95" customHeight="1" x14ac:dyDescent="0.3">
      <c r="D17" s="6">
        <f t="shared" si="0"/>
        <v>16</v>
      </c>
      <c r="E17" s="29" t="s">
        <v>1831</v>
      </c>
      <c r="F17" s="29" t="s">
        <v>1832</v>
      </c>
      <c r="G17" s="29" t="s">
        <v>1833</v>
      </c>
      <c r="H17" s="29" t="s">
        <v>1834</v>
      </c>
      <c r="I17" s="30" t="str">
        <f>VLOOKUP(H17,[1]VLOOKUP!$A$2:$B$35,2,FALSE)</f>
        <v>华中</v>
      </c>
      <c r="J17" s="29"/>
      <c r="K17" s="29"/>
      <c r="L17" s="30" t="e">
        <f>VLOOKUP(K17,[1]VLOOKUP!$A$2:$B$35,2,FALSE)</f>
        <v>#N/A</v>
      </c>
      <c r="M17" s="29"/>
      <c r="N17" s="29"/>
      <c r="O17" s="30" t="e">
        <f>VLOOKUP(N17,[1]VLOOKUP!$A$2:$B$35,2,FALSE)</f>
        <v>#N/A</v>
      </c>
      <c r="P17" s="6"/>
      <c r="Q17" s="6"/>
      <c r="R17" s="6"/>
      <c r="S17" s="6"/>
      <c r="T17" s="6"/>
      <c r="U17" s="6"/>
      <c r="V17" s="6">
        <v>1</v>
      </c>
      <c r="W17" s="8" t="s">
        <v>54</v>
      </c>
      <c r="X17" s="6"/>
      <c r="Y17" s="6"/>
      <c r="Z17" s="29" t="s">
        <v>1835</v>
      </c>
      <c r="AA17" s="29" t="s">
        <v>17</v>
      </c>
      <c r="AB17" s="29">
        <v>44851</v>
      </c>
      <c r="AC17" s="29">
        <v>44942</v>
      </c>
      <c r="AD17" s="29" t="s">
        <v>1836</v>
      </c>
      <c r="AE17" s="29">
        <v>44854</v>
      </c>
    </row>
    <row r="18" spans="4:31" ht="24.95" customHeight="1" x14ac:dyDescent="0.3">
      <c r="D18" s="6">
        <f t="shared" si="0"/>
        <v>17</v>
      </c>
      <c r="E18" s="29" t="s">
        <v>1837</v>
      </c>
      <c r="F18" s="29" t="s">
        <v>1838</v>
      </c>
      <c r="G18" s="29" t="s">
        <v>1839</v>
      </c>
      <c r="H18" s="29" t="s">
        <v>1767</v>
      </c>
      <c r="I18" s="30" t="str">
        <f>VLOOKUP(H18,[1]VLOOKUP!$A$2:$B$35,2,FALSE)</f>
        <v>华北</v>
      </c>
      <c r="J18" s="29" t="s">
        <v>1840</v>
      </c>
      <c r="K18" s="29" t="s">
        <v>1760</v>
      </c>
      <c r="L18" s="30" t="str">
        <f>VLOOKUP(K18,[1]VLOOKUP!$A$2:$B$35,2,FALSE)</f>
        <v>华北</v>
      </c>
      <c r="M18" s="29" t="s">
        <v>1841</v>
      </c>
      <c r="N18" s="29" t="s">
        <v>1797</v>
      </c>
      <c r="O18" s="30" t="str">
        <f>VLOOKUP(N18,[1]VLOOKUP!$A$2:$B$35,2,FALSE)</f>
        <v>华北</v>
      </c>
      <c r="P18" s="6"/>
      <c r="Q18" s="6"/>
      <c r="R18" s="6">
        <v>1</v>
      </c>
      <c r="S18" s="8" t="s">
        <v>130</v>
      </c>
      <c r="T18" s="6"/>
      <c r="U18" s="6"/>
      <c r="V18" s="6"/>
      <c r="W18" s="6"/>
      <c r="X18" s="6"/>
      <c r="Y18" s="6"/>
      <c r="Z18" s="29" t="s">
        <v>1842</v>
      </c>
      <c r="AA18" s="29" t="s">
        <v>17</v>
      </c>
      <c r="AB18" s="29">
        <v>44960</v>
      </c>
      <c r="AC18" s="29">
        <v>45141</v>
      </c>
      <c r="AD18" s="29" t="s">
        <v>1843</v>
      </c>
      <c r="AE18" s="29">
        <v>44964</v>
      </c>
    </row>
    <row r="19" spans="4:31" ht="24.95" customHeight="1" x14ac:dyDescent="0.3">
      <c r="D19" s="6">
        <f t="shared" si="0"/>
        <v>18</v>
      </c>
      <c r="E19" s="29" t="s">
        <v>1844</v>
      </c>
      <c r="F19" s="29" t="s">
        <v>148</v>
      </c>
      <c r="G19" s="29" t="s">
        <v>1845</v>
      </c>
      <c r="H19" s="29" t="s">
        <v>1758</v>
      </c>
      <c r="I19" s="30" t="str">
        <f>VLOOKUP(H19,[1]VLOOKUP!$A$2:$B$35,2,FALSE)</f>
        <v>华南</v>
      </c>
      <c r="J19" s="29" t="s">
        <v>1846</v>
      </c>
      <c r="K19" s="29" t="s">
        <v>1758</v>
      </c>
      <c r="L19" s="30" t="str">
        <f>VLOOKUP(K19,[1]VLOOKUP!$A$2:$B$35,2,FALSE)</f>
        <v>华南</v>
      </c>
      <c r="M19" s="29" t="s">
        <v>1847</v>
      </c>
      <c r="N19" s="29" t="s">
        <v>1758</v>
      </c>
      <c r="O19" s="30" t="str">
        <f>VLOOKUP(N19,[1]VLOOKUP!$A$2:$B$35,2,FALSE)</f>
        <v>华南</v>
      </c>
      <c r="P19" s="6"/>
      <c r="Q19" s="6"/>
      <c r="R19" s="6"/>
      <c r="S19" s="6"/>
      <c r="T19" s="6"/>
      <c r="U19" s="6"/>
      <c r="V19" s="6">
        <v>1</v>
      </c>
      <c r="W19" s="8" t="s">
        <v>77</v>
      </c>
      <c r="X19" s="6"/>
      <c r="Y19" s="6"/>
      <c r="Z19" s="29" t="s">
        <v>1762</v>
      </c>
      <c r="AA19" s="29" t="s">
        <v>17</v>
      </c>
      <c r="AB19" s="29">
        <v>45052</v>
      </c>
      <c r="AC19" s="29">
        <v>45144</v>
      </c>
      <c r="AD19" s="29" t="s">
        <v>1848</v>
      </c>
      <c r="AE19" s="29">
        <v>45105</v>
      </c>
    </row>
    <row r="20" spans="4:31" ht="24.95" customHeight="1" x14ac:dyDescent="0.3">
      <c r="D20" s="6">
        <f t="shared" si="0"/>
        <v>19</v>
      </c>
      <c r="E20" s="29" t="s">
        <v>1849</v>
      </c>
      <c r="F20" s="29" t="s">
        <v>1850</v>
      </c>
      <c r="G20" s="29" t="s">
        <v>1851</v>
      </c>
      <c r="H20" s="29" t="s">
        <v>1767</v>
      </c>
      <c r="I20" s="30" t="str">
        <f>VLOOKUP(H20,[1]VLOOKUP!$A$2:$B$35,2,FALSE)</f>
        <v>华北</v>
      </c>
      <c r="J20" s="29" t="s">
        <v>1852</v>
      </c>
      <c r="K20" s="29" t="s">
        <v>1767</v>
      </c>
      <c r="L20" s="30" t="str">
        <f>VLOOKUP(K20,[1]VLOOKUP!$A$2:$B$35,2,FALSE)</f>
        <v>华北</v>
      </c>
      <c r="M20" s="29" t="s">
        <v>1853</v>
      </c>
      <c r="N20" s="29" t="s">
        <v>1767</v>
      </c>
      <c r="O20" s="30" t="str">
        <f>VLOOKUP(N20,[1]VLOOKUP!$A$2:$B$35,2,FALSE)</f>
        <v>华北</v>
      </c>
      <c r="P20" s="6">
        <v>1</v>
      </c>
      <c r="Q20" s="8" t="s">
        <v>609</v>
      </c>
      <c r="R20" s="6"/>
      <c r="S20" s="6"/>
      <c r="T20" s="6"/>
      <c r="U20" s="6"/>
      <c r="V20" s="6"/>
      <c r="W20" s="6"/>
      <c r="X20" s="6"/>
      <c r="Y20" s="6"/>
      <c r="Z20" s="29" t="s">
        <v>1769</v>
      </c>
      <c r="AA20" s="29" t="s">
        <v>17</v>
      </c>
      <c r="AB20" s="29">
        <v>45096</v>
      </c>
      <c r="AC20" s="29">
        <v>45108</v>
      </c>
      <c r="AD20" s="29" t="s">
        <v>1854</v>
      </c>
      <c r="AE20" s="29">
        <v>45173</v>
      </c>
    </row>
    <row r="21" spans="4:31" ht="24.95" customHeight="1" x14ac:dyDescent="0.3">
      <c r="D21" s="6">
        <f t="shared" si="0"/>
        <v>20</v>
      </c>
      <c r="E21" s="29" t="s">
        <v>1855</v>
      </c>
      <c r="F21" s="29" t="s">
        <v>1856</v>
      </c>
      <c r="G21" s="29" t="s">
        <v>1851</v>
      </c>
      <c r="H21" s="29" t="s">
        <v>1767</v>
      </c>
      <c r="I21" s="30" t="str">
        <f>VLOOKUP(H21,[1]VLOOKUP!$A$2:$B$35,2,FALSE)</f>
        <v>华北</v>
      </c>
      <c r="J21" s="29" t="s">
        <v>1857</v>
      </c>
      <c r="K21" s="29" t="s">
        <v>1767</v>
      </c>
      <c r="L21" s="30" t="str">
        <f>VLOOKUP(K21,[1]VLOOKUP!$A$2:$B$35,2,FALSE)</f>
        <v>华北</v>
      </c>
      <c r="M21" s="29" t="s">
        <v>1858</v>
      </c>
      <c r="N21" s="29" t="s">
        <v>1760</v>
      </c>
      <c r="O21" s="30" t="str">
        <f>VLOOKUP(N21,[1]VLOOKUP!$A$2:$B$35,2,FALSE)</f>
        <v>华北</v>
      </c>
      <c r="P21" s="6"/>
      <c r="Q21" s="6"/>
      <c r="R21" s="6"/>
      <c r="S21" s="6"/>
      <c r="T21" s="6"/>
      <c r="U21" s="6"/>
      <c r="V21" s="6">
        <v>1</v>
      </c>
      <c r="W21" s="8" t="s">
        <v>77</v>
      </c>
      <c r="X21" s="6"/>
      <c r="Y21" s="6"/>
      <c r="Z21" s="29" t="s">
        <v>1769</v>
      </c>
      <c r="AA21" s="29" t="s">
        <v>17</v>
      </c>
      <c r="AB21" s="29">
        <v>45096</v>
      </c>
      <c r="AC21" s="29">
        <v>45108</v>
      </c>
      <c r="AD21" s="29" t="s">
        <v>1859</v>
      </c>
      <c r="AE21" s="29">
        <v>45173</v>
      </c>
    </row>
    <row r="22" spans="4:31" ht="24.95" customHeight="1" x14ac:dyDescent="0.3">
      <c r="D22" s="6">
        <f t="shared" si="0"/>
        <v>21</v>
      </c>
      <c r="E22" s="29" t="s">
        <v>1860</v>
      </c>
      <c r="F22" s="29" t="s">
        <v>1861</v>
      </c>
      <c r="G22" s="29" t="s">
        <v>1862</v>
      </c>
      <c r="H22" s="29" t="s">
        <v>1767</v>
      </c>
      <c r="I22" s="30" t="str">
        <f>VLOOKUP(H22,[1]VLOOKUP!$A$2:$B$35,2,FALSE)</f>
        <v>华北</v>
      </c>
      <c r="J22" s="29" t="s">
        <v>1851</v>
      </c>
      <c r="K22" s="29" t="s">
        <v>1767</v>
      </c>
      <c r="L22" s="30" t="str">
        <f>VLOOKUP(K22,[1]VLOOKUP!$A$2:$B$35,2,FALSE)</f>
        <v>华北</v>
      </c>
      <c r="M22" s="29" t="s">
        <v>1863</v>
      </c>
      <c r="N22" s="29" t="s">
        <v>1767</v>
      </c>
      <c r="O22" s="30" t="str">
        <f>VLOOKUP(N22,[1]VLOOKUP!$A$2:$B$35,2,FALSE)</f>
        <v>华北</v>
      </c>
      <c r="P22" s="6"/>
      <c r="Q22" s="6"/>
      <c r="R22" s="6"/>
      <c r="S22" s="6"/>
      <c r="T22" s="6"/>
      <c r="U22" s="6"/>
      <c r="V22" s="6">
        <v>1</v>
      </c>
      <c r="W22" s="8" t="s">
        <v>54</v>
      </c>
      <c r="X22" s="6"/>
      <c r="Y22" s="6"/>
      <c r="Z22" s="29" t="s">
        <v>1769</v>
      </c>
      <c r="AA22" s="29" t="s">
        <v>17</v>
      </c>
      <c r="AB22" s="29">
        <v>45096</v>
      </c>
      <c r="AC22" s="29">
        <v>45108</v>
      </c>
      <c r="AD22" s="29" t="s">
        <v>1864</v>
      </c>
      <c r="AE22" s="29">
        <v>45173</v>
      </c>
    </row>
    <row r="23" spans="4:31" ht="24.95" customHeight="1" x14ac:dyDescent="0.3">
      <c r="D23" s="6">
        <f t="shared" si="0"/>
        <v>22</v>
      </c>
      <c r="E23" s="29" t="s">
        <v>1865</v>
      </c>
      <c r="F23" s="29" t="s">
        <v>1866</v>
      </c>
      <c r="G23" s="29" t="s">
        <v>1862</v>
      </c>
      <c r="H23" s="29" t="s">
        <v>1767</v>
      </c>
      <c r="I23" s="30" t="str">
        <f>VLOOKUP(H23,[1]VLOOKUP!$A$2:$B$35,2,FALSE)</f>
        <v>华北</v>
      </c>
      <c r="J23" s="29" t="s">
        <v>1851</v>
      </c>
      <c r="K23" s="29" t="s">
        <v>1767</v>
      </c>
      <c r="L23" s="30" t="str">
        <f>VLOOKUP(K23,[1]VLOOKUP!$A$2:$B$35,2,FALSE)</f>
        <v>华北</v>
      </c>
      <c r="M23" s="29" t="s">
        <v>1863</v>
      </c>
      <c r="N23" s="29" t="s">
        <v>1767</v>
      </c>
      <c r="O23" s="30" t="str">
        <f>VLOOKUP(N23,[1]VLOOKUP!$A$2:$B$35,2,FALSE)</f>
        <v>华北</v>
      </c>
      <c r="P23" s="6"/>
      <c r="Q23" s="6"/>
      <c r="R23" s="6"/>
      <c r="S23" s="6"/>
      <c r="T23" s="6">
        <v>1</v>
      </c>
      <c r="U23" s="8" t="s">
        <v>48</v>
      </c>
      <c r="V23" s="6"/>
      <c r="W23" s="6"/>
      <c r="X23" s="6"/>
      <c r="Y23" s="6"/>
      <c r="Z23" s="29" t="s">
        <v>1769</v>
      </c>
      <c r="AA23" s="29" t="s">
        <v>17</v>
      </c>
      <c r="AB23" s="29">
        <v>45096</v>
      </c>
      <c r="AC23" s="29">
        <v>45108</v>
      </c>
      <c r="AD23" s="29" t="s">
        <v>1867</v>
      </c>
      <c r="AE23" s="29">
        <v>45173</v>
      </c>
    </row>
    <row r="24" spans="4:31" ht="24.95" customHeight="1" x14ac:dyDescent="0.3">
      <c r="D24" s="6">
        <f t="shared" si="0"/>
        <v>23</v>
      </c>
      <c r="E24" s="29" t="s">
        <v>1868</v>
      </c>
      <c r="F24" s="29" t="s">
        <v>1869</v>
      </c>
      <c r="G24" s="29" t="s">
        <v>1870</v>
      </c>
      <c r="H24" s="29" t="s">
        <v>1767</v>
      </c>
      <c r="I24" s="30" t="str">
        <f>VLOOKUP(H24,[1]VLOOKUP!$A$2:$B$35,2,FALSE)</f>
        <v>华北</v>
      </c>
      <c r="J24" s="29" t="s">
        <v>1871</v>
      </c>
      <c r="K24" s="29" t="s">
        <v>1760</v>
      </c>
      <c r="L24" s="30" t="str">
        <f>VLOOKUP(K24,[1]VLOOKUP!$A$2:$B$35,2,FALSE)</f>
        <v>华北</v>
      </c>
      <c r="M24" s="29" t="s">
        <v>1872</v>
      </c>
      <c r="N24" s="29" t="s">
        <v>1809</v>
      </c>
      <c r="O24" s="30" t="str">
        <f>VLOOKUP(N24,[1]VLOOKUP!$A$2:$B$35,2,FALSE)</f>
        <v>华东</v>
      </c>
      <c r="P24" s="6"/>
      <c r="Q24" s="6"/>
      <c r="R24" s="6"/>
      <c r="S24" s="6"/>
      <c r="T24" s="6"/>
      <c r="U24" s="6"/>
      <c r="V24" s="6"/>
      <c r="W24" s="6"/>
      <c r="X24" s="6">
        <v>1</v>
      </c>
      <c r="Y24" s="8" t="s">
        <v>58</v>
      </c>
      <c r="Z24" s="29" t="s">
        <v>1769</v>
      </c>
      <c r="AA24" s="29" t="s">
        <v>17</v>
      </c>
      <c r="AB24" s="29">
        <v>45096</v>
      </c>
      <c r="AC24" s="29">
        <v>45108</v>
      </c>
      <c r="AD24" s="29" t="s">
        <v>1873</v>
      </c>
      <c r="AE24" s="29">
        <v>45173</v>
      </c>
    </row>
    <row r="25" spans="4:31" ht="24.95" customHeight="1" x14ac:dyDescent="0.3">
      <c r="D25" s="6">
        <f t="shared" si="0"/>
        <v>24</v>
      </c>
      <c r="E25" s="29" t="s">
        <v>1874</v>
      </c>
      <c r="F25" s="29" t="s">
        <v>1875</v>
      </c>
      <c r="G25" s="29" t="s">
        <v>1870</v>
      </c>
      <c r="H25" s="29" t="s">
        <v>1767</v>
      </c>
      <c r="I25" s="30" t="str">
        <f>VLOOKUP(H25,[1]VLOOKUP!$A$2:$B$35,2,FALSE)</f>
        <v>华北</v>
      </c>
      <c r="J25" s="29" t="s">
        <v>1851</v>
      </c>
      <c r="K25" s="29" t="s">
        <v>1767</v>
      </c>
      <c r="L25" s="30" t="str">
        <f>VLOOKUP(K25,[1]VLOOKUP!$A$2:$B$35,2,FALSE)</f>
        <v>华北</v>
      </c>
      <c r="M25" s="29" t="s">
        <v>1857</v>
      </c>
      <c r="N25" s="29" t="s">
        <v>1767</v>
      </c>
      <c r="O25" s="30" t="str">
        <f>VLOOKUP(N25,[1]VLOOKUP!$A$2:$B$35,2,FALSE)</f>
        <v>华北</v>
      </c>
      <c r="P25" s="6"/>
      <c r="Q25" s="6"/>
      <c r="R25" s="6">
        <v>1</v>
      </c>
      <c r="S25" s="8" t="s">
        <v>130</v>
      </c>
      <c r="T25" s="6"/>
      <c r="U25" s="6"/>
      <c r="V25" s="6"/>
      <c r="W25" s="6"/>
      <c r="X25" s="6"/>
      <c r="Y25" s="6"/>
      <c r="Z25" s="29" t="s">
        <v>1769</v>
      </c>
      <c r="AA25" s="29" t="s">
        <v>17</v>
      </c>
      <c r="AB25" s="29">
        <v>45096</v>
      </c>
      <c r="AC25" s="29">
        <v>45108</v>
      </c>
      <c r="AD25" s="29" t="s">
        <v>1876</v>
      </c>
      <c r="AE25" s="29">
        <v>45173</v>
      </c>
    </row>
    <row r="26" spans="4:31" ht="24.95" customHeight="1" x14ac:dyDescent="0.3">
      <c r="D26" s="6">
        <f t="shared" si="0"/>
        <v>25</v>
      </c>
      <c r="E26" s="29" t="s">
        <v>1877</v>
      </c>
      <c r="F26" s="29" t="s">
        <v>1878</v>
      </c>
      <c r="G26" s="29" t="s">
        <v>1879</v>
      </c>
      <c r="H26" s="29" t="s">
        <v>1880</v>
      </c>
      <c r="I26" s="30" t="str">
        <f>VLOOKUP(H26,[1]VLOOKUP!$A$2:$B$35,2,FALSE)</f>
        <v>华中</v>
      </c>
      <c r="J26" s="29" t="s">
        <v>1881</v>
      </c>
      <c r="K26" s="29" t="s">
        <v>1880</v>
      </c>
      <c r="L26" s="30" t="str">
        <f>VLOOKUP(K26,[1]VLOOKUP!$A$2:$B$35,2,FALSE)</f>
        <v>华中</v>
      </c>
      <c r="M26" s="29" t="s">
        <v>1882</v>
      </c>
      <c r="N26" s="29" t="s">
        <v>1880</v>
      </c>
      <c r="O26" s="30" t="str">
        <f>VLOOKUP(N26,[1]VLOOKUP!$A$2:$B$35,2,FALSE)</f>
        <v>华中</v>
      </c>
      <c r="P26" s="6"/>
      <c r="Q26" s="6"/>
      <c r="R26" s="6"/>
      <c r="S26" s="6"/>
      <c r="T26" s="6"/>
      <c r="U26" s="6"/>
      <c r="V26" s="6">
        <v>1</v>
      </c>
      <c r="W26" s="8" t="s">
        <v>77</v>
      </c>
      <c r="X26" s="6"/>
      <c r="Y26" s="6"/>
      <c r="Z26" s="29" t="s">
        <v>1883</v>
      </c>
      <c r="AA26" s="29" t="s">
        <v>17</v>
      </c>
      <c r="AB26" s="29">
        <v>45104</v>
      </c>
      <c r="AC26" s="29">
        <v>45165</v>
      </c>
      <c r="AD26" s="29" t="s">
        <v>1884</v>
      </c>
      <c r="AE26" s="29">
        <v>45119</v>
      </c>
    </row>
    <row r="27" spans="4:31" ht="24.95" customHeight="1" x14ac:dyDescent="0.3">
      <c r="D27" s="6">
        <f t="shared" si="0"/>
        <v>26</v>
      </c>
      <c r="E27" s="29" t="s">
        <v>1885</v>
      </c>
      <c r="F27" s="29" t="s">
        <v>1886</v>
      </c>
      <c r="G27" s="29" t="s">
        <v>1887</v>
      </c>
      <c r="H27" s="29" t="s">
        <v>1758</v>
      </c>
      <c r="I27" s="30" t="str">
        <f>VLOOKUP(H27,[1]VLOOKUP!$A$2:$B$35,2,FALSE)</f>
        <v>华南</v>
      </c>
      <c r="J27" s="29" t="s">
        <v>1888</v>
      </c>
      <c r="K27" s="29" t="s">
        <v>1758</v>
      </c>
      <c r="L27" s="30" t="str">
        <f>VLOOKUP(K27,[1]VLOOKUP!$A$2:$B$35,2,FALSE)</f>
        <v>华南</v>
      </c>
      <c r="M27" s="29" t="s">
        <v>1889</v>
      </c>
      <c r="N27" s="29" t="s">
        <v>1758</v>
      </c>
      <c r="O27" s="30" t="str">
        <f>VLOOKUP(N27,[1]VLOOKUP!$A$2:$B$35,2,FALSE)</f>
        <v>华南</v>
      </c>
      <c r="P27" s="6">
        <v>1</v>
      </c>
      <c r="Q27" s="8" t="s">
        <v>609</v>
      </c>
      <c r="R27" s="6"/>
      <c r="S27" s="6"/>
      <c r="T27" s="6"/>
      <c r="U27" s="6"/>
      <c r="V27" s="6"/>
      <c r="W27" s="6"/>
      <c r="X27" s="6"/>
      <c r="Y27" s="6"/>
      <c r="Z27" s="29" t="s">
        <v>1762</v>
      </c>
      <c r="AA27" s="29" t="s">
        <v>17</v>
      </c>
      <c r="AB27" s="29">
        <v>45137</v>
      </c>
      <c r="AC27" s="29">
        <v>45260</v>
      </c>
      <c r="AD27" s="29" t="s">
        <v>1890</v>
      </c>
      <c r="AE27" s="29">
        <v>45170</v>
      </c>
    </row>
    <row r="28" spans="4:31" ht="24.95" customHeight="1" x14ac:dyDescent="0.3">
      <c r="D28" s="6">
        <f t="shared" si="0"/>
        <v>27</v>
      </c>
      <c r="E28" s="29" t="s">
        <v>1891</v>
      </c>
      <c r="F28" s="29" t="s">
        <v>1892</v>
      </c>
      <c r="G28" s="29" t="s">
        <v>1893</v>
      </c>
      <c r="H28" s="29" t="s">
        <v>1894</v>
      </c>
      <c r="I28" s="30" t="str">
        <f>VLOOKUP(H28,[1]VLOOKUP!$A$2:$B$35,2,FALSE)</f>
        <v>西南</v>
      </c>
      <c r="J28" s="29" t="s">
        <v>1895</v>
      </c>
      <c r="K28" s="29" t="s">
        <v>1894</v>
      </c>
      <c r="L28" s="30" t="str">
        <f>VLOOKUP(K28,[1]VLOOKUP!$A$2:$B$35,2,FALSE)</f>
        <v>西南</v>
      </c>
      <c r="M28" s="29" t="s">
        <v>1896</v>
      </c>
      <c r="N28" s="29" t="s">
        <v>1894</v>
      </c>
      <c r="O28" s="30" t="str">
        <f>VLOOKUP(N28,[1]VLOOKUP!$A$2:$B$35,2,FALSE)</f>
        <v>西南</v>
      </c>
      <c r="P28" s="6"/>
      <c r="Q28" s="6"/>
      <c r="R28" s="6"/>
      <c r="S28" s="6"/>
      <c r="T28" s="6"/>
      <c r="U28" s="6"/>
      <c r="V28" s="6">
        <v>1</v>
      </c>
      <c r="W28" s="8" t="s">
        <v>77</v>
      </c>
      <c r="X28" s="6"/>
      <c r="Y28" s="6"/>
      <c r="Z28" s="29" t="s">
        <v>1897</v>
      </c>
      <c r="AA28" s="29" t="s">
        <v>17</v>
      </c>
      <c r="AB28" s="29">
        <v>45184</v>
      </c>
      <c r="AC28" s="29">
        <v>45275</v>
      </c>
      <c r="AD28" s="29" t="s">
        <v>1898</v>
      </c>
      <c r="AE28" s="29">
        <v>45219</v>
      </c>
    </row>
    <row r="29" spans="4:31" ht="24.95" customHeight="1" x14ac:dyDescent="0.3">
      <c r="D29" s="6">
        <f t="shared" si="0"/>
        <v>28</v>
      </c>
      <c r="E29" s="29" t="s">
        <v>1899</v>
      </c>
      <c r="F29" s="29" t="s">
        <v>1900</v>
      </c>
      <c r="G29" s="29" t="s">
        <v>1901</v>
      </c>
      <c r="H29" s="29" t="s">
        <v>1902</v>
      </c>
      <c r="I29" s="30" t="str">
        <f>VLOOKUP(H29,[1]VLOOKUP!$A$2:$B$35,2,FALSE)</f>
        <v>华东</v>
      </c>
      <c r="J29" s="29" t="s">
        <v>1903</v>
      </c>
      <c r="K29" s="29" t="s">
        <v>1902</v>
      </c>
      <c r="L29" s="30" t="str">
        <f>VLOOKUP(K29,[1]VLOOKUP!$A$2:$B$35,2,FALSE)</f>
        <v>华东</v>
      </c>
      <c r="M29" s="29" t="s">
        <v>1904</v>
      </c>
      <c r="N29" s="29" t="s">
        <v>1809</v>
      </c>
      <c r="O29" s="30" t="str">
        <f>VLOOKUP(N29,[1]VLOOKUP!$A$2:$B$35,2,FALSE)</f>
        <v>华东</v>
      </c>
      <c r="P29" s="6"/>
      <c r="Q29" s="6"/>
      <c r="R29" s="6"/>
      <c r="S29" s="6"/>
      <c r="T29" s="6"/>
      <c r="U29" s="6"/>
      <c r="V29" s="6"/>
      <c r="W29" s="6"/>
      <c r="X29" s="6">
        <v>1</v>
      </c>
      <c r="Y29" s="8" t="s">
        <v>16</v>
      </c>
      <c r="Z29" s="29" t="s">
        <v>1905</v>
      </c>
      <c r="AA29" s="29" t="s">
        <v>17</v>
      </c>
      <c r="AB29" s="29">
        <v>45191</v>
      </c>
      <c r="AC29" s="29">
        <v>45221</v>
      </c>
      <c r="AD29" s="29" t="s">
        <v>1906</v>
      </c>
      <c r="AE29" s="29">
        <v>45207</v>
      </c>
    </row>
    <row r="30" spans="4:31" ht="24.95" customHeight="1" x14ac:dyDescent="0.3">
      <c r="D30" s="6">
        <f t="shared" si="0"/>
        <v>29</v>
      </c>
      <c r="E30" s="29" t="s">
        <v>1907</v>
      </c>
      <c r="F30" s="29" t="s">
        <v>1908</v>
      </c>
      <c r="G30" s="29" t="s">
        <v>1909</v>
      </c>
      <c r="H30" s="29" t="s">
        <v>1767</v>
      </c>
      <c r="I30" s="30" t="str">
        <f>VLOOKUP(H30,[1]VLOOKUP!$A$2:$B$35,2,FALSE)</f>
        <v>华北</v>
      </c>
      <c r="J30" s="29" t="s">
        <v>1910</v>
      </c>
      <c r="K30" s="29" t="s">
        <v>1760</v>
      </c>
      <c r="L30" s="30" t="str">
        <f>VLOOKUP(K30,[1]VLOOKUP!$A$2:$B$35,2,FALSE)</f>
        <v>华北</v>
      </c>
      <c r="M30" s="29" t="s">
        <v>1911</v>
      </c>
      <c r="N30" s="29" t="s">
        <v>1880</v>
      </c>
      <c r="O30" s="30" t="str">
        <f>VLOOKUP(N30,[1]VLOOKUP!$A$2:$B$35,2,FALSE)</f>
        <v>华中</v>
      </c>
      <c r="P30" s="6"/>
      <c r="Q30" s="6"/>
      <c r="R30" s="6"/>
      <c r="S30" s="6"/>
      <c r="T30" s="6"/>
      <c r="U30" s="6"/>
      <c r="V30" s="6"/>
      <c r="W30" s="6"/>
      <c r="X30" s="6">
        <v>1</v>
      </c>
      <c r="Y30" s="8" t="s">
        <v>16</v>
      </c>
      <c r="Z30" s="29" t="s">
        <v>1769</v>
      </c>
      <c r="AA30" s="29" t="s">
        <v>17</v>
      </c>
      <c r="AB30" s="29">
        <v>45224</v>
      </c>
      <c r="AC30" s="29">
        <v>45255</v>
      </c>
      <c r="AD30" s="29" t="s">
        <v>1912</v>
      </c>
      <c r="AE30" s="29">
        <v>45273</v>
      </c>
    </row>
    <row r="31" spans="4:31" ht="24.95" customHeight="1" x14ac:dyDescent="0.3">
      <c r="D31" s="6">
        <f t="shared" si="0"/>
        <v>30</v>
      </c>
      <c r="E31" s="29" t="s">
        <v>1913</v>
      </c>
      <c r="F31" s="29" t="s">
        <v>1914</v>
      </c>
      <c r="G31" s="29" t="s">
        <v>1915</v>
      </c>
      <c r="H31" s="29" t="s">
        <v>1767</v>
      </c>
      <c r="I31" s="30" t="str">
        <f>VLOOKUP(H31,[1]VLOOKUP!$A$2:$B$35,2,FALSE)</f>
        <v>华北</v>
      </c>
      <c r="J31" s="29" t="s">
        <v>1916</v>
      </c>
      <c r="K31" s="29" t="s">
        <v>1767</v>
      </c>
      <c r="L31" s="30" t="str">
        <f>VLOOKUP(K31,[1]VLOOKUP!$A$2:$B$35,2,FALSE)</f>
        <v>华北</v>
      </c>
      <c r="M31" s="29" t="s">
        <v>1917</v>
      </c>
      <c r="N31" s="29" t="s">
        <v>1767</v>
      </c>
      <c r="O31" s="30" t="str">
        <f>VLOOKUP(N31,[1]VLOOKUP!$A$2:$B$35,2,FALSE)</f>
        <v>华北</v>
      </c>
      <c r="P31" s="6"/>
      <c r="Q31" s="6"/>
      <c r="R31" s="6">
        <v>1</v>
      </c>
      <c r="S31" s="8" t="s">
        <v>130</v>
      </c>
      <c r="T31" s="6"/>
      <c r="U31" s="6"/>
      <c r="V31" s="6"/>
      <c r="W31" s="6"/>
      <c r="X31" s="6"/>
      <c r="Y31" s="6"/>
      <c r="Z31" s="29" t="s">
        <v>1769</v>
      </c>
      <c r="AA31" s="29" t="s">
        <v>17</v>
      </c>
      <c r="AB31" s="29">
        <v>45224</v>
      </c>
      <c r="AC31" s="29">
        <v>45255</v>
      </c>
      <c r="AD31" s="29" t="s">
        <v>1918</v>
      </c>
      <c r="AE31" s="29">
        <v>45273</v>
      </c>
    </row>
    <row r="32" spans="4:31" ht="24.95" customHeight="1" x14ac:dyDescent="0.3">
      <c r="D32" s="6">
        <f t="shared" si="0"/>
        <v>31</v>
      </c>
      <c r="E32" s="29" t="s">
        <v>1919</v>
      </c>
      <c r="F32" s="29" t="s">
        <v>1920</v>
      </c>
      <c r="G32" s="29" t="s">
        <v>1921</v>
      </c>
      <c r="H32" s="29" t="s">
        <v>1834</v>
      </c>
      <c r="I32" s="30" t="str">
        <f>VLOOKUP(H32,[1]VLOOKUP!$A$2:$B$35,2,FALSE)</f>
        <v>华中</v>
      </c>
      <c r="J32" s="29"/>
      <c r="K32" s="29"/>
      <c r="L32" s="30" t="e">
        <f>VLOOKUP(K32,[1]VLOOKUP!$A$2:$B$35,2,FALSE)</f>
        <v>#N/A</v>
      </c>
      <c r="M32" s="29"/>
      <c r="N32" s="29"/>
      <c r="O32" s="30" t="e">
        <f>VLOOKUP(N32,[1]VLOOKUP!$A$2:$B$35,2,FALSE)</f>
        <v>#N/A</v>
      </c>
      <c r="P32" s="6"/>
      <c r="Q32" s="6"/>
      <c r="R32" s="6"/>
      <c r="S32" s="6"/>
      <c r="T32" s="6"/>
      <c r="U32" s="6"/>
      <c r="V32" s="6">
        <v>1</v>
      </c>
      <c r="W32" s="8" t="s">
        <v>77</v>
      </c>
      <c r="X32" s="6"/>
      <c r="Y32" s="6"/>
      <c r="Z32" s="29" t="s">
        <v>1835</v>
      </c>
      <c r="AA32" s="29" t="s">
        <v>17</v>
      </c>
      <c r="AB32" s="29">
        <v>45230</v>
      </c>
      <c r="AC32" s="29">
        <v>45320</v>
      </c>
      <c r="AD32" s="29" t="s">
        <v>1922</v>
      </c>
      <c r="AE32" s="29">
        <v>45236</v>
      </c>
    </row>
    <row r="33" spans="4:31" ht="24.95" customHeight="1" x14ac:dyDescent="0.3">
      <c r="D33" s="6">
        <f t="shared" si="0"/>
        <v>32</v>
      </c>
      <c r="E33" s="29" t="s">
        <v>1923</v>
      </c>
      <c r="F33" s="29" t="s">
        <v>1924</v>
      </c>
      <c r="G33" s="29" t="s">
        <v>1921</v>
      </c>
      <c r="H33" s="29" t="s">
        <v>1834</v>
      </c>
      <c r="I33" s="30" t="str">
        <f>VLOOKUP(H33,[1]VLOOKUP!$A$2:$B$35,2,FALSE)</f>
        <v>华中</v>
      </c>
      <c r="J33" s="29"/>
      <c r="K33" s="29"/>
      <c r="L33" s="30" t="e">
        <f>VLOOKUP(K33,[1]VLOOKUP!$A$2:$B$35,2,FALSE)</f>
        <v>#N/A</v>
      </c>
      <c r="M33" s="29"/>
      <c r="N33" s="29"/>
      <c r="O33" s="30" t="e">
        <f>VLOOKUP(N33,[1]VLOOKUP!$A$2:$B$35,2,FALSE)</f>
        <v>#N/A</v>
      </c>
      <c r="P33" s="6"/>
      <c r="Q33" s="6"/>
      <c r="R33" s="6"/>
      <c r="S33" s="6"/>
      <c r="T33" s="6">
        <v>1</v>
      </c>
      <c r="U33" s="8" t="s">
        <v>48</v>
      </c>
      <c r="V33" s="6"/>
      <c r="W33" s="6"/>
      <c r="X33" s="6"/>
      <c r="Y33" s="6"/>
      <c r="Z33" s="29" t="s">
        <v>1835</v>
      </c>
      <c r="AA33" s="29" t="s">
        <v>17</v>
      </c>
      <c r="AB33" s="29">
        <v>45230</v>
      </c>
      <c r="AC33" s="29">
        <v>45320</v>
      </c>
      <c r="AD33" s="29" t="s">
        <v>1925</v>
      </c>
      <c r="AE33" s="29">
        <v>45236</v>
      </c>
    </row>
    <row r="34" spans="4:31" ht="24.95" customHeight="1" x14ac:dyDescent="0.3">
      <c r="D34" s="6">
        <f t="shared" si="0"/>
        <v>33</v>
      </c>
      <c r="E34" s="29" t="s">
        <v>1926</v>
      </c>
      <c r="F34" s="29" t="s">
        <v>1927</v>
      </c>
      <c r="G34" s="29" t="s">
        <v>1921</v>
      </c>
      <c r="H34" s="29" t="s">
        <v>1834</v>
      </c>
      <c r="I34" s="30" t="str">
        <f>VLOOKUP(H34,[1]VLOOKUP!$A$2:$B$35,2,FALSE)</f>
        <v>华中</v>
      </c>
      <c r="J34" s="29"/>
      <c r="K34" s="29"/>
      <c r="L34" s="30" t="e">
        <f>VLOOKUP(K34,[1]VLOOKUP!$A$2:$B$35,2,FALSE)</f>
        <v>#N/A</v>
      </c>
      <c r="M34" s="29"/>
      <c r="N34" s="29"/>
      <c r="O34" s="30" t="e">
        <f>VLOOKUP(N34,[1]VLOOKUP!$A$2:$B$35,2,FALSE)</f>
        <v>#N/A</v>
      </c>
      <c r="P34" s="6"/>
      <c r="Q34" s="6"/>
      <c r="R34" s="6"/>
      <c r="S34" s="6"/>
      <c r="T34" s="6">
        <v>1</v>
      </c>
      <c r="U34" s="8" t="s">
        <v>48</v>
      </c>
      <c r="V34" s="6"/>
      <c r="W34" s="6"/>
      <c r="X34" s="6"/>
      <c r="Y34" s="6"/>
      <c r="Z34" s="29" t="s">
        <v>1835</v>
      </c>
      <c r="AA34" s="29" t="s">
        <v>17</v>
      </c>
      <c r="AB34" s="29">
        <v>45230</v>
      </c>
      <c r="AC34" s="29">
        <v>45320</v>
      </c>
      <c r="AD34" s="29" t="s">
        <v>1928</v>
      </c>
      <c r="AE34" s="29">
        <v>45236</v>
      </c>
    </row>
    <row r="35" spans="4:31" ht="24.95" customHeight="1" x14ac:dyDescent="0.3">
      <c r="D35" s="6">
        <f t="shared" si="0"/>
        <v>34</v>
      </c>
      <c r="E35" s="29" t="s">
        <v>1929</v>
      </c>
      <c r="F35" s="29" t="s">
        <v>641</v>
      </c>
      <c r="G35" s="29" t="s">
        <v>1930</v>
      </c>
      <c r="H35" s="29" t="s">
        <v>1931</v>
      </c>
      <c r="I35" s="30" t="str">
        <f>VLOOKUP(H35,[1]VLOOKUP!$A$2:$B$35,2,FALSE)</f>
        <v>西北</v>
      </c>
      <c r="J35" s="29" t="s">
        <v>1932</v>
      </c>
      <c r="K35" s="29" t="s">
        <v>1760</v>
      </c>
      <c r="L35" s="30" t="str">
        <f>VLOOKUP(K35,[1]VLOOKUP!$A$2:$B$35,2,FALSE)</f>
        <v>华北</v>
      </c>
      <c r="M35" s="29" t="s">
        <v>1933</v>
      </c>
      <c r="N35" s="29" t="s">
        <v>1826</v>
      </c>
      <c r="O35" s="30" t="str">
        <f>VLOOKUP(N35,[1]VLOOKUP!$A$2:$B$35,2,FALSE)</f>
        <v>东北</v>
      </c>
      <c r="P35" s="6"/>
      <c r="Q35" s="6"/>
      <c r="R35" s="6"/>
      <c r="S35" s="6"/>
      <c r="T35" s="6"/>
      <c r="U35" s="6"/>
      <c r="V35" s="6">
        <v>1</v>
      </c>
      <c r="W35" s="8" t="s">
        <v>77</v>
      </c>
      <c r="X35" s="6"/>
      <c r="Y35" s="6"/>
      <c r="Z35" s="29" t="s">
        <v>1934</v>
      </c>
      <c r="AA35" s="29" t="s">
        <v>17</v>
      </c>
      <c r="AB35" s="29">
        <v>45255</v>
      </c>
      <c r="AC35" s="29">
        <v>45285</v>
      </c>
      <c r="AD35" s="29" t="s">
        <v>1935</v>
      </c>
      <c r="AE35" s="29">
        <v>45294</v>
      </c>
    </row>
    <row r="36" spans="4:31" ht="24.95" customHeight="1" x14ac:dyDescent="0.3">
      <c r="D36" s="6">
        <f t="shared" si="0"/>
        <v>35</v>
      </c>
      <c r="E36" s="29" t="s">
        <v>1936</v>
      </c>
      <c r="F36" s="29" t="s">
        <v>1937</v>
      </c>
      <c r="G36" s="29" t="s">
        <v>1816</v>
      </c>
      <c r="H36" s="29" t="s">
        <v>1809</v>
      </c>
      <c r="I36" s="30" t="str">
        <f>VLOOKUP(H36,[1]VLOOKUP!$A$2:$B$35,2,FALSE)</f>
        <v>华东</v>
      </c>
      <c r="J36" s="29" t="s">
        <v>1938</v>
      </c>
      <c r="K36" s="29" t="s">
        <v>1809</v>
      </c>
      <c r="L36" s="30" t="str">
        <f>VLOOKUP(K36,[1]VLOOKUP!$A$2:$B$35,2,FALSE)</f>
        <v>华东</v>
      </c>
      <c r="M36" s="29" t="s">
        <v>1939</v>
      </c>
      <c r="N36" s="29" t="s">
        <v>1809</v>
      </c>
      <c r="O36" s="30" t="str">
        <f>VLOOKUP(N36,[1]VLOOKUP!$A$2:$B$35,2,FALSE)</f>
        <v>华东</v>
      </c>
      <c r="P36" s="6"/>
      <c r="Q36" s="6"/>
      <c r="R36" s="6"/>
      <c r="S36" s="6"/>
      <c r="T36" s="6"/>
      <c r="U36" s="6"/>
      <c r="V36" s="6"/>
      <c r="W36" s="6"/>
      <c r="X36" s="6">
        <v>1</v>
      </c>
      <c r="Y36" s="8" t="s">
        <v>16</v>
      </c>
      <c r="Z36" s="29" t="s">
        <v>1812</v>
      </c>
      <c r="AA36" s="29" t="s">
        <v>17</v>
      </c>
      <c r="AB36" s="29">
        <v>45251</v>
      </c>
      <c r="AC36" s="29">
        <v>45352</v>
      </c>
      <c r="AD36" s="29" t="s">
        <v>1940</v>
      </c>
      <c r="AE36" s="29">
        <v>45261</v>
      </c>
    </row>
    <row r="37" spans="4:31" ht="24.95" customHeight="1" x14ac:dyDescent="0.3">
      <c r="D37" s="6">
        <f t="shared" si="0"/>
        <v>36</v>
      </c>
      <c r="E37" s="29" t="s">
        <v>1941</v>
      </c>
      <c r="F37" s="29" t="s">
        <v>1942</v>
      </c>
      <c r="G37" s="29" t="s">
        <v>1943</v>
      </c>
      <c r="H37" s="29" t="s">
        <v>1767</v>
      </c>
      <c r="I37" s="30" t="str">
        <f>VLOOKUP(H37,[1]VLOOKUP!$A$2:$B$35,2,FALSE)</f>
        <v>华北</v>
      </c>
      <c r="J37" s="29" t="s">
        <v>1944</v>
      </c>
      <c r="K37" s="29" t="s">
        <v>1797</v>
      </c>
      <c r="L37" s="30" t="str">
        <f>VLOOKUP(K37,[1]VLOOKUP!$A$2:$B$35,2,FALSE)</f>
        <v>华北</v>
      </c>
      <c r="M37" s="29" t="s">
        <v>1945</v>
      </c>
      <c r="N37" s="29" t="s">
        <v>1767</v>
      </c>
      <c r="O37" s="30" t="str">
        <f>VLOOKUP(N37,[1]VLOOKUP!$A$2:$B$35,2,FALSE)</f>
        <v>华北</v>
      </c>
      <c r="P37" s="6"/>
      <c r="Q37" s="6"/>
      <c r="R37" s="6"/>
      <c r="S37" s="6"/>
      <c r="T37" s="6"/>
      <c r="U37" s="6"/>
      <c r="V37" s="6">
        <v>1</v>
      </c>
      <c r="W37" s="8" t="s">
        <v>77</v>
      </c>
      <c r="X37" s="6"/>
      <c r="Y37" s="6"/>
      <c r="Z37" s="29" t="s">
        <v>1842</v>
      </c>
      <c r="AA37" s="29" t="s">
        <v>17</v>
      </c>
      <c r="AB37" s="29">
        <v>45264</v>
      </c>
      <c r="AC37" s="29">
        <v>45295</v>
      </c>
      <c r="AD37" s="29" t="s">
        <v>1946</v>
      </c>
      <c r="AE37" s="29">
        <v>45264</v>
      </c>
    </row>
    <row r="38" spans="4:31" ht="24.95" customHeight="1" x14ac:dyDescent="0.3">
      <c r="D38" s="6">
        <f t="shared" si="0"/>
        <v>37</v>
      </c>
      <c r="E38" s="29" t="s">
        <v>1947</v>
      </c>
      <c r="F38" s="29" t="s">
        <v>1948</v>
      </c>
      <c r="G38" s="29" t="s">
        <v>1949</v>
      </c>
      <c r="H38" s="29" t="s">
        <v>1880</v>
      </c>
      <c r="I38" s="30" t="str">
        <f>VLOOKUP(H38,[1]VLOOKUP!$A$2:$B$35,2,FALSE)</f>
        <v>华中</v>
      </c>
      <c r="J38" s="29" t="s">
        <v>1950</v>
      </c>
      <c r="K38" s="29" t="s">
        <v>1880</v>
      </c>
      <c r="L38" s="30" t="str">
        <f>VLOOKUP(K38,[1]VLOOKUP!$A$2:$B$35,2,FALSE)</f>
        <v>华中</v>
      </c>
      <c r="M38" s="29" t="s">
        <v>1951</v>
      </c>
      <c r="N38" s="29" t="s">
        <v>1880</v>
      </c>
      <c r="O38" s="30" t="str">
        <f>VLOOKUP(N38,[1]VLOOKUP!$A$2:$B$35,2,FALSE)</f>
        <v>华中</v>
      </c>
      <c r="P38" s="6"/>
      <c r="Q38" s="6"/>
      <c r="R38" s="6"/>
      <c r="S38" s="6"/>
      <c r="T38" s="6">
        <v>1</v>
      </c>
      <c r="U38" s="8" t="s">
        <v>48</v>
      </c>
      <c r="V38" s="6"/>
      <c r="W38" s="6"/>
      <c r="X38" s="6"/>
      <c r="Y38" s="6"/>
      <c r="Z38" s="29" t="s">
        <v>1883</v>
      </c>
      <c r="AA38" s="29" t="s">
        <v>17</v>
      </c>
      <c r="AB38" s="29">
        <v>45283</v>
      </c>
      <c r="AC38" s="29">
        <v>45345</v>
      </c>
      <c r="AD38" s="29" t="s">
        <v>1952</v>
      </c>
      <c r="AE38" s="29">
        <v>45306</v>
      </c>
    </row>
    <row r="39" spans="4:31" ht="24.95" customHeight="1" x14ac:dyDescent="0.3">
      <c r="D39" s="6">
        <f t="shared" si="0"/>
        <v>38</v>
      </c>
      <c r="E39" s="29" t="s">
        <v>1953</v>
      </c>
      <c r="F39" s="29" t="s">
        <v>184</v>
      </c>
      <c r="G39" s="29" t="s">
        <v>1954</v>
      </c>
      <c r="H39" s="29" t="s">
        <v>1758</v>
      </c>
      <c r="I39" s="30" t="str">
        <f>VLOOKUP(H39,[1]VLOOKUP!$A$2:$B$35,2,FALSE)</f>
        <v>华南</v>
      </c>
      <c r="J39" s="29" t="s">
        <v>1955</v>
      </c>
      <c r="K39" s="29" t="s">
        <v>1758</v>
      </c>
      <c r="L39" s="30" t="str">
        <f>VLOOKUP(K39,[1]VLOOKUP!$A$2:$B$35,2,FALSE)</f>
        <v>华南</v>
      </c>
      <c r="M39" s="29" t="s">
        <v>1956</v>
      </c>
      <c r="N39" s="29" t="s">
        <v>1758</v>
      </c>
      <c r="O39" s="30" t="str">
        <f>VLOOKUP(N39,[1]VLOOKUP!$A$2:$B$35,2,FALSE)</f>
        <v>华南</v>
      </c>
      <c r="P39" s="6"/>
      <c r="Q39" s="6"/>
      <c r="R39" s="6"/>
      <c r="S39" s="6"/>
      <c r="T39" s="6"/>
      <c r="U39" s="6"/>
      <c r="V39" s="6"/>
      <c r="W39" s="6"/>
      <c r="X39" s="6">
        <v>1</v>
      </c>
      <c r="Y39" s="8" t="s">
        <v>16</v>
      </c>
      <c r="Z39" s="29" t="s">
        <v>1957</v>
      </c>
      <c r="AA39" s="29" t="s">
        <v>17</v>
      </c>
      <c r="AB39" s="29">
        <v>45343</v>
      </c>
      <c r="AC39" s="29">
        <v>45343</v>
      </c>
      <c r="AD39" s="29" t="s">
        <v>1958</v>
      </c>
      <c r="AE39" s="29">
        <v>45371</v>
      </c>
    </row>
    <row r="40" spans="4:31" ht="24.95" customHeight="1" x14ac:dyDescent="0.3">
      <c r="D40" s="6">
        <f t="shared" si="0"/>
        <v>39</v>
      </c>
      <c r="E40" s="29" t="s">
        <v>1959</v>
      </c>
      <c r="F40" s="29" t="s">
        <v>1960</v>
      </c>
      <c r="G40" s="29" t="s">
        <v>1961</v>
      </c>
      <c r="H40" s="29" t="s">
        <v>1767</v>
      </c>
      <c r="I40" s="30" t="str">
        <f>VLOOKUP(H40,[1]VLOOKUP!$A$2:$B$35,2,FALSE)</f>
        <v>华北</v>
      </c>
      <c r="J40" s="29"/>
      <c r="K40" s="29"/>
      <c r="L40" s="30" t="e">
        <f>VLOOKUP(K40,[1]VLOOKUP!$A$2:$B$35,2,FALSE)</f>
        <v>#N/A</v>
      </c>
      <c r="M40" s="29"/>
      <c r="N40" s="29"/>
      <c r="O40" s="30" t="e">
        <f>VLOOKUP(N40,[1]VLOOKUP!$A$2:$B$35,2,FALSE)</f>
        <v>#N/A</v>
      </c>
      <c r="P40" s="6"/>
      <c r="Q40" s="6"/>
      <c r="R40" s="6">
        <v>1</v>
      </c>
      <c r="S40" s="8" t="s">
        <v>130</v>
      </c>
      <c r="T40" s="6"/>
      <c r="U40" s="6"/>
      <c r="V40" s="6"/>
      <c r="W40" s="6"/>
      <c r="X40" s="6"/>
      <c r="Y40" s="6"/>
      <c r="Z40" s="29" t="s">
        <v>1769</v>
      </c>
      <c r="AA40" s="29" t="s">
        <v>17</v>
      </c>
      <c r="AB40" s="29">
        <v>45324</v>
      </c>
      <c r="AC40" s="29">
        <v>45353</v>
      </c>
      <c r="AD40" s="29" t="s">
        <v>1962</v>
      </c>
      <c r="AE40" s="29">
        <v>45372</v>
      </c>
    </row>
    <row r="41" spans="4:31" ht="24.95" customHeight="1" x14ac:dyDescent="0.3">
      <c r="D41" s="6">
        <f t="shared" si="0"/>
        <v>40</v>
      </c>
      <c r="E41" s="29" t="s">
        <v>1963</v>
      </c>
      <c r="F41" s="29" t="s">
        <v>82</v>
      </c>
      <c r="G41" s="29" t="s">
        <v>1964</v>
      </c>
      <c r="H41" s="29" t="s">
        <v>1758</v>
      </c>
      <c r="I41" s="30" t="str">
        <f>VLOOKUP(H41,[1]VLOOKUP!$A$2:$B$35,2,FALSE)</f>
        <v>华南</v>
      </c>
      <c r="J41" s="29" t="s">
        <v>1846</v>
      </c>
      <c r="K41" s="29" t="s">
        <v>1758</v>
      </c>
      <c r="L41" s="30" t="str">
        <f>VLOOKUP(K41,[1]VLOOKUP!$A$2:$B$35,2,FALSE)</f>
        <v>华南</v>
      </c>
      <c r="M41" s="29" t="s">
        <v>1845</v>
      </c>
      <c r="N41" s="29" t="s">
        <v>1758</v>
      </c>
      <c r="O41" s="30" t="str">
        <f>VLOOKUP(N41,[1]VLOOKUP!$A$2:$B$35,2,FALSE)</f>
        <v>华南</v>
      </c>
      <c r="P41" s="6"/>
      <c r="Q41" s="6"/>
      <c r="R41" s="6"/>
      <c r="S41" s="6"/>
      <c r="T41" s="6"/>
      <c r="U41" s="6"/>
      <c r="V41" s="6">
        <v>1</v>
      </c>
      <c r="W41" s="8" t="s">
        <v>77</v>
      </c>
      <c r="X41" s="6"/>
      <c r="Y41" s="6"/>
      <c r="Z41" s="29" t="s">
        <v>1762</v>
      </c>
      <c r="AA41" s="29" t="s">
        <v>17</v>
      </c>
      <c r="AB41" s="29">
        <v>45358</v>
      </c>
      <c r="AC41" s="29">
        <v>45450</v>
      </c>
      <c r="AD41" s="29" t="s">
        <v>1965</v>
      </c>
      <c r="AE41" s="29">
        <v>45427</v>
      </c>
    </row>
    <row r="42" spans="4:31" ht="24.95" customHeight="1" x14ac:dyDescent="0.3">
      <c r="D42" s="6">
        <f t="shared" si="0"/>
        <v>41</v>
      </c>
      <c r="E42" s="29" t="s">
        <v>1966</v>
      </c>
      <c r="F42" s="29" t="s">
        <v>148</v>
      </c>
      <c r="G42" s="29" t="s">
        <v>1967</v>
      </c>
      <c r="H42" s="29" t="s">
        <v>1760</v>
      </c>
      <c r="I42" s="30" t="str">
        <f>VLOOKUP(H42,[1]VLOOKUP!$A$2:$B$35,2,FALSE)</f>
        <v>华北</v>
      </c>
      <c r="J42" s="29" t="s">
        <v>1968</v>
      </c>
      <c r="K42" s="29" t="s">
        <v>1760</v>
      </c>
      <c r="L42" s="30" t="str">
        <f>VLOOKUP(K42,[1]VLOOKUP!$A$2:$B$35,2,FALSE)</f>
        <v>华北</v>
      </c>
      <c r="M42" s="29"/>
      <c r="N42" s="29"/>
      <c r="O42" s="30" t="e">
        <f>VLOOKUP(N42,[1]VLOOKUP!$A$2:$B$35,2,FALSE)</f>
        <v>#N/A</v>
      </c>
      <c r="P42" s="6"/>
      <c r="Q42" s="6"/>
      <c r="R42" s="6"/>
      <c r="S42" s="6"/>
      <c r="T42" s="6"/>
      <c r="U42" s="6"/>
      <c r="V42" s="6">
        <v>1</v>
      </c>
      <c r="W42" s="8" t="s">
        <v>77</v>
      </c>
      <c r="X42" s="6"/>
      <c r="Y42" s="6"/>
      <c r="Z42" s="29" t="s">
        <v>1969</v>
      </c>
      <c r="AA42" s="29" t="s">
        <v>17</v>
      </c>
      <c r="AB42" s="29">
        <v>45376</v>
      </c>
      <c r="AC42" s="29">
        <v>45474</v>
      </c>
      <c r="AD42" s="29" t="s">
        <v>1970</v>
      </c>
      <c r="AE42" s="29">
        <v>45405</v>
      </c>
    </row>
    <row r="43" spans="4:31" ht="24.95" customHeight="1" x14ac:dyDescent="0.3">
      <c r="D43" s="6">
        <f t="shared" si="0"/>
        <v>42</v>
      </c>
      <c r="E43" s="29" t="s">
        <v>1971</v>
      </c>
      <c r="F43" s="29" t="s">
        <v>1972</v>
      </c>
      <c r="G43" s="29" t="s">
        <v>1845</v>
      </c>
      <c r="H43" s="29" t="s">
        <v>1758</v>
      </c>
      <c r="I43" s="30" t="str">
        <f>VLOOKUP(H43,[1]VLOOKUP!$A$2:$B$35,2,FALSE)</f>
        <v>华南</v>
      </c>
      <c r="J43" s="29" t="s">
        <v>1846</v>
      </c>
      <c r="K43" s="29" t="s">
        <v>1758</v>
      </c>
      <c r="L43" s="30" t="str">
        <f>VLOOKUP(K43,[1]VLOOKUP!$A$2:$B$35,2,FALSE)</f>
        <v>华南</v>
      </c>
      <c r="M43" s="29" t="s">
        <v>1973</v>
      </c>
      <c r="N43" s="29" t="s">
        <v>1758</v>
      </c>
      <c r="O43" s="30" t="str">
        <f>VLOOKUP(N43,[1]VLOOKUP!$A$2:$B$35,2,FALSE)</f>
        <v>华南</v>
      </c>
      <c r="P43" s="6"/>
      <c r="Q43" s="6"/>
      <c r="R43" s="6"/>
      <c r="S43" s="6"/>
      <c r="T43" s="6">
        <v>1</v>
      </c>
      <c r="U43" s="8" t="s">
        <v>92</v>
      </c>
      <c r="V43" s="6"/>
      <c r="W43" s="6"/>
      <c r="X43" s="6"/>
      <c r="Y43" s="6"/>
      <c r="Z43" s="29" t="s">
        <v>1762</v>
      </c>
      <c r="AA43" s="29" t="s">
        <v>17</v>
      </c>
      <c r="AB43" s="29">
        <v>45423</v>
      </c>
      <c r="AC43" s="29">
        <v>45515</v>
      </c>
      <c r="AD43" s="29" t="s">
        <v>1974</v>
      </c>
      <c r="AE43" s="29">
        <v>45470</v>
      </c>
    </row>
    <row r="44" spans="4:31" ht="24.95" customHeight="1" x14ac:dyDescent="0.3">
      <c r="D44" s="6">
        <f t="shared" si="0"/>
        <v>43</v>
      </c>
      <c r="E44" s="29" t="s">
        <v>1975</v>
      </c>
      <c r="F44" s="29" t="s">
        <v>1976</v>
      </c>
      <c r="G44" s="29" t="s">
        <v>1895</v>
      </c>
      <c r="H44" s="29" t="s">
        <v>1894</v>
      </c>
      <c r="I44" s="30" t="str">
        <f>VLOOKUP(H44,[1]VLOOKUP!$A$2:$B$35,2,FALSE)</f>
        <v>西南</v>
      </c>
      <c r="J44" s="29" t="s">
        <v>1977</v>
      </c>
      <c r="K44" s="29" t="s">
        <v>1902</v>
      </c>
      <c r="L44" s="30" t="str">
        <f>VLOOKUP(K44,[1]VLOOKUP!$A$2:$B$35,2,FALSE)</f>
        <v>华东</v>
      </c>
      <c r="M44" s="29" t="s">
        <v>1978</v>
      </c>
      <c r="N44" s="29" t="s">
        <v>1979</v>
      </c>
      <c r="O44" s="30" t="str">
        <f>VLOOKUP(N44,[1]VLOOKUP!$A$2:$B$35,2,FALSE)</f>
        <v>华东</v>
      </c>
      <c r="P44" s="6"/>
      <c r="Q44" s="6"/>
      <c r="R44" s="6"/>
      <c r="S44" s="6"/>
      <c r="T44" s="6"/>
      <c r="U44" s="6"/>
      <c r="V44" s="6"/>
      <c r="W44" s="6"/>
      <c r="X44" s="6">
        <v>1</v>
      </c>
      <c r="Y44" s="8" t="s">
        <v>16</v>
      </c>
      <c r="Z44" s="29" t="s">
        <v>1897</v>
      </c>
      <c r="AA44" s="29" t="s">
        <v>17</v>
      </c>
      <c r="AB44" s="29">
        <v>45488</v>
      </c>
      <c r="AC44" s="29">
        <v>45580</v>
      </c>
      <c r="AD44" s="29" t="s">
        <v>1980</v>
      </c>
      <c r="AE44" s="29">
        <v>45510</v>
      </c>
    </row>
    <row r="45" spans="4:31" ht="24.95" customHeight="1" x14ac:dyDescent="0.3">
      <c r="D45" s="6">
        <f t="shared" si="0"/>
        <v>44</v>
      </c>
      <c r="E45" s="29" t="s">
        <v>1981</v>
      </c>
      <c r="F45" s="29" t="s">
        <v>1982</v>
      </c>
      <c r="G45" s="29" t="s">
        <v>560</v>
      </c>
      <c r="H45" s="29" t="s">
        <v>1760</v>
      </c>
      <c r="I45" s="30" t="str">
        <f>VLOOKUP(H45,[1]VLOOKUP!$A$2:$B$35,2,FALSE)</f>
        <v>华北</v>
      </c>
      <c r="J45" s="29" t="s">
        <v>1983</v>
      </c>
      <c r="K45" s="29" t="s">
        <v>1760</v>
      </c>
      <c r="L45" s="30" t="str">
        <f>VLOOKUP(K45,[1]VLOOKUP!$A$2:$B$35,2,FALSE)</f>
        <v>华北</v>
      </c>
      <c r="M45" s="29" t="s">
        <v>1984</v>
      </c>
      <c r="N45" s="29" t="s">
        <v>1760</v>
      </c>
      <c r="O45" s="30" t="str">
        <f>VLOOKUP(N45,[1]VLOOKUP!$A$2:$B$35,2,FALSE)</f>
        <v>华北</v>
      </c>
      <c r="P45" s="6"/>
      <c r="Q45" s="6"/>
      <c r="R45" s="6"/>
      <c r="S45" s="6"/>
      <c r="T45" s="6"/>
      <c r="U45" s="6"/>
      <c r="V45" s="6"/>
      <c r="W45" s="6"/>
      <c r="X45" s="6">
        <v>1</v>
      </c>
      <c r="Y45" s="8" t="s">
        <v>16</v>
      </c>
      <c r="Z45" s="29" t="s">
        <v>1969</v>
      </c>
      <c r="AA45" s="29" t="s">
        <v>17</v>
      </c>
      <c r="AB45" s="29">
        <v>45558</v>
      </c>
      <c r="AC45" s="29">
        <v>45658</v>
      </c>
      <c r="AD45" s="29" t="s">
        <v>1985</v>
      </c>
      <c r="AE45" s="29">
        <v>45562</v>
      </c>
    </row>
    <row r="46" spans="4:31" ht="24.95" customHeight="1" x14ac:dyDescent="0.3">
      <c r="D46" s="6">
        <f t="shared" si="0"/>
        <v>45</v>
      </c>
      <c r="E46" s="29" t="s">
        <v>1986</v>
      </c>
      <c r="F46" s="29" t="s">
        <v>1987</v>
      </c>
      <c r="G46" s="29" t="s">
        <v>1988</v>
      </c>
      <c r="H46" s="29" t="s">
        <v>1989</v>
      </c>
      <c r="I46" s="30" t="str">
        <f>VLOOKUP(H46,[1]VLOOKUP!$A$2:$B$35,2,FALSE)</f>
        <v>西南</v>
      </c>
      <c r="J46" s="29" t="s">
        <v>1990</v>
      </c>
      <c r="K46" s="29" t="s">
        <v>1989</v>
      </c>
      <c r="L46" s="30" t="str">
        <f>VLOOKUP(K46,[1]VLOOKUP!$A$2:$B$35,2,FALSE)</f>
        <v>西南</v>
      </c>
      <c r="M46" s="29" t="s">
        <v>1991</v>
      </c>
      <c r="N46" s="29" t="s">
        <v>1773</v>
      </c>
      <c r="O46" s="30" t="str">
        <f>VLOOKUP(N46,[1]VLOOKUP!$A$2:$B$35,2,FALSE)</f>
        <v>华东</v>
      </c>
      <c r="P46" s="6"/>
      <c r="Q46" s="6"/>
      <c r="R46" s="6"/>
      <c r="S46" s="6"/>
      <c r="T46" s="6"/>
      <c r="U46" s="6"/>
      <c r="V46" s="6"/>
      <c r="W46" s="6"/>
      <c r="X46" s="6">
        <v>1</v>
      </c>
      <c r="Y46" s="8" t="s">
        <v>16</v>
      </c>
      <c r="Z46" s="29" t="s">
        <v>1992</v>
      </c>
      <c r="AA46" s="29" t="s">
        <v>17</v>
      </c>
      <c r="AB46" s="29">
        <v>45573</v>
      </c>
      <c r="AC46" s="29">
        <v>45604</v>
      </c>
      <c r="AD46" s="29" t="s">
        <v>1993</v>
      </c>
      <c r="AE46" s="29">
        <v>45583</v>
      </c>
    </row>
    <row r="47" spans="4:31" ht="24.95" customHeight="1" x14ac:dyDescent="0.3">
      <c r="D47" s="6">
        <f t="shared" si="0"/>
        <v>46</v>
      </c>
      <c r="E47" s="29" t="s">
        <v>1994</v>
      </c>
      <c r="F47" s="29" t="s">
        <v>1995</v>
      </c>
      <c r="G47" s="29" t="s">
        <v>1939</v>
      </c>
      <c r="H47" s="29" t="s">
        <v>1809</v>
      </c>
      <c r="I47" s="30" t="str">
        <f>VLOOKUP(H47,[1]VLOOKUP!$A$2:$B$35,2,FALSE)</f>
        <v>华东</v>
      </c>
      <c r="J47" s="29" t="s">
        <v>1816</v>
      </c>
      <c r="K47" s="29" t="s">
        <v>1809</v>
      </c>
      <c r="L47" s="30" t="str">
        <f>VLOOKUP(K47,[1]VLOOKUP!$A$2:$B$35,2,FALSE)</f>
        <v>华东</v>
      </c>
      <c r="M47" s="29" t="s">
        <v>1938</v>
      </c>
      <c r="N47" s="29" t="s">
        <v>1809</v>
      </c>
      <c r="O47" s="30" t="str">
        <f>VLOOKUP(N47,[1]VLOOKUP!$A$2:$B$35,2,FALSE)</f>
        <v>华东</v>
      </c>
      <c r="P47" s="6"/>
      <c r="Q47" s="6"/>
      <c r="R47" s="6"/>
      <c r="S47" s="6"/>
      <c r="T47" s="6"/>
      <c r="U47" s="6"/>
      <c r="V47" s="6"/>
      <c r="W47" s="6"/>
      <c r="X47" s="6">
        <v>1</v>
      </c>
      <c r="Y47" s="8" t="s">
        <v>16</v>
      </c>
      <c r="Z47" s="29" t="s">
        <v>1812</v>
      </c>
      <c r="AA47" s="29" t="s">
        <v>17</v>
      </c>
      <c r="AB47" s="29">
        <v>45625</v>
      </c>
      <c r="AC47" s="29">
        <v>45717</v>
      </c>
      <c r="AD47" s="29" t="s">
        <v>1996</v>
      </c>
      <c r="AE47" s="29">
        <v>45653</v>
      </c>
    </row>
    <row r="48" spans="4:31" ht="24.95" customHeight="1" x14ac:dyDescent="0.3">
      <c r="D48" s="6">
        <f t="shared" si="0"/>
        <v>47</v>
      </c>
      <c r="E48" s="29" t="s">
        <v>1997</v>
      </c>
      <c r="F48" s="29" t="s">
        <v>1998</v>
      </c>
      <c r="G48" s="29" t="s">
        <v>1964</v>
      </c>
      <c r="H48" s="29" t="s">
        <v>1758</v>
      </c>
      <c r="I48" s="30" t="str">
        <f>VLOOKUP(H48,[1]VLOOKUP!$A$2:$B$35,2,FALSE)</f>
        <v>华南</v>
      </c>
      <c r="J48" s="29" t="s">
        <v>1846</v>
      </c>
      <c r="K48" s="29" t="s">
        <v>1758</v>
      </c>
      <c r="L48" s="30" t="str">
        <f>VLOOKUP(K48,[1]VLOOKUP!$A$2:$B$35,2,FALSE)</f>
        <v>华南</v>
      </c>
      <c r="M48" s="29" t="s">
        <v>1845</v>
      </c>
      <c r="N48" s="29" t="s">
        <v>1758</v>
      </c>
      <c r="O48" s="30" t="str">
        <f>VLOOKUP(N48,[1]VLOOKUP!$A$2:$B$35,2,FALSE)</f>
        <v>华南</v>
      </c>
      <c r="P48" s="6"/>
      <c r="Q48" s="6"/>
      <c r="R48" s="6"/>
      <c r="S48" s="6"/>
      <c r="T48" s="6">
        <v>1</v>
      </c>
      <c r="U48" s="8" t="s">
        <v>92</v>
      </c>
      <c r="V48" s="6"/>
      <c r="W48" s="6"/>
      <c r="X48" s="6"/>
      <c r="Y48" s="6"/>
      <c r="Z48" s="29" t="s">
        <v>1762</v>
      </c>
      <c r="AA48" s="29" t="s">
        <v>17</v>
      </c>
      <c r="AB48" s="29">
        <v>45649</v>
      </c>
      <c r="AC48" s="29">
        <v>45739</v>
      </c>
      <c r="AD48" s="29" t="s">
        <v>1999</v>
      </c>
      <c r="AE48" s="29">
        <v>45671</v>
      </c>
    </row>
    <row r="49" spans="1:31" ht="24.95" customHeight="1" x14ac:dyDescent="0.3">
      <c r="D49" s="6">
        <f t="shared" si="0"/>
        <v>48</v>
      </c>
      <c r="E49" s="29" t="s">
        <v>2000</v>
      </c>
      <c r="F49" s="29" t="s">
        <v>2001</v>
      </c>
      <c r="G49" s="29" t="s">
        <v>1846</v>
      </c>
      <c r="H49" s="29" t="s">
        <v>1758</v>
      </c>
      <c r="I49" s="30" t="str">
        <f>VLOOKUP(H49,[1]VLOOKUP!$A$2:$B$35,2,FALSE)</f>
        <v>华南</v>
      </c>
      <c r="J49" s="29" t="s">
        <v>1964</v>
      </c>
      <c r="K49" s="29" t="s">
        <v>1758</v>
      </c>
      <c r="L49" s="30" t="str">
        <f>VLOOKUP(K49,[1]VLOOKUP!$A$2:$B$35,2,FALSE)</f>
        <v>华南</v>
      </c>
      <c r="M49" s="29" t="s">
        <v>1845</v>
      </c>
      <c r="N49" s="29" t="s">
        <v>1758</v>
      </c>
      <c r="O49" s="30" t="str">
        <f>VLOOKUP(N49,[1]VLOOKUP!$A$2:$B$35,2,FALSE)</f>
        <v>华南</v>
      </c>
      <c r="P49" s="6"/>
      <c r="Q49" s="6"/>
      <c r="R49" s="6"/>
      <c r="S49" s="6"/>
      <c r="T49" s="6">
        <v>1</v>
      </c>
      <c r="U49" s="8" t="s">
        <v>92</v>
      </c>
      <c r="V49" s="6"/>
      <c r="W49" s="6"/>
      <c r="X49" s="6"/>
      <c r="Y49" s="6"/>
      <c r="Z49" s="29" t="s">
        <v>1762</v>
      </c>
      <c r="AA49" s="29" t="s">
        <v>17</v>
      </c>
      <c r="AB49" s="29">
        <v>45649</v>
      </c>
      <c r="AC49" s="29">
        <v>45739</v>
      </c>
      <c r="AD49" s="29" t="s">
        <v>2002</v>
      </c>
      <c r="AE49" s="29">
        <v>45671</v>
      </c>
    </row>
    <row r="50" spans="1:31" ht="24.95" customHeight="1" x14ac:dyDescent="0.3">
      <c r="D50" s="6">
        <f t="shared" si="0"/>
        <v>49</v>
      </c>
      <c r="E50" s="29" t="s">
        <v>2003</v>
      </c>
      <c r="F50" s="29" t="s">
        <v>2004</v>
      </c>
      <c r="G50" s="29" t="s">
        <v>1846</v>
      </c>
      <c r="H50" s="29" t="s">
        <v>1758</v>
      </c>
      <c r="I50" s="30" t="str">
        <f>VLOOKUP(H50,[1]VLOOKUP!$A$2:$B$35,2,FALSE)</f>
        <v>华南</v>
      </c>
      <c r="J50" s="29" t="s">
        <v>1964</v>
      </c>
      <c r="K50" s="29" t="s">
        <v>1758</v>
      </c>
      <c r="L50" s="30" t="str">
        <f>VLOOKUP(K50,[1]VLOOKUP!$A$2:$B$35,2,FALSE)</f>
        <v>华南</v>
      </c>
      <c r="M50" s="29" t="s">
        <v>1845</v>
      </c>
      <c r="N50" s="29" t="s">
        <v>1758</v>
      </c>
      <c r="O50" s="30" t="str">
        <f>VLOOKUP(N50,[1]VLOOKUP!$A$2:$B$35,2,FALSE)</f>
        <v>华南</v>
      </c>
      <c r="P50" s="6"/>
      <c r="Q50" s="6"/>
      <c r="R50" s="6"/>
      <c r="S50" s="6"/>
      <c r="T50" s="6">
        <v>1</v>
      </c>
      <c r="U50" s="8" t="s">
        <v>92</v>
      </c>
      <c r="V50" s="6"/>
      <c r="W50" s="6"/>
      <c r="X50" s="6"/>
      <c r="Y50" s="6"/>
      <c r="Z50" s="29" t="s">
        <v>1762</v>
      </c>
      <c r="AA50" s="29" t="s">
        <v>17</v>
      </c>
      <c r="AB50" s="29">
        <v>45649</v>
      </c>
      <c r="AC50" s="29">
        <v>45739</v>
      </c>
      <c r="AD50" s="29" t="s">
        <v>2005</v>
      </c>
      <c r="AE50" s="29">
        <v>45671</v>
      </c>
    </row>
    <row r="51" spans="1:31" ht="24.95" customHeight="1" x14ac:dyDescent="0.3">
      <c r="D51" s="6">
        <f t="shared" si="0"/>
        <v>50</v>
      </c>
      <c r="E51" s="29" t="s">
        <v>2006</v>
      </c>
      <c r="F51" s="29" t="s">
        <v>2007</v>
      </c>
      <c r="G51" s="29" t="s">
        <v>2008</v>
      </c>
      <c r="H51" s="29" t="s">
        <v>1760</v>
      </c>
      <c r="I51" s="30" t="str">
        <f>VLOOKUP(H51,[1]VLOOKUP!$A$2:$B$35,2,FALSE)</f>
        <v>华北</v>
      </c>
      <c r="J51" s="29" t="s">
        <v>1983</v>
      </c>
      <c r="K51" s="29" t="s">
        <v>1760</v>
      </c>
      <c r="L51" s="30" t="str">
        <f>VLOOKUP(K51,[1]VLOOKUP!$A$2:$B$35,2,FALSE)</f>
        <v>华北</v>
      </c>
      <c r="M51" s="29" t="s">
        <v>2009</v>
      </c>
      <c r="N51" s="29" t="s">
        <v>1760</v>
      </c>
      <c r="O51" s="30" t="str">
        <f>VLOOKUP(N51,[1]VLOOKUP!$A$2:$B$35,2,FALSE)</f>
        <v>华北</v>
      </c>
      <c r="P51" s="6"/>
      <c r="Q51" s="6"/>
      <c r="R51" s="6"/>
      <c r="S51" s="6"/>
      <c r="T51" s="6"/>
      <c r="U51" s="6"/>
      <c r="V51" s="6"/>
      <c r="W51" s="6"/>
      <c r="X51" s="6">
        <v>1</v>
      </c>
      <c r="Y51" s="8" t="s">
        <v>16</v>
      </c>
      <c r="Z51" s="29" t="s">
        <v>1969</v>
      </c>
      <c r="AA51" s="29" t="s">
        <v>17</v>
      </c>
      <c r="AB51" s="29">
        <v>45651</v>
      </c>
      <c r="AC51" s="29">
        <v>45748</v>
      </c>
      <c r="AD51" s="29" t="s">
        <v>2010</v>
      </c>
      <c r="AE51" s="29">
        <v>45664</v>
      </c>
    </row>
    <row r="52" spans="1:31" s="15" customFormat="1" ht="24.95" customHeight="1" x14ac:dyDescent="0.3">
      <c r="A52" s="14"/>
      <c r="B52" s="14"/>
      <c r="D52" s="6">
        <f t="shared" si="0"/>
        <v>51</v>
      </c>
      <c r="E52" s="29" t="s">
        <v>2011</v>
      </c>
      <c r="F52" s="29" t="s">
        <v>2012</v>
      </c>
      <c r="G52" s="29" t="s">
        <v>2013</v>
      </c>
      <c r="H52" s="29" t="s">
        <v>1773</v>
      </c>
      <c r="I52" s="30" t="str">
        <f>VLOOKUP(H52,[1]VLOOKUP!$A$2:$B$35,2,FALSE)</f>
        <v>华东</v>
      </c>
      <c r="J52" s="29" t="s">
        <v>2014</v>
      </c>
      <c r="K52" s="29" t="s">
        <v>1773</v>
      </c>
      <c r="L52" s="30" t="str">
        <f>VLOOKUP(K52,[1]VLOOKUP!$A$2:$B$35,2,FALSE)</f>
        <v>华东</v>
      </c>
      <c r="M52" s="29" t="s">
        <v>2015</v>
      </c>
      <c r="N52" s="29" t="s">
        <v>1760</v>
      </c>
      <c r="O52" s="30" t="str">
        <f>VLOOKUP(N52,[1]VLOOKUP!$A$2:$B$35,2,FALSE)</f>
        <v>华北</v>
      </c>
      <c r="P52" s="6">
        <v>1</v>
      </c>
      <c r="Q52" s="8" t="s">
        <v>21</v>
      </c>
      <c r="R52" s="6"/>
      <c r="S52" s="6"/>
      <c r="T52" s="6"/>
      <c r="U52" s="6"/>
      <c r="V52" s="6"/>
      <c r="W52" s="6"/>
      <c r="X52" s="6"/>
      <c r="Y52" s="6"/>
      <c r="Z52" s="29" t="s">
        <v>1776</v>
      </c>
      <c r="AA52" s="29" t="s">
        <v>17</v>
      </c>
      <c r="AB52" s="29">
        <v>45702</v>
      </c>
      <c r="AC52" s="29">
        <v>45730</v>
      </c>
      <c r="AD52" s="29" t="s">
        <v>2016</v>
      </c>
      <c r="AE52" s="29">
        <v>45713</v>
      </c>
    </row>
    <row r="53" spans="1:31" s="15" customFormat="1" ht="24.95" customHeight="1" x14ac:dyDescent="0.3">
      <c r="A53" s="14"/>
      <c r="B53" s="14"/>
      <c r="D53" s="6">
        <f t="shared" si="0"/>
        <v>52</v>
      </c>
      <c r="E53" s="29" t="s">
        <v>2017</v>
      </c>
      <c r="F53" s="29" t="s">
        <v>2018</v>
      </c>
      <c r="G53" s="29" t="s">
        <v>2013</v>
      </c>
      <c r="H53" s="29" t="s">
        <v>1773</v>
      </c>
      <c r="I53" s="30" t="str">
        <f>VLOOKUP(H53,[1]VLOOKUP!$A$2:$B$35,2,FALSE)</f>
        <v>华东</v>
      </c>
      <c r="J53" s="29" t="s">
        <v>2019</v>
      </c>
      <c r="K53" s="29" t="s">
        <v>1773</v>
      </c>
      <c r="L53" s="30" t="str">
        <f>VLOOKUP(K53,[1]VLOOKUP!$A$2:$B$35,2,FALSE)</f>
        <v>华东</v>
      </c>
      <c r="M53" s="29" t="s">
        <v>1772</v>
      </c>
      <c r="N53" s="29" t="s">
        <v>1773</v>
      </c>
      <c r="O53" s="30" t="str">
        <f>VLOOKUP(N53,[1]VLOOKUP!$A$2:$B$35,2,FALSE)</f>
        <v>华东</v>
      </c>
      <c r="P53" s="6"/>
      <c r="Q53" s="6"/>
      <c r="R53" s="6"/>
      <c r="S53" s="6"/>
      <c r="T53" s="6"/>
      <c r="U53" s="6"/>
      <c r="V53" s="6"/>
      <c r="W53" s="6"/>
      <c r="X53" s="6">
        <v>1</v>
      </c>
      <c r="Y53" s="8" t="s">
        <v>25</v>
      </c>
      <c r="Z53" s="29" t="s">
        <v>1776</v>
      </c>
      <c r="AA53" s="29" t="s">
        <v>17</v>
      </c>
      <c r="AB53" s="29">
        <v>45735</v>
      </c>
      <c r="AC53" s="29">
        <v>45763</v>
      </c>
      <c r="AD53" s="29" t="s">
        <v>2020</v>
      </c>
      <c r="AE53" s="29">
        <v>45737</v>
      </c>
    </row>
    <row r="54" spans="1:31" s="15" customFormat="1" ht="24.95" customHeight="1" x14ac:dyDescent="0.3">
      <c r="A54" s="14"/>
      <c r="B54" s="14"/>
      <c r="D54" s="6">
        <f t="shared" si="0"/>
        <v>53</v>
      </c>
      <c r="E54" s="29" t="s">
        <v>2021</v>
      </c>
      <c r="F54" s="29" t="s">
        <v>2022</v>
      </c>
      <c r="G54" s="29" t="s">
        <v>2023</v>
      </c>
      <c r="H54" s="29" t="s">
        <v>2024</v>
      </c>
      <c r="I54" s="30" t="str">
        <f>VLOOKUP(H54,[1]VLOOKUP!$A$2:$B$35,2,FALSE)</f>
        <v>华北</v>
      </c>
      <c r="J54" s="29"/>
      <c r="K54" s="29"/>
      <c r="L54" s="30" t="e">
        <f>VLOOKUP(K54,[1]VLOOKUP!$A$2:$B$35,2,FALSE)</f>
        <v>#N/A</v>
      </c>
      <c r="M54" s="29"/>
      <c r="N54" s="29"/>
      <c r="O54" s="30" t="e">
        <f>VLOOKUP(N54,[1]VLOOKUP!$A$2:$B$35,2,FALSE)</f>
        <v>#N/A</v>
      </c>
      <c r="P54" s="6"/>
      <c r="Q54" s="6"/>
      <c r="R54" s="6"/>
      <c r="S54" s="6"/>
      <c r="T54" s="6">
        <v>1</v>
      </c>
      <c r="U54" s="8" t="s">
        <v>92</v>
      </c>
      <c r="V54" s="6"/>
      <c r="W54" s="6"/>
      <c r="X54" s="6"/>
      <c r="Y54" s="6"/>
      <c r="Z54" s="29" t="s">
        <v>2025</v>
      </c>
      <c r="AA54" s="29" t="s">
        <v>17</v>
      </c>
      <c r="AB54" s="29">
        <v>45758</v>
      </c>
      <c r="AC54" s="29">
        <v>45848</v>
      </c>
      <c r="AD54" s="29" t="s">
        <v>2026</v>
      </c>
      <c r="AE54" s="29">
        <v>45761</v>
      </c>
    </row>
    <row r="55" spans="1:31" s="15" customFormat="1" ht="24.95" customHeight="1" x14ac:dyDescent="0.3">
      <c r="A55" s="14"/>
      <c r="B55" s="14"/>
      <c r="D55" s="6">
        <f t="shared" si="0"/>
        <v>54</v>
      </c>
      <c r="E55" s="29" t="s">
        <v>2027</v>
      </c>
      <c r="F55" s="29" t="s">
        <v>2028</v>
      </c>
      <c r="G55" s="29" t="s">
        <v>2029</v>
      </c>
      <c r="H55" s="29" t="s">
        <v>1826</v>
      </c>
      <c r="I55" s="30" t="str">
        <f>VLOOKUP(H55,[1]VLOOKUP!$A$2:$B$35,2,FALSE)</f>
        <v>东北</v>
      </c>
      <c r="J55" s="29" t="s">
        <v>2030</v>
      </c>
      <c r="K55" s="29" t="s">
        <v>1826</v>
      </c>
      <c r="L55" s="30" t="str">
        <f>VLOOKUP(K55,[1]VLOOKUP!$A$2:$B$35,2,FALSE)</f>
        <v>东北</v>
      </c>
      <c r="M55" s="29" t="s">
        <v>2031</v>
      </c>
      <c r="N55" s="29" t="s">
        <v>1826</v>
      </c>
      <c r="O55" s="30" t="str">
        <f>VLOOKUP(N55,[1]VLOOKUP!$A$2:$B$35,2,FALSE)</f>
        <v>东北</v>
      </c>
      <c r="P55" s="6"/>
      <c r="Q55" s="6"/>
      <c r="R55" s="6"/>
      <c r="S55" s="6"/>
      <c r="T55" s="6"/>
      <c r="U55" s="6"/>
      <c r="V55" s="6"/>
      <c r="W55" s="6"/>
      <c r="X55" s="6">
        <v>1</v>
      </c>
      <c r="Y55" s="8" t="s">
        <v>16</v>
      </c>
      <c r="Z55" s="29" t="s">
        <v>2032</v>
      </c>
      <c r="AA55" s="29" t="s">
        <v>17</v>
      </c>
      <c r="AB55" s="29">
        <v>45792</v>
      </c>
      <c r="AC55" s="29">
        <v>45823</v>
      </c>
      <c r="AD55" s="29" t="s">
        <v>2033</v>
      </c>
      <c r="AE55" s="29">
        <v>45800</v>
      </c>
    </row>
    <row r="56" spans="1:31" s="15" customFormat="1" ht="24.95" customHeight="1" x14ac:dyDescent="0.3">
      <c r="A56" s="14"/>
      <c r="B56" s="14"/>
      <c r="D56" s="6">
        <f t="shared" si="0"/>
        <v>55</v>
      </c>
      <c r="E56" s="29" t="s">
        <v>2034</v>
      </c>
      <c r="F56" s="29" t="s">
        <v>2035</v>
      </c>
      <c r="G56" s="29" t="s">
        <v>2036</v>
      </c>
      <c r="H56" s="29" t="s">
        <v>1767</v>
      </c>
      <c r="I56" s="30" t="str">
        <f>VLOOKUP(H56,[1]VLOOKUP!$A$2:$B$35,2,FALSE)</f>
        <v>华北</v>
      </c>
      <c r="J56" s="29" t="s">
        <v>2037</v>
      </c>
      <c r="K56" s="29" t="s">
        <v>1767</v>
      </c>
      <c r="L56" s="30" t="str">
        <f>VLOOKUP(K56,[1]VLOOKUP!$A$2:$B$35,2,FALSE)</f>
        <v>华北</v>
      </c>
      <c r="M56" s="29" t="s">
        <v>2038</v>
      </c>
      <c r="N56" s="29" t="s">
        <v>1767</v>
      </c>
      <c r="O56" s="30" t="str">
        <f>VLOOKUP(N56,[1]VLOOKUP!$A$2:$B$35,2,FALSE)</f>
        <v>华北</v>
      </c>
      <c r="P56" s="6"/>
      <c r="Q56" s="6"/>
      <c r="R56" s="6"/>
      <c r="S56" s="6"/>
      <c r="T56" s="6"/>
      <c r="U56" s="6"/>
      <c r="V56" s="6"/>
      <c r="W56" s="6"/>
      <c r="X56" s="6">
        <v>1</v>
      </c>
      <c r="Y56" s="8" t="s">
        <v>272</v>
      </c>
      <c r="Z56" s="29" t="s">
        <v>1769</v>
      </c>
      <c r="AA56" s="29" t="s">
        <v>17</v>
      </c>
      <c r="AB56" s="29">
        <v>45804</v>
      </c>
      <c r="AC56" s="29">
        <v>45811</v>
      </c>
      <c r="AD56" s="29" t="s">
        <v>2039</v>
      </c>
      <c r="AE56" s="29">
        <v>45852</v>
      </c>
    </row>
    <row r="57" spans="1:31" s="15" customFormat="1" ht="24.95" customHeight="1" x14ac:dyDescent="0.3">
      <c r="A57" s="14"/>
      <c r="B57" s="14"/>
      <c r="D57" s="6">
        <f t="shared" si="0"/>
        <v>56</v>
      </c>
      <c r="E57" s="29" t="s">
        <v>2040</v>
      </c>
      <c r="F57" s="29" t="s">
        <v>2041</v>
      </c>
      <c r="G57" s="29" t="s">
        <v>1846</v>
      </c>
      <c r="H57" s="29" t="s">
        <v>1758</v>
      </c>
      <c r="I57" s="30" t="str">
        <f>VLOOKUP(H57,[1]VLOOKUP!$A$2:$B$35,2,FALSE)</f>
        <v>华南</v>
      </c>
      <c r="J57" s="29" t="s">
        <v>1847</v>
      </c>
      <c r="K57" s="29" t="s">
        <v>1758</v>
      </c>
      <c r="L57" s="30" t="str">
        <f>VLOOKUP(K57,[1]VLOOKUP!$A$2:$B$35,2,FALSE)</f>
        <v>华南</v>
      </c>
      <c r="M57" s="29" t="s">
        <v>1964</v>
      </c>
      <c r="N57" s="29" t="s">
        <v>1758</v>
      </c>
      <c r="O57" s="30" t="str">
        <f>VLOOKUP(N57,[1]VLOOKUP!$A$2:$B$35,2,FALSE)</f>
        <v>华南</v>
      </c>
      <c r="P57" s="6"/>
      <c r="Q57" s="6"/>
      <c r="R57" s="6"/>
      <c r="S57" s="6"/>
      <c r="T57" s="6"/>
      <c r="U57" s="6"/>
      <c r="V57" s="6"/>
      <c r="W57" s="6"/>
      <c r="X57" s="6">
        <v>1</v>
      </c>
      <c r="Y57" s="8" t="s">
        <v>16</v>
      </c>
      <c r="Z57" s="29" t="s">
        <v>1762</v>
      </c>
      <c r="AA57" s="29" t="s">
        <v>17</v>
      </c>
      <c r="AB57" s="29">
        <v>45859</v>
      </c>
      <c r="AC57" s="29">
        <v>45951</v>
      </c>
      <c r="AD57" s="29" t="s">
        <v>2042</v>
      </c>
      <c r="AE57" s="29">
        <v>45917</v>
      </c>
    </row>
    <row r="58" spans="1:31" s="15" customFormat="1" ht="24.95" customHeight="1" x14ac:dyDescent="0.3">
      <c r="A58" s="14"/>
      <c r="B58" s="14"/>
      <c r="D58" s="6">
        <f t="shared" si="0"/>
        <v>57</v>
      </c>
      <c r="E58" s="29" t="s">
        <v>2043</v>
      </c>
      <c r="F58" s="29" t="s">
        <v>2044</v>
      </c>
      <c r="G58" s="29" t="s">
        <v>2045</v>
      </c>
      <c r="H58" s="29" t="s">
        <v>2046</v>
      </c>
      <c r="I58" s="30" t="str">
        <f>VLOOKUP(H58,[1]VLOOKUP!$A$2:$B$35,2,FALSE)</f>
        <v>华北</v>
      </c>
      <c r="J58" s="29" t="s">
        <v>2047</v>
      </c>
      <c r="K58" s="29" t="s">
        <v>2046</v>
      </c>
      <c r="L58" s="30" t="str">
        <f>VLOOKUP(K58,[1]VLOOKUP!$A$2:$B$35,2,FALSE)</f>
        <v>华北</v>
      </c>
      <c r="M58" s="29" t="s">
        <v>2048</v>
      </c>
      <c r="N58" s="29" t="s">
        <v>2046</v>
      </c>
      <c r="O58" s="30" t="str">
        <f>VLOOKUP(N58,[1]VLOOKUP!$A$2:$B$35,2,FALSE)</f>
        <v>华北</v>
      </c>
      <c r="P58" s="6"/>
      <c r="Q58" s="6"/>
      <c r="R58" s="6"/>
      <c r="S58" s="6"/>
      <c r="T58" s="6">
        <v>1</v>
      </c>
      <c r="U58" s="8" t="s">
        <v>92</v>
      </c>
      <c r="V58" s="6"/>
      <c r="W58" s="6"/>
      <c r="X58" s="6"/>
      <c r="Y58" s="6"/>
      <c r="Z58" s="29" t="s">
        <v>2049</v>
      </c>
      <c r="AA58" s="29" t="s">
        <v>17</v>
      </c>
      <c r="AB58" s="29">
        <v>45898</v>
      </c>
      <c r="AC58" s="29">
        <v>45929</v>
      </c>
      <c r="AD58" s="29" t="s">
        <v>2050</v>
      </c>
      <c r="AE58" s="29">
        <v>45905</v>
      </c>
    </row>
    <row r="59" spans="1:31" s="15" customFormat="1" ht="24.95" customHeight="1" x14ac:dyDescent="0.3">
      <c r="A59" s="14"/>
      <c r="B59" s="14"/>
      <c r="D59" s="6">
        <f t="shared" si="0"/>
        <v>58</v>
      </c>
      <c r="E59" s="29" t="s">
        <v>2051</v>
      </c>
      <c r="F59" s="29" t="s">
        <v>2052</v>
      </c>
      <c r="G59" s="29" t="s">
        <v>2053</v>
      </c>
      <c r="H59" s="29" t="s">
        <v>1758</v>
      </c>
      <c r="I59" s="30" t="str">
        <f>VLOOKUP(H59,[1]VLOOKUP!$A$2:$B$35,2,FALSE)</f>
        <v>华南</v>
      </c>
      <c r="J59" s="29" t="s">
        <v>1846</v>
      </c>
      <c r="K59" s="29" t="s">
        <v>1758</v>
      </c>
      <c r="L59" s="30" t="str">
        <f>VLOOKUP(K59,[1]VLOOKUP!$A$2:$B$35,2,FALSE)</f>
        <v>华南</v>
      </c>
      <c r="M59" s="29"/>
      <c r="N59" s="29"/>
      <c r="O59" s="30" t="e">
        <f>VLOOKUP(N59,[1]VLOOKUP!$A$2:$B$35,2,FALSE)</f>
        <v>#N/A</v>
      </c>
      <c r="P59" s="6"/>
      <c r="Q59" s="6"/>
      <c r="R59" s="6"/>
      <c r="S59" s="6"/>
      <c r="T59" s="6">
        <v>1</v>
      </c>
      <c r="U59" s="8" t="s">
        <v>48</v>
      </c>
      <c r="V59" s="6"/>
      <c r="W59" s="6"/>
      <c r="X59" s="6"/>
      <c r="Y59" s="6"/>
      <c r="Z59" s="29" t="s">
        <v>1762</v>
      </c>
      <c r="AA59" s="29" t="s">
        <v>17</v>
      </c>
      <c r="AB59" s="29">
        <v>45908</v>
      </c>
      <c r="AC59" s="29">
        <v>45999</v>
      </c>
      <c r="AD59" s="29" t="s">
        <v>2054</v>
      </c>
      <c r="AE59" s="29">
        <v>45964</v>
      </c>
    </row>
    <row r="60" spans="1:31" s="15" customFormat="1" ht="24.95" customHeight="1" x14ac:dyDescent="0.3">
      <c r="A60" s="14"/>
      <c r="B60" s="14"/>
      <c r="D60" s="6">
        <f t="shared" si="0"/>
        <v>59</v>
      </c>
      <c r="E60" s="29" t="s">
        <v>2055</v>
      </c>
      <c r="F60" s="29" t="s">
        <v>2056</v>
      </c>
      <c r="G60" s="29" t="s">
        <v>2057</v>
      </c>
      <c r="H60" s="29" t="s">
        <v>2058</v>
      </c>
      <c r="I60" s="30" t="str">
        <f>VLOOKUP(H60,[1]VLOOKUP!$A$2:$B$35,2,FALSE)</f>
        <v>西北</v>
      </c>
      <c r="J60" s="29" t="s">
        <v>2059</v>
      </c>
      <c r="K60" s="29" t="s">
        <v>2058</v>
      </c>
      <c r="L60" s="30" t="str">
        <f>VLOOKUP(K60,[1]VLOOKUP!$A$2:$B$35,2,FALSE)</f>
        <v>西北</v>
      </c>
      <c r="M60" s="29" t="s">
        <v>2060</v>
      </c>
      <c r="N60" s="29" t="s">
        <v>2058</v>
      </c>
      <c r="O60" s="30" t="str">
        <f>VLOOKUP(N60,[1]VLOOKUP!$A$2:$B$35,2,FALSE)</f>
        <v>西北</v>
      </c>
      <c r="P60" s="6"/>
      <c r="Q60" s="6"/>
      <c r="R60" s="6">
        <v>1</v>
      </c>
      <c r="S60" s="8" t="s">
        <v>130</v>
      </c>
      <c r="T60" s="6"/>
      <c r="U60" s="6"/>
      <c r="V60" s="6"/>
      <c r="W60" s="6"/>
      <c r="X60" s="6"/>
      <c r="Y60" s="6"/>
      <c r="Z60" s="29" t="s">
        <v>2061</v>
      </c>
      <c r="AA60" s="29" t="s">
        <v>17</v>
      </c>
      <c r="AB60" s="29">
        <v>45916</v>
      </c>
      <c r="AC60" s="29">
        <v>45946</v>
      </c>
      <c r="AD60" s="29" t="s">
        <v>2062</v>
      </c>
      <c r="AE60" s="29">
        <v>46013</v>
      </c>
    </row>
    <row r="61" spans="1:31" ht="24.95" customHeight="1" x14ac:dyDescent="0.3">
      <c r="D61" s="6">
        <f t="shared" si="0"/>
        <v>60</v>
      </c>
      <c r="E61" s="29" t="s">
        <v>2063</v>
      </c>
      <c r="F61" s="29" t="s">
        <v>2064</v>
      </c>
      <c r="G61" s="29" t="s">
        <v>2065</v>
      </c>
      <c r="H61" s="29" t="s">
        <v>1894</v>
      </c>
      <c r="I61" s="30" t="str">
        <f>VLOOKUP(H61,[1]VLOOKUP!$A$2:$B$35,2,FALSE)</f>
        <v>西南</v>
      </c>
      <c r="J61" s="29" t="s">
        <v>2066</v>
      </c>
      <c r="K61" s="29" t="s">
        <v>1894</v>
      </c>
      <c r="L61" s="30" t="str">
        <f>VLOOKUP(K61,[1]VLOOKUP!$A$2:$B$35,2,FALSE)</f>
        <v>西南</v>
      </c>
      <c r="M61" s="29" t="s">
        <v>2067</v>
      </c>
      <c r="N61" s="29" t="s">
        <v>1989</v>
      </c>
      <c r="O61" s="30"/>
      <c r="P61" s="6"/>
      <c r="Q61" s="6"/>
      <c r="R61" s="6"/>
      <c r="S61" s="6"/>
      <c r="T61" s="6"/>
      <c r="U61" s="6"/>
      <c r="V61" s="6">
        <v>1</v>
      </c>
      <c r="W61" s="8" t="s">
        <v>77</v>
      </c>
      <c r="X61" s="6"/>
      <c r="Y61" s="6"/>
      <c r="Z61" s="29" t="s">
        <v>1897</v>
      </c>
      <c r="AA61" s="29" t="s">
        <v>17</v>
      </c>
      <c r="AB61" s="29">
        <v>46010</v>
      </c>
      <c r="AC61" s="29">
        <v>46100</v>
      </c>
      <c r="AD61" s="29" t="s">
        <v>2068</v>
      </c>
      <c r="AE61" s="29">
        <v>46043</v>
      </c>
    </row>
    <row r="62" spans="1:31" s="15" customFormat="1" ht="24.95" customHeight="1" x14ac:dyDescent="0.3">
      <c r="A62" s="14"/>
      <c r="B62" s="14"/>
      <c r="D62" s="6">
        <f t="shared" si="0"/>
        <v>61</v>
      </c>
      <c r="E62" s="29" t="s">
        <v>2069</v>
      </c>
      <c r="F62" s="29" t="s">
        <v>2070</v>
      </c>
      <c r="G62" s="29" t="s">
        <v>2071</v>
      </c>
      <c r="H62" s="29" t="s">
        <v>1989</v>
      </c>
      <c r="I62" s="30" t="str">
        <f>VLOOKUP(H62,[1]VLOOKUP!$A$2:$B$35,2,FALSE)</f>
        <v>西南</v>
      </c>
      <c r="J62" s="29" t="s">
        <v>1895</v>
      </c>
      <c r="K62" s="29" t="s">
        <v>1894</v>
      </c>
      <c r="L62" s="30" t="str">
        <f>VLOOKUP(K62,[1]VLOOKUP!$A$2:$B$35,2,FALSE)</f>
        <v>西南</v>
      </c>
      <c r="M62" s="29" t="s">
        <v>2072</v>
      </c>
      <c r="N62" s="29" t="s">
        <v>1989</v>
      </c>
      <c r="O62" s="30" t="str">
        <f>VLOOKUP(N62,[1]VLOOKUP!$A$2:$B$35,2,FALSE)</f>
        <v>西南</v>
      </c>
      <c r="P62" s="6">
        <v>1</v>
      </c>
      <c r="Q62" s="8" t="s">
        <v>609</v>
      </c>
      <c r="R62" s="6"/>
      <c r="S62" s="6"/>
      <c r="T62" s="6"/>
      <c r="U62" s="6"/>
      <c r="V62" s="6"/>
      <c r="W62" s="6"/>
      <c r="X62" s="6"/>
      <c r="Y62" s="6"/>
      <c r="Z62" s="29" t="s">
        <v>1992</v>
      </c>
      <c r="AA62" s="29" t="s">
        <v>17</v>
      </c>
      <c r="AB62" s="29">
        <v>46014</v>
      </c>
      <c r="AC62" s="29">
        <v>46022</v>
      </c>
      <c r="AD62" s="29" t="s">
        <v>2073</v>
      </c>
      <c r="AE62" s="29">
        <v>46030</v>
      </c>
    </row>
    <row r="63" spans="1:31" s="15" customFormat="1" ht="24.95" customHeight="1" x14ac:dyDescent="0.3">
      <c r="A63" s="14"/>
      <c r="B63" s="14"/>
      <c r="D63" s="6">
        <f t="shared" si="0"/>
        <v>62</v>
      </c>
      <c r="E63" s="29" t="s">
        <v>2074</v>
      </c>
      <c r="F63" s="29" t="s">
        <v>2075</v>
      </c>
      <c r="G63" s="29" t="s">
        <v>2071</v>
      </c>
      <c r="H63" s="29" t="s">
        <v>1989</v>
      </c>
      <c r="I63" s="30" t="str">
        <f>VLOOKUP(H63,[1]VLOOKUP!$A$2:$B$35,2,FALSE)</f>
        <v>西南</v>
      </c>
      <c r="J63" s="29" t="s">
        <v>1895</v>
      </c>
      <c r="K63" s="29" t="s">
        <v>1894</v>
      </c>
      <c r="L63" s="30" t="str">
        <f>VLOOKUP(K63,[1]VLOOKUP!$A$2:$B$35,2,FALSE)</f>
        <v>西南</v>
      </c>
      <c r="M63" s="29" t="s">
        <v>2072</v>
      </c>
      <c r="N63" s="29" t="s">
        <v>1989</v>
      </c>
      <c r="O63" s="30" t="str">
        <f>VLOOKUP(N63,[1]VLOOKUP!$A$2:$B$35,2,FALSE)</f>
        <v>西南</v>
      </c>
      <c r="P63" s="6">
        <v>1</v>
      </c>
      <c r="Q63" s="8" t="s">
        <v>609</v>
      </c>
      <c r="R63" s="6"/>
      <c r="S63" s="6"/>
      <c r="T63" s="6"/>
      <c r="U63" s="6"/>
      <c r="V63" s="6"/>
      <c r="W63" s="6"/>
      <c r="X63" s="6"/>
      <c r="Y63" s="6"/>
      <c r="Z63" s="29" t="s">
        <v>1992</v>
      </c>
      <c r="AA63" s="29" t="s">
        <v>17</v>
      </c>
      <c r="AB63" s="29">
        <v>46014</v>
      </c>
      <c r="AC63" s="29">
        <v>46022</v>
      </c>
      <c r="AD63" s="29" t="s">
        <v>2076</v>
      </c>
      <c r="AE63" s="29">
        <v>46030</v>
      </c>
    </row>
    <row r="64" spans="1:31" s="32" customFormat="1" ht="24.95" customHeight="1" x14ac:dyDescent="0.3">
      <c r="A64" s="31"/>
      <c r="B64" s="31"/>
      <c r="D64" s="16"/>
      <c r="E64" s="33" t="s">
        <v>2077</v>
      </c>
      <c r="F64" s="33" t="s">
        <v>2078</v>
      </c>
      <c r="G64" s="33" t="s">
        <v>2079</v>
      </c>
      <c r="H64" s="33" t="s">
        <v>1809</v>
      </c>
      <c r="I64" s="30" t="str">
        <f>VLOOKUP(H64,[1]VLOOKUP!$A$2:$B$35,2,FALSE)</f>
        <v>华东</v>
      </c>
      <c r="J64" s="33" t="s">
        <v>2080</v>
      </c>
      <c r="K64" s="33" t="s">
        <v>1809</v>
      </c>
      <c r="L64" s="30" t="str">
        <f>VLOOKUP(K64,[1]VLOOKUP!$A$2:$B$35,2,FALSE)</f>
        <v>华东</v>
      </c>
      <c r="M64" s="33" t="s">
        <v>2081</v>
      </c>
      <c r="N64" s="33" t="s">
        <v>1809</v>
      </c>
      <c r="O64" s="30" t="str">
        <f>VLOOKUP(N64,[1]VLOOKUP!$A$2:$B$35,2,FALSE)</f>
        <v>华东</v>
      </c>
      <c r="P64" s="16"/>
      <c r="Q64" s="16"/>
      <c r="R64" s="16"/>
      <c r="S64" s="16"/>
      <c r="T64" s="16"/>
      <c r="U64" s="16"/>
      <c r="V64" s="16"/>
      <c r="W64" s="16"/>
      <c r="X64" s="16">
        <v>1</v>
      </c>
      <c r="Y64" s="18" t="s">
        <v>16</v>
      </c>
      <c r="Z64" s="33" t="s">
        <v>1812</v>
      </c>
      <c r="AA64" s="33" t="s">
        <v>17</v>
      </c>
      <c r="AB64" s="33">
        <v>46143</v>
      </c>
      <c r="AC64" s="33">
        <v>46235</v>
      </c>
      <c r="AD64" s="33" t="s">
        <v>2082</v>
      </c>
      <c r="AE64" s="33">
        <v>46156</v>
      </c>
    </row>
    <row r="65" spans="1:31" ht="24.95" customHeight="1" x14ac:dyDescent="0.3">
      <c r="D65" s="6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4"/>
      <c r="AA65" s="34"/>
      <c r="AB65" s="34"/>
      <c r="AC65" s="34"/>
      <c r="AD65" s="34"/>
      <c r="AE65" s="34"/>
    </row>
    <row r="66" spans="1:31" ht="24.95" customHeight="1" x14ac:dyDescent="0.3">
      <c r="D66" s="6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4"/>
      <c r="AA66" s="34"/>
      <c r="AB66" s="34"/>
      <c r="AC66" s="34"/>
      <c r="AD66" s="34"/>
      <c r="AE66" s="34"/>
    </row>
    <row r="67" spans="1:31" ht="24.95" customHeight="1" x14ac:dyDescent="0.3">
      <c r="D67" s="6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4"/>
      <c r="AA67" s="34"/>
      <c r="AB67" s="34"/>
      <c r="AC67" s="34"/>
      <c r="AD67" s="34"/>
      <c r="AE67" s="34"/>
    </row>
    <row r="68" spans="1:31" ht="24.95" customHeight="1" x14ac:dyDescent="0.3">
      <c r="A68" s="20" t="s">
        <v>5</v>
      </c>
      <c r="B68" s="8" t="s">
        <v>1667</v>
      </c>
      <c r="D68" s="6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4"/>
      <c r="AA68" s="34"/>
      <c r="AB68" s="34"/>
      <c r="AC68" s="34"/>
      <c r="AD68" s="34"/>
      <c r="AE68" s="34"/>
    </row>
    <row r="69" spans="1:31" ht="24.95" customHeight="1" x14ac:dyDescent="0.3">
      <c r="A69" s="21"/>
      <c r="B69" s="8" t="s">
        <v>1670</v>
      </c>
      <c r="D69" s="6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4"/>
      <c r="AA69" s="34"/>
      <c r="AB69" s="34"/>
      <c r="AC69" s="34"/>
      <c r="AD69" s="34"/>
      <c r="AE69" s="34"/>
    </row>
    <row r="70" spans="1:31" ht="24.95" customHeight="1" x14ac:dyDescent="0.3">
      <c r="A70" s="21"/>
      <c r="B70" s="8" t="s">
        <v>277</v>
      </c>
      <c r="D70" s="6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4"/>
      <c r="AA70" s="34"/>
      <c r="AB70" s="34"/>
      <c r="AC70" s="34"/>
      <c r="AD70" s="34"/>
      <c r="AE70" s="34"/>
    </row>
    <row r="71" spans="1:31" ht="24.95" customHeight="1" x14ac:dyDescent="0.3">
      <c r="A71" s="21"/>
      <c r="B71" s="8" t="s">
        <v>21</v>
      </c>
      <c r="D71" s="6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4"/>
      <c r="AA71" s="34"/>
      <c r="AB71" s="34"/>
      <c r="AC71" s="34"/>
      <c r="AD71" s="34"/>
      <c r="AE71" s="34"/>
    </row>
    <row r="72" spans="1:31" ht="24.95" customHeight="1" x14ac:dyDescent="0.3">
      <c r="A72" s="21"/>
      <c r="B72" s="8" t="s">
        <v>281</v>
      </c>
      <c r="D72" s="6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4"/>
      <c r="AA72" s="34"/>
      <c r="AB72" s="34"/>
      <c r="AC72" s="34"/>
      <c r="AD72" s="34"/>
      <c r="AE72" s="34"/>
    </row>
    <row r="73" spans="1:31" ht="24.95" customHeight="1" x14ac:dyDescent="0.3">
      <c r="A73" s="22"/>
      <c r="B73" s="8" t="s">
        <v>609</v>
      </c>
      <c r="D73" s="6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4"/>
      <c r="AA73" s="34"/>
      <c r="AB73" s="34"/>
      <c r="AC73" s="34"/>
      <c r="AD73" s="34"/>
      <c r="AE73" s="34"/>
    </row>
    <row r="74" spans="1:31" ht="24.95" customHeight="1" x14ac:dyDescent="0.3">
      <c r="A74" s="20" t="s">
        <v>6</v>
      </c>
      <c r="B74" s="8" t="s">
        <v>80</v>
      </c>
      <c r="D74" s="6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4"/>
      <c r="AA74" s="34"/>
      <c r="AB74" s="34"/>
      <c r="AC74" s="34"/>
      <c r="AD74" s="34"/>
      <c r="AE74" s="34"/>
    </row>
    <row r="75" spans="1:31" ht="24.95" customHeight="1" x14ac:dyDescent="0.3">
      <c r="A75" s="21"/>
      <c r="B75" s="8" t="s">
        <v>130</v>
      </c>
      <c r="D75" s="6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4"/>
      <c r="AA75" s="34"/>
      <c r="AB75" s="34"/>
      <c r="AC75" s="34"/>
      <c r="AD75" s="34"/>
      <c r="AE75" s="34"/>
    </row>
    <row r="76" spans="1:31" ht="24.95" customHeight="1" x14ac:dyDescent="0.3">
      <c r="A76" s="22"/>
      <c r="B76" s="8" t="s">
        <v>1021</v>
      </c>
      <c r="D76" s="6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4"/>
      <c r="AA76" s="34"/>
      <c r="AB76" s="34"/>
      <c r="AC76" s="34"/>
      <c r="AD76" s="34"/>
      <c r="AE76" s="34"/>
    </row>
    <row r="77" spans="1:31" ht="24.95" customHeight="1" x14ac:dyDescent="0.3">
      <c r="A77" s="20" t="s">
        <v>7</v>
      </c>
      <c r="B77" s="8" t="s">
        <v>64</v>
      </c>
      <c r="D77" s="6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4"/>
      <c r="AA77" s="34"/>
      <c r="AB77" s="34"/>
      <c r="AC77" s="34"/>
      <c r="AD77" s="34"/>
      <c r="AE77" s="34"/>
    </row>
    <row r="78" spans="1:31" ht="24.95" customHeight="1" x14ac:dyDescent="0.3">
      <c r="A78" s="21"/>
      <c r="B78" s="8" t="s">
        <v>48</v>
      </c>
      <c r="D78" s="6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4"/>
      <c r="AA78" s="34"/>
      <c r="AB78" s="34"/>
      <c r="AC78" s="34"/>
      <c r="AD78" s="34"/>
      <c r="AE78" s="34"/>
    </row>
    <row r="79" spans="1:31" ht="24.95" customHeight="1" x14ac:dyDescent="0.3">
      <c r="A79" s="22"/>
      <c r="B79" s="8" t="s">
        <v>92</v>
      </c>
      <c r="D79" s="6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4"/>
      <c r="AA79" s="34"/>
      <c r="AB79" s="34"/>
      <c r="AC79" s="34"/>
      <c r="AD79" s="34"/>
      <c r="AE79" s="34"/>
    </row>
    <row r="80" spans="1:31" ht="24.95" customHeight="1" x14ac:dyDescent="0.3">
      <c r="A80" s="20" t="s">
        <v>8</v>
      </c>
      <c r="B80" s="8" t="s">
        <v>54</v>
      </c>
      <c r="D80" s="6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4"/>
      <c r="AA80" s="34"/>
      <c r="AB80" s="34"/>
      <c r="AC80" s="34"/>
      <c r="AD80" s="34"/>
      <c r="AE80" s="34"/>
    </row>
    <row r="81" spans="1:31" ht="24.95" customHeight="1" x14ac:dyDescent="0.3">
      <c r="A81" s="21"/>
      <c r="B81" s="8" t="s">
        <v>108</v>
      </c>
      <c r="D81" s="6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4"/>
      <c r="AA81" s="34"/>
      <c r="AB81" s="34"/>
      <c r="AC81" s="34"/>
      <c r="AD81" s="34"/>
      <c r="AE81" s="34"/>
    </row>
    <row r="82" spans="1:31" ht="24.95" customHeight="1" x14ac:dyDescent="0.3">
      <c r="A82" s="22"/>
      <c r="B82" s="8" t="s">
        <v>77</v>
      </c>
      <c r="D82" s="6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4"/>
      <c r="AA82" s="34"/>
      <c r="AB82" s="34"/>
      <c r="AC82" s="34"/>
      <c r="AD82" s="34"/>
      <c r="AE82" s="34"/>
    </row>
    <row r="83" spans="1:31" ht="24.95" customHeight="1" x14ac:dyDescent="0.3">
      <c r="A83" s="20" t="s">
        <v>9</v>
      </c>
      <c r="B83" s="8" t="s">
        <v>58</v>
      </c>
      <c r="D83" s="6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4"/>
      <c r="AA83" s="34"/>
      <c r="AB83" s="34"/>
      <c r="AC83" s="34"/>
      <c r="AD83" s="34"/>
      <c r="AE83" s="34"/>
    </row>
    <row r="84" spans="1:31" ht="24.95" customHeight="1" x14ac:dyDescent="0.3">
      <c r="A84" s="21"/>
      <c r="B84" s="8" t="s">
        <v>16</v>
      </c>
      <c r="D84" s="6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4"/>
      <c r="AA84" s="34"/>
      <c r="AB84" s="34"/>
      <c r="AC84" s="34"/>
      <c r="AD84" s="34"/>
      <c r="AE84" s="34"/>
    </row>
    <row r="85" spans="1:31" ht="24.95" customHeight="1" x14ac:dyDescent="0.3">
      <c r="A85" s="21"/>
      <c r="B85" s="8" t="s">
        <v>759</v>
      </c>
      <c r="D85" s="6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4"/>
      <c r="AA85" s="34"/>
      <c r="AB85" s="34"/>
      <c r="AC85" s="34"/>
      <c r="AD85" s="34"/>
      <c r="AE85" s="34"/>
    </row>
    <row r="86" spans="1:31" ht="24.95" customHeight="1" x14ac:dyDescent="0.3">
      <c r="A86" s="21"/>
      <c r="B86" s="8" t="s">
        <v>25</v>
      </c>
      <c r="D86" s="6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4"/>
      <c r="AA86" s="34"/>
      <c r="AB86" s="34"/>
      <c r="AC86" s="34"/>
      <c r="AD86" s="34"/>
      <c r="AE86" s="34"/>
    </row>
    <row r="87" spans="1:31" ht="24.95" customHeight="1" x14ac:dyDescent="0.3">
      <c r="A87" s="21"/>
      <c r="B87" s="8" t="s">
        <v>272</v>
      </c>
      <c r="D87" s="6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4"/>
      <c r="AA87" s="34"/>
      <c r="AB87" s="34"/>
      <c r="AC87" s="34"/>
      <c r="AD87" s="34"/>
      <c r="AE87" s="34"/>
    </row>
    <row r="88" spans="1:31" ht="24.95" customHeight="1" x14ac:dyDescent="0.3">
      <c r="D88" s="6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4"/>
      <c r="AA88" s="34"/>
      <c r="AB88" s="34"/>
      <c r="AC88" s="34"/>
      <c r="AD88" s="34"/>
      <c r="AE88" s="34"/>
    </row>
    <row r="89" spans="1:31" ht="24.95" customHeight="1" x14ac:dyDescent="0.3">
      <c r="D89" s="6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4"/>
      <c r="AA89" s="34"/>
      <c r="AB89" s="34"/>
      <c r="AC89" s="34"/>
      <c r="AD89" s="34"/>
      <c r="AE89" s="34"/>
    </row>
    <row r="90" spans="1:31" ht="24.95" customHeight="1" x14ac:dyDescent="0.3">
      <c r="D90" s="6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4"/>
      <c r="AA90" s="34"/>
      <c r="AB90" s="34"/>
      <c r="AC90" s="34"/>
      <c r="AD90" s="34"/>
      <c r="AE90" s="34"/>
    </row>
    <row r="91" spans="1:31" ht="24.95" customHeight="1" x14ac:dyDescent="0.3">
      <c r="D91" s="6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4"/>
      <c r="AA91" s="34"/>
      <c r="AB91" s="34"/>
      <c r="AC91" s="34"/>
      <c r="AD91" s="34"/>
      <c r="AE91" s="34"/>
    </row>
    <row r="92" spans="1:31" ht="24.95" customHeight="1" x14ac:dyDescent="0.3">
      <c r="D92" s="6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4"/>
      <c r="AA92" s="34"/>
      <c r="AB92" s="34"/>
      <c r="AC92" s="34"/>
      <c r="AD92" s="34"/>
      <c r="AE92" s="34"/>
    </row>
    <row r="93" spans="1:31" ht="24.95" customHeight="1" x14ac:dyDescent="0.3">
      <c r="D93" s="6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4"/>
      <c r="AA93" s="34"/>
      <c r="AB93" s="34"/>
      <c r="AC93" s="34"/>
      <c r="AD93" s="34"/>
      <c r="AE93" s="34"/>
    </row>
    <row r="94" spans="1:31" ht="24.95" customHeight="1" x14ac:dyDescent="0.3">
      <c r="D94" s="6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4"/>
      <c r="AA94" s="34"/>
      <c r="AB94" s="34"/>
      <c r="AC94" s="34"/>
      <c r="AD94" s="34"/>
      <c r="AE94" s="34"/>
    </row>
    <row r="95" spans="1:31" ht="24.95" customHeight="1" x14ac:dyDescent="0.3">
      <c r="D95" s="6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4"/>
      <c r="AA95" s="34"/>
      <c r="AB95" s="34"/>
      <c r="AC95" s="34"/>
      <c r="AD95" s="34"/>
      <c r="AE95" s="34"/>
    </row>
    <row r="96" spans="1:31" ht="24.95" customHeight="1" x14ac:dyDescent="0.3">
      <c r="D96" s="6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4"/>
      <c r="AA96" s="34"/>
      <c r="AB96" s="34"/>
      <c r="AC96" s="34"/>
      <c r="AD96" s="34"/>
      <c r="AE96" s="34"/>
    </row>
    <row r="97" spans="4:31" ht="24.95" customHeight="1" x14ac:dyDescent="0.3">
      <c r="D97" s="6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4"/>
      <c r="AA97" s="34"/>
      <c r="AB97" s="34"/>
      <c r="AC97" s="34"/>
      <c r="AD97" s="34"/>
      <c r="AE97" s="34"/>
    </row>
  </sheetData>
  <autoFilter ref="A1:AE87" xr:uid="{00000000-0009-0000-0000-00000A000000}"/>
  <mergeCells count="11">
    <mergeCell ref="A68:A73"/>
    <mergeCell ref="A74:A76"/>
    <mergeCell ref="A77:A79"/>
    <mergeCell ref="A80:A82"/>
    <mergeCell ref="A83:A87"/>
    <mergeCell ref="A1:B1"/>
    <mergeCell ref="P1:Q1"/>
    <mergeCell ref="R1:S1"/>
    <mergeCell ref="T1:U1"/>
    <mergeCell ref="V1:W1"/>
    <mergeCell ref="X1:Y1"/>
  </mergeCells>
  <phoneticPr fontId="2" type="noConversion"/>
  <conditionalFormatting sqref="E1:E38 E98:E65535">
    <cfRule type="duplicateValues" dxfId="267" priority="56"/>
  </conditionalFormatting>
  <conditionalFormatting sqref="E39">
    <cfRule type="duplicateValues" dxfId="266" priority="55"/>
  </conditionalFormatting>
  <conditionalFormatting sqref="E40">
    <cfRule type="duplicateValues" dxfId="265" priority="54"/>
  </conditionalFormatting>
  <conditionalFormatting sqref="E41">
    <cfRule type="duplicateValues" dxfId="264" priority="52"/>
  </conditionalFormatting>
  <conditionalFormatting sqref="E42">
    <cfRule type="duplicateValues" dxfId="263" priority="53"/>
  </conditionalFormatting>
  <conditionalFormatting sqref="E43">
    <cfRule type="duplicateValues" dxfId="262" priority="51"/>
  </conditionalFormatting>
  <conditionalFormatting sqref="E44">
    <cfRule type="duplicateValues" dxfId="261" priority="50"/>
  </conditionalFormatting>
  <conditionalFormatting sqref="E45">
    <cfRule type="duplicateValues" dxfId="260" priority="49"/>
  </conditionalFormatting>
  <conditionalFormatting sqref="E46">
    <cfRule type="duplicateValues" dxfId="259" priority="48"/>
  </conditionalFormatting>
  <conditionalFormatting sqref="E47">
    <cfRule type="duplicateValues" dxfId="258" priority="47"/>
  </conditionalFormatting>
  <conditionalFormatting sqref="E48:E50">
    <cfRule type="duplicateValues" dxfId="257" priority="10"/>
  </conditionalFormatting>
  <conditionalFormatting sqref="E51">
    <cfRule type="duplicateValues" dxfId="256" priority="12"/>
  </conditionalFormatting>
  <conditionalFormatting sqref="E52:E54">
    <cfRule type="duplicateValues" dxfId="255" priority="9"/>
  </conditionalFormatting>
  <conditionalFormatting sqref="E55">
    <cfRule type="duplicateValues" dxfId="254" priority="46"/>
  </conditionalFormatting>
  <conditionalFormatting sqref="E56">
    <cfRule type="duplicateValues" dxfId="253" priority="11"/>
  </conditionalFormatting>
  <conditionalFormatting sqref="E57">
    <cfRule type="duplicateValues" dxfId="252" priority="7"/>
  </conditionalFormatting>
  <conditionalFormatting sqref="E58">
    <cfRule type="duplicateValues" dxfId="251" priority="8"/>
  </conditionalFormatting>
  <conditionalFormatting sqref="E59">
    <cfRule type="duplicateValues" dxfId="250" priority="6"/>
  </conditionalFormatting>
  <conditionalFormatting sqref="E60">
    <cfRule type="duplicateValues" dxfId="249" priority="5"/>
  </conditionalFormatting>
  <conditionalFormatting sqref="E61">
    <cfRule type="duplicateValues" dxfId="248" priority="2"/>
  </conditionalFormatting>
  <conditionalFormatting sqref="E62">
    <cfRule type="duplicateValues" dxfId="247" priority="4"/>
  </conditionalFormatting>
  <conditionalFormatting sqref="E63">
    <cfRule type="duplicateValues" dxfId="246" priority="3"/>
  </conditionalFormatting>
  <conditionalFormatting sqref="E64">
    <cfRule type="duplicateValues" dxfId="245" priority="1"/>
  </conditionalFormatting>
  <conditionalFormatting sqref="E65">
    <cfRule type="duplicateValues" dxfId="244" priority="45"/>
  </conditionalFormatting>
  <conditionalFormatting sqref="E66">
    <cfRule type="duplicateValues" dxfId="243" priority="44"/>
  </conditionalFormatting>
  <conditionalFormatting sqref="E67">
    <cfRule type="duplicateValues" dxfId="242" priority="43"/>
  </conditionalFormatting>
  <conditionalFormatting sqref="E68">
    <cfRule type="duplicateValues" dxfId="241" priority="42"/>
  </conditionalFormatting>
  <conditionalFormatting sqref="E69">
    <cfRule type="duplicateValues" dxfId="240" priority="41"/>
  </conditionalFormatting>
  <conditionalFormatting sqref="E70">
    <cfRule type="duplicateValues" dxfId="239" priority="40"/>
  </conditionalFormatting>
  <conditionalFormatting sqref="E71">
    <cfRule type="duplicateValues" dxfId="238" priority="39"/>
  </conditionalFormatting>
  <conditionalFormatting sqref="E72">
    <cfRule type="duplicateValues" dxfId="237" priority="38"/>
  </conditionalFormatting>
  <conditionalFormatting sqref="E73">
    <cfRule type="duplicateValues" dxfId="236" priority="37"/>
  </conditionalFormatting>
  <conditionalFormatting sqref="E74">
    <cfRule type="duplicateValues" dxfId="235" priority="36"/>
  </conditionalFormatting>
  <conditionalFormatting sqref="E75">
    <cfRule type="duplicateValues" dxfId="234" priority="35"/>
  </conditionalFormatting>
  <conditionalFormatting sqref="E76">
    <cfRule type="duplicateValues" dxfId="233" priority="34"/>
  </conditionalFormatting>
  <conditionalFormatting sqref="E77">
    <cfRule type="duplicateValues" dxfId="232" priority="33"/>
  </conditionalFormatting>
  <conditionalFormatting sqref="E78">
    <cfRule type="duplicateValues" dxfId="231" priority="32"/>
  </conditionalFormatting>
  <conditionalFormatting sqref="E79">
    <cfRule type="duplicateValues" dxfId="230" priority="31"/>
  </conditionalFormatting>
  <conditionalFormatting sqref="E80">
    <cfRule type="duplicateValues" dxfId="229" priority="30"/>
  </conditionalFormatting>
  <conditionalFormatting sqref="E81">
    <cfRule type="duplicateValues" dxfId="228" priority="29"/>
  </conditionalFormatting>
  <conditionalFormatting sqref="E82">
    <cfRule type="duplicateValues" dxfId="227" priority="28"/>
  </conditionalFormatting>
  <conditionalFormatting sqref="E83">
    <cfRule type="duplicateValues" dxfId="226" priority="27"/>
  </conditionalFormatting>
  <conditionalFormatting sqref="E84">
    <cfRule type="duplicateValues" dxfId="225" priority="26"/>
  </conditionalFormatting>
  <conditionalFormatting sqref="E85">
    <cfRule type="duplicateValues" dxfId="224" priority="25"/>
  </conditionalFormatting>
  <conditionalFormatting sqref="E86">
    <cfRule type="duplicateValues" dxfId="223" priority="24"/>
  </conditionalFormatting>
  <conditionalFormatting sqref="E87">
    <cfRule type="duplicateValues" dxfId="222" priority="23"/>
  </conditionalFormatting>
  <conditionalFormatting sqref="E88">
    <cfRule type="duplicateValues" dxfId="221" priority="22"/>
  </conditionalFormatting>
  <conditionalFormatting sqref="E89">
    <cfRule type="duplicateValues" dxfId="220" priority="21"/>
  </conditionalFormatting>
  <conditionalFormatting sqref="E90">
    <cfRule type="duplicateValues" dxfId="219" priority="20"/>
  </conditionalFormatting>
  <conditionalFormatting sqref="E91">
    <cfRule type="duplicateValues" dxfId="218" priority="19"/>
  </conditionalFormatting>
  <conditionalFormatting sqref="E92">
    <cfRule type="duplicateValues" dxfId="217" priority="18"/>
  </conditionalFormatting>
  <conditionalFormatting sqref="E93">
    <cfRule type="duplicateValues" dxfId="216" priority="17"/>
  </conditionalFormatting>
  <conditionalFormatting sqref="E94">
    <cfRule type="duplicateValues" dxfId="215" priority="16"/>
  </conditionalFormatting>
  <conditionalFormatting sqref="E95">
    <cfRule type="duplicateValues" dxfId="214" priority="15"/>
  </conditionalFormatting>
  <conditionalFormatting sqref="E96">
    <cfRule type="duplicateValues" dxfId="213" priority="14"/>
  </conditionalFormatting>
  <conditionalFormatting sqref="E97">
    <cfRule type="duplicateValues" dxfId="212" priority="13"/>
  </conditionalFormatting>
  <hyperlinks>
    <hyperlink ref="F16" r:id="rId1" xr:uid="{00C75AAC-5AF1-4EDA-BDEC-8DF4225760B1}"/>
    <hyperlink ref="F17" r:id="rId2" xr:uid="{7CE51F07-1E09-498C-BE76-207E28912B45}"/>
    <hyperlink ref="F15" r:id="rId3" xr:uid="{8413A6B0-F214-4292-8413-E0DD3E4AC369}"/>
    <hyperlink ref="F14" r:id="rId4" xr:uid="{BFF76763-41F2-46F7-A712-7E0770A2E1C1}"/>
    <hyperlink ref="F13" r:id="rId5" xr:uid="{7A3C33A2-9A17-454F-AC70-20A4A872DADE}"/>
    <hyperlink ref="F7" r:id="rId6" xr:uid="{D58372FF-C086-4C44-8454-4ADAD72D895E}"/>
    <hyperlink ref="F8" r:id="rId7" xr:uid="{DEB1039E-DB33-483A-B0C8-8A8CC387786C}"/>
    <hyperlink ref="F6" r:id="rId8" xr:uid="{5CBF282C-BAE7-40B8-A442-25F682E8C6C1}"/>
    <hyperlink ref="F5" r:id="rId9" xr:uid="{30C0C0E0-A10F-4ADB-A86D-ACE1E737C9D9}"/>
    <hyperlink ref="F4" r:id="rId10" xr:uid="{2049C685-EF1E-4DE1-B1BE-373C6B7B212B}"/>
    <hyperlink ref="F2" r:id="rId11" xr:uid="{181ACFA5-CB1C-40E3-9627-1F396F6C8EE4}"/>
    <hyperlink ref="F9" r:id="rId12" xr:uid="{411DE570-96A4-4A0B-A796-E87BEF179AA2}"/>
    <hyperlink ref="F10" r:id="rId13" xr:uid="{F4928E60-1AEC-419C-9F3C-742DBB4B7A74}"/>
    <hyperlink ref="F11" r:id="rId14" xr:uid="{8AD49EC6-4297-4058-8BA2-5826B259D15B}"/>
    <hyperlink ref="F12" r:id="rId15" xr:uid="{8AFB66A7-2B3A-4257-B13F-822FC2DFFEBD}"/>
    <hyperlink ref="F3" r:id="rId16" xr:uid="{85F0D278-B386-408A-817E-E3759D845BBF}"/>
    <hyperlink ref="F18" r:id="rId17" xr:uid="{ADB13AD8-B577-4F12-808A-EC685AC559AD}"/>
    <hyperlink ref="F19" r:id="rId18" xr:uid="{B672C0F3-BBE3-4EA4-B331-BE51F62EBE8B}"/>
    <hyperlink ref="F26" r:id="rId19" xr:uid="{A544DD26-52EE-4893-AF7F-1440B9FBA891}"/>
    <hyperlink ref="F20" r:id="rId20" xr:uid="{2F366C64-B6F7-4B25-89EE-BBF0A1C6BECB}"/>
    <hyperlink ref="F21" r:id="rId21" xr:uid="{41A89738-54EA-48FC-9E93-F92C72E71E8A}"/>
    <hyperlink ref="F22" r:id="rId22" xr:uid="{A89B4660-7883-43ED-AFCF-BA841A73B2D4}"/>
    <hyperlink ref="F23" r:id="rId23" xr:uid="{ECF35CD0-E022-4B6B-BE84-13C42A619E5B}"/>
    <hyperlink ref="F24" r:id="rId24" xr:uid="{7F7A0803-86B9-47B6-B879-50FEEB7987E6}"/>
    <hyperlink ref="F25" r:id="rId25" xr:uid="{7C59310C-1CC2-4EDB-9DCF-BE1485A12E2C}"/>
    <hyperlink ref="F27" r:id="rId26" xr:uid="{0681DC75-BE1D-4344-B14A-563BC7C54CFB}"/>
    <hyperlink ref="F29" r:id="rId27" xr:uid="{31CFC531-65E9-4535-B914-6DC59A161211}"/>
    <hyperlink ref="F28" r:id="rId28" xr:uid="{D7C7D875-5115-49EF-9DF2-777ABE37C999}"/>
    <hyperlink ref="F32" r:id="rId29" xr:uid="{B5D9D6CE-B9B9-42DD-A68E-DC7D4EAB8216}"/>
    <hyperlink ref="F33" r:id="rId30" xr:uid="{C7F5FA01-2F0A-4EFC-B360-722CC08D0013}"/>
    <hyperlink ref="F34" r:id="rId31" xr:uid="{27412C41-958F-431F-A5E2-55673807BB80}"/>
    <hyperlink ref="F37" r:id="rId32" xr:uid="{82B5C5B6-7413-4D6E-9218-6405BC8EF3E9}"/>
    <hyperlink ref="F30" r:id="rId33" xr:uid="{8DA7E4C7-18C7-4967-85FB-923B0FECCF5E}"/>
    <hyperlink ref="F31" r:id="rId34" xr:uid="{1A38C5BA-BED3-4E72-AA6C-930A2CA2A42A}"/>
    <hyperlink ref="F36" r:id="rId35" xr:uid="{F79CF955-DE9A-4F3D-A33E-0532F455A3E5}"/>
    <hyperlink ref="F35" r:id="rId36" xr:uid="{EFC01175-5926-4056-8734-83E0698B6DF0}"/>
    <hyperlink ref="F38" r:id="rId37" xr:uid="{BB8116A1-D4EB-4D8F-B11B-DDCDD3F46274}"/>
    <hyperlink ref="F39" r:id="rId38" tooltip="https://dbba.sacinfo.org.cn/stdDetail/c56fc91a1a5fc1f2f73dcbd543a83abebe8eb72cd81a2fb7ba63d58bdcb40e61" xr:uid="{FDDA4B47-ACCD-435C-BBF9-DD3033F05B33}"/>
    <hyperlink ref="F40" r:id="rId39" tooltip="https://dbba.sacinfo.org.cn/stdDetail/647a8114225772e5baad5548955c744d9803a95744263ee1ee110d653ff0f162" xr:uid="{E2F0AFA3-1C1C-49D5-BB64-61A3393F9012}"/>
    <hyperlink ref="F42" r:id="rId40" tooltip="https://dbba.sacinfo.org.cn/stdDetail/dd07f66ad7286140d052b7664d1617f22112f605fd0f79d487a8b51fff930a9f" xr:uid="{9B923677-B8E4-440F-B427-0C093C6E0DAB}"/>
    <hyperlink ref="F41" r:id="rId41" tooltip="https://dbba.sacinfo.org.cn/stdDetail/c8a245d000eb292c284f711a908cfff5f9dd232e0b77f9bb3858e34bbf01fa9f" xr:uid="{1DA03B5A-9210-4DD0-B5ED-410B7843EFC1}"/>
    <hyperlink ref="F43" r:id="rId42" tooltip="https://dbba.sacinfo.org.cn/stdDetail/947e8684d3b0d5b9dceec2db23d3c1f1c1bcb39b218cd7fac406b5ea6f97c76e" xr:uid="{F5F9D096-20E1-464C-BD46-1998579D36C9}"/>
    <hyperlink ref="F44" r:id="rId43" tooltip="https://dbba.sacinfo.org.cn/stdDetail/5633af2c1484fc9428ab19f5c9225c4c4a71658ab56fa22d356104c3561fd11b" xr:uid="{766FEE77-D663-403F-9B73-95DF20BA875E}"/>
    <hyperlink ref="F45" r:id="rId44" tooltip="https://dbba.sacinfo.org.cn/stdDetail/bffe05855637be8f97ff94b25be52a39984ca23ab0308f41bfd988aed484147e" xr:uid="{70CA4438-5700-46FD-835E-495F13F3015A}"/>
    <hyperlink ref="F46" r:id="rId45" tooltip="https://dbba.sacinfo.org.cn/stdDetail/1492e144be79f6311ea3f4779fd3a1847be871f0ac18b5ab6b2251d7307eb7a0" xr:uid="{4E7E07A6-6DA1-48F8-8B9F-EDE1BF023284}"/>
    <hyperlink ref="F47" r:id="rId46" tooltip="https://dbba.sacinfo.org.cn/stdDetail/e568cb137ae2f1102a7c915f4ac9047651c4568f7b76a37aa6c662118a9accf0" xr:uid="{DF547BAD-86B1-4524-8551-83A849424CF2}"/>
    <hyperlink ref="F51" r:id="rId47" tooltip="https://dbba.sacinfo.org.cn/stdDetail/457bf176469d61eb926380a3b5b6e5d5603ff5d1dad7d3d2f137895dfe9212c2" xr:uid="{78E44B14-B962-4955-BD23-25B2E56CD150}"/>
    <hyperlink ref="F48" r:id="rId48" tooltip="https://dbba.sacinfo.org.cn/stdDetail/5b0bee6d1c337d370514c139a942586a60456d33ab11d13eb49d944a89511566" xr:uid="{7F1B3BDF-8EBA-4A84-A49C-CA251A5E3BC6}"/>
    <hyperlink ref="F49" r:id="rId49" tooltip="https://dbba.sacinfo.org.cn/stdDetail/5b0bee6d1c337d370514c139a942586a063b5022cb598cb3a0cd1e83892dc8b8" xr:uid="{D4B9D333-3A98-44EA-B942-0E39F6109B80}"/>
    <hyperlink ref="F50" r:id="rId50" tooltip="https://dbba.sacinfo.org.cn/stdDetail/5b0bee6d1c337d370514c139a942586a9cc6afbe009723a075c8e979b1411595" xr:uid="{E466CE83-5FBE-485D-81E9-BE4ABC0FAB1B}"/>
    <hyperlink ref="F52" r:id="rId51" tooltip="https://dbba.sacinfo.org.cn/stdDetail/7cfb7c3207cd1d67041cd70ef7e37354b929fda85dab1f248641d84f36125df1" xr:uid="{B9CAC07F-1368-4149-A893-9369F475A9D3}"/>
    <hyperlink ref="F53" r:id="rId52" tooltip="https://dbba.sacinfo.org.cn/stdDetail/0c357710ba890ffbafb4f8912a3ff3a16a9b69cade01a9285e2b2300e8245092" xr:uid="{C5D4C887-281B-4EDD-A53A-6F50EB088FCB}"/>
    <hyperlink ref="F54" r:id="rId53" tooltip="https://dbba.sacinfo.org.cn/stdDetail/03f2935d7dd1cca670d4d617ff727ae16ebbc1a3024247287c8cda8f7f725035" xr:uid="{1E29BFAE-CA3D-480B-9738-62E6AABC2E6F}"/>
    <hyperlink ref="F56" r:id="rId54" tooltip="https://dbba.sacinfo.org.cn/stdDetail/dda0955ba392af57ac48c691791874ce7788ba9faf44e246d91e2089ac22881f" xr:uid="{8F523859-8357-47EF-BB40-A4F845DA9389}"/>
    <hyperlink ref="F58" r:id="rId55" tooltip="https://dbba.sacinfo.org.cn/stdDetail/d594d9a2e88a7c40f3b118545c58ee6863c23266880f1b349965a42899d70a1f" xr:uid="{20FED241-CF97-41D6-A339-B347181281E3}"/>
    <hyperlink ref="F57" r:id="rId56" tooltip="https://dbba.sacinfo.org.cn/stdDetail/4ad54403e4d35500f048c6426460f38cf67f9c2fb0288fe258571b59340406e6" xr:uid="{F31BEE03-CFA6-4994-92E8-AA354A51E3ED}"/>
    <hyperlink ref="F59" r:id="rId57" tooltip="https://dbba.sacinfo.org.cn/stdDetail/b3b93e3d50a402987e1811717634a4debb1de3bbb42ce67baef2ffb5f6bf55a9" xr:uid="{407B5D01-6517-4704-8FCE-4AC04EEEB11E}"/>
    <hyperlink ref="F60" r:id="rId58" tooltip="https://dbba.sacinfo.org.cn/stdDetail/cfc4299ff0723d621d559b2479371d2efc410e9536db4821c1f9b13351b91fcc" xr:uid="{0C33677A-2096-4FA5-8753-8CDC9745E2E2}"/>
    <hyperlink ref="F62" r:id="rId59" tooltip="https://dbba.sacinfo.org.cn/stdDetail/8012df164446f3d9ee07bc148d20cf04f69a0ebf39ffbda7b1dfb7b8bfe0f1ef" xr:uid="{24A7F8EF-F7EC-4054-A016-9F1FF799E159}"/>
    <hyperlink ref="F63" r:id="rId60" tooltip="https://dbba.sacinfo.org.cn/stdDetail/8012df164446f3d9ee07bc148d20cf04c37357fe38273058c518b4fb6d33cc65" xr:uid="{70E28816-9F3B-44DB-997C-C864CD97F095}"/>
    <hyperlink ref="F61" r:id="rId61" tooltip="https://dbba.sacinfo.org.cn/stdDetail/814f211b4bff324c2003c312df892a00430866510a6e9c8471d2ecd172eb8600" xr:uid="{8C81FED9-24FE-4D0D-AACB-36E6F6F98B24}"/>
    <hyperlink ref="F64" r:id="rId62" tooltip="https://dbba.sacinfo.org.cn/stdDetail/7d77c330e01b75f4b1cd6c98a21fa4f8d0305f1d0b1b51976d0acca5881ae12e" xr:uid="{F6E39ABA-6D88-4152-9BA2-65C2D2FBC78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E52D-9BD2-443A-916A-3B37D841E612}">
  <dimension ref="A1:AC126"/>
  <sheetViews>
    <sheetView workbookViewId="0">
      <pane ySplit="1" topLeftCell="A50" activePane="bottomLeft" state="frozen"/>
      <selection activeCell="T813" sqref="T813"/>
      <selection pane="bottomLeft" activeCell="T813" sqref="T813"/>
    </sheetView>
  </sheetViews>
  <sheetFormatPr defaultColWidth="9" defaultRowHeight="13.5" x14ac:dyDescent="0.3"/>
  <cols>
    <col min="1" max="1" width="10.59765625" style="13" customWidth="1"/>
    <col min="2" max="2" width="13.1328125" style="13" customWidth="1"/>
    <col min="3" max="3" width="3.1328125" customWidth="1"/>
    <col min="4" max="4" width="5.59765625" style="24" customWidth="1"/>
    <col min="5" max="7" width="25.59765625" style="24" customWidth="1"/>
    <col min="8" max="9" width="10.59765625" style="24" customWidth="1"/>
    <col min="10" max="10" width="25.59765625" style="24" customWidth="1"/>
    <col min="11" max="12" width="10.59765625" style="24" customWidth="1"/>
    <col min="13" max="13" width="25.59765625" style="24" customWidth="1"/>
    <col min="14" max="15" width="10.59765625" style="24" customWidth="1"/>
    <col min="16" max="16" width="3.59765625" style="24" customWidth="1"/>
    <col min="17" max="17" width="12.59765625" style="24" customWidth="1"/>
    <col min="18" max="18" width="3.59765625" style="24" customWidth="1"/>
    <col min="19" max="19" width="12.59765625" style="24" customWidth="1"/>
    <col min="20" max="20" width="3.59765625" style="24" customWidth="1"/>
    <col min="21" max="21" width="12.59765625" style="24" customWidth="1"/>
    <col min="22" max="22" width="3.59765625" style="24" customWidth="1"/>
    <col min="23" max="23" width="12.59765625" style="24" customWidth="1"/>
    <col min="24" max="24" width="3.59765625" style="24" customWidth="1"/>
    <col min="25" max="25" width="12.59765625" style="24" customWidth="1"/>
    <col min="26" max="26" width="15.59765625" style="24" customWidth="1"/>
    <col min="27" max="27" width="15.59765625" customWidth="1"/>
    <col min="28" max="29" width="15.59765625" style="24" customWidth="1"/>
  </cols>
  <sheetData>
    <row r="1" spans="1:29" ht="24.95" customHeight="1" x14ac:dyDescent="0.3">
      <c r="A1" s="27" t="s">
        <v>0</v>
      </c>
      <c r="B1" s="28"/>
      <c r="D1" s="9" t="s">
        <v>1</v>
      </c>
      <c r="E1" s="36" t="s">
        <v>1739</v>
      </c>
      <c r="F1" s="36" t="s">
        <v>4</v>
      </c>
      <c r="G1" s="26" t="s">
        <v>1740</v>
      </c>
      <c r="H1" s="26" t="s">
        <v>1741</v>
      </c>
      <c r="I1" s="26"/>
      <c r="J1" s="26" t="s">
        <v>1742</v>
      </c>
      <c r="K1" s="26" t="s">
        <v>1741</v>
      </c>
      <c r="L1" s="26"/>
      <c r="M1" s="26" t="s">
        <v>1743</v>
      </c>
      <c r="N1" s="26" t="s">
        <v>1741</v>
      </c>
      <c r="O1" s="26"/>
      <c r="P1" s="27" t="s">
        <v>5</v>
      </c>
      <c r="Q1" s="28"/>
      <c r="R1" s="27" t="s">
        <v>6</v>
      </c>
      <c r="S1" s="28"/>
      <c r="T1" s="27" t="s">
        <v>7</v>
      </c>
      <c r="U1" s="28"/>
      <c r="V1" s="27" t="s">
        <v>8</v>
      </c>
      <c r="W1" s="28"/>
      <c r="X1" s="27" t="s">
        <v>9</v>
      </c>
      <c r="Y1" s="28"/>
      <c r="Z1" s="36" t="s">
        <v>2083</v>
      </c>
      <c r="AA1" s="36" t="s">
        <v>1746</v>
      </c>
      <c r="AB1" s="36" t="s">
        <v>2084</v>
      </c>
      <c r="AC1" s="36" t="s">
        <v>11</v>
      </c>
    </row>
    <row r="2" spans="1:29" s="5" customFormat="1" ht="24.95" customHeight="1" x14ac:dyDescent="0.3">
      <c r="D2" s="6">
        <f>ROW()-1</f>
        <v>1</v>
      </c>
      <c r="E2" s="7" t="s">
        <v>2085</v>
      </c>
      <c r="F2" s="7" t="s">
        <v>2086</v>
      </c>
      <c r="G2" s="7" t="s">
        <v>2087</v>
      </c>
      <c r="H2" s="7" t="s">
        <v>2087</v>
      </c>
      <c r="I2" s="30" t="e">
        <f>VLOOKUP(H2,[1]VLOOKUP!$A$2:$B$35,2,FALSE)</f>
        <v>#N/A</v>
      </c>
      <c r="J2" s="7"/>
      <c r="K2" s="7"/>
      <c r="L2" s="30" t="e">
        <f>VLOOKUP(K2,[1]VLOOKUP!$A$2:$B$35,2,FALSE)</f>
        <v>#N/A</v>
      </c>
      <c r="M2" s="7"/>
      <c r="N2" s="7"/>
      <c r="O2" s="30" t="e">
        <f>VLOOKUP(N2,[1]VLOOKUP!$A$2:$B$35,2,FALSE)</f>
        <v>#N/A</v>
      </c>
      <c r="P2" s="6"/>
      <c r="Q2" s="6"/>
      <c r="R2" s="6">
        <v>1</v>
      </c>
      <c r="S2" s="8" t="s">
        <v>80</v>
      </c>
      <c r="T2" s="6"/>
      <c r="U2" s="6"/>
      <c r="V2" s="6"/>
      <c r="W2" s="6"/>
      <c r="X2" s="6"/>
      <c r="Y2" s="6"/>
      <c r="Z2" s="7">
        <v>33554</v>
      </c>
      <c r="AA2" s="7">
        <v>33604</v>
      </c>
      <c r="AB2" s="7" t="s">
        <v>2088</v>
      </c>
      <c r="AC2" s="7" t="s">
        <v>17</v>
      </c>
    </row>
    <row r="3" spans="1:29" s="5" customFormat="1" ht="24.95" customHeight="1" x14ac:dyDescent="0.3">
      <c r="A3" s="9" t="s">
        <v>5</v>
      </c>
      <c r="B3" s="8">
        <f>SUM(P2:P1022)</f>
        <v>11</v>
      </c>
      <c r="D3" s="6">
        <f t="shared" ref="D3:D66" si="0">ROW()-1</f>
        <v>2</v>
      </c>
      <c r="E3" s="7" t="s">
        <v>2089</v>
      </c>
      <c r="F3" s="7" t="s">
        <v>2090</v>
      </c>
      <c r="G3" s="7" t="s">
        <v>2091</v>
      </c>
      <c r="H3" s="7" t="s">
        <v>2092</v>
      </c>
      <c r="I3" s="30" t="str">
        <f>VLOOKUP(H3,[1]VLOOKUP!$A$2:$B$35,2,FALSE)</f>
        <v>东北</v>
      </c>
      <c r="J3" s="7" t="s">
        <v>2093</v>
      </c>
      <c r="K3" s="7" t="s">
        <v>2094</v>
      </c>
      <c r="L3" s="30" t="str">
        <f>VLOOKUP(K3,[1]VLOOKUP!$A$2:$B$35,2,FALSE)</f>
        <v>华东</v>
      </c>
      <c r="M3" s="7" t="s">
        <v>2095</v>
      </c>
      <c r="N3" s="7" t="s">
        <v>1902</v>
      </c>
      <c r="O3" s="30" t="str">
        <f>VLOOKUP(N3,[1]VLOOKUP!$A$2:$B$35,2,FALSE)</f>
        <v>华东</v>
      </c>
      <c r="P3" s="6"/>
      <c r="Q3" s="6"/>
      <c r="R3" s="6">
        <v>1</v>
      </c>
      <c r="S3" s="8" t="s">
        <v>130</v>
      </c>
      <c r="T3" s="6"/>
      <c r="U3" s="6"/>
      <c r="V3" s="6"/>
      <c r="W3" s="6"/>
      <c r="X3" s="6"/>
      <c r="Y3" s="6"/>
      <c r="Z3" s="7">
        <v>35311</v>
      </c>
      <c r="AA3" s="7">
        <v>35612</v>
      </c>
      <c r="AB3" s="7" t="s">
        <v>2096</v>
      </c>
      <c r="AC3" s="7" t="s">
        <v>17</v>
      </c>
    </row>
    <row r="4" spans="1:29" s="5" customFormat="1" ht="24.95" customHeight="1" x14ac:dyDescent="0.3">
      <c r="A4" s="9" t="s">
        <v>6</v>
      </c>
      <c r="B4" s="8">
        <f>SUM(R2:S1022)</f>
        <v>19</v>
      </c>
      <c r="D4" s="6">
        <f t="shared" si="0"/>
        <v>3</v>
      </c>
      <c r="E4" s="7" t="s">
        <v>2097</v>
      </c>
      <c r="F4" s="7" t="s">
        <v>2098</v>
      </c>
      <c r="G4" s="7" t="s">
        <v>2091</v>
      </c>
      <c r="H4" s="7" t="s">
        <v>2092</v>
      </c>
      <c r="I4" s="30" t="str">
        <f>VLOOKUP(H4,[1]VLOOKUP!$A$2:$B$35,2,FALSE)</f>
        <v>东北</v>
      </c>
      <c r="J4" s="7"/>
      <c r="K4" s="7"/>
      <c r="L4" s="30" t="e">
        <f>VLOOKUP(K4,[1]VLOOKUP!$A$2:$B$35,2,FALSE)</f>
        <v>#N/A</v>
      </c>
      <c r="M4" s="7"/>
      <c r="N4" s="7"/>
      <c r="O4" s="30" t="e">
        <f>VLOOKUP(N4,[1]VLOOKUP!$A$2:$B$35,2,FALSE)</f>
        <v>#N/A</v>
      </c>
      <c r="P4" s="6">
        <v>1</v>
      </c>
      <c r="Q4" s="8" t="s">
        <v>1667</v>
      </c>
      <c r="R4" s="6"/>
      <c r="S4" s="6"/>
      <c r="T4" s="6"/>
      <c r="U4" s="6"/>
      <c r="V4" s="6"/>
      <c r="W4" s="6"/>
      <c r="X4" s="6"/>
      <c r="Y4" s="6"/>
      <c r="Z4" s="7">
        <v>36353</v>
      </c>
      <c r="AA4" s="7">
        <v>36526</v>
      </c>
      <c r="AB4" s="7" t="s">
        <v>2096</v>
      </c>
      <c r="AC4" s="7" t="s">
        <v>17</v>
      </c>
    </row>
    <row r="5" spans="1:29" s="5" customFormat="1" ht="24.95" customHeight="1" x14ac:dyDescent="0.3">
      <c r="A5" s="9" t="s">
        <v>7</v>
      </c>
      <c r="B5" s="8">
        <f>SUM(T2:T1022)</f>
        <v>9</v>
      </c>
      <c r="D5" s="6">
        <f t="shared" si="0"/>
        <v>4</v>
      </c>
      <c r="E5" s="7" t="s">
        <v>2099</v>
      </c>
      <c r="F5" s="7" t="s">
        <v>2100</v>
      </c>
      <c r="G5" s="7" t="s">
        <v>2101</v>
      </c>
      <c r="H5" s="7" t="s">
        <v>2102</v>
      </c>
      <c r="I5" s="30" t="str">
        <f>VLOOKUP(H5,[1]VLOOKUP!$A$2:$B$35,2,FALSE)</f>
        <v>华南</v>
      </c>
      <c r="J5" s="7"/>
      <c r="K5" s="7"/>
      <c r="L5" s="30" t="e">
        <f>VLOOKUP(K5,[1]VLOOKUP!$A$2:$B$35,2,FALSE)</f>
        <v>#N/A</v>
      </c>
      <c r="M5" s="7"/>
      <c r="N5" s="7"/>
      <c r="O5" s="30" t="e">
        <f>VLOOKUP(N5,[1]VLOOKUP!$A$2:$B$35,2,FALSE)</f>
        <v>#N/A</v>
      </c>
      <c r="P5" s="6"/>
      <c r="Q5" s="6"/>
      <c r="R5" s="6">
        <v>1</v>
      </c>
      <c r="S5" s="8" t="s">
        <v>130</v>
      </c>
      <c r="T5" s="6"/>
      <c r="U5" s="6"/>
      <c r="V5" s="6"/>
      <c r="W5" s="6"/>
      <c r="X5" s="6"/>
      <c r="Y5" s="6"/>
      <c r="Z5" s="7">
        <v>37447</v>
      </c>
      <c r="AA5" s="7">
        <v>37591</v>
      </c>
      <c r="AB5" s="7" t="s">
        <v>2103</v>
      </c>
      <c r="AC5" s="7" t="s">
        <v>17</v>
      </c>
    </row>
    <row r="6" spans="1:29" s="5" customFormat="1" ht="24.95" customHeight="1" x14ac:dyDescent="0.3">
      <c r="A6" s="9" t="s">
        <v>8</v>
      </c>
      <c r="B6" s="8">
        <f>SUM(V2:V1022)</f>
        <v>7</v>
      </c>
      <c r="D6" s="6">
        <f t="shared" si="0"/>
        <v>5</v>
      </c>
      <c r="E6" s="7" t="s">
        <v>2104</v>
      </c>
      <c r="F6" s="7" t="s">
        <v>2105</v>
      </c>
      <c r="G6" s="7" t="s">
        <v>2106</v>
      </c>
      <c r="H6" s="7" t="s">
        <v>1767</v>
      </c>
      <c r="I6" s="30" t="str">
        <f>VLOOKUP(H6,[1]VLOOKUP!$A$2:$B$35,2,FALSE)</f>
        <v>华北</v>
      </c>
      <c r="J6" s="7"/>
      <c r="K6" s="7"/>
      <c r="L6" s="30" t="e">
        <f>VLOOKUP(K6,[1]VLOOKUP!$A$2:$B$35,2,FALSE)</f>
        <v>#N/A</v>
      </c>
      <c r="M6" s="7"/>
      <c r="N6" s="7"/>
      <c r="O6" s="30" t="e">
        <f>VLOOKUP(N6,[1]VLOOKUP!$A$2:$B$35,2,FALSE)</f>
        <v>#N/A</v>
      </c>
      <c r="P6" s="6">
        <v>1</v>
      </c>
      <c r="Q6" s="8" t="s">
        <v>609</v>
      </c>
      <c r="R6" s="6"/>
      <c r="S6" s="6"/>
      <c r="T6" s="6"/>
      <c r="U6" s="6"/>
      <c r="V6" s="6"/>
      <c r="W6" s="6"/>
      <c r="X6" s="6"/>
      <c r="Y6" s="6"/>
      <c r="Z6" s="7">
        <v>38707</v>
      </c>
      <c r="AA6" s="7">
        <v>38869</v>
      </c>
      <c r="AB6" s="7" t="s">
        <v>2103</v>
      </c>
      <c r="AC6" s="7" t="s">
        <v>17</v>
      </c>
    </row>
    <row r="7" spans="1:29" s="5" customFormat="1" ht="24.95" customHeight="1" x14ac:dyDescent="0.3">
      <c r="A7" s="9" t="s">
        <v>9</v>
      </c>
      <c r="B7" s="8">
        <f>SUM(X2:X1022)</f>
        <v>25</v>
      </c>
      <c r="D7" s="6">
        <f t="shared" si="0"/>
        <v>6</v>
      </c>
      <c r="E7" s="7" t="s">
        <v>2107</v>
      </c>
      <c r="F7" s="7" t="s">
        <v>2108</v>
      </c>
      <c r="G7" s="7" t="s">
        <v>1938</v>
      </c>
      <c r="H7" s="7" t="s">
        <v>1809</v>
      </c>
      <c r="I7" s="30" t="str">
        <f>VLOOKUP(H7,[1]VLOOKUP!$A$2:$B$35,2,FALSE)</f>
        <v>华东</v>
      </c>
      <c r="J7" s="7" t="s">
        <v>2109</v>
      </c>
      <c r="K7" s="7" t="s">
        <v>1797</v>
      </c>
      <c r="L7" s="30" t="str">
        <f>VLOOKUP(K7,[1]VLOOKUP!$A$2:$B$35,2,FALSE)</f>
        <v>华北</v>
      </c>
      <c r="M7" s="7" t="s">
        <v>2110</v>
      </c>
      <c r="N7" s="7" t="s">
        <v>1809</v>
      </c>
      <c r="O7" s="30" t="str">
        <f>VLOOKUP(N7,[1]VLOOKUP!$A$2:$B$35,2,FALSE)</f>
        <v>华东</v>
      </c>
      <c r="P7" s="6"/>
      <c r="Q7" s="6"/>
      <c r="R7" s="6"/>
      <c r="S7" s="6"/>
      <c r="T7" s="6"/>
      <c r="U7" s="6"/>
      <c r="V7" s="6">
        <v>1</v>
      </c>
      <c r="W7" s="8" t="s">
        <v>108</v>
      </c>
      <c r="X7" s="6"/>
      <c r="Y7" s="6"/>
      <c r="Z7" s="7">
        <v>40134</v>
      </c>
      <c r="AA7" s="7">
        <v>40269</v>
      </c>
      <c r="AB7" s="7" t="s">
        <v>2111</v>
      </c>
      <c r="AC7" s="7" t="s">
        <v>17</v>
      </c>
    </row>
    <row r="8" spans="1:29" s="5" customFormat="1" ht="24.95" customHeight="1" x14ac:dyDescent="0.3">
      <c r="D8" s="6">
        <f t="shared" si="0"/>
        <v>7</v>
      </c>
      <c r="E8" s="7" t="s">
        <v>2112</v>
      </c>
      <c r="F8" s="7" t="s">
        <v>2113</v>
      </c>
      <c r="G8" s="7" t="s">
        <v>2106</v>
      </c>
      <c r="H8" s="7" t="s">
        <v>1767</v>
      </c>
      <c r="I8" s="30" t="str">
        <f>VLOOKUP(H8,[1]VLOOKUP!$A$2:$B$35,2,FALSE)</f>
        <v>华北</v>
      </c>
      <c r="J8" s="7" t="s">
        <v>2114</v>
      </c>
      <c r="K8" s="7" t="s">
        <v>1767</v>
      </c>
      <c r="L8" s="30" t="str">
        <f>VLOOKUP(K8,[1]VLOOKUP!$A$2:$B$35,2,FALSE)</f>
        <v>华北</v>
      </c>
      <c r="M8" s="7"/>
      <c r="N8" s="7"/>
      <c r="O8" s="30" t="e">
        <f>VLOOKUP(N8,[1]VLOOKUP!$A$2:$B$35,2,FALSE)</f>
        <v>#N/A</v>
      </c>
      <c r="P8" s="6"/>
      <c r="Q8" s="6"/>
      <c r="R8" s="6">
        <v>1</v>
      </c>
      <c r="S8" s="8" t="s">
        <v>130</v>
      </c>
      <c r="T8" s="6"/>
      <c r="U8" s="6"/>
      <c r="V8" s="6"/>
      <c r="W8" s="6"/>
      <c r="X8" s="6"/>
      <c r="Y8" s="6"/>
      <c r="Z8" s="7">
        <v>41936</v>
      </c>
      <c r="AA8" s="7">
        <v>42064</v>
      </c>
      <c r="AB8" s="7" t="s">
        <v>2103</v>
      </c>
      <c r="AC8" s="7" t="s">
        <v>17</v>
      </c>
    </row>
    <row r="9" spans="1:29" s="5" customFormat="1" ht="24.95" customHeight="1" x14ac:dyDescent="0.3">
      <c r="D9" s="6">
        <f t="shared" si="0"/>
        <v>8</v>
      </c>
      <c r="E9" s="7" t="s">
        <v>2115</v>
      </c>
      <c r="F9" s="7" t="s">
        <v>2116</v>
      </c>
      <c r="G9" s="7" t="s">
        <v>2117</v>
      </c>
      <c r="H9" s="7" t="s">
        <v>1760</v>
      </c>
      <c r="I9" s="30" t="str">
        <f>VLOOKUP(H9,[1]VLOOKUP!$A$2:$B$35,2,FALSE)</f>
        <v>华北</v>
      </c>
      <c r="J9" s="7"/>
      <c r="K9" s="7"/>
      <c r="L9" s="30" t="e">
        <f>VLOOKUP(K9,[1]VLOOKUP!$A$2:$B$35,2,FALSE)</f>
        <v>#N/A</v>
      </c>
      <c r="M9" s="7"/>
      <c r="N9" s="7"/>
      <c r="O9" s="30" t="e">
        <f>VLOOKUP(N9,[1]VLOOKUP!$A$2:$B$35,2,FALSE)</f>
        <v>#N/A</v>
      </c>
      <c r="P9" s="6">
        <v>1</v>
      </c>
      <c r="Q9" s="8" t="s">
        <v>21</v>
      </c>
      <c r="R9" s="6"/>
      <c r="S9" s="6"/>
      <c r="T9" s="6"/>
      <c r="U9" s="6"/>
      <c r="V9" s="6"/>
      <c r="W9" s="6"/>
      <c r="X9" s="6"/>
      <c r="Y9" s="6"/>
      <c r="Z9" s="7">
        <v>42044</v>
      </c>
      <c r="AA9" s="7">
        <v>42248</v>
      </c>
      <c r="AB9" s="7" t="s">
        <v>2118</v>
      </c>
      <c r="AC9" s="7" t="s">
        <v>17</v>
      </c>
    </row>
    <row r="10" spans="1:29" s="5" customFormat="1" ht="24.95" customHeight="1" x14ac:dyDescent="0.3">
      <c r="D10" s="6">
        <f t="shared" si="0"/>
        <v>9</v>
      </c>
      <c r="E10" s="7" t="s">
        <v>2119</v>
      </c>
      <c r="F10" s="7" t="s">
        <v>2120</v>
      </c>
      <c r="G10" s="7" t="s">
        <v>2121</v>
      </c>
      <c r="H10" s="7" t="s">
        <v>2058</v>
      </c>
      <c r="I10" s="30" t="str">
        <f>VLOOKUP(H10,[1]VLOOKUP!$A$2:$B$35,2,FALSE)</f>
        <v>西北</v>
      </c>
      <c r="J10" s="7" t="s">
        <v>2122</v>
      </c>
      <c r="K10" s="7" t="s">
        <v>2058</v>
      </c>
      <c r="L10" s="30" t="str">
        <f>VLOOKUP(K10,[1]VLOOKUP!$A$2:$B$35,2,FALSE)</f>
        <v>西北</v>
      </c>
      <c r="M10" s="7" t="s">
        <v>2123</v>
      </c>
      <c r="N10" s="7" t="s">
        <v>1760</v>
      </c>
      <c r="O10" s="30" t="str">
        <f>VLOOKUP(N10,[1]VLOOKUP!$A$2:$B$35,2,FALSE)</f>
        <v>华北</v>
      </c>
      <c r="P10" s="6"/>
      <c r="Q10" s="6"/>
      <c r="R10" s="6">
        <v>1</v>
      </c>
      <c r="S10" s="8" t="s">
        <v>80</v>
      </c>
      <c r="T10" s="6"/>
      <c r="U10" s="6"/>
      <c r="V10" s="6"/>
      <c r="W10" s="6"/>
      <c r="X10" s="6"/>
      <c r="Y10" s="6"/>
      <c r="Z10" s="7">
        <v>42465</v>
      </c>
      <c r="AA10" s="7">
        <v>42614</v>
      </c>
      <c r="AB10" s="7" t="s">
        <v>2124</v>
      </c>
      <c r="AC10" s="7" t="s">
        <v>17</v>
      </c>
    </row>
    <row r="11" spans="1:29" s="5" customFormat="1" ht="24.95" customHeight="1" x14ac:dyDescent="0.3">
      <c r="D11" s="6">
        <f t="shared" si="0"/>
        <v>10</v>
      </c>
      <c r="E11" s="7" t="s">
        <v>2125</v>
      </c>
      <c r="F11" s="7" t="s">
        <v>2126</v>
      </c>
      <c r="G11" s="7" t="s">
        <v>2127</v>
      </c>
      <c r="H11" s="7" t="s">
        <v>1797</v>
      </c>
      <c r="I11" s="30" t="str">
        <f>VLOOKUP(H11,[1]VLOOKUP!$A$2:$B$35,2,FALSE)</f>
        <v>华北</v>
      </c>
      <c r="J11" s="7"/>
      <c r="K11" s="7"/>
      <c r="L11" s="30" t="e">
        <f>VLOOKUP(K11,[1]VLOOKUP!$A$2:$B$35,2,FALSE)</f>
        <v>#N/A</v>
      </c>
      <c r="M11" s="7"/>
      <c r="N11" s="7"/>
      <c r="O11" s="30" t="e">
        <f>VLOOKUP(N11,[1]VLOOKUP!$A$2:$B$35,2,FALSE)</f>
        <v>#N/A</v>
      </c>
      <c r="P11" s="6"/>
      <c r="Q11" s="6"/>
      <c r="R11" s="6"/>
      <c r="S11" s="6"/>
      <c r="T11" s="6"/>
      <c r="U11" s="6"/>
      <c r="V11" s="6"/>
      <c r="W11" s="6"/>
      <c r="X11" s="6">
        <v>1</v>
      </c>
      <c r="Y11" s="8" t="s">
        <v>25</v>
      </c>
      <c r="Z11" s="7">
        <v>42438</v>
      </c>
      <c r="AA11" s="7">
        <v>42644</v>
      </c>
      <c r="AB11" s="7" t="s">
        <v>2118</v>
      </c>
      <c r="AC11" s="7" t="s">
        <v>17</v>
      </c>
    </row>
    <row r="12" spans="1:29" s="5" customFormat="1" ht="24.95" customHeight="1" x14ac:dyDescent="0.3">
      <c r="D12" s="6">
        <f t="shared" si="0"/>
        <v>11</v>
      </c>
      <c r="E12" s="7" t="s">
        <v>2128</v>
      </c>
      <c r="F12" s="7" t="s">
        <v>2129</v>
      </c>
      <c r="G12" s="7" t="s">
        <v>2130</v>
      </c>
      <c r="H12" s="7" t="s">
        <v>1979</v>
      </c>
      <c r="I12" s="30" t="str">
        <f>VLOOKUP(H12,[1]VLOOKUP!$A$2:$B$35,2,FALSE)</f>
        <v>华东</v>
      </c>
      <c r="J12" s="7" t="s">
        <v>2131</v>
      </c>
      <c r="K12" s="7" t="s">
        <v>1760</v>
      </c>
      <c r="L12" s="30" t="str">
        <f>VLOOKUP(K12,[1]VLOOKUP!$A$2:$B$35,2,FALSE)</f>
        <v>华北</v>
      </c>
      <c r="M12" s="7" t="s">
        <v>2132</v>
      </c>
      <c r="N12" s="7" t="s">
        <v>1902</v>
      </c>
      <c r="O12" s="30" t="str">
        <f>VLOOKUP(N12,[1]VLOOKUP!$A$2:$B$35,2,FALSE)</f>
        <v>华东</v>
      </c>
      <c r="P12" s="6"/>
      <c r="Q12" s="6"/>
      <c r="R12" s="6">
        <v>1</v>
      </c>
      <c r="S12" s="8" t="s">
        <v>80</v>
      </c>
      <c r="T12" s="6"/>
      <c r="U12" s="6"/>
      <c r="V12" s="6"/>
      <c r="W12" s="6"/>
      <c r="X12" s="6"/>
      <c r="Y12" s="6"/>
      <c r="Z12" s="7">
        <v>42744</v>
      </c>
      <c r="AA12" s="7">
        <v>42917</v>
      </c>
      <c r="AB12" s="7" t="s">
        <v>2133</v>
      </c>
      <c r="AC12" s="7" t="s">
        <v>17</v>
      </c>
    </row>
    <row r="13" spans="1:29" s="5" customFormat="1" ht="24.95" customHeight="1" x14ac:dyDescent="0.3">
      <c r="D13" s="6">
        <f t="shared" si="0"/>
        <v>12</v>
      </c>
      <c r="E13" s="7" t="s">
        <v>2134</v>
      </c>
      <c r="F13" s="7" t="s">
        <v>2135</v>
      </c>
      <c r="G13" s="7" t="s">
        <v>2136</v>
      </c>
      <c r="H13" s="7" t="s">
        <v>1902</v>
      </c>
      <c r="I13" s="30" t="str">
        <f>VLOOKUP(H13,[1]VLOOKUP!$A$2:$B$35,2,FALSE)</f>
        <v>华东</v>
      </c>
      <c r="J13" s="7" t="s">
        <v>2137</v>
      </c>
      <c r="K13" s="7" t="s">
        <v>1989</v>
      </c>
      <c r="L13" s="30" t="str">
        <f>VLOOKUP(K13,[1]VLOOKUP!$A$2:$B$35,2,FALSE)</f>
        <v>西南</v>
      </c>
      <c r="M13" s="7" t="s">
        <v>2138</v>
      </c>
      <c r="N13" s="7" t="s">
        <v>1773</v>
      </c>
      <c r="O13" s="30" t="str">
        <f>VLOOKUP(N13,[1]VLOOKUP!$A$2:$B$35,2,FALSE)</f>
        <v>华东</v>
      </c>
      <c r="P13" s="6"/>
      <c r="Q13" s="6"/>
      <c r="R13" s="6">
        <v>1</v>
      </c>
      <c r="S13" s="8" t="s">
        <v>80</v>
      </c>
      <c r="T13" s="6"/>
      <c r="U13" s="6"/>
      <c r="V13" s="6"/>
      <c r="W13" s="6"/>
      <c r="X13" s="6"/>
      <c r="Y13" s="6"/>
      <c r="Z13" s="7">
        <v>43046</v>
      </c>
      <c r="AA13" s="7">
        <v>43191</v>
      </c>
      <c r="AB13" s="7" t="s">
        <v>2139</v>
      </c>
      <c r="AC13" s="7" t="s">
        <v>17</v>
      </c>
    </row>
    <row r="14" spans="1:29" s="5" customFormat="1" ht="24.95" customHeight="1" x14ac:dyDescent="0.3">
      <c r="D14" s="6">
        <f t="shared" si="0"/>
        <v>13</v>
      </c>
      <c r="E14" s="7" t="s">
        <v>2140</v>
      </c>
      <c r="F14" s="7" t="s">
        <v>2141</v>
      </c>
      <c r="G14" s="7" t="s">
        <v>2106</v>
      </c>
      <c r="H14" s="7" t="s">
        <v>1767</v>
      </c>
      <c r="I14" s="30" t="str">
        <f>VLOOKUP(H14,[1]VLOOKUP!$A$2:$B$35,2,FALSE)</f>
        <v>华北</v>
      </c>
      <c r="J14" s="7" t="s">
        <v>2114</v>
      </c>
      <c r="K14" s="7" t="s">
        <v>1767</v>
      </c>
      <c r="L14" s="30" t="str">
        <f>VLOOKUP(K14,[1]VLOOKUP!$A$2:$B$35,2,FALSE)</f>
        <v>华北</v>
      </c>
      <c r="M14" s="7"/>
      <c r="N14" s="7"/>
      <c r="O14" s="30" t="e">
        <f>VLOOKUP(N14,[1]VLOOKUP!$A$2:$B$35,2,FALSE)</f>
        <v>#N/A</v>
      </c>
      <c r="P14" s="6"/>
      <c r="Q14" s="6"/>
      <c r="R14" s="6">
        <v>1</v>
      </c>
      <c r="S14" s="8" t="s">
        <v>130</v>
      </c>
      <c r="T14" s="6"/>
      <c r="U14" s="6"/>
      <c r="V14" s="6"/>
      <c r="W14" s="6"/>
      <c r="X14" s="6"/>
      <c r="Y14" s="6"/>
      <c r="Z14" s="7">
        <v>43218</v>
      </c>
      <c r="AA14" s="7">
        <v>43313</v>
      </c>
      <c r="AB14" s="7" t="s">
        <v>2103</v>
      </c>
      <c r="AC14" s="7" t="s">
        <v>17</v>
      </c>
    </row>
    <row r="15" spans="1:29" s="5" customFormat="1" ht="24.95" customHeight="1" x14ac:dyDescent="0.3">
      <c r="D15" s="6">
        <f t="shared" si="0"/>
        <v>14</v>
      </c>
      <c r="E15" s="7" t="s">
        <v>2142</v>
      </c>
      <c r="F15" s="7" t="s">
        <v>2143</v>
      </c>
      <c r="G15" s="7" t="s">
        <v>2136</v>
      </c>
      <c r="H15" s="7" t="s">
        <v>1902</v>
      </c>
      <c r="I15" s="30" t="str">
        <f>VLOOKUP(H15,[1]VLOOKUP!$A$2:$B$35,2,FALSE)</f>
        <v>华东</v>
      </c>
      <c r="J15" s="7" t="s">
        <v>2144</v>
      </c>
      <c r="K15" s="7" t="s">
        <v>1752</v>
      </c>
      <c r="L15" s="30" t="str">
        <f>VLOOKUP(K15,[1]VLOOKUP!$A$2:$B$35,2,FALSE)</f>
        <v>华东</v>
      </c>
      <c r="M15" s="7" t="s">
        <v>2145</v>
      </c>
      <c r="N15" s="7" t="s">
        <v>1880</v>
      </c>
      <c r="O15" s="30" t="str">
        <f>VLOOKUP(N15,[1]VLOOKUP!$A$2:$B$35,2,FALSE)</f>
        <v>华中</v>
      </c>
      <c r="P15" s="6"/>
      <c r="Q15" s="6"/>
      <c r="R15" s="6">
        <v>1</v>
      </c>
      <c r="S15" s="8" t="s">
        <v>80</v>
      </c>
      <c r="T15" s="6"/>
      <c r="U15" s="6"/>
      <c r="V15" s="6"/>
      <c r="W15" s="6"/>
      <c r="X15" s="6"/>
      <c r="Y15" s="6"/>
      <c r="Z15" s="7">
        <v>43220</v>
      </c>
      <c r="AA15" s="7">
        <v>43344</v>
      </c>
      <c r="AB15" s="7" t="s">
        <v>2139</v>
      </c>
      <c r="AC15" s="7" t="s">
        <v>17</v>
      </c>
    </row>
    <row r="16" spans="1:29" s="5" customFormat="1" ht="24.95" customHeight="1" x14ac:dyDescent="0.3">
      <c r="D16" s="6">
        <f t="shared" si="0"/>
        <v>15</v>
      </c>
      <c r="E16" s="7" t="s">
        <v>2146</v>
      </c>
      <c r="F16" s="7" t="s">
        <v>2147</v>
      </c>
      <c r="G16" s="7" t="s">
        <v>2148</v>
      </c>
      <c r="H16" s="7" t="s">
        <v>1809</v>
      </c>
      <c r="I16" s="30" t="str">
        <f>VLOOKUP(H16,[1]VLOOKUP!$A$2:$B$35,2,FALSE)</f>
        <v>华东</v>
      </c>
      <c r="J16" s="7" t="s">
        <v>2149</v>
      </c>
      <c r="K16" s="7" t="s">
        <v>1760</v>
      </c>
      <c r="L16" s="30" t="str">
        <f>VLOOKUP(K16,[1]VLOOKUP!$A$2:$B$35,2,FALSE)</f>
        <v>华北</v>
      </c>
      <c r="M16" s="7" t="s">
        <v>2150</v>
      </c>
      <c r="N16" s="7" t="s">
        <v>1760</v>
      </c>
      <c r="O16" s="30" t="str">
        <f>VLOOKUP(N16,[1]VLOOKUP!$A$2:$B$35,2,FALSE)</f>
        <v>华北</v>
      </c>
      <c r="P16" s="6"/>
      <c r="Q16" s="6"/>
      <c r="R16" s="6"/>
      <c r="S16" s="6"/>
      <c r="T16" s="6"/>
      <c r="U16" s="6"/>
      <c r="V16" s="6"/>
      <c r="W16" s="6"/>
      <c r="X16" s="6">
        <v>1</v>
      </c>
      <c r="Y16" s="8" t="s">
        <v>25</v>
      </c>
      <c r="Z16" s="7">
        <v>43455</v>
      </c>
      <c r="AA16" s="7">
        <v>43556</v>
      </c>
      <c r="AB16" s="7" t="s">
        <v>2151</v>
      </c>
      <c r="AC16" s="7" t="s">
        <v>17</v>
      </c>
    </row>
    <row r="17" spans="1:29" s="5" customFormat="1" ht="24.95" customHeight="1" x14ac:dyDescent="0.3">
      <c r="D17" s="6">
        <f t="shared" si="0"/>
        <v>16</v>
      </c>
      <c r="E17" s="7" t="s">
        <v>2152</v>
      </c>
      <c r="F17" s="7" t="s">
        <v>2153</v>
      </c>
      <c r="G17" s="7" t="s">
        <v>2154</v>
      </c>
      <c r="H17" s="7" t="s">
        <v>2058</v>
      </c>
      <c r="I17" s="30" t="str">
        <f>VLOOKUP(H17,[1]VLOOKUP!$A$2:$B$35,2,FALSE)</f>
        <v>西北</v>
      </c>
      <c r="J17" s="7" t="s">
        <v>2155</v>
      </c>
      <c r="K17" s="7" t="s">
        <v>2058</v>
      </c>
      <c r="L17" s="30" t="str">
        <f>VLOOKUP(K17,[1]VLOOKUP!$A$2:$B$35,2,FALSE)</f>
        <v>西北</v>
      </c>
      <c r="M17" s="7" t="s">
        <v>2156</v>
      </c>
      <c r="N17" s="7" t="s">
        <v>1797</v>
      </c>
      <c r="O17" s="30" t="str">
        <f>VLOOKUP(N17,[1]VLOOKUP!$A$2:$B$35,2,FALSE)</f>
        <v>华北</v>
      </c>
      <c r="P17" s="6">
        <v>1</v>
      </c>
      <c r="Q17" s="8" t="s">
        <v>609</v>
      </c>
      <c r="R17" s="6"/>
      <c r="S17" s="6"/>
      <c r="T17" s="6"/>
      <c r="U17" s="6"/>
      <c r="V17" s="6"/>
      <c r="W17" s="6"/>
      <c r="X17" s="6"/>
      <c r="Y17" s="6"/>
      <c r="Z17" s="7">
        <v>43459</v>
      </c>
      <c r="AA17" s="7">
        <v>43586</v>
      </c>
      <c r="AB17" s="7" t="s">
        <v>2157</v>
      </c>
      <c r="AC17" s="7" t="s">
        <v>17</v>
      </c>
    </row>
    <row r="18" spans="1:29" s="5" customFormat="1" ht="24.95" customHeight="1" x14ac:dyDescent="0.3">
      <c r="D18" s="6">
        <f t="shared" si="0"/>
        <v>17</v>
      </c>
      <c r="E18" s="7" t="s">
        <v>2158</v>
      </c>
      <c r="F18" s="7" t="s">
        <v>2159</v>
      </c>
      <c r="G18" s="7" t="s">
        <v>1759</v>
      </c>
      <c r="H18" s="7" t="s">
        <v>1760</v>
      </c>
      <c r="I18" s="30" t="str">
        <f>VLOOKUP(H18,[1]VLOOKUP!$A$2:$B$35,2,FALSE)</f>
        <v>华北</v>
      </c>
      <c r="J18" s="7" t="s">
        <v>13</v>
      </c>
      <c r="K18" s="7" t="s">
        <v>1760</v>
      </c>
      <c r="L18" s="30" t="str">
        <f>VLOOKUP(K18,[1]VLOOKUP!$A$2:$B$35,2,FALSE)</f>
        <v>华北</v>
      </c>
      <c r="M18" s="7" t="s">
        <v>2160</v>
      </c>
      <c r="N18" s="7" t="s">
        <v>1902</v>
      </c>
      <c r="O18" s="30" t="str">
        <f>VLOOKUP(N18,[1]VLOOKUP!$A$2:$B$35,2,FALSE)</f>
        <v>华东</v>
      </c>
      <c r="P18" s="6">
        <v>1</v>
      </c>
      <c r="Q18" s="8" t="s">
        <v>1667</v>
      </c>
      <c r="R18" s="6"/>
      <c r="S18" s="6"/>
      <c r="T18" s="6"/>
      <c r="U18" s="6"/>
      <c r="V18" s="6"/>
      <c r="W18" s="6"/>
      <c r="X18" s="6"/>
      <c r="Y18" s="6"/>
      <c r="Z18" s="7">
        <v>43620</v>
      </c>
      <c r="AA18" s="7">
        <v>43739</v>
      </c>
      <c r="AB18" s="7" t="s">
        <v>2161</v>
      </c>
      <c r="AC18" s="7" t="s">
        <v>17</v>
      </c>
    </row>
    <row r="19" spans="1:29" s="5" customFormat="1" ht="24.95" customHeight="1" x14ac:dyDescent="0.3">
      <c r="D19" s="6">
        <f t="shared" si="0"/>
        <v>18</v>
      </c>
      <c r="E19" s="7" t="s">
        <v>2162</v>
      </c>
      <c r="F19" s="7" t="s">
        <v>2163</v>
      </c>
      <c r="G19" s="7" t="s">
        <v>2164</v>
      </c>
      <c r="H19" s="7" t="s">
        <v>1902</v>
      </c>
      <c r="I19" s="30" t="str">
        <f>VLOOKUP(H19,[1]VLOOKUP!$A$2:$B$35,2,FALSE)</f>
        <v>华东</v>
      </c>
      <c r="J19" s="7" t="s">
        <v>2137</v>
      </c>
      <c r="K19" s="7" t="s">
        <v>1989</v>
      </c>
      <c r="L19" s="30" t="str">
        <f>VLOOKUP(K19,[1]VLOOKUP!$A$2:$B$35,2,FALSE)</f>
        <v>西南</v>
      </c>
      <c r="M19" s="7" t="s">
        <v>2165</v>
      </c>
      <c r="N19" s="7" t="s">
        <v>1760</v>
      </c>
      <c r="O19" s="30" t="str">
        <f>VLOOKUP(N19,[1]VLOOKUP!$A$2:$B$35,2,FALSE)</f>
        <v>华北</v>
      </c>
      <c r="P19" s="6"/>
      <c r="Q19" s="6"/>
      <c r="R19" s="6">
        <v>1</v>
      </c>
      <c r="S19" s="8" t="s">
        <v>80</v>
      </c>
      <c r="T19" s="6"/>
      <c r="U19" s="6"/>
      <c r="V19" s="6"/>
      <c r="W19" s="6"/>
      <c r="X19" s="6"/>
      <c r="Y19" s="6"/>
      <c r="Z19" s="7">
        <v>43679</v>
      </c>
      <c r="AA19" s="7">
        <v>43831</v>
      </c>
      <c r="AB19" s="7" t="s">
        <v>2139</v>
      </c>
      <c r="AC19" s="7" t="s">
        <v>17</v>
      </c>
    </row>
    <row r="20" spans="1:29" s="5" customFormat="1" ht="24.95" customHeight="1" x14ac:dyDescent="0.3">
      <c r="D20" s="6">
        <f t="shared" si="0"/>
        <v>19</v>
      </c>
      <c r="E20" s="7" t="s">
        <v>2166</v>
      </c>
      <c r="F20" s="7" t="s">
        <v>2167</v>
      </c>
      <c r="G20" s="7" t="s">
        <v>2009</v>
      </c>
      <c r="H20" s="7" t="s">
        <v>1760</v>
      </c>
      <c r="I20" s="30" t="str">
        <f>VLOOKUP(H20,[1]VLOOKUP!$A$2:$B$35,2,FALSE)</f>
        <v>华北</v>
      </c>
      <c r="J20" s="7" t="s">
        <v>2168</v>
      </c>
      <c r="K20" s="7" t="s">
        <v>1760</v>
      </c>
      <c r="L20" s="30" t="str">
        <f>VLOOKUP(K20,[1]VLOOKUP!$A$2:$B$35,2,FALSE)</f>
        <v>华北</v>
      </c>
      <c r="M20" s="7" t="s">
        <v>2169</v>
      </c>
      <c r="N20" s="7" t="s">
        <v>1979</v>
      </c>
      <c r="O20" s="30" t="str">
        <f>VLOOKUP(N20,[1]VLOOKUP!$A$2:$B$35,2,FALSE)</f>
        <v>华东</v>
      </c>
      <c r="P20" s="6"/>
      <c r="Q20" s="6"/>
      <c r="R20" s="6"/>
      <c r="S20" s="6"/>
      <c r="T20" s="6"/>
      <c r="U20" s="6"/>
      <c r="V20" s="6"/>
      <c r="W20" s="6"/>
      <c r="X20" s="6">
        <v>1</v>
      </c>
      <c r="Y20" s="8" t="s">
        <v>16</v>
      </c>
      <c r="Z20" s="7">
        <v>44134</v>
      </c>
      <c r="AA20" s="7">
        <v>44228</v>
      </c>
      <c r="AB20" s="7" t="s">
        <v>16</v>
      </c>
      <c r="AC20" s="7" t="s">
        <v>17</v>
      </c>
    </row>
    <row r="21" spans="1:29" s="5" customFormat="1" ht="24.95" customHeight="1" x14ac:dyDescent="0.3">
      <c r="D21" s="6">
        <f t="shared" si="0"/>
        <v>20</v>
      </c>
      <c r="E21" s="7" t="s">
        <v>2170</v>
      </c>
      <c r="F21" s="7" t="s">
        <v>2171</v>
      </c>
      <c r="G21" s="7" t="s">
        <v>2164</v>
      </c>
      <c r="H21" s="7" t="s">
        <v>1902</v>
      </c>
      <c r="I21" s="30" t="str">
        <f>VLOOKUP(H21,[1]VLOOKUP!$A$2:$B$35,2,FALSE)</f>
        <v>华东</v>
      </c>
      <c r="J21" s="7" t="s">
        <v>2144</v>
      </c>
      <c r="K21" s="7" t="s">
        <v>1752</v>
      </c>
      <c r="L21" s="30" t="str">
        <f>VLOOKUP(K21,[1]VLOOKUP!$A$2:$B$35,2,FALSE)</f>
        <v>华东</v>
      </c>
      <c r="M21" s="7" t="s">
        <v>2145</v>
      </c>
      <c r="N21" s="7" t="s">
        <v>1880</v>
      </c>
      <c r="O21" s="30" t="str">
        <f>VLOOKUP(N21,[1]VLOOKUP!$A$2:$B$35,2,FALSE)</f>
        <v>华中</v>
      </c>
      <c r="P21" s="6"/>
      <c r="Q21" s="6"/>
      <c r="R21" s="6">
        <v>1</v>
      </c>
      <c r="S21" s="8" t="s">
        <v>80</v>
      </c>
      <c r="T21" s="6"/>
      <c r="U21" s="6"/>
      <c r="V21" s="6"/>
      <c r="W21" s="6"/>
      <c r="X21" s="6"/>
      <c r="Y21" s="6"/>
      <c r="Z21" s="7">
        <v>44174</v>
      </c>
      <c r="AA21" s="7">
        <v>44287</v>
      </c>
      <c r="AB21" s="7" t="s">
        <v>2139</v>
      </c>
      <c r="AC21" s="7" t="s">
        <v>17</v>
      </c>
    </row>
    <row r="22" spans="1:29" s="5" customFormat="1" ht="24.95" customHeight="1" x14ac:dyDescent="0.3">
      <c r="D22" s="6">
        <f t="shared" si="0"/>
        <v>21</v>
      </c>
      <c r="E22" s="7" t="s">
        <v>2172</v>
      </c>
      <c r="F22" s="7" t="s">
        <v>2173</v>
      </c>
      <c r="G22" s="7" t="s">
        <v>2174</v>
      </c>
      <c r="H22" s="7" t="s">
        <v>1979</v>
      </c>
      <c r="I22" s="30" t="str">
        <f>VLOOKUP(H22,[1]VLOOKUP!$A$2:$B$35,2,FALSE)</f>
        <v>华东</v>
      </c>
      <c r="J22" s="7" t="s">
        <v>1759</v>
      </c>
      <c r="K22" s="7" t="s">
        <v>1760</v>
      </c>
      <c r="L22" s="30" t="str">
        <f>VLOOKUP(K22,[1]VLOOKUP!$A$2:$B$35,2,FALSE)</f>
        <v>华北</v>
      </c>
      <c r="M22" s="7" t="s">
        <v>2175</v>
      </c>
      <c r="N22" s="7" t="s">
        <v>1880</v>
      </c>
      <c r="O22" s="30" t="str">
        <f>VLOOKUP(N22,[1]VLOOKUP!$A$2:$B$35,2,FALSE)</f>
        <v>华中</v>
      </c>
      <c r="P22" s="6">
        <v>1</v>
      </c>
      <c r="Q22" s="8" t="s">
        <v>609</v>
      </c>
      <c r="R22" s="6"/>
      <c r="S22" s="6"/>
      <c r="T22" s="6"/>
      <c r="U22" s="6"/>
      <c r="V22" s="6"/>
      <c r="W22" s="6"/>
      <c r="X22" s="6"/>
      <c r="Y22" s="6"/>
      <c r="Z22" s="7">
        <v>44312</v>
      </c>
      <c r="AA22" s="7">
        <v>44403</v>
      </c>
      <c r="AB22" s="7" t="s">
        <v>2161</v>
      </c>
      <c r="AC22" s="7" t="s">
        <v>17</v>
      </c>
    </row>
    <row r="23" spans="1:29" s="5" customFormat="1" ht="24.95" customHeight="1" x14ac:dyDescent="0.3">
      <c r="D23" s="6">
        <f t="shared" si="0"/>
        <v>22</v>
      </c>
      <c r="E23" s="7" t="s">
        <v>2176</v>
      </c>
      <c r="F23" s="7" t="s">
        <v>2177</v>
      </c>
      <c r="G23" s="7" t="s">
        <v>2178</v>
      </c>
      <c r="H23" s="7" t="s">
        <v>1758</v>
      </c>
      <c r="I23" s="30" t="str">
        <f>VLOOKUP(H23,[1]VLOOKUP!$A$2:$B$35,2,FALSE)</f>
        <v>华南</v>
      </c>
      <c r="J23" s="7" t="s">
        <v>2179</v>
      </c>
      <c r="K23" s="7" t="s">
        <v>1758</v>
      </c>
      <c r="L23" s="30" t="str">
        <f>VLOOKUP(K23,[1]VLOOKUP!$A$2:$B$35,2,FALSE)</f>
        <v>华南</v>
      </c>
      <c r="M23" s="7" t="s">
        <v>2160</v>
      </c>
      <c r="N23" s="7" t="s">
        <v>1902</v>
      </c>
      <c r="O23" s="30" t="str">
        <f>VLOOKUP(N23,[1]VLOOKUP!$A$2:$B$35,2,FALSE)</f>
        <v>华东</v>
      </c>
      <c r="P23" s="6"/>
      <c r="Q23" s="6"/>
      <c r="R23" s="6"/>
      <c r="S23" s="6"/>
      <c r="T23" s="6"/>
      <c r="U23" s="6"/>
      <c r="V23" s="6"/>
      <c r="W23" s="6"/>
      <c r="X23" s="6">
        <v>1</v>
      </c>
      <c r="Y23" s="8" t="s">
        <v>58</v>
      </c>
      <c r="Z23" s="7">
        <v>44312</v>
      </c>
      <c r="AA23" s="7">
        <v>44403</v>
      </c>
      <c r="AB23" s="7" t="s">
        <v>2161</v>
      </c>
      <c r="AC23" s="7" t="s">
        <v>17</v>
      </c>
    </row>
    <row r="24" spans="1:29" s="5" customFormat="1" ht="24.95" customHeight="1" x14ac:dyDescent="0.3">
      <c r="D24" s="6">
        <f t="shared" si="0"/>
        <v>23</v>
      </c>
      <c r="E24" s="7" t="s">
        <v>2180</v>
      </c>
      <c r="F24" s="7" t="s">
        <v>2181</v>
      </c>
      <c r="G24" s="7" t="s">
        <v>2182</v>
      </c>
      <c r="H24" s="7" t="s">
        <v>1760</v>
      </c>
      <c r="I24" s="30" t="str">
        <f>VLOOKUP(H24,[1]VLOOKUP!$A$2:$B$35,2,FALSE)</f>
        <v>华北</v>
      </c>
      <c r="J24" s="7" t="s">
        <v>2183</v>
      </c>
      <c r="K24" s="7" t="s">
        <v>1979</v>
      </c>
      <c r="L24" s="30" t="str">
        <f>VLOOKUP(K24,[1]VLOOKUP!$A$2:$B$35,2,FALSE)</f>
        <v>华东</v>
      </c>
      <c r="M24" s="7" t="s">
        <v>2184</v>
      </c>
      <c r="N24" s="7" t="s">
        <v>1902</v>
      </c>
      <c r="O24" s="30" t="str">
        <f>VLOOKUP(N24,[1]VLOOKUP!$A$2:$B$35,2,FALSE)</f>
        <v>华东</v>
      </c>
      <c r="P24" s="6"/>
      <c r="Q24" s="6"/>
      <c r="R24" s="6">
        <v>1</v>
      </c>
      <c r="S24" s="8" t="s">
        <v>130</v>
      </c>
      <c r="T24" s="6"/>
      <c r="U24" s="6"/>
      <c r="V24" s="6"/>
      <c r="W24" s="6"/>
      <c r="X24" s="6"/>
      <c r="Y24" s="6"/>
      <c r="Z24" s="7">
        <v>44312</v>
      </c>
      <c r="AA24" s="7">
        <v>44434</v>
      </c>
      <c r="AB24" s="7" t="s">
        <v>2161</v>
      </c>
      <c r="AC24" s="7" t="s">
        <v>17</v>
      </c>
    </row>
    <row r="25" spans="1:29" s="5" customFormat="1" ht="24.95" customHeight="1" x14ac:dyDescent="0.3">
      <c r="D25" s="6">
        <f t="shared" si="0"/>
        <v>24</v>
      </c>
      <c r="E25" s="7" t="s">
        <v>2185</v>
      </c>
      <c r="F25" s="7" t="s">
        <v>2186</v>
      </c>
      <c r="G25" s="7" t="s">
        <v>2187</v>
      </c>
      <c r="H25" s="7" t="s">
        <v>1989</v>
      </c>
      <c r="I25" s="30" t="str">
        <f>VLOOKUP(H25,[1]VLOOKUP!$A$2:$B$35,2,FALSE)</f>
        <v>西南</v>
      </c>
      <c r="J25" s="7" t="s">
        <v>2188</v>
      </c>
      <c r="K25" s="7" t="s">
        <v>1902</v>
      </c>
      <c r="L25" s="30" t="str">
        <f>VLOOKUP(K25,[1]VLOOKUP!$A$2:$B$35,2,FALSE)</f>
        <v>华东</v>
      </c>
      <c r="M25" s="7" t="s">
        <v>13</v>
      </c>
      <c r="N25" s="7" t="s">
        <v>1760</v>
      </c>
      <c r="O25" s="30" t="str">
        <f>VLOOKUP(N25,[1]VLOOKUP!$A$2:$B$35,2,FALSE)</f>
        <v>华北</v>
      </c>
      <c r="P25" s="6">
        <v>1</v>
      </c>
      <c r="Q25" s="8" t="s">
        <v>609</v>
      </c>
      <c r="R25" s="6"/>
      <c r="S25" s="6"/>
      <c r="T25" s="6"/>
      <c r="U25" s="6"/>
      <c r="V25" s="6"/>
      <c r="W25" s="6"/>
      <c r="X25" s="6"/>
      <c r="Y25" s="6"/>
      <c r="Z25" s="7">
        <v>44516</v>
      </c>
      <c r="AA25" s="7">
        <v>44608</v>
      </c>
      <c r="AB25" s="7" t="s">
        <v>2161</v>
      </c>
      <c r="AC25" s="7" t="s">
        <v>17</v>
      </c>
    </row>
    <row r="26" spans="1:29" s="5" customFormat="1" ht="24.95" customHeight="1" x14ac:dyDescent="0.3">
      <c r="D26" s="6">
        <f t="shared" si="0"/>
        <v>25</v>
      </c>
      <c r="E26" s="7" t="s">
        <v>2189</v>
      </c>
      <c r="F26" s="7" t="s">
        <v>2190</v>
      </c>
      <c r="G26" s="7" t="s">
        <v>1759</v>
      </c>
      <c r="H26" s="7" t="s">
        <v>1760</v>
      </c>
      <c r="I26" s="30" t="str">
        <f>VLOOKUP(H26,[1]VLOOKUP!$A$2:$B$35,2,FALSE)</f>
        <v>华北</v>
      </c>
      <c r="J26" s="7" t="s">
        <v>2191</v>
      </c>
      <c r="K26" s="7" t="s">
        <v>1902</v>
      </c>
      <c r="L26" s="30" t="str">
        <f>VLOOKUP(K26,[1]VLOOKUP!$A$2:$B$35,2,FALSE)</f>
        <v>华东</v>
      </c>
      <c r="M26" s="7" t="s">
        <v>2160</v>
      </c>
      <c r="N26" s="7" t="s">
        <v>1902</v>
      </c>
      <c r="O26" s="30" t="str">
        <f>VLOOKUP(N26,[1]VLOOKUP!$A$2:$B$35,2,FALSE)</f>
        <v>华东</v>
      </c>
      <c r="P26" s="6"/>
      <c r="Q26" s="6"/>
      <c r="R26" s="6"/>
      <c r="S26" s="6"/>
      <c r="T26" s="6"/>
      <c r="U26" s="6"/>
      <c r="V26" s="6"/>
      <c r="W26" s="6"/>
      <c r="X26" s="6">
        <v>1</v>
      </c>
      <c r="Y26" s="8" t="s">
        <v>58</v>
      </c>
      <c r="Z26" s="7">
        <v>44516</v>
      </c>
      <c r="AA26" s="7">
        <v>44608</v>
      </c>
      <c r="AB26" s="7" t="s">
        <v>2161</v>
      </c>
      <c r="AC26" s="7" t="s">
        <v>17</v>
      </c>
    </row>
    <row r="27" spans="1:29" s="5" customFormat="1" ht="24.95" customHeight="1" x14ac:dyDescent="0.3">
      <c r="D27" s="6">
        <f t="shared" si="0"/>
        <v>26</v>
      </c>
      <c r="E27" s="7" t="s">
        <v>2192</v>
      </c>
      <c r="F27" s="7" t="s">
        <v>2193</v>
      </c>
      <c r="G27" s="7" t="s">
        <v>1759</v>
      </c>
      <c r="H27" s="7" t="s">
        <v>1760</v>
      </c>
      <c r="I27" s="30" t="str">
        <f>VLOOKUP(H27,[1]VLOOKUP!$A$2:$B$35,2,FALSE)</f>
        <v>华北</v>
      </c>
      <c r="J27" s="7" t="s">
        <v>2191</v>
      </c>
      <c r="K27" s="7" t="s">
        <v>1902</v>
      </c>
      <c r="L27" s="30" t="str">
        <f>VLOOKUP(K27,[1]VLOOKUP!$A$2:$B$35,2,FALSE)</f>
        <v>华东</v>
      </c>
      <c r="M27" s="7" t="s">
        <v>13</v>
      </c>
      <c r="N27" s="7" t="s">
        <v>1760</v>
      </c>
      <c r="O27" s="30" t="str">
        <f>VLOOKUP(N27,[1]VLOOKUP!$A$2:$B$35,2,FALSE)</f>
        <v>华北</v>
      </c>
      <c r="P27" s="6"/>
      <c r="Q27" s="6"/>
      <c r="R27" s="6"/>
      <c r="S27" s="6"/>
      <c r="T27" s="6"/>
      <c r="U27" s="6"/>
      <c r="V27" s="6"/>
      <c r="W27" s="6"/>
      <c r="X27" s="6">
        <v>1</v>
      </c>
      <c r="Y27" s="8" t="s">
        <v>58</v>
      </c>
      <c r="Z27" s="7">
        <v>44516</v>
      </c>
      <c r="AA27" s="7">
        <v>44608</v>
      </c>
      <c r="AB27" s="7" t="s">
        <v>2161</v>
      </c>
      <c r="AC27" s="7" t="s">
        <v>17</v>
      </c>
    </row>
    <row r="28" spans="1:29" s="5" customFormat="1" ht="24.95" customHeight="1" x14ac:dyDescent="0.3">
      <c r="D28" s="6">
        <f t="shared" si="0"/>
        <v>27</v>
      </c>
      <c r="E28" s="7" t="s">
        <v>2194</v>
      </c>
      <c r="F28" s="7" t="s">
        <v>2195</v>
      </c>
      <c r="G28" s="7" t="s">
        <v>2106</v>
      </c>
      <c r="H28" s="7" t="s">
        <v>1767</v>
      </c>
      <c r="I28" s="30" t="str">
        <f>VLOOKUP(H28,[1]VLOOKUP!$A$2:$B$35,2,FALSE)</f>
        <v>华北</v>
      </c>
      <c r="J28" s="7" t="s">
        <v>2196</v>
      </c>
      <c r="K28" s="7" t="s">
        <v>1760</v>
      </c>
      <c r="L28" s="30" t="str">
        <f>VLOOKUP(K28,[1]VLOOKUP!$A$2:$B$35,2,FALSE)</f>
        <v>华北</v>
      </c>
      <c r="M28" s="7" t="s">
        <v>2197</v>
      </c>
      <c r="N28" s="7" t="s">
        <v>1809</v>
      </c>
      <c r="O28" s="30" t="str">
        <f>VLOOKUP(N28,[1]VLOOKUP!$A$2:$B$35,2,FALSE)</f>
        <v>华东</v>
      </c>
      <c r="P28" s="6"/>
      <c r="Q28" s="6"/>
      <c r="R28" s="6">
        <v>1</v>
      </c>
      <c r="S28" s="8" t="s">
        <v>130</v>
      </c>
      <c r="T28" s="6"/>
      <c r="U28" s="6"/>
      <c r="V28" s="6"/>
      <c r="W28" s="6"/>
      <c r="X28" s="6"/>
      <c r="Y28" s="6"/>
      <c r="Z28" s="7">
        <v>44568</v>
      </c>
      <c r="AA28" s="7">
        <v>44652</v>
      </c>
      <c r="AB28" s="7" t="s">
        <v>2103</v>
      </c>
      <c r="AC28" s="7" t="s">
        <v>17</v>
      </c>
    </row>
    <row r="29" spans="1:29" s="5" customFormat="1" ht="24.95" customHeight="1" x14ac:dyDescent="0.3">
      <c r="D29" s="6">
        <f t="shared" si="0"/>
        <v>28</v>
      </c>
      <c r="E29" s="7" t="s">
        <v>2198</v>
      </c>
      <c r="F29" s="7" t="s">
        <v>2199</v>
      </c>
      <c r="G29" s="7" t="s">
        <v>2200</v>
      </c>
      <c r="H29" s="7" t="s">
        <v>1767</v>
      </c>
      <c r="I29" s="30" t="str">
        <f>VLOOKUP(H29,[1]VLOOKUP!$A$2:$B$35,2,FALSE)</f>
        <v>华北</v>
      </c>
      <c r="J29" s="7" t="s">
        <v>2106</v>
      </c>
      <c r="K29" s="7" t="s">
        <v>1767</v>
      </c>
      <c r="L29" s="30" t="str">
        <f>VLOOKUP(K29,[1]VLOOKUP!$A$2:$B$35,2,FALSE)</f>
        <v>华北</v>
      </c>
      <c r="M29" s="7" t="s">
        <v>2114</v>
      </c>
      <c r="N29" s="7" t="s">
        <v>1767</v>
      </c>
      <c r="O29" s="30" t="str">
        <f>VLOOKUP(N29,[1]VLOOKUP!$A$2:$B$35,2,FALSE)</f>
        <v>华北</v>
      </c>
      <c r="P29" s="6"/>
      <c r="Q29" s="6"/>
      <c r="R29" s="6">
        <v>1</v>
      </c>
      <c r="S29" s="8" t="s">
        <v>130</v>
      </c>
      <c r="T29" s="6"/>
      <c r="U29" s="6"/>
      <c r="V29" s="6"/>
      <c r="W29" s="6"/>
      <c r="X29" s="6"/>
      <c r="Y29" s="6"/>
      <c r="Z29" s="7">
        <v>44568</v>
      </c>
      <c r="AA29" s="7">
        <v>44652</v>
      </c>
      <c r="AB29" s="7" t="s">
        <v>2103</v>
      </c>
      <c r="AC29" s="7" t="s">
        <v>17</v>
      </c>
    </row>
    <row r="30" spans="1:29" s="5" customFormat="1" ht="24.95" customHeight="1" x14ac:dyDescent="0.3">
      <c r="A30" s="20" t="s">
        <v>5</v>
      </c>
      <c r="B30" s="8" t="s">
        <v>1667</v>
      </c>
      <c r="D30" s="6">
        <f t="shared" si="0"/>
        <v>29</v>
      </c>
      <c r="E30" s="7" t="s">
        <v>2201</v>
      </c>
      <c r="F30" s="7" t="s">
        <v>2202</v>
      </c>
      <c r="G30" s="7" t="s">
        <v>2203</v>
      </c>
      <c r="H30" s="7" t="s">
        <v>1760</v>
      </c>
      <c r="I30" s="30" t="str">
        <f>VLOOKUP(H30,[1]VLOOKUP!$A$2:$B$35,2,FALSE)</f>
        <v>华北</v>
      </c>
      <c r="J30" s="7" t="s">
        <v>2204</v>
      </c>
      <c r="K30" s="7" t="s">
        <v>1752</v>
      </c>
      <c r="L30" s="30" t="str">
        <f>VLOOKUP(K30,[1]VLOOKUP!$A$2:$B$35,2,FALSE)</f>
        <v>华东</v>
      </c>
      <c r="M30" s="7" t="s">
        <v>2205</v>
      </c>
      <c r="N30" s="7" t="s">
        <v>2094</v>
      </c>
      <c r="O30" s="30" t="str">
        <f>VLOOKUP(N30,[1]VLOOKUP!$A$2:$B$35,2,FALSE)</f>
        <v>华东</v>
      </c>
      <c r="P30" s="6"/>
      <c r="Q30" s="6"/>
      <c r="R30" s="6"/>
      <c r="S30" s="6"/>
      <c r="T30" s="6"/>
      <c r="U30" s="6"/>
      <c r="V30" s="6"/>
      <c r="W30" s="6"/>
      <c r="X30" s="6">
        <v>1</v>
      </c>
      <c r="Y30" s="8" t="s">
        <v>58</v>
      </c>
      <c r="Z30" s="7">
        <v>44532</v>
      </c>
      <c r="AA30" s="7">
        <v>44652</v>
      </c>
      <c r="AB30" s="7" t="s">
        <v>2124</v>
      </c>
      <c r="AC30" s="7" t="s">
        <v>17</v>
      </c>
    </row>
    <row r="31" spans="1:29" s="5" customFormat="1" ht="24.95" customHeight="1" x14ac:dyDescent="0.3">
      <c r="A31" s="21"/>
      <c r="B31" s="8" t="s">
        <v>1670</v>
      </c>
      <c r="D31" s="6">
        <f t="shared" si="0"/>
        <v>30</v>
      </c>
      <c r="E31" s="7" t="s">
        <v>2206</v>
      </c>
      <c r="F31" s="7" t="s">
        <v>2207</v>
      </c>
      <c r="G31" s="7" t="s">
        <v>2208</v>
      </c>
      <c r="H31" s="7" t="s">
        <v>2058</v>
      </c>
      <c r="I31" s="30" t="str">
        <f>VLOOKUP(H31,[1]VLOOKUP!$A$2:$B$35,2,FALSE)</f>
        <v>西北</v>
      </c>
      <c r="J31" s="7" t="s">
        <v>2209</v>
      </c>
      <c r="K31" s="7" t="s">
        <v>2058</v>
      </c>
      <c r="L31" s="30" t="str">
        <f>VLOOKUP(K31,[1]VLOOKUP!$A$2:$B$35,2,FALSE)</f>
        <v>西北</v>
      </c>
      <c r="M31" s="7" t="s">
        <v>2210</v>
      </c>
      <c r="N31" s="7" t="s">
        <v>1760</v>
      </c>
      <c r="O31" s="30" t="str">
        <f>VLOOKUP(N31,[1]VLOOKUP!$A$2:$B$35,2,FALSE)</f>
        <v>华北</v>
      </c>
      <c r="P31" s="6"/>
      <c r="Q31" s="6"/>
      <c r="R31" s="6"/>
      <c r="S31" s="6"/>
      <c r="T31" s="6"/>
      <c r="U31" s="6"/>
      <c r="V31" s="6"/>
      <c r="W31" s="6"/>
      <c r="X31" s="6">
        <v>1</v>
      </c>
      <c r="Y31" s="8" t="s">
        <v>58</v>
      </c>
      <c r="Z31" s="7">
        <v>44834</v>
      </c>
      <c r="AA31" s="7">
        <v>45017</v>
      </c>
      <c r="AB31" s="7" t="s">
        <v>2124</v>
      </c>
      <c r="AC31" s="7" t="s">
        <v>17</v>
      </c>
    </row>
    <row r="32" spans="1:29" s="5" customFormat="1" ht="24.95" customHeight="1" x14ac:dyDescent="0.3">
      <c r="A32" s="21"/>
      <c r="B32" s="8" t="s">
        <v>277</v>
      </c>
      <c r="D32" s="6">
        <f t="shared" si="0"/>
        <v>31</v>
      </c>
      <c r="E32" s="7" t="s">
        <v>2211</v>
      </c>
      <c r="F32" s="7" t="s">
        <v>2212</v>
      </c>
      <c r="G32" s="7" t="s">
        <v>2213</v>
      </c>
      <c r="H32" s="7" t="s">
        <v>1880</v>
      </c>
      <c r="I32" s="30" t="str">
        <f>VLOOKUP(H32,[1]VLOOKUP!$A$2:$B$35,2,FALSE)</f>
        <v>华中</v>
      </c>
      <c r="J32" s="7" t="s">
        <v>2214</v>
      </c>
      <c r="K32" s="7" t="s">
        <v>1880</v>
      </c>
      <c r="L32" s="30" t="str">
        <f>VLOOKUP(K32,[1]VLOOKUP!$A$2:$B$35,2,FALSE)</f>
        <v>华中</v>
      </c>
      <c r="M32" s="7" t="s">
        <v>13</v>
      </c>
      <c r="N32" s="7" t="s">
        <v>1760</v>
      </c>
      <c r="O32" s="30" t="str">
        <f>VLOOKUP(N32,[1]VLOOKUP!$A$2:$B$35,2,FALSE)</f>
        <v>华北</v>
      </c>
      <c r="P32" s="6"/>
      <c r="Q32" s="6"/>
      <c r="R32" s="6"/>
      <c r="S32" s="6"/>
      <c r="T32" s="6"/>
      <c r="U32" s="6"/>
      <c r="V32" s="6"/>
      <c r="W32" s="6"/>
      <c r="X32" s="6">
        <v>1</v>
      </c>
      <c r="Y32" s="8" t="s">
        <v>58</v>
      </c>
      <c r="Z32" s="7">
        <v>45210</v>
      </c>
      <c r="AA32" s="7">
        <v>45393</v>
      </c>
      <c r="AB32" s="7" t="s">
        <v>2161</v>
      </c>
      <c r="AC32" s="7" t="s">
        <v>17</v>
      </c>
    </row>
    <row r="33" spans="1:29" s="5" customFormat="1" ht="24.95" customHeight="1" x14ac:dyDescent="0.3">
      <c r="A33" s="21"/>
      <c r="B33" s="8" t="s">
        <v>21</v>
      </c>
      <c r="D33" s="6">
        <f t="shared" si="0"/>
        <v>32</v>
      </c>
      <c r="E33" s="7" t="s">
        <v>2215</v>
      </c>
      <c r="F33" s="7" t="s">
        <v>2216</v>
      </c>
      <c r="G33" s="7" t="s">
        <v>2187</v>
      </c>
      <c r="H33" s="7" t="s">
        <v>1989</v>
      </c>
      <c r="I33" s="30" t="str">
        <f>VLOOKUP(H33,[1]VLOOKUP!$A$2:$B$35,2,FALSE)</f>
        <v>西南</v>
      </c>
      <c r="J33" s="7" t="s">
        <v>1759</v>
      </c>
      <c r="K33" s="7" t="s">
        <v>1760</v>
      </c>
      <c r="L33" s="30" t="str">
        <f>VLOOKUP(K33,[1]VLOOKUP!$A$2:$B$35,2,FALSE)</f>
        <v>华北</v>
      </c>
      <c r="M33" s="7" t="s">
        <v>13</v>
      </c>
      <c r="N33" s="7" t="s">
        <v>1760</v>
      </c>
      <c r="O33" s="30" t="str">
        <f>VLOOKUP(N33,[1]VLOOKUP!$A$2:$B$35,2,FALSE)</f>
        <v>华北</v>
      </c>
      <c r="P33" s="6"/>
      <c r="Q33" s="6"/>
      <c r="R33" s="6"/>
      <c r="S33" s="6"/>
      <c r="T33" s="6"/>
      <c r="U33" s="6"/>
      <c r="V33" s="6"/>
      <c r="W33" s="6"/>
      <c r="X33" s="6">
        <v>1</v>
      </c>
      <c r="Y33" s="8" t="s">
        <v>58</v>
      </c>
      <c r="Z33" s="7">
        <v>45288</v>
      </c>
      <c r="AA33" s="7">
        <v>45471</v>
      </c>
      <c r="AB33" s="7" t="s">
        <v>2161</v>
      </c>
      <c r="AC33" s="7" t="s">
        <v>17</v>
      </c>
    </row>
    <row r="34" spans="1:29" s="5" customFormat="1" ht="24.95" customHeight="1" x14ac:dyDescent="0.3">
      <c r="A34" s="21"/>
      <c r="B34" s="8" t="s">
        <v>281</v>
      </c>
      <c r="D34" s="6">
        <f t="shared" si="0"/>
        <v>33</v>
      </c>
      <c r="E34" s="7" t="s">
        <v>2217</v>
      </c>
      <c r="F34" s="7" t="s">
        <v>2218</v>
      </c>
      <c r="G34" s="7" t="s">
        <v>2219</v>
      </c>
      <c r="H34" s="7" t="s">
        <v>2046</v>
      </c>
      <c r="I34" s="30" t="str">
        <f>VLOOKUP(H34,[1]VLOOKUP!$A$2:$B$35,2,FALSE)</f>
        <v>华北</v>
      </c>
      <c r="J34" s="7" t="s">
        <v>2130</v>
      </c>
      <c r="K34" s="7" t="s">
        <v>1979</v>
      </c>
      <c r="L34" s="30" t="str">
        <f>VLOOKUP(K34,[1]VLOOKUP!$A$2:$B$35,2,FALSE)</f>
        <v>华东</v>
      </c>
      <c r="M34" s="7" t="s">
        <v>2220</v>
      </c>
      <c r="N34" s="7" t="s">
        <v>1773</v>
      </c>
      <c r="O34" s="30" t="str">
        <f>VLOOKUP(N34,[1]VLOOKUP!$A$2:$B$35,2,FALSE)</f>
        <v>华东</v>
      </c>
      <c r="P34" s="6"/>
      <c r="Q34" s="6"/>
      <c r="R34" s="6"/>
      <c r="S34" s="6"/>
      <c r="T34" s="6"/>
      <c r="U34" s="6"/>
      <c r="V34" s="6"/>
      <c r="W34" s="6"/>
      <c r="X34" s="6">
        <v>1</v>
      </c>
      <c r="Y34" s="8" t="s">
        <v>272</v>
      </c>
      <c r="Z34" s="7">
        <v>45380</v>
      </c>
      <c r="AA34" s="7">
        <v>45566</v>
      </c>
      <c r="AB34" s="7" t="s">
        <v>2133</v>
      </c>
      <c r="AC34" s="7" t="s">
        <v>17</v>
      </c>
    </row>
    <row r="35" spans="1:29" s="5" customFormat="1" ht="24.95" customHeight="1" x14ac:dyDescent="0.3">
      <c r="A35" s="22"/>
      <c r="B35" s="8" t="s">
        <v>609</v>
      </c>
      <c r="D35" s="6">
        <f t="shared" si="0"/>
        <v>34</v>
      </c>
      <c r="E35" s="7" t="s">
        <v>2221</v>
      </c>
      <c r="F35" s="7" t="s">
        <v>2222</v>
      </c>
      <c r="G35" s="7" t="s">
        <v>1895</v>
      </c>
      <c r="H35" s="7" t="s">
        <v>1894</v>
      </c>
      <c r="I35" s="30" t="str">
        <f>VLOOKUP(H35,[1]VLOOKUP!$A$2:$B$35,2,FALSE)</f>
        <v>西南</v>
      </c>
      <c r="J35" s="7" t="s">
        <v>1893</v>
      </c>
      <c r="K35" s="7" t="s">
        <v>1894</v>
      </c>
      <c r="L35" s="30" t="str">
        <f>VLOOKUP(K35,[1]VLOOKUP!$A$2:$B$35,2,FALSE)</f>
        <v>西南</v>
      </c>
      <c r="M35" s="7" t="s">
        <v>2223</v>
      </c>
      <c r="N35" s="7" t="s">
        <v>1989</v>
      </c>
      <c r="O35" s="30" t="str">
        <f>VLOOKUP(N35,[1]VLOOKUP!$A$2:$B$35,2,FALSE)</f>
        <v>西南</v>
      </c>
      <c r="P35" s="6"/>
      <c r="Q35" s="6"/>
      <c r="R35" s="6"/>
      <c r="S35" s="6"/>
      <c r="T35" s="6"/>
      <c r="U35" s="6"/>
      <c r="V35" s="6"/>
      <c r="W35" s="6"/>
      <c r="X35" s="6">
        <v>1</v>
      </c>
      <c r="Y35" s="8" t="s">
        <v>16</v>
      </c>
      <c r="Z35" s="7">
        <v>45432</v>
      </c>
      <c r="AA35" s="7">
        <v>45474</v>
      </c>
      <c r="AB35" s="7" t="s">
        <v>2224</v>
      </c>
      <c r="AC35" s="7" t="s">
        <v>17</v>
      </c>
    </row>
    <row r="36" spans="1:29" s="5" customFormat="1" ht="24.95" customHeight="1" x14ac:dyDescent="0.3">
      <c r="A36" s="20" t="s">
        <v>6</v>
      </c>
      <c r="B36" s="8" t="s">
        <v>80</v>
      </c>
      <c r="D36" s="6">
        <f t="shared" si="0"/>
        <v>35</v>
      </c>
      <c r="E36" s="7" t="s">
        <v>2225</v>
      </c>
      <c r="F36" s="7" t="s">
        <v>2226</v>
      </c>
      <c r="G36" s="7" t="s">
        <v>2182</v>
      </c>
      <c r="H36" s="7" t="s">
        <v>1760</v>
      </c>
      <c r="I36" s="30" t="str">
        <f>VLOOKUP(H36,[1]VLOOKUP!$A$2:$B$35,2,FALSE)</f>
        <v>华北</v>
      </c>
      <c r="J36" s="7" t="s">
        <v>2227</v>
      </c>
      <c r="K36" s="7" t="s">
        <v>1760</v>
      </c>
      <c r="L36" s="30" t="str">
        <f>VLOOKUP(K36,[1]VLOOKUP!$A$2:$B$35,2,FALSE)</f>
        <v>华北</v>
      </c>
      <c r="M36" s="7" t="s">
        <v>2228</v>
      </c>
      <c r="N36" s="7" t="s">
        <v>1797</v>
      </c>
      <c r="O36" s="30" t="str">
        <f>VLOOKUP(N36,[1]VLOOKUP!$A$2:$B$35,2,FALSE)</f>
        <v>华北</v>
      </c>
      <c r="P36" s="6"/>
      <c r="Q36" s="6"/>
      <c r="R36" s="6"/>
      <c r="S36" s="6"/>
      <c r="T36" s="6"/>
      <c r="U36" s="6"/>
      <c r="V36" s="6">
        <v>1</v>
      </c>
      <c r="W36" s="8" t="s">
        <v>77</v>
      </c>
      <c r="X36" s="6"/>
      <c r="Y36" s="6"/>
      <c r="Z36" s="7">
        <v>45436</v>
      </c>
      <c r="AA36" s="7">
        <v>45620</v>
      </c>
      <c r="AB36" s="7" t="s">
        <v>2161</v>
      </c>
      <c r="AC36" s="7" t="s">
        <v>17</v>
      </c>
    </row>
    <row r="37" spans="1:29" s="5" customFormat="1" ht="24.95" customHeight="1" x14ac:dyDescent="0.3">
      <c r="A37" s="21"/>
      <c r="B37" s="8" t="s">
        <v>130</v>
      </c>
      <c r="D37" s="6">
        <f t="shared" si="0"/>
        <v>36</v>
      </c>
      <c r="E37" s="7" t="s">
        <v>2229</v>
      </c>
      <c r="F37" s="7" t="s">
        <v>2230</v>
      </c>
      <c r="G37" s="7" t="s">
        <v>2182</v>
      </c>
      <c r="H37" s="7" t="s">
        <v>1760</v>
      </c>
      <c r="I37" s="30" t="str">
        <f>VLOOKUP(H37,[1]VLOOKUP!$A$2:$B$35,2,FALSE)</f>
        <v>华北</v>
      </c>
      <c r="J37" s="7" t="s">
        <v>2227</v>
      </c>
      <c r="K37" s="7" t="s">
        <v>1760</v>
      </c>
      <c r="L37" s="30" t="str">
        <f>VLOOKUP(K37,[1]VLOOKUP!$A$2:$B$35,2,FALSE)</f>
        <v>华北</v>
      </c>
      <c r="M37" s="7" t="s">
        <v>1938</v>
      </c>
      <c r="N37" s="7" t="s">
        <v>1809</v>
      </c>
      <c r="O37" s="30" t="str">
        <f>VLOOKUP(N37,[1]VLOOKUP!$A$2:$B$35,2,FALSE)</f>
        <v>华东</v>
      </c>
      <c r="P37" s="6"/>
      <c r="Q37" s="6"/>
      <c r="R37" s="6"/>
      <c r="S37" s="6"/>
      <c r="T37" s="6"/>
      <c r="U37" s="6"/>
      <c r="V37" s="6">
        <v>1</v>
      </c>
      <c r="W37" s="8" t="s">
        <v>77</v>
      </c>
      <c r="X37" s="6"/>
      <c r="Y37" s="6"/>
      <c r="Z37" s="7">
        <v>45436</v>
      </c>
      <c r="AA37" s="7">
        <v>45620</v>
      </c>
      <c r="AB37" s="7" t="s">
        <v>2161</v>
      </c>
      <c r="AC37" s="7" t="s">
        <v>17</v>
      </c>
    </row>
    <row r="38" spans="1:29" s="5" customFormat="1" ht="24.95" customHeight="1" x14ac:dyDescent="0.3">
      <c r="A38" s="22"/>
      <c r="B38" s="8" t="s">
        <v>1021</v>
      </c>
      <c r="D38" s="6">
        <f t="shared" si="0"/>
        <v>37</v>
      </c>
      <c r="E38" s="7" t="s">
        <v>2231</v>
      </c>
      <c r="F38" s="7" t="s">
        <v>2232</v>
      </c>
      <c r="G38" s="7" t="s">
        <v>1939</v>
      </c>
      <c r="H38" s="7" t="s">
        <v>1809</v>
      </c>
      <c r="I38" s="30" t="str">
        <f>VLOOKUP(H38,[1]VLOOKUP!$A$2:$B$35,2,FALSE)</f>
        <v>华东</v>
      </c>
      <c r="J38" s="7" t="s">
        <v>1796</v>
      </c>
      <c r="K38" s="7" t="s">
        <v>1797</v>
      </c>
      <c r="L38" s="30" t="str">
        <f>VLOOKUP(K38,[1]VLOOKUP!$A$2:$B$35,2,FALSE)</f>
        <v>华北</v>
      </c>
      <c r="M38" s="7" t="s">
        <v>2233</v>
      </c>
      <c r="N38" s="7" t="s">
        <v>1797</v>
      </c>
      <c r="O38" s="30" t="str">
        <f>VLOOKUP(N38,[1]VLOOKUP!$A$2:$B$35,2,FALSE)</f>
        <v>华北</v>
      </c>
      <c r="P38" s="6"/>
      <c r="Q38" s="6"/>
      <c r="R38" s="6"/>
      <c r="S38" s="6"/>
      <c r="T38" s="6"/>
      <c r="U38" s="6"/>
      <c r="V38" s="6"/>
      <c r="W38" s="6"/>
      <c r="X38" s="6">
        <v>1</v>
      </c>
      <c r="Y38" s="8" t="s">
        <v>16</v>
      </c>
      <c r="Z38" s="7">
        <v>45478</v>
      </c>
      <c r="AA38" s="7">
        <v>45658</v>
      </c>
      <c r="AB38" s="7" t="s">
        <v>2111</v>
      </c>
      <c r="AC38" s="7" t="s">
        <v>17</v>
      </c>
    </row>
    <row r="39" spans="1:29" s="5" customFormat="1" ht="24.95" customHeight="1" x14ac:dyDescent="0.3">
      <c r="A39" s="20" t="s">
        <v>7</v>
      </c>
      <c r="B39" s="8" t="s">
        <v>64</v>
      </c>
      <c r="D39" s="6">
        <f t="shared" si="0"/>
        <v>38</v>
      </c>
      <c r="E39" s="7" t="s">
        <v>2234</v>
      </c>
      <c r="F39" s="7" t="s">
        <v>2235</v>
      </c>
      <c r="G39" s="7" t="s">
        <v>1939</v>
      </c>
      <c r="H39" s="7" t="s">
        <v>1809</v>
      </c>
      <c r="I39" s="30" t="str">
        <f>VLOOKUP(H39,[1]VLOOKUP!$A$2:$B$35,2,FALSE)</f>
        <v>华东</v>
      </c>
      <c r="J39" s="7" t="s">
        <v>1796</v>
      </c>
      <c r="K39" s="7" t="s">
        <v>1797</v>
      </c>
      <c r="L39" s="30" t="str">
        <f>VLOOKUP(K39,[1]VLOOKUP!$A$2:$B$35,2,FALSE)</f>
        <v>华北</v>
      </c>
      <c r="M39" s="7" t="s">
        <v>2233</v>
      </c>
      <c r="N39" s="7" t="s">
        <v>1797</v>
      </c>
      <c r="O39" s="30" t="str">
        <f>VLOOKUP(N39,[1]VLOOKUP!$A$2:$B$35,2,FALSE)</f>
        <v>华北</v>
      </c>
      <c r="P39" s="6"/>
      <c r="Q39" s="6"/>
      <c r="R39" s="6"/>
      <c r="S39" s="6"/>
      <c r="T39" s="6"/>
      <c r="U39" s="6"/>
      <c r="V39" s="6"/>
      <c r="W39" s="6"/>
      <c r="X39" s="6">
        <v>1</v>
      </c>
      <c r="Y39" s="8" t="s">
        <v>16</v>
      </c>
      <c r="Z39" s="7">
        <v>45478</v>
      </c>
      <c r="AA39" s="7">
        <v>45658</v>
      </c>
      <c r="AB39" s="7" t="s">
        <v>2111</v>
      </c>
      <c r="AC39" s="7" t="s">
        <v>17</v>
      </c>
    </row>
    <row r="40" spans="1:29" s="5" customFormat="1" ht="24.95" customHeight="1" x14ac:dyDescent="0.3">
      <c r="A40" s="21"/>
      <c r="B40" s="8" t="s">
        <v>48</v>
      </c>
      <c r="D40" s="6">
        <f t="shared" si="0"/>
        <v>39</v>
      </c>
      <c r="E40" s="7" t="s">
        <v>2236</v>
      </c>
      <c r="F40" s="7" t="s">
        <v>2237</v>
      </c>
      <c r="G40" s="7" t="s">
        <v>2238</v>
      </c>
      <c r="H40" s="7" t="s">
        <v>1767</v>
      </c>
      <c r="I40" s="30" t="str">
        <f>VLOOKUP(H40,[1]VLOOKUP!$A$2:$B$35,2,FALSE)</f>
        <v>华北</v>
      </c>
      <c r="J40" s="7" t="s">
        <v>1808</v>
      </c>
      <c r="K40" s="7" t="s">
        <v>1809</v>
      </c>
      <c r="L40" s="30" t="str">
        <f>VLOOKUP(K40,[1]VLOOKUP!$A$2:$B$35,2,FALSE)</f>
        <v>华东</v>
      </c>
      <c r="M40" s="7" t="s">
        <v>2239</v>
      </c>
      <c r="N40" s="7" t="s">
        <v>1809</v>
      </c>
      <c r="O40" s="30" t="str">
        <f>VLOOKUP(N40,[1]VLOOKUP!$A$2:$B$35,2,FALSE)</f>
        <v>华东</v>
      </c>
      <c r="P40" s="6"/>
      <c r="Q40" s="6"/>
      <c r="R40" s="6"/>
      <c r="S40" s="6"/>
      <c r="T40" s="6">
        <v>1</v>
      </c>
      <c r="U40" s="8" t="s">
        <v>48</v>
      </c>
      <c r="V40" s="6"/>
      <c r="W40" s="6"/>
      <c r="X40" s="6"/>
      <c r="Y40" s="6"/>
      <c r="Z40" s="7">
        <v>45559</v>
      </c>
      <c r="AA40" s="7">
        <v>45740</v>
      </c>
      <c r="AB40" s="7" t="s">
        <v>2161</v>
      </c>
      <c r="AC40" s="7" t="s">
        <v>17</v>
      </c>
    </row>
    <row r="41" spans="1:29" s="5" customFormat="1" ht="24.95" customHeight="1" x14ac:dyDescent="0.3">
      <c r="A41" s="22"/>
      <c r="B41" s="8" t="s">
        <v>92</v>
      </c>
      <c r="D41" s="6">
        <f t="shared" si="0"/>
        <v>40</v>
      </c>
      <c r="E41" s="7" t="s">
        <v>2240</v>
      </c>
      <c r="F41" s="7" t="s">
        <v>2241</v>
      </c>
      <c r="G41" s="7" t="s">
        <v>2242</v>
      </c>
      <c r="H41" s="7" t="s">
        <v>1902</v>
      </c>
      <c r="I41" s="30" t="str">
        <f>VLOOKUP(H41,[1]VLOOKUP!$A$2:$B$35,2,FALSE)</f>
        <v>华东</v>
      </c>
      <c r="J41" s="7" t="s">
        <v>1759</v>
      </c>
      <c r="K41" s="7" t="s">
        <v>1760</v>
      </c>
      <c r="L41" s="30" t="str">
        <f>VLOOKUP(K41,[1]VLOOKUP!$A$2:$B$35,2,FALSE)</f>
        <v>华北</v>
      </c>
      <c r="M41" s="7" t="s">
        <v>2243</v>
      </c>
      <c r="N41" s="7" t="s">
        <v>1758</v>
      </c>
      <c r="O41" s="30" t="str">
        <f>VLOOKUP(N41,[1]VLOOKUP!$A$2:$B$35,2,FALSE)</f>
        <v>华南</v>
      </c>
      <c r="P41" s="6"/>
      <c r="Q41" s="6"/>
      <c r="R41" s="6"/>
      <c r="S41" s="6"/>
      <c r="T41" s="6"/>
      <c r="U41" s="6"/>
      <c r="V41" s="6"/>
      <c r="W41" s="6"/>
      <c r="X41" s="6">
        <v>1</v>
      </c>
      <c r="Y41" s="8" t="s">
        <v>25</v>
      </c>
      <c r="Z41" s="7">
        <v>45559</v>
      </c>
      <c r="AA41" s="7">
        <v>45740</v>
      </c>
      <c r="AB41" s="7" t="s">
        <v>2161</v>
      </c>
      <c r="AC41" s="7" t="s">
        <v>17</v>
      </c>
    </row>
    <row r="42" spans="1:29" s="5" customFormat="1" ht="24.95" customHeight="1" x14ac:dyDescent="0.3">
      <c r="A42" s="20" t="s">
        <v>8</v>
      </c>
      <c r="B42" s="8" t="s">
        <v>54</v>
      </c>
      <c r="D42" s="6">
        <f t="shared" si="0"/>
        <v>41</v>
      </c>
      <c r="E42" s="7" t="s">
        <v>2244</v>
      </c>
      <c r="F42" s="7" t="s">
        <v>2245</v>
      </c>
      <c r="G42" s="7" t="s">
        <v>1759</v>
      </c>
      <c r="H42" s="7" t="s">
        <v>1760</v>
      </c>
      <c r="I42" s="30" t="str">
        <f>VLOOKUP(H42,[1]VLOOKUP!$A$2:$B$35,2,FALSE)</f>
        <v>华北</v>
      </c>
      <c r="J42" s="7" t="s">
        <v>2191</v>
      </c>
      <c r="K42" s="7" t="s">
        <v>1902</v>
      </c>
      <c r="L42" s="30" t="str">
        <f>VLOOKUP(K42,[1]VLOOKUP!$A$2:$B$35,2,FALSE)</f>
        <v>华东</v>
      </c>
      <c r="M42" s="7" t="s">
        <v>2160</v>
      </c>
      <c r="N42" s="7" t="s">
        <v>1902</v>
      </c>
      <c r="O42" s="30" t="str">
        <f>VLOOKUP(N42,[1]VLOOKUP!$A$2:$B$35,2,FALSE)</f>
        <v>华东</v>
      </c>
      <c r="P42" s="6"/>
      <c r="Q42" s="6"/>
      <c r="R42" s="6"/>
      <c r="S42" s="6"/>
      <c r="T42" s="6"/>
      <c r="U42" s="6"/>
      <c r="V42" s="6"/>
      <c r="W42" s="6"/>
      <c r="X42" s="6">
        <v>1</v>
      </c>
      <c r="Y42" s="8" t="s">
        <v>25</v>
      </c>
      <c r="Z42" s="7">
        <v>45559</v>
      </c>
      <c r="AA42" s="7">
        <v>45740</v>
      </c>
      <c r="AB42" s="7" t="s">
        <v>2161</v>
      </c>
      <c r="AC42" s="7" t="s">
        <v>17</v>
      </c>
    </row>
    <row r="43" spans="1:29" s="5" customFormat="1" ht="24.95" customHeight="1" x14ac:dyDescent="0.3">
      <c r="A43" s="21"/>
      <c r="B43" s="8" t="s">
        <v>108</v>
      </c>
      <c r="D43" s="6">
        <f t="shared" si="0"/>
        <v>42</v>
      </c>
      <c r="E43" s="7" t="s">
        <v>2246</v>
      </c>
      <c r="F43" s="7" t="s">
        <v>2247</v>
      </c>
      <c r="G43" s="7" t="s">
        <v>2248</v>
      </c>
      <c r="H43" s="7" t="s">
        <v>2058</v>
      </c>
      <c r="I43" s="30" t="str">
        <f>VLOOKUP(H43,[1]VLOOKUP!$A$2:$B$35,2,FALSE)</f>
        <v>西北</v>
      </c>
      <c r="J43" s="7" t="s">
        <v>2249</v>
      </c>
      <c r="K43" s="7" t="s">
        <v>2250</v>
      </c>
      <c r="L43" s="30" t="str">
        <f>VLOOKUP(K43,[1]VLOOKUP!$A$2:$B$35,2,FALSE)</f>
        <v>西北</v>
      </c>
      <c r="M43" s="7" t="s">
        <v>2251</v>
      </c>
      <c r="N43" s="7" t="s">
        <v>1760</v>
      </c>
      <c r="O43" s="30" t="str">
        <f>VLOOKUP(N43,[1]VLOOKUP!$A$2:$B$35,2,FALSE)</f>
        <v>华北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7">
        <v>45559</v>
      </c>
      <c r="AA43" s="7">
        <v>45740</v>
      </c>
      <c r="AB43" s="7" t="s">
        <v>2252</v>
      </c>
      <c r="AC43" s="7" t="s">
        <v>17</v>
      </c>
    </row>
    <row r="44" spans="1:29" s="5" customFormat="1" ht="24.95" customHeight="1" x14ac:dyDescent="0.3">
      <c r="A44" s="22"/>
      <c r="B44" s="8" t="s">
        <v>77</v>
      </c>
      <c r="D44" s="6">
        <f t="shared" si="0"/>
        <v>43</v>
      </c>
      <c r="E44" s="7" t="s">
        <v>2253</v>
      </c>
      <c r="F44" s="7" t="s">
        <v>2254</v>
      </c>
      <c r="G44" s="7" t="s">
        <v>2087</v>
      </c>
      <c r="H44" s="7" t="s">
        <v>2087</v>
      </c>
      <c r="I44" s="30" t="e">
        <f>VLOOKUP(H44,[1]VLOOKUP!$A$2:$B$35,2,FALSE)</f>
        <v>#N/A</v>
      </c>
      <c r="J44" s="7"/>
      <c r="K44" s="7"/>
      <c r="L44" s="30" t="e">
        <f>VLOOKUP(K44,[1]VLOOKUP!$A$2:$B$35,2,FALSE)</f>
        <v>#N/A</v>
      </c>
      <c r="M44" s="7"/>
      <c r="N44" s="7"/>
      <c r="O44" s="30" t="e">
        <f>VLOOKUP(N44,[1]VLOOKUP!$A$2:$B$35,2,FALSE)</f>
        <v>#N/A</v>
      </c>
      <c r="P44" s="6"/>
      <c r="Q44" s="6"/>
      <c r="R44" s="6">
        <v>1</v>
      </c>
      <c r="S44" s="8" t="s">
        <v>80</v>
      </c>
      <c r="T44" s="6"/>
      <c r="U44" s="6"/>
      <c r="V44" s="6"/>
      <c r="W44" s="6"/>
      <c r="X44" s="6"/>
      <c r="Y44" s="6"/>
      <c r="Z44" s="7">
        <v>45589</v>
      </c>
      <c r="AA44" s="7">
        <v>45778</v>
      </c>
      <c r="AB44" s="7" t="s">
        <v>2124</v>
      </c>
      <c r="AC44" s="7" t="s">
        <v>17</v>
      </c>
    </row>
    <row r="45" spans="1:29" s="5" customFormat="1" ht="24.95" customHeight="1" x14ac:dyDescent="0.3">
      <c r="A45" s="20" t="s">
        <v>9</v>
      </c>
      <c r="B45" s="8" t="s">
        <v>58</v>
      </c>
      <c r="D45" s="6">
        <f t="shared" si="0"/>
        <v>44</v>
      </c>
      <c r="E45" s="7" t="s">
        <v>2255</v>
      </c>
      <c r="F45" s="7" t="s">
        <v>2256</v>
      </c>
      <c r="G45" s="7" t="s">
        <v>2150</v>
      </c>
      <c r="H45" s="7" t="s">
        <v>1760</v>
      </c>
      <c r="I45" s="30" t="str">
        <f>VLOOKUP(H45,[1]VLOOKUP!$A$2:$B$35,2,FALSE)</f>
        <v>华北</v>
      </c>
      <c r="J45" s="7" t="s">
        <v>2257</v>
      </c>
      <c r="K45" s="7" t="s">
        <v>1809</v>
      </c>
      <c r="L45" s="30" t="str">
        <f>VLOOKUP(K45,[1]VLOOKUP!$A$2:$B$35,2,FALSE)</f>
        <v>华东</v>
      </c>
      <c r="M45" s="7" t="s">
        <v>2258</v>
      </c>
      <c r="N45" s="7" t="s">
        <v>1760</v>
      </c>
      <c r="O45" s="30" t="str">
        <f>VLOOKUP(N45,[1]VLOOKUP!$A$2:$B$35,2,FALSE)</f>
        <v>华北</v>
      </c>
      <c r="P45" s="6"/>
      <c r="Q45" s="6"/>
      <c r="R45" s="6"/>
      <c r="S45" s="6"/>
      <c r="T45" s="6"/>
      <c r="U45" s="6"/>
      <c r="V45" s="6"/>
      <c r="W45" s="6"/>
      <c r="X45" s="6">
        <v>1</v>
      </c>
      <c r="Y45" s="8" t="s">
        <v>25</v>
      </c>
      <c r="Z45" s="7">
        <v>45636</v>
      </c>
      <c r="AA45" s="7">
        <v>45748</v>
      </c>
      <c r="AB45" s="7" t="s">
        <v>2151</v>
      </c>
      <c r="AC45" s="7" t="s">
        <v>17</v>
      </c>
    </row>
    <row r="46" spans="1:29" s="5" customFormat="1" ht="24.95" customHeight="1" x14ac:dyDescent="0.3">
      <c r="A46" s="21"/>
      <c r="B46" s="8" t="s">
        <v>16</v>
      </c>
      <c r="D46" s="6">
        <f t="shared" si="0"/>
        <v>45</v>
      </c>
      <c r="E46" s="7" t="s">
        <v>2259</v>
      </c>
      <c r="F46" s="7" t="s">
        <v>2260</v>
      </c>
      <c r="G46" s="7" t="s">
        <v>2261</v>
      </c>
      <c r="H46" s="7" t="s">
        <v>1902</v>
      </c>
      <c r="I46" s="30" t="str">
        <f>VLOOKUP(H46,[1]VLOOKUP!$A$2:$B$35,2,FALSE)</f>
        <v>华东</v>
      </c>
      <c r="J46" s="7" t="s">
        <v>1808</v>
      </c>
      <c r="K46" s="7" t="s">
        <v>1809</v>
      </c>
      <c r="L46" s="30" t="str">
        <f>VLOOKUP(K46,[1]VLOOKUP!$A$2:$B$35,2,FALSE)</f>
        <v>华东</v>
      </c>
      <c r="M46" s="7" t="s">
        <v>2239</v>
      </c>
      <c r="N46" s="7" t="s">
        <v>1809</v>
      </c>
      <c r="O46" s="30" t="str">
        <f>VLOOKUP(N46,[1]VLOOKUP!$A$2:$B$35,2,FALSE)</f>
        <v>华东</v>
      </c>
      <c r="P46" s="6"/>
      <c r="Q46" s="6"/>
      <c r="R46" s="6"/>
      <c r="S46" s="6"/>
      <c r="T46" s="6">
        <v>1</v>
      </c>
      <c r="U46" s="8" t="s">
        <v>48</v>
      </c>
      <c r="V46" s="6"/>
      <c r="W46" s="6"/>
      <c r="X46" s="6"/>
      <c r="Y46" s="6"/>
      <c r="Z46" s="7">
        <v>45651</v>
      </c>
      <c r="AA46" s="7">
        <v>45833</v>
      </c>
      <c r="AB46" s="7" t="s">
        <v>2161</v>
      </c>
      <c r="AC46" s="7" t="s">
        <v>17</v>
      </c>
    </row>
    <row r="47" spans="1:29" s="37" customFormat="1" ht="24.95" customHeight="1" x14ac:dyDescent="0.3">
      <c r="A47" s="21"/>
      <c r="B47" s="8" t="s">
        <v>759</v>
      </c>
      <c r="D47" s="6">
        <f t="shared" si="0"/>
        <v>46</v>
      </c>
      <c r="E47" s="7" t="s">
        <v>2262</v>
      </c>
      <c r="F47" s="7" t="s">
        <v>2263</v>
      </c>
      <c r="G47" s="7" t="s">
        <v>2264</v>
      </c>
      <c r="H47" s="7" t="s">
        <v>1767</v>
      </c>
      <c r="I47" s="30" t="str">
        <f>VLOOKUP(H47,[1]VLOOKUP!$A$2:$B$35,2,FALSE)</f>
        <v>华北</v>
      </c>
      <c r="J47" s="7" t="s">
        <v>2265</v>
      </c>
      <c r="K47" s="7" t="s">
        <v>1760</v>
      </c>
      <c r="L47" s="30" t="str">
        <f>VLOOKUP(K47,[1]VLOOKUP!$A$2:$B$35,2,FALSE)</f>
        <v>华北</v>
      </c>
      <c r="M47" s="7" t="s">
        <v>2266</v>
      </c>
      <c r="N47" s="7" t="s">
        <v>1773</v>
      </c>
      <c r="O47" s="30" t="str">
        <f>VLOOKUP(N47,[1]VLOOKUP!$A$2:$B$35,2,FALSE)</f>
        <v>华东</v>
      </c>
      <c r="P47" s="6"/>
      <c r="Q47" s="6"/>
      <c r="R47" s="6"/>
      <c r="S47" s="6"/>
      <c r="T47" s="6">
        <v>1</v>
      </c>
      <c r="U47" s="8" t="s">
        <v>92</v>
      </c>
      <c r="V47" s="6"/>
      <c r="W47" s="6"/>
      <c r="X47" s="6"/>
      <c r="Y47" s="6"/>
      <c r="Z47" s="7">
        <v>45651</v>
      </c>
      <c r="AA47" s="7">
        <v>45833</v>
      </c>
      <c r="AB47" s="7" t="s">
        <v>2161</v>
      </c>
      <c r="AC47" s="7" t="s">
        <v>17</v>
      </c>
    </row>
    <row r="48" spans="1:29" s="37" customFormat="1" ht="24.95" customHeight="1" x14ac:dyDescent="0.3">
      <c r="A48" s="21"/>
      <c r="B48" s="8" t="s">
        <v>25</v>
      </c>
      <c r="D48" s="6">
        <f t="shared" si="0"/>
        <v>47</v>
      </c>
      <c r="E48" s="38" t="s">
        <v>2267</v>
      </c>
      <c r="F48" s="7" t="s">
        <v>2268</v>
      </c>
      <c r="G48" s="7" t="s">
        <v>2269</v>
      </c>
      <c r="H48" s="7" t="s">
        <v>1760</v>
      </c>
      <c r="I48" s="30" t="str">
        <f>VLOOKUP(H48,[1]VLOOKUP!$A$2:$B$35,2,FALSE)</f>
        <v>华北</v>
      </c>
      <c r="J48" s="7"/>
      <c r="K48" s="7"/>
      <c r="L48" s="30" t="e">
        <f>VLOOKUP(K48,[1]VLOOKUP!$A$2:$B$35,2,FALSE)</f>
        <v>#N/A</v>
      </c>
      <c r="M48" s="7"/>
      <c r="N48" s="7"/>
      <c r="O48" s="30" t="e">
        <f>VLOOKUP(N48,[1]VLOOKUP!$A$2:$B$35,2,FALSE)</f>
        <v>#N/A</v>
      </c>
      <c r="P48" s="6"/>
      <c r="Q48" s="6"/>
      <c r="R48" s="6"/>
      <c r="S48" s="6"/>
      <c r="T48" s="6">
        <v>1</v>
      </c>
      <c r="U48" s="8" t="s">
        <v>92</v>
      </c>
      <c r="V48" s="6"/>
      <c r="W48" s="6"/>
      <c r="X48" s="6"/>
      <c r="Y48" s="6"/>
      <c r="Z48" s="7">
        <v>45757</v>
      </c>
      <c r="AA48" s="7">
        <v>45962</v>
      </c>
      <c r="AB48" s="7" t="s">
        <v>2139</v>
      </c>
      <c r="AC48" s="7" t="s">
        <v>17</v>
      </c>
    </row>
    <row r="49" spans="1:29" s="37" customFormat="1" ht="24.95" customHeight="1" x14ac:dyDescent="0.3">
      <c r="A49" s="21"/>
      <c r="B49" s="8" t="s">
        <v>272</v>
      </c>
      <c r="D49" s="6">
        <f t="shared" si="0"/>
        <v>48</v>
      </c>
      <c r="E49" s="7" t="s">
        <v>2270</v>
      </c>
      <c r="F49" s="7" t="s">
        <v>2271</v>
      </c>
      <c r="G49" s="7" t="s">
        <v>2110</v>
      </c>
      <c r="H49" s="7" t="s">
        <v>1809</v>
      </c>
      <c r="I49" s="30" t="str">
        <f>VLOOKUP(H49,[1]VLOOKUP!$A$2:$B$35,2,FALSE)</f>
        <v>华东</v>
      </c>
      <c r="J49" s="7" t="s">
        <v>1796</v>
      </c>
      <c r="K49" s="7" t="s">
        <v>1797</v>
      </c>
      <c r="L49" s="30" t="str">
        <f>VLOOKUP(K49,[1]VLOOKUP!$A$2:$B$35,2,FALSE)</f>
        <v>华北</v>
      </c>
      <c r="M49" s="7" t="s">
        <v>2272</v>
      </c>
      <c r="N49" s="7" t="s">
        <v>1880</v>
      </c>
      <c r="O49" s="30" t="str">
        <f>VLOOKUP(N49,[1]VLOOKUP!$A$2:$B$35,2,FALSE)</f>
        <v>华中</v>
      </c>
      <c r="P49" s="6"/>
      <c r="Q49" s="6"/>
      <c r="R49" s="6"/>
      <c r="S49" s="6"/>
      <c r="T49" s="6"/>
      <c r="U49" s="6"/>
      <c r="V49" s="6"/>
      <c r="W49" s="6"/>
      <c r="X49" s="6">
        <v>1</v>
      </c>
      <c r="Y49" s="8" t="s">
        <v>16</v>
      </c>
      <c r="Z49" s="7">
        <v>45757</v>
      </c>
      <c r="AA49" s="7">
        <v>45962</v>
      </c>
      <c r="AB49" s="7" t="s">
        <v>2111</v>
      </c>
      <c r="AC49" s="7" t="s">
        <v>17</v>
      </c>
    </row>
    <row r="50" spans="1:29" s="37" customFormat="1" ht="24.95" customHeight="1" x14ac:dyDescent="0.3">
      <c r="D50" s="6">
        <f t="shared" si="0"/>
        <v>49</v>
      </c>
      <c r="E50" s="7" t="s">
        <v>2273</v>
      </c>
      <c r="F50" s="7" t="s">
        <v>2274</v>
      </c>
      <c r="G50" s="7" t="s">
        <v>2275</v>
      </c>
      <c r="H50" s="7" t="s">
        <v>2094</v>
      </c>
      <c r="I50" s="30" t="str">
        <f>VLOOKUP(H50,[1]VLOOKUP!$A$2:$B$35,2,FALSE)</f>
        <v>华东</v>
      </c>
      <c r="J50" s="7" t="s">
        <v>2276</v>
      </c>
      <c r="K50" s="7" t="s">
        <v>1773</v>
      </c>
      <c r="L50" s="30" t="str">
        <f>VLOOKUP(K50,[1]VLOOKUP!$A$2:$B$35,2,FALSE)</f>
        <v>华东</v>
      </c>
      <c r="M50" s="7"/>
      <c r="N50" s="7"/>
      <c r="O50" s="30" t="e">
        <f>VLOOKUP(N50,[1]VLOOKUP!$A$2:$B$35,2,FALSE)</f>
        <v>#N/A</v>
      </c>
      <c r="P50" s="6"/>
      <c r="Q50" s="6"/>
      <c r="R50" s="6">
        <v>1</v>
      </c>
      <c r="S50" s="8" t="s">
        <v>80</v>
      </c>
      <c r="T50" s="6"/>
      <c r="U50" s="6"/>
      <c r="V50" s="6"/>
      <c r="W50" s="6"/>
      <c r="X50" s="6"/>
      <c r="Y50" s="6"/>
      <c r="Z50" s="7">
        <v>45786</v>
      </c>
      <c r="AA50" s="7">
        <v>45962</v>
      </c>
      <c r="AB50" s="7" t="s">
        <v>2096</v>
      </c>
      <c r="AC50" s="7" t="s">
        <v>17</v>
      </c>
    </row>
    <row r="51" spans="1:29" s="37" customFormat="1" ht="24.95" customHeight="1" x14ac:dyDescent="0.3">
      <c r="D51" s="6">
        <f t="shared" si="0"/>
        <v>50</v>
      </c>
      <c r="E51" s="7" t="s">
        <v>2277</v>
      </c>
      <c r="F51" s="7" t="s">
        <v>639</v>
      </c>
      <c r="G51" s="7" t="s">
        <v>2278</v>
      </c>
      <c r="H51" s="7" t="s">
        <v>2094</v>
      </c>
      <c r="I51" s="30" t="str">
        <f>VLOOKUP(H51,[1]VLOOKUP!$A$2:$B$35,2,FALSE)</f>
        <v>华东</v>
      </c>
      <c r="J51" s="7" t="s">
        <v>2275</v>
      </c>
      <c r="K51" s="7" t="s">
        <v>2094</v>
      </c>
      <c r="L51" s="30" t="str">
        <f>VLOOKUP(K51,[1]VLOOKUP!$A$2:$B$35,2,FALSE)</f>
        <v>华东</v>
      </c>
      <c r="M51" s="7" t="s">
        <v>2279</v>
      </c>
      <c r="N51" s="7" t="s">
        <v>2058</v>
      </c>
      <c r="O51" s="30" t="str">
        <f>VLOOKUP(N51,[1]VLOOKUP!$A$2:$B$35,2,FALSE)</f>
        <v>西北</v>
      </c>
      <c r="P51" s="6"/>
      <c r="Q51" s="6"/>
      <c r="R51" s="6">
        <v>1</v>
      </c>
      <c r="S51" s="8" t="s">
        <v>80</v>
      </c>
      <c r="T51" s="6"/>
      <c r="U51" s="6"/>
      <c r="V51" s="6"/>
      <c r="W51" s="6"/>
      <c r="X51" s="6"/>
      <c r="Y51" s="6"/>
      <c r="Z51" s="7">
        <v>45786</v>
      </c>
      <c r="AA51" s="7">
        <v>45962</v>
      </c>
      <c r="AB51" s="7" t="s">
        <v>2096</v>
      </c>
      <c r="AC51" s="7" t="s">
        <v>17</v>
      </c>
    </row>
    <row r="52" spans="1:29" s="37" customFormat="1" ht="24.95" customHeight="1" x14ac:dyDescent="0.3">
      <c r="D52" s="6">
        <f t="shared" si="0"/>
        <v>51</v>
      </c>
      <c r="E52" s="7" t="s">
        <v>2280</v>
      </c>
      <c r="F52" s="7" t="s">
        <v>2281</v>
      </c>
      <c r="G52" s="7" t="s">
        <v>2183</v>
      </c>
      <c r="H52" s="7" t="s">
        <v>1979</v>
      </c>
      <c r="I52" s="30" t="str">
        <f>VLOOKUP(H52,[1]VLOOKUP!$A$2:$B$35,2,FALSE)</f>
        <v>华东</v>
      </c>
      <c r="J52" s="7" t="s">
        <v>2282</v>
      </c>
      <c r="K52" s="7" t="s">
        <v>1758</v>
      </c>
      <c r="L52" s="30" t="str">
        <f>VLOOKUP(K52,[1]VLOOKUP!$A$2:$B$35,2,FALSE)</f>
        <v>华南</v>
      </c>
      <c r="M52" s="7" t="s">
        <v>2283</v>
      </c>
      <c r="N52" s="7" t="s">
        <v>1902</v>
      </c>
      <c r="O52" s="30" t="str">
        <f>VLOOKUP(N52,[1]VLOOKUP!$A$2:$B$35,2,FALSE)</f>
        <v>华东</v>
      </c>
      <c r="P52" s="6"/>
      <c r="Q52" s="6"/>
      <c r="R52" s="6"/>
      <c r="S52" s="6"/>
      <c r="T52" s="6"/>
      <c r="U52" s="6"/>
      <c r="V52" s="6">
        <v>1</v>
      </c>
      <c r="W52" s="8" t="s">
        <v>54</v>
      </c>
      <c r="X52" s="6"/>
      <c r="Y52" s="6"/>
      <c r="Z52" s="7">
        <v>45786</v>
      </c>
      <c r="AA52" s="7">
        <v>45962</v>
      </c>
      <c r="AB52" s="7" t="s">
        <v>2096</v>
      </c>
      <c r="AC52" s="7" t="s">
        <v>17</v>
      </c>
    </row>
    <row r="53" spans="1:29" s="37" customFormat="1" ht="24.95" customHeight="1" x14ac:dyDescent="0.3">
      <c r="D53" s="6">
        <f t="shared" si="0"/>
        <v>52</v>
      </c>
      <c r="E53" s="7" t="s">
        <v>2284</v>
      </c>
      <c r="F53" s="7" t="s">
        <v>2285</v>
      </c>
      <c r="G53" s="7" t="s">
        <v>2286</v>
      </c>
      <c r="H53" s="7" t="s">
        <v>1760</v>
      </c>
      <c r="I53" s="30" t="str">
        <f>VLOOKUP(H53,[1]VLOOKUP!$A$2:$B$35,2,FALSE)</f>
        <v>华北</v>
      </c>
      <c r="J53" s="7" t="s">
        <v>2057</v>
      </c>
      <c r="K53" s="7" t="s">
        <v>2058</v>
      </c>
      <c r="L53" s="30" t="str">
        <f>VLOOKUP(K53,[1]VLOOKUP!$A$2:$B$35,2,FALSE)</f>
        <v>西北</v>
      </c>
      <c r="M53" s="7"/>
      <c r="N53" s="7"/>
      <c r="O53" s="30" t="e">
        <f>VLOOKUP(N53,[1]VLOOKUP!$A$2:$B$35,2,FALSE)</f>
        <v>#N/A</v>
      </c>
      <c r="P53" s="6">
        <v>1</v>
      </c>
      <c r="Q53" s="8" t="s">
        <v>277</v>
      </c>
      <c r="R53" s="6"/>
      <c r="S53" s="6"/>
      <c r="T53" s="6"/>
      <c r="U53" s="6"/>
      <c r="V53" s="6"/>
      <c r="W53" s="6"/>
      <c r="X53" s="6"/>
      <c r="Y53" s="6"/>
      <c r="Z53" s="7">
        <v>45838</v>
      </c>
      <c r="AA53" s="7">
        <v>46021</v>
      </c>
      <c r="AB53" s="7" t="s">
        <v>2161</v>
      </c>
      <c r="AC53" s="7" t="s">
        <v>17</v>
      </c>
    </row>
    <row r="54" spans="1:29" s="37" customFormat="1" ht="24.95" customHeight="1" x14ac:dyDescent="0.3">
      <c r="D54" s="6">
        <f t="shared" si="0"/>
        <v>53</v>
      </c>
      <c r="E54" s="7" t="s">
        <v>2287</v>
      </c>
      <c r="F54" s="7" t="s">
        <v>2288</v>
      </c>
      <c r="G54" s="7" t="s">
        <v>2289</v>
      </c>
      <c r="H54" s="7" t="s">
        <v>1760</v>
      </c>
      <c r="I54" s="30" t="str">
        <f>VLOOKUP(H54,[1]VLOOKUP!$A$2:$B$35,2,FALSE)</f>
        <v>华北</v>
      </c>
      <c r="J54" s="7" t="s">
        <v>2290</v>
      </c>
      <c r="K54" s="7" t="s">
        <v>1760</v>
      </c>
      <c r="L54" s="30" t="str">
        <f>VLOOKUP(K54,[1]VLOOKUP!$A$2:$B$35,2,FALSE)</f>
        <v>华北</v>
      </c>
      <c r="M54" s="7" t="s">
        <v>2291</v>
      </c>
      <c r="N54" s="7" t="s">
        <v>2094</v>
      </c>
      <c r="O54" s="30" t="str">
        <f>VLOOKUP(N54,[1]VLOOKUP!$A$2:$B$35,2,FALSE)</f>
        <v>华东</v>
      </c>
      <c r="P54" s="6"/>
      <c r="Q54" s="6"/>
      <c r="R54" s="6"/>
      <c r="S54" s="6"/>
      <c r="T54" s="6">
        <v>1</v>
      </c>
      <c r="U54" s="8" t="s">
        <v>92</v>
      </c>
      <c r="V54" s="6"/>
      <c r="W54" s="6"/>
      <c r="X54" s="6"/>
      <c r="Y54" s="6"/>
      <c r="Z54" s="7">
        <v>45838</v>
      </c>
      <c r="AA54" s="7">
        <v>46021</v>
      </c>
      <c r="AB54" s="7" t="s">
        <v>2157</v>
      </c>
      <c r="AC54" s="7" t="s">
        <v>17</v>
      </c>
    </row>
    <row r="55" spans="1:29" s="5" customFormat="1" ht="24.95" customHeight="1" x14ac:dyDescent="0.3">
      <c r="D55" s="6">
        <f t="shared" si="0"/>
        <v>54</v>
      </c>
      <c r="E55" s="7" t="s">
        <v>2292</v>
      </c>
      <c r="F55" s="7" t="s">
        <v>2293</v>
      </c>
      <c r="G55" s="7" t="s">
        <v>2294</v>
      </c>
      <c r="H55" s="7" t="s">
        <v>2250</v>
      </c>
      <c r="I55" s="30" t="str">
        <f>VLOOKUP(H55,[1]VLOOKUP!$A$2:$B$35,2,FALSE)</f>
        <v>西北</v>
      </c>
      <c r="J55" s="7" t="s">
        <v>2183</v>
      </c>
      <c r="K55" s="7" t="s">
        <v>1979</v>
      </c>
      <c r="L55" s="30" t="str">
        <f>VLOOKUP(K55,[1]VLOOKUP!$A$2:$B$35,2,FALSE)</f>
        <v>华东</v>
      </c>
      <c r="M55" s="7" t="s">
        <v>2295</v>
      </c>
      <c r="N55" s="7" t="s">
        <v>1902</v>
      </c>
      <c r="O55" s="30" t="str">
        <f>VLOOKUP(N55,[1]VLOOKUP!$A$2:$B$35,2,FALSE)</f>
        <v>华东</v>
      </c>
      <c r="P55" s="6"/>
      <c r="Q55" s="6"/>
      <c r="R55" s="6"/>
      <c r="S55" s="6"/>
      <c r="T55" s="6"/>
      <c r="U55" s="6"/>
      <c r="V55" s="6">
        <v>1</v>
      </c>
      <c r="W55" s="8" t="s">
        <v>54</v>
      </c>
      <c r="X55" s="6"/>
      <c r="Y55" s="6"/>
      <c r="Z55" s="7">
        <v>45840</v>
      </c>
      <c r="AA55" s="7">
        <v>46054</v>
      </c>
      <c r="AB55" s="7" t="s">
        <v>2096</v>
      </c>
      <c r="AC55" s="7" t="s">
        <v>17</v>
      </c>
    </row>
    <row r="56" spans="1:29" s="5" customFormat="1" ht="24.95" customHeight="1" x14ac:dyDescent="0.3">
      <c r="D56" s="6">
        <f t="shared" si="0"/>
        <v>55</v>
      </c>
      <c r="E56" s="7" t="s">
        <v>2296</v>
      </c>
      <c r="F56" s="7" t="s">
        <v>2297</v>
      </c>
      <c r="G56" s="7" t="s">
        <v>2298</v>
      </c>
      <c r="H56" s="7" t="s">
        <v>1760</v>
      </c>
      <c r="I56" s="30" t="str">
        <f>VLOOKUP(H56,[1]VLOOKUP!$A$2:$B$35,2,FALSE)</f>
        <v>华北</v>
      </c>
      <c r="J56" s="7" t="s">
        <v>2299</v>
      </c>
      <c r="K56" s="7" t="s">
        <v>1760</v>
      </c>
      <c r="L56" s="30" t="str">
        <f>VLOOKUP(K56,[1]VLOOKUP!$A$2:$B$35,2,FALSE)</f>
        <v>华北</v>
      </c>
      <c r="M56" s="7" t="s">
        <v>2300</v>
      </c>
      <c r="N56" s="7" t="s">
        <v>1760</v>
      </c>
      <c r="O56" s="30" t="str">
        <f>VLOOKUP(N56,[1]VLOOKUP!$A$2:$B$35,2,FALSE)</f>
        <v>华北</v>
      </c>
      <c r="P56" s="6"/>
      <c r="Q56" s="6"/>
      <c r="R56" s="6"/>
      <c r="S56" s="6"/>
      <c r="T56" s="6">
        <v>1</v>
      </c>
      <c r="U56" s="8" t="s">
        <v>92</v>
      </c>
      <c r="V56" s="6"/>
      <c r="W56" s="6"/>
      <c r="X56" s="6"/>
      <c r="Y56" s="6"/>
      <c r="Z56" s="7">
        <v>45898</v>
      </c>
      <c r="AA56" s="7">
        <v>46082</v>
      </c>
      <c r="AB56" s="7" t="s">
        <v>16</v>
      </c>
      <c r="AC56" s="7" t="s">
        <v>17</v>
      </c>
    </row>
    <row r="57" spans="1:29" s="5" customFormat="1" ht="24.95" customHeight="1" x14ac:dyDescent="0.3">
      <c r="D57" s="6">
        <f t="shared" si="0"/>
        <v>56</v>
      </c>
      <c r="E57" s="7" t="s">
        <v>2301</v>
      </c>
      <c r="F57" s="7" t="s">
        <v>2302</v>
      </c>
      <c r="G57" s="7" t="s">
        <v>2303</v>
      </c>
      <c r="H57" s="7" t="s">
        <v>1902</v>
      </c>
      <c r="I57" s="30" t="str">
        <f>VLOOKUP(H57,[1]VLOOKUP!$A$2:$B$35,2,FALSE)</f>
        <v>华东</v>
      </c>
      <c r="J57" s="7" t="s">
        <v>1808</v>
      </c>
      <c r="K57" s="7" t="s">
        <v>1809</v>
      </c>
      <c r="L57" s="30" t="str">
        <f>VLOOKUP(K57,[1]VLOOKUP!$A$2:$B$35,2,FALSE)</f>
        <v>华东</v>
      </c>
      <c r="M57" s="7" t="s">
        <v>2304</v>
      </c>
      <c r="N57" s="6" t="s">
        <v>1902</v>
      </c>
      <c r="O57" s="30" t="str">
        <f>VLOOKUP(N57,[1]VLOOKUP!$A$2:$B$35,2,FALSE)</f>
        <v>华东</v>
      </c>
      <c r="P57" s="6"/>
      <c r="Q57" s="6"/>
      <c r="R57" s="6"/>
      <c r="S57" s="6"/>
      <c r="T57" s="6">
        <v>1</v>
      </c>
      <c r="U57" s="8" t="s">
        <v>48</v>
      </c>
      <c r="V57" s="6"/>
      <c r="W57" s="6"/>
      <c r="X57" s="6"/>
      <c r="Y57" s="6"/>
      <c r="Z57" s="7">
        <v>45928</v>
      </c>
      <c r="AA57" s="7">
        <v>46109</v>
      </c>
      <c r="AB57" s="7" t="s">
        <v>2161</v>
      </c>
      <c r="AC57" s="7" t="s">
        <v>17</v>
      </c>
    </row>
    <row r="58" spans="1:29" s="5" customFormat="1" ht="24.95" customHeight="1" x14ac:dyDescent="0.3">
      <c r="D58" s="6">
        <f t="shared" si="0"/>
        <v>57</v>
      </c>
      <c r="E58" s="38" t="s">
        <v>2305</v>
      </c>
      <c r="F58" s="7" t="s">
        <v>2306</v>
      </c>
      <c r="G58" s="7" t="s">
        <v>2307</v>
      </c>
      <c r="H58" s="7" t="s">
        <v>1760</v>
      </c>
      <c r="I58" s="30" t="str">
        <f>VLOOKUP(H58,[1]VLOOKUP!$A$2:$B$35,2,FALSE)</f>
        <v>华北</v>
      </c>
      <c r="J58" s="7" t="s">
        <v>2308</v>
      </c>
      <c r="K58" s="7" t="s">
        <v>2094</v>
      </c>
      <c r="L58" s="30" t="str">
        <f>VLOOKUP(K58,[1]VLOOKUP!$A$2:$B$35,2,FALSE)</f>
        <v>华东</v>
      </c>
      <c r="M58" s="7" t="s">
        <v>2309</v>
      </c>
      <c r="N58" s="7" t="s">
        <v>1760</v>
      </c>
      <c r="O58" s="30" t="str">
        <f>VLOOKUP(N58,[1]VLOOKUP!$A$2:$B$35,2,FALSE)</f>
        <v>华北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7">
        <v>45928</v>
      </c>
      <c r="AA58" s="7">
        <v>46109</v>
      </c>
      <c r="AB58" s="7" t="s">
        <v>2161</v>
      </c>
      <c r="AC58" s="7" t="s">
        <v>17</v>
      </c>
    </row>
    <row r="59" spans="1:29" s="5" customFormat="1" ht="24.95" customHeight="1" x14ac:dyDescent="0.3">
      <c r="D59" s="6">
        <f t="shared" si="0"/>
        <v>58</v>
      </c>
      <c r="E59" s="7" t="s">
        <v>2310</v>
      </c>
      <c r="F59" s="7" t="s">
        <v>2311</v>
      </c>
      <c r="G59" s="7" t="s">
        <v>2312</v>
      </c>
      <c r="H59" s="7" t="s">
        <v>1760</v>
      </c>
      <c r="I59" s="30" t="str">
        <f>VLOOKUP(H59,[1]VLOOKUP!$A$2:$B$35,2,FALSE)</f>
        <v>华北</v>
      </c>
      <c r="J59" s="7" t="s">
        <v>2313</v>
      </c>
      <c r="K59" s="7" t="s">
        <v>1979</v>
      </c>
      <c r="L59" s="30" t="str">
        <f>VLOOKUP(K59,[1]VLOOKUP!$A$2:$B$35,2,FALSE)</f>
        <v>华东</v>
      </c>
      <c r="M59" s="7" t="s">
        <v>2314</v>
      </c>
      <c r="N59" s="7" t="s">
        <v>1760</v>
      </c>
      <c r="O59" s="30" t="str">
        <f>VLOOKUP(N59,[1]VLOOKUP!$A$2:$B$35,2,FALSE)</f>
        <v>华北</v>
      </c>
      <c r="P59" s="6"/>
      <c r="Q59" s="6"/>
      <c r="R59" s="6">
        <v>1</v>
      </c>
      <c r="S59" s="8" t="s">
        <v>130</v>
      </c>
      <c r="T59" s="6"/>
      <c r="U59" s="6"/>
      <c r="V59" s="6"/>
      <c r="W59" s="6"/>
      <c r="X59" s="6"/>
      <c r="Y59" s="6"/>
      <c r="Z59" s="7">
        <v>45928</v>
      </c>
      <c r="AA59" s="7">
        <v>46109</v>
      </c>
      <c r="AB59" s="7" t="s">
        <v>2157</v>
      </c>
      <c r="AC59" s="7" t="s">
        <v>17</v>
      </c>
    </row>
    <row r="60" spans="1:29" ht="24.95" customHeight="1" x14ac:dyDescent="0.3">
      <c r="D60" s="6">
        <f t="shared" si="0"/>
        <v>59</v>
      </c>
      <c r="E60" s="7" t="s">
        <v>2315</v>
      </c>
      <c r="F60" s="7" t="s">
        <v>2316</v>
      </c>
      <c r="G60" s="7" t="s">
        <v>2312</v>
      </c>
      <c r="H60" s="7" t="s">
        <v>1760</v>
      </c>
      <c r="I60" s="30" t="str">
        <f>VLOOKUP(H60,[1]VLOOKUP!$A$2:$B$35,2,FALSE)</f>
        <v>华北</v>
      </c>
      <c r="J60" s="7" t="s">
        <v>2313</v>
      </c>
      <c r="K60" s="7" t="s">
        <v>1979</v>
      </c>
      <c r="L60" s="30" t="str">
        <f>VLOOKUP(K60,[1]VLOOKUP!$A$2:$B$35,2,FALSE)</f>
        <v>华东</v>
      </c>
      <c r="M60" s="7" t="s">
        <v>2314</v>
      </c>
      <c r="N60" s="7" t="s">
        <v>1760</v>
      </c>
      <c r="O60" s="30" t="str">
        <f>VLOOKUP(N60,[1]VLOOKUP!$A$2:$B$35,2,FALSE)</f>
        <v>华北</v>
      </c>
      <c r="P60" s="6"/>
      <c r="Q60" s="6"/>
      <c r="R60" s="6">
        <v>1</v>
      </c>
      <c r="S60" s="8" t="s">
        <v>130</v>
      </c>
      <c r="T60" s="6"/>
      <c r="U60" s="6"/>
      <c r="V60" s="6"/>
      <c r="W60" s="6"/>
      <c r="X60" s="6"/>
      <c r="Y60" s="6"/>
      <c r="Z60" s="7">
        <v>45928</v>
      </c>
      <c r="AA60" s="7">
        <v>46109</v>
      </c>
      <c r="AB60" s="7" t="s">
        <v>2157</v>
      </c>
      <c r="AC60" s="7" t="s">
        <v>17</v>
      </c>
    </row>
    <row r="61" spans="1:29" ht="24.95" customHeight="1" x14ac:dyDescent="0.3">
      <c r="D61" s="6">
        <f t="shared" si="0"/>
        <v>60</v>
      </c>
      <c r="E61" s="7" t="s">
        <v>2317</v>
      </c>
      <c r="F61" s="7" t="s">
        <v>2318</v>
      </c>
      <c r="G61" s="7" t="s">
        <v>2319</v>
      </c>
      <c r="H61" s="7" t="s">
        <v>1797</v>
      </c>
      <c r="I61" s="30" t="str">
        <f>VLOOKUP(H61,[1]VLOOKUP!$A$2:$B$35,2,FALSE)</f>
        <v>华北</v>
      </c>
      <c r="J61" s="7" t="s">
        <v>2320</v>
      </c>
      <c r="K61" s="7" t="s">
        <v>1760</v>
      </c>
      <c r="L61" s="30" t="str">
        <f>VLOOKUP(K61,[1]VLOOKUP!$A$2:$B$35,2,FALSE)</f>
        <v>华北</v>
      </c>
      <c r="M61" s="7" t="s">
        <v>2321</v>
      </c>
      <c r="N61" s="7" t="s">
        <v>1979</v>
      </c>
      <c r="O61" s="30" t="str">
        <f>VLOOKUP(N61,[1]VLOOKUP!$A$2:$B$35,2,FALSE)</f>
        <v>华东</v>
      </c>
      <c r="P61" s="6"/>
      <c r="Q61" s="6"/>
      <c r="R61" s="6"/>
      <c r="S61" s="6"/>
      <c r="T61" s="6"/>
      <c r="U61" s="6"/>
      <c r="V61" s="6"/>
      <c r="W61" s="6"/>
      <c r="X61" s="6">
        <v>1</v>
      </c>
      <c r="Y61" s="8" t="s">
        <v>16</v>
      </c>
      <c r="Z61" s="7">
        <v>46008</v>
      </c>
      <c r="AA61" s="7">
        <v>46204</v>
      </c>
      <c r="AB61" s="7" t="s">
        <v>2111</v>
      </c>
      <c r="AC61" s="7" t="s">
        <v>17</v>
      </c>
    </row>
    <row r="62" spans="1:29" ht="24.95" customHeight="1" x14ac:dyDescent="0.3">
      <c r="D62" s="6">
        <f t="shared" si="0"/>
        <v>61</v>
      </c>
      <c r="E62" s="7" t="s">
        <v>2322</v>
      </c>
      <c r="F62" s="7" t="s">
        <v>2323</v>
      </c>
      <c r="G62" s="7" t="s">
        <v>2233</v>
      </c>
      <c r="H62" s="7" t="s">
        <v>1797</v>
      </c>
      <c r="I62" s="30" t="str">
        <f>VLOOKUP(H62,[1]VLOOKUP!$A$2:$B$35,2,FALSE)</f>
        <v>华北</v>
      </c>
      <c r="J62" s="7" t="s">
        <v>1796</v>
      </c>
      <c r="K62" s="7" t="s">
        <v>1797</v>
      </c>
      <c r="L62" s="30" t="str">
        <f>VLOOKUP(K62,[1]VLOOKUP!$A$2:$B$35,2,FALSE)</f>
        <v>华北</v>
      </c>
      <c r="M62" s="7" t="s">
        <v>2272</v>
      </c>
      <c r="N62" s="7" t="s">
        <v>1880</v>
      </c>
      <c r="O62" s="30" t="str">
        <f>VLOOKUP(N62,[1]VLOOKUP!$A$2:$B$35,2,FALSE)</f>
        <v>华中</v>
      </c>
      <c r="P62" s="6"/>
      <c r="Q62" s="6"/>
      <c r="R62" s="6"/>
      <c r="S62" s="6"/>
      <c r="T62" s="6"/>
      <c r="U62" s="6"/>
      <c r="V62" s="6"/>
      <c r="W62" s="6"/>
      <c r="X62" s="6">
        <v>1</v>
      </c>
      <c r="Y62" s="8" t="s">
        <v>16</v>
      </c>
      <c r="Z62" s="7">
        <v>46008</v>
      </c>
      <c r="AA62" s="7">
        <v>46204</v>
      </c>
      <c r="AB62" s="7" t="s">
        <v>2111</v>
      </c>
      <c r="AC62" s="7" t="s">
        <v>17</v>
      </c>
    </row>
    <row r="63" spans="1:29" ht="24.95" customHeight="1" x14ac:dyDescent="0.3">
      <c r="D63" s="6">
        <f t="shared" si="0"/>
        <v>62</v>
      </c>
      <c r="E63" s="7" t="s">
        <v>2324</v>
      </c>
      <c r="F63" s="7" t="s">
        <v>2325</v>
      </c>
      <c r="G63" s="7" t="s">
        <v>2326</v>
      </c>
      <c r="H63" s="7" t="s">
        <v>1809</v>
      </c>
      <c r="I63" s="30" t="str">
        <f>VLOOKUP(H63,[1]VLOOKUP!$A$2:$B$35,2,FALSE)</f>
        <v>华东</v>
      </c>
      <c r="J63" s="7" t="s">
        <v>1796</v>
      </c>
      <c r="K63" s="7" t="s">
        <v>1797</v>
      </c>
      <c r="L63" s="30" t="str">
        <f>VLOOKUP(K63,[1]VLOOKUP!$A$2:$B$35,2,FALSE)</f>
        <v>华北</v>
      </c>
      <c r="M63" s="7" t="s">
        <v>2233</v>
      </c>
      <c r="N63" s="7" t="s">
        <v>1797</v>
      </c>
      <c r="O63" s="30" t="str">
        <f>VLOOKUP(N63,[1]VLOOKUP!$A$2:$B$35,2,FALSE)</f>
        <v>华北</v>
      </c>
      <c r="P63" s="6"/>
      <c r="Q63" s="6"/>
      <c r="R63" s="6"/>
      <c r="S63" s="6"/>
      <c r="T63" s="6"/>
      <c r="U63" s="6"/>
      <c r="V63" s="6"/>
      <c r="W63" s="6"/>
      <c r="X63" s="6">
        <v>1</v>
      </c>
      <c r="Y63" s="8" t="s">
        <v>16</v>
      </c>
      <c r="Z63" s="7">
        <v>46008</v>
      </c>
      <c r="AA63" s="7">
        <v>46204</v>
      </c>
      <c r="AB63" s="7" t="s">
        <v>2111</v>
      </c>
      <c r="AC63" s="7" t="s">
        <v>17</v>
      </c>
    </row>
    <row r="64" spans="1:29" ht="24.95" customHeight="1" x14ac:dyDescent="0.3">
      <c r="D64" s="6">
        <f t="shared" si="0"/>
        <v>63</v>
      </c>
      <c r="E64" s="7" t="s">
        <v>2327</v>
      </c>
      <c r="F64" s="7" t="s">
        <v>2328</v>
      </c>
      <c r="G64" s="7" t="s">
        <v>2329</v>
      </c>
      <c r="H64" s="7" t="s">
        <v>1902</v>
      </c>
      <c r="I64" s="30" t="str">
        <f>VLOOKUP(H64,[1]VLOOKUP!$A$2:$B$35,2,FALSE)</f>
        <v>华东</v>
      </c>
      <c r="J64" s="7" t="s">
        <v>1796</v>
      </c>
      <c r="K64" s="7" t="s">
        <v>1797</v>
      </c>
      <c r="L64" s="30" t="str">
        <f>VLOOKUP(K64,[1]VLOOKUP!$A$2:$B$35,2,FALSE)</f>
        <v>华北</v>
      </c>
      <c r="M64" s="7" t="s">
        <v>2182</v>
      </c>
      <c r="N64" s="7" t="s">
        <v>1760</v>
      </c>
      <c r="O64" s="30" t="str">
        <f>VLOOKUP(N64,[1]VLOOKUP!$A$2:$B$35,2,FALSE)</f>
        <v>华北</v>
      </c>
      <c r="P64" s="6"/>
      <c r="Q64" s="6"/>
      <c r="R64" s="6"/>
      <c r="S64" s="6"/>
      <c r="T64" s="6">
        <v>1</v>
      </c>
      <c r="U64" s="8" t="s">
        <v>92</v>
      </c>
      <c r="V64" s="6"/>
      <c r="W64" s="6"/>
      <c r="X64" s="6"/>
      <c r="Y64" s="6"/>
      <c r="Z64" s="7">
        <v>46008</v>
      </c>
      <c r="AA64" s="7">
        <v>46204</v>
      </c>
      <c r="AB64" s="7" t="s">
        <v>2111</v>
      </c>
      <c r="AC64" s="7" t="s">
        <v>17</v>
      </c>
    </row>
    <row r="65" spans="1:29" ht="24.95" customHeight="1" x14ac:dyDescent="0.3">
      <c r="D65" s="6">
        <f t="shared" si="0"/>
        <v>64</v>
      </c>
      <c r="E65" s="7" t="s">
        <v>2330</v>
      </c>
      <c r="F65" s="7" t="s">
        <v>2331</v>
      </c>
      <c r="G65" s="7"/>
      <c r="H65" s="7"/>
      <c r="I65" s="30"/>
      <c r="J65" s="7"/>
      <c r="K65" s="7"/>
      <c r="L65" s="30"/>
      <c r="M65" s="7"/>
      <c r="N65" s="7"/>
      <c r="O65" s="30"/>
      <c r="P65" s="6"/>
      <c r="Q65" s="6"/>
      <c r="R65" s="6"/>
      <c r="S65" s="6"/>
      <c r="T65" s="6"/>
      <c r="U65" s="6"/>
      <c r="V65" s="6"/>
      <c r="W65" s="6"/>
      <c r="X65" s="6">
        <v>1</v>
      </c>
      <c r="Y65" s="8" t="s">
        <v>16</v>
      </c>
      <c r="Z65" s="7">
        <v>46009</v>
      </c>
      <c r="AA65" s="7">
        <v>46191</v>
      </c>
      <c r="AB65" s="7"/>
      <c r="AC65" s="7"/>
    </row>
    <row r="66" spans="1:29" ht="24.95" customHeight="1" x14ac:dyDescent="0.3">
      <c r="D66" s="6">
        <f t="shared" si="0"/>
        <v>65</v>
      </c>
      <c r="E66" s="7" t="s">
        <v>2332</v>
      </c>
      <c r="F66" s="7" t="s">
        <v>2333</v>
      </c>
      <c r="G66" s="7"/>
      <c r="H66" s="7"/>
      <c r="I66" s="30"/>
      <c r="J66" s="7"/>
      <c r="K66" s="7"/>
      <c r="L66" s="30"/>
      <c r="M66" s="7"/>
      <c r="N66" s="7"/>
      <c r="O66" s="30"/>
      <c r="P66" s="6"/>
      <c r="Q66" s="6"/>
      <c r="R66" s="6"/>
      <c r="S66" s="6"/>
      <c r="T66" s="6"/>
      <c r="U66" s="6"/>
      <c r="V66" s="6"/>
      <c r="W66" s="6"/>
      <c r="X66" s="6">
        <v>1</v>
      </c>
      <c r="Y66" s="8" t="s">
        <v>25</v>
      </c>
      <c r="Z66" s="7">
        <v>46009</v>
      </c>
      <c r="AA66" s="7">
        <v>46191</v>
      </c>
      <c r="AB66" s="7"/>
      <c r="AC66" s="7"/>
    </row>
    <row r="67" spans="1:29" ht="24.95" customHeight="1" x14ac:dyDescent="0.3">
      <c r="D67" s="6">
        <f t="shared" ref="D67:D78" si="1">ROW()-1</f>
        <v>66</v>
      </c>
      <c r="E67" s="7" t="s">
        <v>2334</v>
      </c>
      <c r="F67" s="7" t="s">
        <v>2335</v>
      </c>
      <c r="G67" s="7" t="s">
        <v>2227</v>
      </c>
      <c r="H67" s="7" t="s">
        <v>1760</v>
      </c>
      <c r="I67" s="30" t="str">
        <f>VLOOKUP(H67,[1]VLOOKUP!$A$2:$B$35,2,FALSE)</f>
        <v>华北</v>
      </c>
      <c r="J67" s="7" t="s">
        <v>2182</v>
      </c>
      <c r="K67" s="7" t="s">
        <v>1760</v>
      </c>
      <c r="L67" s="30" t="str">
        <f>VLOOKUP(K67,[1]VLOOKUP!$A$2:$B$35,2,FALSE)</f>
        <v>华北</v>
      </c>
      <c r="M67" s="7" t="s">
        <v>2336</v>
      </c>
      <c r="N67" s="7" t="s">
        <v>1760</v>
      </c>
      <c r="O67" s="30" t="str">
        <f>VLOOKUP(N67,[1]VLOOKUP!$A$2:$B$35,2,FALSE)</f>
        <v>华北</v>
      </c>
      <c r="P67" s="6"/>
      <c r="Q67" s="6"/>
      <c r="R67" s="6"/>
      <c r="S67" s="6"/>
      <c r="T67" s="6"/>
      <c r="U67" s="6"/>
      <c r="V67" s="6">
        <v>1</v>
      </c>
      <c r="W67" s="8" t="s">
        <v>77</v>
      </c>
      <c r="X67" s="6"/>
      <c r="Y67" s="6"/>
      <c r="Z67" s="7">
        <v>46009</v>
      </c>
      <c r="AA67" s="7">
        <v>46191</v>
      </c>
      <c r="AB67" s="7" t="s">
        <v>2161</v>
      </c>
      <c r="AC67" s="7" t="s">
        <v>17</v>
      </c>
    </row>
    <row r="68" spans="1:29" ht="24.95" customHeight="1" x14ac:dyDescent="0.3">
      <c r="D68" s="6">
        <f t="shared" si="1"/>
        <v>67</v>
      </c>
      <c r="E68" s="7" t="s">
        <v>2337</v>
      </c>
      <c r="F68" s="7" t="s">
        <v>2338</v>
      </c>
      <c r="G68" s="7" t="s">
        <v>2227</v>
      </c>
      <c r="H68" s="7" t="s">
        <v>1760</v>
      </c>
      <c r="I68" s="30" t="str">
        <f>VLOOKUP(H68,[1]VLOOKUP!$A$2:$B$35,2,FALSE)</f>
        <v>华北</v>
      </c>
      <c r="J68" s="7" t="s">
        <v>2182</v>
      </c>
      <c r="K68" s="7" t="s">
        <v>1760</v>
      </c>
      <c r="L68" s="30" t="str">
        <f>VLOOKUP(K68,[1]VLOOKUP!$A$2:$B$35,2,FALSE)</f>
        <v>华北</v>
      </c>
      <c r="M68" s="7" t="s">
        <v>2336</v>
      </c>
      <c r="N68" s="7" t="s">
        <v>1760</v>
      </c>
      <c r="O68" s="30" t="str">
        <f>VLOOKUP(N68,[1]VLOOKUP!$A$2:$B$35,2,FALSE)</f>
        <v>华北</v>
      </c>
      <c r="P68" s="6"/>
      <c r="Q68" s="6"/>
      <c r="R68" s="6"/>
      <c r="S68" s="6"/>
      <c r="T68" s="6"/>
      <c r="U68" s="6"/>
      <c r="V68" s="6">
        <v>1</v>
      </c>
      <c r="W68" s="8" t="s">
        <v>77</v>
      </c>
      <c r="X68" s="6"/>
      <c r="Y68" s="6"/>
      <c r="Z68" s="7">
        <v>46009</v>
      </c>
      <c r="AA68" s="7">
        <v>46191</v>
      </c>
      <c r="AB68" s="7"/>
      <c r="AC68" s="7"/>
    </row>
    <row r="69" spans="1:29" ht="24.95" customHeight="1" x14ac:dyDescent="0.3">
      <c r="D69" s="6">
        <f t="shared" si="1"/>
        <v>68</v>
      </c>
      <c r="E69" s="7" t="s">
        <v>2339</v>
      </c>
      <c r="F69" s="7" t="s">
        <v>2340</v>
      </c>
      <c r="G69" s="7"/>
      <c r="H69" s="7"/>
      <c r="I69" s="30"/>
      <c r="J69" s="7"/>
      <c r="K69" s="7"/>
      <c r="L69" s="30"/>
      <c r="M69" s="7"/>
      <c r="N69" s="7"/>
      <c r="O69" s="30"/>
      <c r="P69" s="6">
        <v>1</v>
      </c>
      <c r="Q69" s="8" t="s">
        <v>277</v>
      </c>
      <c r="R69" s="6"/>
      <c r="S69" s="6"/>
      <c r="T69" s="6"/>
      <c r="U69" s="6"/>
      <c r="V69" s="6"/>
      <c r="W69" s="6"/>
      <c r="X69" s="6"/>
      <c r="Y69" s="6"/>
      <c r="Z69" s="7">
        <v>46009</v>
      </c>
      <c r="AA69" s="7">
        <v>46191</v>
      </c>
      <c r="AB69" s="7"/>
      <c r="AC69" s="7"/>
    </row>
    <row r="70" spans="1:29" ht="24.95" customHeight="1" x14ac:dyDescent="0.3">
      <c r="D70" s="6">
        <f t="shared" si="1"/>
        <v>69</v>
      </c>
      <c r="E70" s="7" t="s">
        <v>2341</v>
      </c>
      <c r="F70" s="7" t="s">
        <v>1389</v>
      </c>
      <c r="G70" s="7"/>
      <c r="H70" s="7"/>
      <c r="I70" s="30"/>
      <c r="J70" s="7"/>
      <c r="K70" s="7"/>
      <c r="L70" s="30"/>
      <c r="M70" s="7"/>
      <c r="N70" s="7"/>
      <c r="O70" s="30"/>
      <c r="P70" s="6">
        <v>1</v>
      </c>
      <c r="Q70" s="8" t="s">
        <v>277</v>
      </c>
      <c r="R70" s="6"/>
      <c r="S70" s="6"/>
      <c r="T70" s="6"/>
      <c r="U70" s="6"/>
      <c r="V70" s="6"/>
      <c r="W70" s="6"/>
      <c r="X70" s="6"/>
      <c r="Y70" s="6"/>
      <c r="Z70" s="7">
        <v>46009</v>
      </c>
      <c r="AA70" s="7">
        <v>46191</v>
      </c>
      <c r="AB70" s="7"/>
      <c r="AC70" s="7"/>
    </row>
    <row r="71" spans="1:29" ht="24.95" customHeight="1" x14ac:dyDescent="0.3">
      <c r="D71" s="6">
        <f t="shared" si="1"/>
        <v>70</v>
      </c>
      <c r="E71" s="7" t="s">
        <v>2342</v>
      </c>
      <c r="F71" s="7" t="s">
        <v>2343</v>
      </c>
      <c r="G71" s="7"/>
      <c r="H71" s="7"/>
      <c r="I71" s="30"/>
      <c r="J71" s="7"/>
      <c r="K71" s="7"/>
      <c r="L71" s="30"/>
      <c r="M71" s="7"/>
      <c r="N71" s="7"/>
      <c r="O71" s="30"/>
      <c r="P71" s="6">
        <v>1</v>
      </c>
      <c r="Q71" s="8" t="s">
        <v>277</v>
      </c>
      <c r="R71" s="6"/>
      <c r="S71" s="6"/>
      <c r="T71" s="6"/>
      <c r="U71" s="6"/>
      <c r="V71" s="6"/>
      <c r="W71" s="6"/>
      <c r="X71" s="6"/>
      <c r="Y71" s="6"/>
      <c r="Z71" s="7">
        <v>46009</v>
      </c>
      <c r="AA71" s="7">
        <v>46191</v>
      </c>
      <c r="AB71" s="7"/>
      <c r="AC71" s="7"/>
    </row>
    <row r="72" spans="1:29" ht="24.95" customHeight="1" x14ac:dyDescent="0.3">
      <c r="D72" s="6">
        <f t="shared" si="1"/>
        <v>71</v>
      </c>
      <c r="E72" s="7" t="s">
        <v>2344</v>
      </c>
      <c r="F72" s="7" t="s">
        <v>2345</v>
      </c>
      <c r="G72" s="7" t="s">
        <v>2346</v>
      </c>
      <c r="H72" s="7" t="s">
        <v>1902</v>
      </c>
      <c r="I72" s="30" t="str">
        <f>VLOOKUP(H72,[1]VLOOKUP!$A$2:$B$35,2,FALSE)</f>
        <v>华东</v>
      </c>
      <c r="J72" s="7" t="s">
        <v>2347</v>
      </c>
      <c r="K72" s="7" t="s">
        <v>1760</v>
      </c>
      <c r="L72" s="30" t="str">
        <f>VLOOKUP(K72,[1]VLOOKUP!$A$2:$B$35,2,FALSE)</f>
        <v>华北</v>
      </c>
      <c r="M72" s="7" t="s">
        <v>2348</v>
      </c>
      <c r="N72" s="7" t="s">
        <v>1902</v>
      </c>
      <c r="O72" s="30" t="str">
        <f>VLOOKUP(N72,[1]VLOOKUP!$A$2:$B$35,2,FALSE)</f>
        <v>华东</v>
      </c>
      <c r="P72" s="6"/>
      <c r="Q72" s="6"/>
      <c r="R72" s="6"/>
      <c r="S72" s="6"/>
      <c r="T72" s="6"/>
      <c r="U72" s="6"/>
      <c r="V72" s="6"/>
      <c r="W72" s="6"/>
      <c r="X72" s="6">
        <v>1</v>
      </c>
      <c r="Y72" s="8" t="s">
        <v>272</v>
      </c>
      <c r="Z72" s="7">
        <v>46008</v>
      </c>
      <c r="AA72" s="7">
        <v>46569</v>
      </c>
      <c r="AB72" s="7" t="s">
        <v>2133</v>
      </c>
      <c r="AC72" s="7" t="s">
        <v>17</v>
      </c>
    </row>
    <row r="73" spans="1:29" s="32" customFormat="1" ht="24.95" customHeight="1" x14ac:dyDescent="0.3">
      <c r="A73" s="31"/>
      <c r="B73" s="31"/>
      <c r="D73" s="16"/>
      <c r="E73" s="17" t="s">
        <v>2349</v>
      </c>
      <c r="F73" s="17" t="s">
        <v>2350</v>
      </c>
      <c r="G73" s="17"/>
      <c r="H73" s="17"/>
      <c r="I73" s="39"/>
      <c r="J73" s="17"/>
      <c r="K73" s="17"/>
      <c r="L73" s="39"/>
      <c r="M73" s="17"/>
      <c r="N73" s="17"/>
      <c r="O73" s="39"/>
      <c r="P73" s="16"/>
      <c r="Q73" s="16"/>
      <c r="R73" s="16"/>
      <c r="S73" s="16"/>
      <c r="T73" s="16"/>
      <c r="U73" s="16"/>
      <c r="V73" s="16"/>
      <c r="W73" s="16"/>
      <c r="X73" s="6">
        <v>1</v>
      </c>
      <c r="Y73" s="8" t="s">
        <v>16</v>
      </c>
      <c r="Z73" s="17"/>
      <c r="AA73" s="17"/>
      <c r="AB73" s="17"/>
      <c r="AC73" s="17"/>
    </row>
    <row r="74" spans="1:29" s="32" customFormat="1" ht="24.95" customHeight="1" x14ac:dyDescent="0.3">
      <c r="A74" s="31"/>
      <c r="B74" s="31"/>
      <c r="D74" s="16"/>
      <c r="E74" s="17" t="s">
        <v>2351</v>
      </c>
      <c r="F74" s="17" t="s">
        <v>2352</v>
      </c>
      <c r="G74" s="17" t="s">
        <v>2353</v>
      </c>
      <c r="H74" s="17"/>
      <c r="I74" s="39"/>
      <c r="J74" s="17" t="s">
        <v>2131</v>
      </c>
      <c r="K74" s="17"/>
      <c r="L74" s="39"/>
      <c r="M74" s="17" t="s">
        <v>2354</v>
      </c>
      <c r="N74" s="17"/>
      <c r="O74" s="39"/>
      <c r="P74" s="16"/>
      <c r="Q74" s="16"/>
      <c r="R74" s="16"/>
      <c r="S74" s="16"/>
      <c r="T74" s="16">
        <v>1</v>
      </c>
      <c r="U74" s="8" t="s">
        <v>92</v>
      </c>
      <c r="V74" s="16"/>
      <c r="W74" s="16"/>
      <c r="X74" s="16"/>
      <c r="Y74" s="6"/>
      <c r="Z74" s="17">
        <v>46128</v>
      </c>
      <c r="AA74" s="17">
        <v>46327</v>
      </c>
      <c r="AB74" s="17" t="s">
        <v>2133</v>
      </c>
      <c r="AC74" s="17" t="s">
        <v>17</v>
      </c>
    </row>
    <row r="75" spans="1:29" ht="24.95" customHeight="1" x14ac:dyDescent="0.3"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7"/>
      <c r="AB75" s="7"/>
      <c r="AC75" s="7"/>
    </row>
    <row r="76" spans="1:29" ht="24.95" customHeight="1" x14ac:dyDescent="0.3"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7"/>
      <c r="AB76" s="7"/>
      <c r="AC76" s="7"/>
    </row>
    <row r="77" spans="1:29" ht="24.95" customHeight="1" x14ac:dyDescent="0.3"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7"/>
      <c r="AB77" s="7"/>
      <c r="AC77" s="7"/>
    </row>
    <row r="78" spans="1:29" ht="24.95" customHeight="1" x14ac:dyDescent="0.3"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7"/>
      <c r="AB78" s="7"/>
      <c r="AC78" s="7"/>
    </row>
    <row r="79" spans="1:29" ht="24.95" customHeight="1" x14ac:dyDescent="0.3"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7"/>
      <c r="AB79" s="7"/>
      <c r="AC79" s="7"/>
    </row>
    <row r="80" spans="1:29" ht="24.95" customHeight="1" x14ac:dyDescent="0.3"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7"/>
      <c r="AB80" s="7"/>
      <c r="AC80" s="7"/>
    </row>
    <row r="81" spans="4:29" ht="24.95" customHeight="1" x14ac:dyDescent="0.3"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7"/>
      <c r="AB81" s="7"/>
      <c r="AC81" s="7"/>
    </row>
    <row r="82" spans="4:29" ht="24.95" customHeight="1" x14ac:dyDescent="0.3"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7"/>
      <c r="AB82" s="7"/>
      <c r="AC82" s="7"/>
    </row>
    <row r="83" spans="4:29" ht="24.95" customHeight="1" x14ac:dyDescent="0.3"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7"/>
      <c r="AB83" s="7"/>
      <c r="AC83" s="7"/>
    </row>
    <row r="84" spans="4:29" ht="24.95" customHeight="1" x14ac:dyDescent="0.3"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7"/>
      <c r="AB84" s="7"/>
      <c r="AC84" s="7"/>
    </row>
    <row r="85" spans="4:29" ht="24.95" customHeight="1" x14ac:dyDescent="0.3"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7"/>
      <c r="AB85" s="7"/>
      <c r="AC85" s="7"/>
    </row>
    <row r="86" spans="4:29" ht="24.95" customHeight="1" x14ac:dyDescent="0.3"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7"/>
      <c r="AB86" s="7"/>
      <c r="AC86" s="7"/>
    </row>
    <row r="87" spans="4:29" ht="24.95" customHeight="1" x14ac:dyDescent="0.3"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7"/>
      <c r="AB87" s="7"/>
      <c r="AC87" s="7"/>
    </row>
    <row r="88" spans="4:29" ht="24.95" customHeight="1" x14ac:dyDescent="0.3"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7"/>
      <c r="AB88" s="7"/>
      <c r="AC88" s="7"/>
    </row>
    <row r="89" spans="4:29" ht="24.95" customHeight="1" x14ac:dyDescent="0.3"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7"/>
      <c r="AB89" s="7"/>
      <c r="AC89" s="7"/>
    </row>
    <row r="90" spans="4:29" ht="24.95" customHeight="1" x14ac:dyDescent="0.3"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7"/>
      <c r="AB90" s="7"/>
      <c r="AC90" s="7"/>
    </row>
    <row r="91" spans="4:29" ht="24.95" customHeight="1" x14ac:dyDescent="0.3"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7"/>
      <c r="AB91" s="7"/>
      <c r="AC91" s="7"/>
    </row>
    <row r="92" spans="4:29" ht="24.95" customHeight="1" x14ac:dyDescent="0.3"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7"/>
      <c r="AB92" s="7"/>
      <c r="AC92" s="7"/>
    </row>
    <row r="93" spans="4:29" ht="24.95" customHeight="1" x14ac:dyDescent="0.3"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7"/>
      <c r="AB93" s="7"/>
      <c r="AC93" s="7"/>
    </row>
    <row r="94" spans="4:29" ht="24.95" customHeight="1" x14ac:dyDescent="0.3"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7"/>
      <c r="AB94" s="7"/>
      <c r="AC94" s="7"/>
    </row>
    <row r="95" spans="4:29" ht="24.95" customHeight="1" x14ac:dyDescent="0.3"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7"/>
      <c r="AB95" s="7"/>
      <c r="AC95" s="7"/>
    </row>
    <row r="96" spans="4:29" ht="24.95" customHeight="1" x14ac:dyDescent="0.3"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7"/>
      <c r="AB96" s="7"/>
      <c r="AC96" s="7"/>
    </row>
    <row r="97" spans="4:29" ht="24.95" customHeight="1" x14ac:dyDescent="0.3"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7"/>
      <c r="AB97" s="7"/>
      <c r="AC97" s="7"/>
    </row>
    <row r="98" spans="4:29" ht="24.95" customHeight="1" x14ac:dyDescent="0.3"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7"/>
      <c r="AB98" s="7"/>
      <c r="AC98" s="7"/>
    </row>
    <row r="99" spans="4:29" ht="24.95" customHeight="1" x14ac:dyDescent="0.3"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7"/>
      <c r="AB99" s="7"/>
      <c r="AC99" s="7"/>
    </row>
    <row r="100" spans="4:29" ht="24.95" customHeight="1" x14ac:dyDescent="0.3"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7"/>
      <c r="AB100" s="7"/>
      <c r="AC100" s="7"/>
    </row>
    <row r="101" spans="4:29" ht="24.95" customHeight="1" x14ac:dyDescent="0.3"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7"/>
      <c r="AB101" s="7"/>
      <c r="AC101" s="7"/>
    </row>
    <row r="102" spans="4:29" ht="24.95" customHeight="1" x14ac:dyDescent="0.3"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7"/>
      <c r="AB102" s="7"/>
      <c r="AC102" s="7"/>
    </row>
    <row r="103" spans="4:29" ht="24.95" customHeight="1" x14ac:dyDescent="0.3"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7"/>
      <c r="AB103" s="7"/>
      <c r="AC103" s="7"/>
    </row>
    <row r="104" spans="4:29" ht="24.95" customHeight="1" x14ac:dyDescent="0.3"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7"/>
      <c r="AB104" s="7"/>
      <c r="AC104" s="7"/>
    </row>
    <row r="105" spans="4:29" ht="24.95" customHeight="1" x14ac:dyDescent="0.3"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7"/>
      <c r="AB105" s="7"/>
      <c r="AC105" s="7"/>
    </row>
    <row r="106" spans="4:29" ht="24.95" customHeight="1" x14ac:dyDescent="0.3"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7"/>
      <c r="AB106" s="7"/>
      <c r="AC106" s="7"/>
    </row>
    <row r="107" spans="4:29" ht="24.95" customHeight="1" x14ac:dyDescent="0.3"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7"/>
      <c r="AB107" s="7"/>
      <c r="AC107" s="7"/>
    </row>
    <row r="108" spans="4:29" ht="24.95" customHeight="1" x14ac:dyDescent="0.3"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7"/>
      <c r="AB108" s="7"/>
      <c r="AC108" s="7"/>
    </row>
    <row r="109" spans="4:29" ht="24.95" customHeight="1" x14ac:dyDescent="0.3"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7"/>
      <c r="AB109" s="7"/>
      <c r="AC109" s="7"/>
    </row>
    <row r="110" spans="4:29" ht="24.95" customHeight="1" x14ac:dyDescent="0.3"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7"/>
      <c r="AB110" s="7"/>
      <c r="AC110" s="7"/>
    </row>
    <row r="111" spans="4:29" ht="24.95" customHeight="1" x14ac:dyDescent="0.3"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7"/>
      <c r="AB111" s="7"/>
      <c r="AC111" s="7"/>
    </row>
    <row r="112" spans="4:29" ht="24.95" customHeight="1" x14ac:dyDescent="0.3"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7"/>
      <c r="AB112" s="7"/>
      <c r="AC112" s="7"/>
    </row>
    <row r="113" spans="4:29" ht="24.95" customHeight="1" x14ac:dyDescent="0.3"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7"/>
      <c r="AB113" s="7"/>
      <c r="AC113" s="7"/>
    </row>
    <row r="114" spans="4:29" ht="24.95" customHeight="1" x14ac:dyDescent="0.3"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7"/>
      <c r="AB114" s="7"/>
      <c r="AC114" s="7"/>
    </row>
    <row r="115" spans="4:29" ht="24.95" customHeight="1" x14ac:dyDescent="0.3"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7"/>
      <c r="AB115" s="7"/>
      <c r="AC115" s="7"/>
    </row>
    <row r="116" spans="4:29" ht="24.95" customHeight="1" x14ac:dyDescent="0.3"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  <c r="AA116" s="7"/>
      <c r="AB116" s="7"/>
      <c r="AC116" s="7"/>
    </row>
    <row r="117" spans="4:29" ht="24.95" customHeight="1" x14ac:dyDescent="0.3"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  <c r="AA117" s="7"/>
      <c r="AB117" s="7"/>
      <c r="AC117" s="7"/>
    </row>
    <row r="118" spans="4:29" ht="24.95" customHeight="1" x14ac:dyDescent="0.3"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  <c r="AA118" s="7"/>
      <c r="AB118" s="7"/>
      <c r="AC118" s="7"/>
    </row>
    <row r="119" spans="4:29" ht="24.95" customHeight="1" x14ac:dyDescent="0.3"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  <c r="AA119" s="7"/>
      <c r="AB119" s="7"/>
      <c r="AC119" s="7"/>
    </row>
    <row r="120" spans="4:29" ht="24.95" customHeight="1" x14ac:dyDescent="0.3"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  <c r="AA120" s="7"/>
      <c r="AB120" s="7"/>
      <c r="AC120" s="7"/>
    </row>
    <row r="121" spans="4:29" ht="24.95" customHeight="1" x14ac:dyDescent="0.3"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  <c r="AA121" s="7"/>
      <c r="AB121" s="7"/>
      <c r="AC121" s="7"/>
    </row>
    <row r="122" spans="4:29" ht="24.95" customHeight="1" x14ac:dyDescent="0.3"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  <c r="AA122" s="7"/>
      <c r="AB122" s="7"/>
      <c r="AC122" s="7"/>
    </row>
    <row r="123" spans="4:29" ht="24.95" customHeight="1" x14ac:dyDescent="0.3"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  <c r="AA123" s="7"/>
      <c r="AB123" s="7"/>
      <c r="AC123" s="7"/>
    </row>
    <row r="124" spans="4:29" ht="24.95" customHeight="1" x14ac:dyDescent="0.3"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  <c r="AA124" s="7"/>
      <c r="AB124" s="7"/>
      <c r="AC124" s="7"/>
    </row>
    <row r="125" spans="4:29" ht="24.95" customHeight="1" x14ac:dyDescent="0.3"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  <c r="AA125" s="7"/>
      <c r="AB125" s="7"/>
      <c r="AC125" s="7"/>
    </row>
    <row r="126" spans="4:29" x14ac:dyDescent="0.3"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  <c r="AA126" s="7"/>
      <c r="AB126" s="7"/>
      <c r="AC126" s="7"/>
    </row>
  </sheetData>
  <autoFilter ref="A1:AC74" xr:uid="{00000000-0009-0000-0000-00000B000000}"/>
  <mergeCells count="11">
    <mergeCell ref="A30:A35"/>
    <mergeCell ref="A36:A38"/>
    <mergeCell ref="A39:A41"/>
    <mergeCell ref="A42:A44"/>
    <mergeCell ref="A45:A49"/>
    <mergeCell ref="A1:B1"/>
    <mergeCell ref="P1:Q1"/>
    <mergeCell ref="R1:S1"/>
    <mergeCell ref="T1:U1"/>
    <mergeCell ref="V1:W1"/>
    <mergeCell ref="X1:Y1"/>
  </mergeCells>
  <phoneticPr fontId="2" type="noConversion"/>
  <conditionalFormatting sqref="E61">
    <cfRule type="duplicateValues" dxfId="210" priority="23"/>
    <cfRule type="duplicateValues" dxfId="211" priority="26"/>
  </conditionalFormatting>
  <conditionalFormatting sqref="E62">
    <cfRule type="duplicateValues" dxfId="208" priority="22"/>
    <cfRule type="duplicateValues" dxfId="209" priority="25"/>
  </conditionalFormatting>
  <conditionalFormatting sqref="E63">
    <cfRule type="duplicateValues" dxfId="207" priority="21"/>
    <cfRule type="duplicateValues" dxfId="206" priority="24"/>
  </conditionalFormatting>
  <conditionalFormatting sqref="E64">
    <cfRule type="duplicateValues" dxfId="204" priority="33"/>
    <cfRule type="duplicateValues" dxfId="205" priority="34"/>
  </conditionalFormatting>
  <conditionalFormatting sqref="E65">
    <cfRule type="duplicateValues" dxfId="203" priority="43"/>
    <cfRule type="duplicateValues" dxfId="202" priority="50"/>
  </conditionalFormatting>
  <conditionalFormatting sqref="E66">
    <cfRule type="duplicateValues" dxfId="201" priority="42"/>
    <cfRule type="duplicateValues" dxfId="200" priority="49"/>
  </conditionalFormatting>
  <conditionalFormatting sqref="E67">
    <cfRule type="duplicateValues" dxfId="199" priority="41"/>
    <cfRule type="duplicateValues" dxfId="198" priority="48"/>
  </conditionalFormatting>
  <conditionalFormatting sqref="E68">
    <cfRule type="duplicateValues" dxfId="197" priority="40"/>
    <cfRule type="duplicateValues" dxfId="196" priority="47"/>
  </conditionalFormatting>
  <conditionalFormatting sqref="E69">
    <cfRule type="duplicateValues" dxfId="195" priority="39"/>
    <cfRule type="duplicateValues" dxfId="194" priority="46"/>
  </conditionalFormatting>
  <conditionalFormatting sqref="E70">
    <cfRule type="duplicateValues" dxfId="192" priority="38"/>
    <cfRule type="duplicateValues" dxfId="193" priority="45"/>
  </conditionalFormatting>
  <conditionalFormatting sqref="E71">
    <cfRule type="duplicateValues" dxfId="190" priority="37"/>
    <cfRule type="duplicateValues" dxfId="191" priority="44"/>
  </conditionalFormatting>
  <conditionalFormatting sqref="E72">
    <cfRule type="duplicateValues" dxfId="188" priority="13"/>
    <cfRule type="duplicateValues" dxfId="189" priority="14"/>
  </conditionalFormatting>
  <conditionalFormatting sqref="E73">
    <cfRule type="duplicateValues" dxfId="186" priority="1"/>
    <cfRule type="duplicateValues" dxfId="187" priority="2"/>
  </conditionalFormatting>
  <conditionalFormatting sqref="E74">
    <cfRule type="duplicateValues" dxfId="185" priority="5"/>
    <cfRule type="duplicateValues" dxfId="184" priority="6"/>
  </conditionalFormatting>
  <conditionalFormatting sqref="F3:F32">
    <cfRule type="duplicateValues" dxfId="182" priority="208"/>
    <cfRule type="duplicateValues" dxfId="183" priority="209"/>
  </conditionalFormatting>
  <conditionalFormatting sqref="F33">
    <cfRule type="duplicateValues" dxfId="181" priority="201"/>
    <cfRule type="duplicateValues" dxfId="180" priority="202"/>
  </conditionalFormatting>
  <conditionalFormatting sqref="F34">
    <cfRule type="duplicateValues" dxfId="178" priority="205"/>
    <cfRule type="duplicateValues" dxfId="179" priority="206"/>
  </conditionalFormatting>
  <conditionalFormatting sqref="F35">
    <cfRule type="duplicateValues" dxfId="177" priority="203"/>
    <cfRule type="duplicateValues" dxfId="176" priority="204"/>
  </conditionalFormatting>
  <conditionalFormatting sqref="F36">
    <cfRule type="duplicateValues" dxfId="174" priority="173"/>
    <cfRule type="duplicateValues" dxfId="175" priority="174"/>
  </conditionalFormatting>
  <conditionalFormatting sqref="F37">
    <cfRule type="duplicateValues" dxfId="172" priority="171"/>
    <cfRule type="duplicateValues" dxfId="173" priority="172"/>
  </conditionalFormatting>
  <conditionalFormatting sqref="F38">
    <cfRule type="duplicateValues" dxfId="171" priority="198"/>
    <cfRule type="duplicateValues" dxfId="170" priority="200"/>
  </conditionalFormatting>
  <conditionalFormatting sqref="F39">
    <cfRule type="duplicateValues" dxfId="169" priority="197"/>
    <cfRule type="duplicateValues" dxfId="168" priority="199"/>
  </conditionalFormatting>
  <conditionalFormatting sqref="F40">
    <cfRule type="duplicateValues" dxfId="167" priority="191"/>
    <cfRule type="duplicateValues" dxfId="166" priority="192"/>
  </conditionalFormatting>
  <conditionalFormatting sqref="F41">
    <cfRule type="duplicateValues" dxfId="165" priority="188"/>
    <cfRule type="duplicateValues" dxfId="164" priority="190"/>
  </conditionalFormatting>
  <conditionalFormatting sqref="F42">
    <cfRule type="duplicateValues" dxfId="163" priority="187"/>
    <cfRule type="duplicateValues" dxfId="162" priority="189"/>
  </conditionalFormatting>
  <conditionalFormatting sqref="F43">
    <cfRule type="duplicateValues" dxfId="161" priority="177"/>
    <cfRule type="duplicateValues" dxfId="160" priority="178"/>
  </conditionalFormatting>
  <conditionalFormatting sqref="F44">
    <cfRule type="duplicateValues" dxfId="159" priority="183"/>
    <cfRule type="duplicateValues" dxfId="158" priority="184"/>
  </conditionalFormatting>
  <conditionalFormatting sqref="F45">
    <cfRule type="duplicateValues" dxfId="156" priority="185"/>
    <cfRule type="duplicateValues" dxfId="157" priority="186"/>
  </conditionalFormatting>
  <conditionalFormatting sqref="F46">
    <cfRule type="duplicateValues" dxfId="155" priority="195"/>
    <cfRule type="duplicateValues" dxfId="154" priority="196"/>
  </conditionalFormatting>
  <conditionalFormatting sqref="F47">
    <cfRule type="duplicateValues" dxfId="152" priority="193"/>
    <cfRule type="duplicateValues" dxfId="153" priority="194"/>
  </conditionalFormatting>
  <conditionalFormatting sqref="F48">
    <cfRule type="duplicateValues" dxfId="151" priority="181"/>
    <cfRule type="duplicateValues" dxfId="150" priority="182"/>
  </conditionalFormatting>
  <conditionalFormatting sqref="F49:F50">
    <cfRule type="duplicateValues" dxfId="149" priority="179"/>
    <cfRule type="duplicateValues" dxfId="148" priority="180"/>
  </conditionalFormatting>
  <conditionalFormatting sqref="F51:F53">
    <cfRule type="duplicateValues" dxfId="147" priority="169"/>
    <cfRule type="duplicateValues" dxfId="146" priority="170"/>
  </conditionalFormatting>
  <conditionalFormatting sqref="F54">
    <cfRule type="duplicateValues" dxfId="144" priority="167"/>
    <cfRule type="duplicateValues" dxfId="145" priority="168"/>
  </conditionalFormatting>
  <conditionalFormatting sqref="F55">
    <cfRule type="duplicateValues" dxfId="142" priority="59"/>
    <cfRule type="duplicateValues" dxfId="143" priority="60"/>
  </conditionalFormatting>
  <conditionalFormatting sqref="F56">
    <cfRule type="duplicateValues" dxfId="140" priority="165"/>
    <cfRule type="duplicateValues" dxfId="141" priority="166"/>
  </conditionalFormatting>
  <conditionalFormatting sqref="F57">
    <cfRule type="duplicateValues" dxfId="138" priority="17"/>
    <cfRule type="duplicateValues" dxfId="139" priority="18"/>
  </conditionalFormatting>
  <conditionalFormatting sqref="F58">
    <cfRule type="duplicateValues" dxfId="137" priority="19"/>
    <cfRule type="duplicateValues" dxfId="136" priority="20"/>
  </conditionalFormatting>
  <conditionalFormatting sqref="F59:F60">
    <cfRule type="duplicateValues" dxfId="134" priority="55"/>
    <cfRule type="duplicateValues" dxfId="135" priority="56"/>
  </conditionalFormatting>
  <conditionalFormatting sqref="F61">
    <cfRule type="duplicateValues" dxfId="132" priority="29"/>
    <cfRule type="duplicateValues" dxfId="133" priority="32"/>
  </conditionalFormatting>
  <conditionalFormatting sqref="F62">
    <cfRule type="duplicateValues" dxfId="130" priority="28"/>
    <cfRule type="duplicateValues" dxfId="131" priority="31"/>
  </conditionalFormatting>
  <conditionalFormatting sqref="F63">
    <cfRule type="duplicateValues" dxfId="128" priority="27"/>
    <cfRule type="duplicateValues" dxfId="129" priority="30"/>
  </conditionalFormatting>
  <conditionalFormatting sqref="F64">
    <cfRule type="duplicateValues" dxfId="127" priority="35"/>
    <cfRule type="duplicateValues" dxfId="126" priority="36"/>
  </conditionalFormatting>
  <conditionalFormatting sqref="F65">
    <cfRule type="duplicateValues" dxfId="124" priority="52"/>
    <cfRule type="duplicateValues" dxfId="125" priority="54"/>
  </conditionalFormatting>
  <conditionalFormatting sqref="F66:F68">
    <cfRule type="duplicateValues" dxfId="123" priority="11"/>
    <cfRule type="duplicateValues" dxfId="122" priority="12"/>
  </conditionalFormatting>
  <conditionalFormatting sqref="F69:F70">
    <cfRule type="duplicateValues" dxfId="121" priority="9"/>
    <cfRule type="duplicateValues" dxfId="120" priority="10"/>
  </conditionalFormatting>
  <conditionalFormatting sqref="F71">
    <cfRule type="duplicateValues" dxfId="119" priority="51"/>
    <cfRule type="duplicateValues" dxfId="118" priority="53"/>
  </conditionalFormatting>
  <conditionalFormatting sqref="F72">
    <cfRule type="duplicateValues" dxfId="117" priority="15"/>
    <cfRule type="duplicateValues" dxfId="116" priority="16"/>
  </conditionalFormatting>
  <conditionalFormatting sqref="F73">
    <cfRule type="duplicateValues" dxfId="114" priority="3"/>
    <cfRule type="duplicateValues" dxfId="115" priority="4"/>
  </conditionalFormatting>
  <conditionalFormatting sqref="F74">
    <cfRule type="duplicateValues" dxfId="113" priority="7"/>
    <cfRule type="duplicateValues" dxfId="112" priority="8"/>
  </conditionalFormatting>
  <conditionalFormatting sqref="F75">
    <cfRule type="duplicateValues" dxfId="110" priority="163"/>
    <cfRule type="duplicateValues" dxfId="111" priority="164"/>
  </conditionalFormatting>
  <conditionalFormatting sqref="F76">
    <cfRule type="duplicateValues" dxfId="109" priority="161"/>
    <cfRule type="duplicateValues" dxfId="108" priority="162"/>
  </conditionalFormatting>
  <conditionalFormatting sqref="F77">
    <cfRule type="duplicateValues" dxfId="106" priority="159"/>
    <cfRule type="duplicateValues" dxfId="107" priority="160"/>
  </conditionalFormatting>
  <conditionalFormatting sqref="F78">
    <cfRule type="duplicateValues" dxfId="104" priority="157"/>
    <cfRule type="duplicateValues" dxfId="105" priority="158"/>
  </conditionalFormatting>
  <conditionalFormatting sqref="F79">
    <cfRule type="duplicateValues" dxfId="102" priority="155"/>
    <cfRule type="duplicateValues" dxfId="103" priority="156"/>
  </conditionalFormatting>
  <conditionalFormatting sqref="F80">
    <cfRule type="duplicateValues" dxfId="100" priority="153"/>
    <cfRule type="duplicateValues" dxfId="101" priority="154"/>
  </conditionalFormatting>
  <conditionalFormatting sqref="F81">
    <cfRule type="duplicateValues" dxfId="98" priority="151"/>
    <cfRule type="duplicateValues" dxfId="99" priority="152"/>
  </conditionalFormatting>
  <conditionalFormatting sqref="F82">
    <cfRule type="duplicateValues" dxfId="96" priority="149"/>
    <cfRule type="duplicateValues" dxfId="97" priority="150"/>
  </conditionalFormatting>
  <conditionalFormatting sqref="F83">
    <cfRule type="duplicateValues" dxfId="95" priority="147"/>
    <cfRule type="duplicateValues" dxfId="94" priority="148"/>
  </conditionalFormatting>
  <conditionalFormatting sqref="F84">
    <cfRule type="duplicateValues" dxfId="92" priority="145"/>
    <cfRule type="duplicateValues" dxfId="93" priority="146"/>
  </conditionalFormatting>
  <conditionalFormatting sqref="F85">
    <cfRule type="duplicateValues" dxfId="91" priority="143"/>
    <cfRule type="duplicateValues" dxfId="90" priority="144"/>
  </conditionalFormatting>
  <conditionalFormatting sqref="F86">
    <cfRule type="duplicateValues" dxfId="88" priority="141"/>
    <cfRule type="duplicateValues" dxfId="89" priority="142"/>
  </conditionalFormatting>
  <conditionalFormatting sqref="F87">
    <cfRule type="duplicateValues" dxfId="86" priority="139"/>
    <cfRule type="duplicateValues" dxfId="87" priority="140"/>
  </conditionalFormatting>
  <conditionalFormatting sqref="F88">
    <cfRule type="duplicateValues" dxfId="84" priority="137"/>
    <cfRule type="duplicateValues" dxfId="85" priority="138"/>
  </conditionalFormatting>
  <conditionalFormatting sqref="F89">
    <cfRule type="duplicateValues" dxfId="82" priority="135"/>
    <cfRule type="duplicateValues" dxfId="83" priority="136"/>
  </conditionalFormatting>
  <conditionalFormatting sqref="F90">
    <cfRule type="duplicateValues" dxfId="81" priority="133"/>
    <cfRule type="duplicateValues" dxfId="80" priority="134"/>
  </conditionalFormatting>
  <conditionalFormatting sqref="F91">
    <cfRule type="duplicateValues" dxfId="79" priority="131"/>
    <cfRule type="duplicateValues" dxfId="78" priority="132"/>
  </conditionalFormatting>
  <conditionalFormatting sqref="F92">
    <cfRule type="duplicateValues" dxfId="77" priority="129"/>
    <cfRule type="duplicateValues" dxfId="76" priority="130"/>
  </conditionalFormatting>
  <conditionalFormatting sqref="F93">
    <cfRule type="duplicateValues" dxfId="74" priority="127"/>
    <cfRule type="duplicateValues" dxfId="75" priority="128"/>
  </conditionalFormatting>
  <conditionalFormatting sqref="F94">
    <cfRule type="duplicateValues" dxfId="72" priority="125"/>
    <cfRule type="duplicateValues" dxfId="73" priority="126"/>
  </conditionalFormatting>
  <conditionalFormatting sqref="F95">
    <cfRule type="duplicateValues" dxfId="70" priority="123"/>
    <cfRule type="duplicateValues" dxfId="71" priority="124"/>
  </conditionalFormatting>
  <conditionalFormatting sqref="F96">
    <cfRule type="duplicateValues" dxfId="69" priority="121"/>
    <cfRule type="duplicateValues" dxfId="68" priority="122"/>
  </conditionalFormatting>
  <conditionalFormatting sqref="F97">
    <cfRule type="duplicateValues" dxfId="66" priority="119"/>
    <cfRule type="duplicateValues" dxfId="67" priority="120"/>
  </conditionalFormatting>
  <conditionalFormatting sqref="F98">
    <cfRule type="duplicateValues" dxfId="65" priority="117"/>
    <cfRule type="duplicateValues" dxfId="64" priority="118"/>
  </conditionalFormatting>
  <conditionalFormatting sqref="F99">
    <cfRule type="duplicateValues" dxfId="62" priority="115"/>
    <cfRule type="duplicateValues" dxfId="63" priority="116"/>
  </conditionalFormatting>
  <conditionalFormatting sqref="F100">
    <cfRule type="duplicateValues" dxfId="60" priority="113"/>
    <cfRule type="duplicateValues" dxfId="61" priority="114"/>
  </conditionalFormatting>
  <conditionalFormatting sqref="F101">
    <cfRule type="duplicateValues" dxfId="58" priority="111"/>
    <cfRule type="duplicateValues" dxfId="59" priority="112"/>
  </conditionalFormatting>
  <conditionalFormatting sqref="F102">
    <cfRule type="duplicateValues" dxfId="57" priority="109"/>
    <cfRule type="duplicateValues" dxfId="56" priority="110"/>
  </conditionalFormatting>
  <conditionalFormatting sqref="F103">
    <cfRule type="duplicateValues" dxfId="54" priority="107"/>
    <cfRule type="duplicateValues" dxfId="55" priority="108"/>
  </conditionalFormatting>
  <conditionalFormatting sqref="F104">
    <cfRule type="duplicateValues" dxfId="52" priority="105"/>
    <cfRule type="duplicateValues" dxfId="53" priority="106"/>
  </conditionalFormatting>
  <conditionalFormatting sqref="F105">
    <cfRule type="duplicateValues" dxfId="50" priority="103"/>
    <cfRule type="duplicateValues" dxfId="51" priority="104"/>
  </conditionalFormatting>
  <conditionalFormatting sqref="F106">
    <cfRule type="duplicateValues" dxfId="49" priority="101"/>
    <cfRule type="duplicateValues" dxfId="48" priority="102"/>
  </conditionalFormatting>
  <conditionalFormatting sqref="F107">
    <cfRule type="duplicateValues" dxfId="46" priority="99"/>
    <cfRule type="duplicateValues" dxfId="47" priority="100"/>
  </conditionalFormatting>
  <conditionalFormatting sqref="F108">
    <cfRule type="duplicateValues" dxfId="45" priority="79"/>
    <cfRule type="duplicateValues" dxfId="44" priority="98"/>
  </conditionalFormatting>
  <conditionalFormatting sqref="F109">
    <cfRule type="duplicateValues" dxfId="42" priority="78"/>
    <cfRule type="duplicateValues" dxfId="43" priority="97"/>
  </conditionalFormatting>
  <conditionalFormatting sqref="F110">
    <cfRule type="duplicateValues" dxfId="41" priority="77"/>
    <cfRule type="duplicateValues" dxfId="40" priority="96"/>
  </conditionalFormatting>
  <conditionalFormatting sqref="F111">
    <cfRule type="duplicateValues" dxfId="38" priority="76"/>
    <cfRule type="duplicateValues" dxfId="39" priority="95"/>
  </conditionalFormatting>
  <conditionalFormatting sqref="F112">
    <cfRule type="duplicateValues" dxfId="36" priority="75"/>
    <cfRule type="duplicateValues" dxfId="37" priority="94"/>
  </conditionalFormatting>
  <conditionalFormatting sqref="F113">
    <cfRule type="duplicateValues" dxfId="34" priority="74"/>
    <cfRule type="duplicateValues" dxfId="35" priority="93"/>
  </conditionalFormatting>
  <conditionalFormatting sqref="F114">
    <cfRule type="duplicateValues" dxfId="33" priority="73"/>
    <cfRule type="duplicateValues" dxfId="32" priority="92"/>
  </conditionalFormatting>
  <conditionalFormatting sqref="F115">
    <cfRule type="duplicateValues" dxfId="30" priority="72"/>
    <cfRule type="duplicateValues" dxfId="31" priority="91"/>
  </conditionalFormatting>
  <conditionalFormatting sqref="F116">
    <cfRule type="duplicateValues" dxfId="28" priority="71"/>
    <cfRule type="duplicateValues" dxfId="29" priority="90"/>
  </conditionalFormatting>
  <conditionalFormatting sqref="F117">
    <cfRule type="duplicateValues" dxfId="26" priority="70"/>
    <cfRule type="duplicateValues" dxfId="27" priority="89"/>
  </conditionalFormatting>
  <conditionalFormatting sqref="F118">
    <cfRule type="duplicateValues" dxfId="24" priority="69"/>
    <cfRule type="duplicateValues" dxfId="25" priority="88"/>
  </conditionalFormatting>
  <conditionalFormatting sqref="F119">
    <cfRule type="duplicateValues" dxfId="22" priority="68"/>
    <cfRule type="duplicateValues" dxfId="23" priority="87"/>
  </conditionalFormatting>
  <conditionalFormatting sqref="F120">
    <cfRule type="duplicateValues" dxfId="20" priority="67"/>
    <cfRule type="duplicateValues" dxfId="21" priority="86"/>
  </conditionalFormatting>
  <conditionalFormatting sqref="F121">
    <cfRule type="duplicateValues" dxfId="18" priority="66"/>
    <cfRule type="duplicateValues" dxfId="19" priority="85"/>
  </conditionalFormatting>
  <conditionalFormatting sqref="F122">
    <cfRule type="duplicateValues" dxfId="17" priority="65"/>
    <cfRule type="duplicateValues" dxfId="16" priority="84"/>
  </conditionalFormatting>
  <conditionalFormatting sqref="F123">
    <cfRule type="duplicateValues" dxfId="14" priority="64"/>
    <cfRule type="duplicateValues" dxfId="15" priority="83"/>
  </conditionalFormatting>
  <conditionalFormatting sqref="F124">
    <cfRule type="duplicateValues" dxfId="13" priority="63"/>
    <cfRule type="duplicateValues" dxfId="12" priority="82"/>
  </conditionalFormatting>
  <conditionalFormatting sqref="F125">
    <cfRule type="duplicateValues" dxfId="11" priority="62"/>
    <cfRule type="duplicateValues" dxfId="10" priority="81"/>
  </conditionalFormatting>
  <conditionalFormatting sqref="F126">
    <cfRule type="duplicateValues" dxfId="8" priority="61"/>
    <cfRule type="duplicateValues" dxfId="9" priority="80"/>
  </conditionalFormatting>
  <conditionalFormatting sqref="F127:J65558 M127:M65558">
    <cfRule type="duplicateValues" dxfId="7" priority="207"/>
  </conditionalFormatting>
  <conditionalFormatting sqref="G48:H48">
    <cfRule type="duplicateValues" dxfId="6" priority="57"/>
    <cfRule type="duplicateValues" dxfId="5" priority="58"/>
  </conditionalFormatting>
  <conditionalFormatting sqref="K127:L65558">
    <cfRule type="duplicateValues" dxfId="4" priority="176"/>
  </conditionalFormatting>
  <conditionalFormatting sqref="N127:O65558">
    <cfRule type="duplicateValues" dxfId="3" priority="175"/>
  </conditionalFormatting>
  <hyperlinks>
    <hyperlink ref="F21" r:id="rId1" xr:uid="{74D9912E-B4AD-46A6-80AD-3687C1C056EC}"/>
    <hyperlink ref="F29" r:id="rId2" xr:uid="{251A778A-7273-4568-B0AD-5937FFD16815}"/>
    <hyperlink ref="F28" r:id="rId3" xr:uid="{87F8FBAA-1395-47BD-8604-64F9C5DD3365}"/>
    <hyperlink ref="F24" r:id="rId4" xr:uid="{D95B8589-C258-4A1F-AE5B-7FF5A84F354B}"/>
    <hyperlink ref="F19" r:id="rId5" xr:uid="{E93073B1-DCDF-4218-8FE5-831C4BB0781C}"/>
    <hyperlink ref="F16" r:id="rId6" xr:uid="{58352143-79EA-4C7A-B98C-3EA9F251C6DD}"/>
    <hyperlink ref="F17" r:id="rId7" xr:uid="{2DDEED70-5E6B-42F3-A7FB-5BAA7A42E214}"/>
    <hyperlink ref="F12" r:id="rId8" xr:uid="{FE21C990-20BC-4BA6-A52E-20FB8AFEA75C}"/>
    <hyperlink ref="F15" r:id="rId9" xr:uid="{0E5ADD40-A294-4500-8FED-EB22032CBC41}"/>
    <hyperlink ref="F14" r:id="rId10" xr:uid="{A4369968-B3F4-4B34-BBA9-B70440DECE39}"/>
    <hyperlink ref="F13" r:id="rId11" xr:uid="{68957A1D-CF6D-403F-B60D-1A93AF89EE32}"/>
    <hyperlink ref="F10" r:id="rId12" xr:uid="{87135943-6CB1-47CE-8F43-95FDDB43B377}"/>
    <hyperlink ref="F9" r:id="rId13" xr:uid="{62EB84DC-050F-464C-A577-6BE767D4192D}"/>
    <hyperlink ref="F8" r:id="rId14" xr:uid="{D1FA3957-C7CA-4377-997F-5F47392FBC34}"/>
    <hyperlink ref="F6" r:id="rId15" xr:uid="{6BB5CF55-FE0A-4524-AECA-585B4AB43D9E}"/>
    <hyperlink ref="F7" r:id="rId16" xr:uid="{A21FAB54-B5B8-4491-BBA1-4E3F3CBBD12E}"/>
    <hyperlink ref="F5" r:id="rId17" xr:uid="{C3C013EF-6B22-4EC0-B8C9-7BBEB7F9393A}"/>
    <hyperlink ref="F3" r:id="rId18" xr:uid="{54A1DC5F-55F3-4818-B3C8-168B66529484}"/>
    <hyperlink ref="F4" r:id="rId19" xr:uid="{6C80D1A0-5B95-42C1-B5A6-75397A6BA16F}"/>
    <hyperlink ref="F2" r:id="rId20" xr:uid="{4E992D04-05FD-4AB1-A46B-2F460D389383}"/>
    <hyperlink ref="F22" r:id="rId21" xr:uid="{DC02663D-1DB1-4A9F-8490-E15A83DB3EF2}"/>
    <hyperlink ref="F23" r:id="rId22" xr:uid="{B4BFECF4-7E31-4B22-9584-42E33468510B}"/>
    <hyperlink ref="F25" r:id="rId23" xr:uid="{3BAA4371-2A60-4CE5-93D6-C0C18DF88B7F}"/>
    <hyperlink ref="F26" r:id="rId24" xr:uid="{2C6B26B2-0104-4761-81E3-26E505BBBE99}"/>
    <hyperlink ref="F27" r:id="rId25" xr:uid="{7488E2F8-C01F-420A-9C2B-3A0F4AF9BAF1}"/>
    <hyperlink ref="F30" r:id="rId26" xr:uid="{333EFA3E-AC70-47C2-BB00-3ABDB995F950}"/>
    <hyperlink ref="F20" r:id="rId27" xr:uid="{3CD0DFAF-C0D8-4A16-A508-8D554E80E004}"/>
    <hyperlink ref="F18" r:id="rId28" xr:uid="{CCD9C18F-4494-4775-8945-482E23536A6A}"/>
    <hyperlink ref="F11" r:id="rId29" xr:uid="{C25D7819-825B-431C-BC85-6A6FE5ECC94B}"/>
    <hyperlink ref="E32" r:id="rId30" xr:uid="{35EAE2AB-E195-4748-8EB2-0F1AEF78766E}"/>
    <hyperlink ref="F34" r:id="rId31" tooltip="https://hbba.sacinfo.org.cn/stdDetail/7fa39b04efb79862b3c67a80b96fb646fd48c662fb1122ac86edfc7ae018fd4a" xr:uid="{096B3791-BBC2-4353-846A-824048914847}"/>
    <hyperlink ref="F33" r:id="rId32" tooltip="https://hbba.sacinfo.org.cn/stdDetail/b8a3e7e0265a23696fc6859326050267c4d7adea733beb23f466f7b29ddb3bb9" xr:uid="{4FDE0AFD-B2BC-42C2-99A7-9579D5092E42}"/>
    <hyperlink ref="F38" r:id="rId33" tooltip="https://hbba.sacinfo.org.cn/stdDetail/521a1b81aaecdea8b6c0e0161ccfaa4ad35734254c3edb4be945ad0ac4510a4c" xr:uid="{D55075F0-ADB0-4015-AC69-CFAD016B2D9D}"/>
    <hyperlink ref="F39" r:id="rId34" tooltip="https://hbba.sacinfo.org.cn/stdDetail/521a1b81aaecdea8b6c0e0161ccfaa4a6261bab5fb90fa318e864e4b499b08e7" xr:uid="{EFAA9A18-177D-478A-B083-FF4D77B2C8EA}"/>
    <hyperlink ref="F44" r:id="rId35" tooltip="https://hbba.sacinfo.org.cn/stdDetail/bd26822c7539c88e488f3cf686e4cafebdf6f9ab3b051d35c90c707453dd4a96" xr:uid="{8A32C7F1-EBB7-41A0-89A7-92E1C13E67D6}"/>
    <hyperlink ref="F40" r:id="rId36" tooltip="https://hbba.sacinfo.org.cn/stdDetail/2d32adad7a48d78d7fd906cd36d21c8b0f37d5dd977096344d41552bad6fcfa4" xr:uid="{14983391-505D-4C1F-B72D-16D1B62BE662}"/>
    <hyperlink ref="F45" r:id="rId37" tooltip="https://hbba.sacinfo.org.cn/stdDetail/8f5a0777bace684d9eff180d0624cbfceddd9cf46afe373f01bed15127f0aeb7" xr:uid="{B77B28B5-91E6-4ACB-AB6E-98C598225825}"/>
    <hyperlink ref="F41" r:id="rId38" tooltip="https://hbba.sacinfo.org.cn/stdDetail/243d506765a4efde0623a8b844ba3bbe3ac5804d0dce3d783aa4438da6681be3" xr:uid="{832771CC-F248-4F2C-9090-07AF2080630F}"/>
    <hyperlink ref="F42" r:id="rId39" tooltip="https://hbba.sacinfo.org.cn/stdDetail/9ffc4364f42eb02e6f4a424454ac625c82755886edf9fe0f616120d9f5671484" xr:uid="{4905EEFA-731C-4E0E-AD74-4364F4948D4E}"/>
    <hyperlink ref="F49" r:id="rId40" tooltip="https://hbba.sacinfo.org.cn/stdDetail/eaf587f9fd0e7075f54280ff0889dc9d2e3689d9108d9a6fe3f1a0263666fdc1" xr:uid="{32C61841-C3CC-4E77-B292-CC64D078BC45}"/>
    <hyperlink ref="F50" r:id="rId41" tooltip="https://hbba.sacinfo.org.cn/stdDetail/1cd03b700c312873a447428bcbda1126965fdb4a2d1c740fb6503842de50ea4a" xr:uid="{E121C67E-1541-4696-80B8-8E542F056949}"/>
    <hyperlink ref="F43" r:id="rId42" tooltip="https://hbba.sacinfo.org.cn/stdDetail/7c80ed2c4575783ea45dd7ae2aa5f58a0877e404106d5b4fd6e22b2b8174aa3c" xr:uid="{84CF3085-3B68-4BCB-AAC9-F29297B3CD4A}"/>
    <hyperlink ref="F36" r:id="rId43" xr:uid="{DE66DE61-6282-4547-B6C6-57F9397245DF}"/>
    <hyperlink ref="F37" r:id="rId44" xr:uid="{AADC3932-96CE-46A8-8D84-1386994409FA}"/>
    <hyperlink ref="F51" r:id="rId45" xr:uid="{C9A0F539-A959-4750-8A29-4F45A8E2A954}"/>
    <hyperlink ref="F52" r:id="rId46" xr:uid="{BDEAC4D4-193C-4B70-A909-3C1C10812F6C}"/>
    <hyperlink ref="F53" r:id="rId47" xr:uid="{ACB1B46D-9C00-4946-8BEE-3D5EE0AC673F}"/>
    <hyperlink ref="F54" r:id="rId48" tooltip="https://hbba.sacinfo.org.cn/stdDetail/acfc519292e8d6fb34424d73565eaa232b4a1f0ad4fe8d37f5390bbbac869075" xr:uid="{3F97DF06-2124-4BD6-B010-8BFEAD2B7022}"/>
    <hyperlink ref="F56" r:id="rId49" xr:uid="{DC920A54-00ED-45ED-9351-8EF9F8C14B6E}"/>
    <hyperlink ref="F55" r:id="rId50" tooltip="https://hbba.sacinfo.org.cn/stdDetail/8aa002c25c6552d3f97fecca5ca163c30347aaf9067202a23582e89772172938" xr:uid="{7FA66D92-B950-4E6B-92D0-760A79D4929F}"/>
    <hyperlink ref="F60" r:id="rId51" tooltip="https://hbba.sacinfo.org.cn/stdDetail/1b8d2d191a20e8201024fe7d7b134da37c79d62f5b646531c6588499fb4648ba" xr:uid="{9A85140D-D9DF-448D-BAAC-AFB9D69087FA}"/>
    <hyperlink ref="F59" r:id="rId52" tooltip="https://hbba.sacinfo.org.cn/stdDetail/1b8d2d191a20e8201024fe7d7b134da32cc26f0d16f6fcfd649c970cfa73466d" xr:uid="{0633ACFC-49D1-4C07-AF51-9C245C0D501E}"/>
    <hyperlink ref="F64" r:id="rId53" tooltip="https://hbba.sacinfo.org.cn/stdDetail/73e526a33b1f4b1580c2e38ef03d35f5e3fb2f2d1e9f11832161a2ff0255e3e5" xr:uid="{3CE607C1-0C68-448B-BEE6-1413B108D4A2}"/>
    <hyperlink ref="F62" r:id="rId54" tooltip="https://hbba.sacinfo.org.cn/stdDetail/73e526a33b1f4b1580c2e38ef03d35f5a72bab1c8346e3dff53986fb01626f8f" xr:uid="{60473721-1490-4A07-A815-1EC142366F4C}"/>
    <hyperlink ref="F61" r:id="rId55" tooltip="https://hbba.sacinfo.org.cn/stdDetail/73e526a33b1f4b1580c2e38ef03d35f5bad6d0d86b784f9123fc182613829bdc" xr:uid="{C1D5005E-0C5F-497A-9CDE-A80E82300DCE}"/>
    <hyperlink ref="F63" r:id="rId56" tooltip="https://hbba.sacinfo.org.cn/stdDetail/73e526a33b1f4b1580c2e38ef03d35f572445df7f617a76c3c21e0addb5b90eb" xr:uid="{1118A831-ADC3-468B-9D16-52501019AA85}"/>
    <hyperlink ref="F58" r:id="rId57" tooltip="https://hbba.sacinfo.org.cn/stdDetail/a3422f4714c9190a0f6aca4dae7bc81ac7be515124cb2d5298a75cc054807c55" xr:uid="{2F1AF011-A8C9-4E83-B2B7-1C75F84DB7AE}"/>
    <hyperlink ref="F57" r:id="rId58" tooltip="https://hbba.sacinfo.org.cn/stdDetail/0ad7bf493af33d82c3e090777ce76824e3666d9b699fd135b8bdf5d135a28918" xr:uid="{24FAC016-6509-4B17-A504-7C692B175E55}"/>
    <hyperlink ref="F72" r:id="rId59" tooltip="https://hbba.sacinfo.org.cn/stdDetail/1d166286d5f4bcc2e35ce4f8bedd0ca8cf9b47d7a054517d401eb95071ad08b2" xr:uid="{F358FF83-AAF1-47F3-9EB0-88D2FE1450C8}"/>
    <hyperlink ref="F67" r:id="rId60" tooltip="https://hbba.sacinfo.org.cn/stdDetail/6f9ea402c01d253279a2e1559d4e8ec4624fbf6649727b20cb4d103271494467" xr:uid="{4F934D36-632C-4513-B8DC-9F465E29A3B1}"/>
    <hyperlink ref="F68" r:id="rId61" tooltip="https://hbba.sacinfo.org.cn/stdDetail/6f9ea402c01d253279a2e1559d4e8ec42da5502a82aba82eb3d48a6e28b00e73" xr:uid="{A068F82C-2207-499E-9D74-FB47F38FDC1C}"/>
    <hyperlink ref="F70" r:id="rId62" tooltip="https://hbba.sacinfo.org.cn/stdDetail/2f87a0d53e7ba6fd13b5921201e539fb81970976589b1928fe404f2cd54ada1b" xr:uid="{99390C94-5EDF-4550-9A46-8BA625A06DBA}"/>
    <hyperlink ref="F69" r:id="rId63" tooltip="https://hbba.sacinfo.org.cn/stdDetail/2f87a0d53e7ba6fd13b5921201e539fb7789535c2f1b3ed97e6606b792c0ecb6" xr:uid="{E1CAB65E-5B79-4944-B4D8-F5A243ABC53C}"/>
    <hyperlink ref="F74" r:id="rId64" xr:uid="{5C08CA22-F229-4E26-BDAC-8E6BC7C511D3}"/>
  </hyperlink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54C-1FC4-460A-83E0-006BE9037C40}">
  <dimension ref="A1:AB198"/>
  <sheetViews>
    <sheetView workbookViewId="0">
      <pane ySplit="1" topLeftCell="A128" activePane="bottomLeft" state="frozen"/>
      <selection activeCell="T813" sqref="T813"/>
      <selection pane="bottomLeft" activeCell="T813" sqref="T813"/>
    </sheetView>
  </sheetViews>
  <sheetFormatPr defaultColWidth="9" defaultRowHeight="24.95" customHeight="1" x14ac:dyDescent="0.3"/>
  <cols>
    <col min="1" max="1" width="10.59765625" style="13" customWidth="1"/>
    <col min="2" max="2" width="13.1328125" style="13" customWidth="1"/>
    <col min="3" max="3" width="3.1328125" customWidth="1"/>
    <col min="4" max="4" width="5.59765625" style="24" customWidth="1"/>
    <col min="5" max="7" width="25.59765625" style="24" customWidth="1"/>
    <col min="8" max="9" width="10.59765625" style="24" customWidth="1"/>
    <col min="10" max="10" width="25.59765625" style="24" customWidth="1"/>
    <col min="11" max="12" width="10.59765625" style="24" customWidth="1"/>
    <col min="13" max="13" width="25.59765625" style="24" customWidth="1"/>
    <col min="14" max="15" width="10.59765625" style="24" customWidth="1"/>
    <col min="16" max="16" width="3.59765625" style="24" customWidth="1"/>
    <col min="17" max="17" width="12.59765625" style="24" customWidth="1"/>
    <col min="18" max="18" width="3.59765625" style="24" customWidth="1"/>
    <col min="19" max="19" width="12.59765625" style="24" customWidth="1"/>
    <col min="20" max="20" width="3.59765625" style="24" customWidth="1"/>
    <col min="21" max="21" width="12.59765625" style="24" customWidth="1"/>
    <col min="22" max="22" width="3.59765625" style="24" customWidth="1"/>
    <col min="23" max="23" width="12.59765625" style="24" customWidth="1"/>
    <col min="24" max="24" width="3.59765625" style="24" customWidth="1"/>
    <col min="25" max="25" width="12.59765625" style="24" customWidth="1"/>
    <col min="26" max="26" width="15.59765625" style="24" customWidth="1"/>
    <col min="27" max="27" width="15.59765625" customWidth="1"/>
    <col min="28" max="28" width="15.59765625" style="24" customWidth="1"/>
  </cols>
  <sheetData>
    <row r="1" spans="1:28" ht="24.95" customHeight="1" x14ac:dyDescent="0.3">
      <c r="A1" s="27" t="s">
        <v>0</v>
      </c>
      <c r="B1" s="28"/>
      <c r="D1" s="9" t="s">
        <v>1</v>
      </c>
      <c r="E1" s="40" t="s">
        <v>3</v>
      </c>
      <c r="F1" s="40" t="s">
        <v>4</v>
      </c>
      <c r="G1" s="41" t="s">
        <v>1740</v>
      </c>
      <c r="H1" s="41" t="s">
        <v>1741</v>
      </c>
      <c r="I1" s="41"/>
      <c r="J1" s="41" t="s">
        <v>1742</v>
      </c>
      <c r="K1" s="41" t="s">
        <v>1741</v>
      </c>
      <c r="L1" s="41"/>
      <c r="M1" s="41" t="s">
        <v>1743</v>
      </c>
      <c r="N1" s="41" t="s">
        <v>1741</v>
      </c>
      <c r="O1" s="41"/>
      <c r="P1" s="1" t="s">
        <v>5</v>
      </c>
      <c r="Q1" s="2"/>
      <c r="R1" s="1" t="s">
        <v>6</v>
      </c>
      <c r="S1" s="2"/>
      <c r="T1" s="1" t="s">
        <v>7</v>
      </c>
      <c r="U1" s="2"/>
      <c r="V1" s="1" t="s">
        <v>8</v>
      </c>
      <c r="W1" s="2"/>
      <c r="X1" s="1" t="s">
        <v>9</v>
      </c>
      <c r="Y1" s="2"/>
      <c r="Z1" s="40" t="s">
        <v>2083</v>
      </c>
      <c r="AA1" s="40" t="s">
        <v>1746</v>
      </c>
      <c r="AB1" s="40" t="s">
        <v>2355</v>
      </c>
    </row>
    <row r="2" spans="1:28" ht="24.95" customHeight="1" x14ac:dyDescent="0.3">
      <c r="D2" s="6">
        <f>ROW()-1</f>
        <v>1</v>
      </c>
      <c r="E2" s="42" t="s">
        <v>2356</v>
      </c>
      <c r="F2" s="42" t="s">
        <v>2357</v>
      </c>
      <c r="G2" s="6" t="s">
        <v>2358</v>
      </c>
      <c r="H2" s="6" t="s">
        <v>1760</v>
      </c>
      <c r="I2" s="30" t="str">
        <f>VLOOKUP(H2,[1]VLOOKUP!$A$2:$B$35,2,FALSE)</f>
        <v>华北</v>
      </c>
      <c r="J2" s="6"/>
      <c r="K2" s="6"/>
      <c r="L2" s="30" t="e">
        <f>VLOOKUP(K2,[1]VLOOKUP!$A$2:$B$35,2,FALSE)</f>
        <v>#N/A</v>
      </c>
      <c r="M2" s="6"/>
      <c r="N2" s="6"/>
      <c r="O2" s="30" t="e">
        <f>VLOOKUP(N2,[1]VLOOKUP!$A$2:$B$35,2,FALSE)</f>
        <v>#N/A</v>
      </c>
      <c r="P2" s="6">
        <v>1</v>
      </c>
      <c r="Q2" s="8" t="s">
        <v>609</v>
      </c>
      <c r="R2" s="6"/>
      <c r="S2" s="6"/>
      <c r="T2" s="6"/>
      <c r="U2" s="6"/>
      <c r="V2" s="6"/>
      <c r="W2" s="6"/>
      <c r="X2" s="6"/>
      <c r="Y2" s="6"/>
      <c r="Z2" s="7">
        <v>33585</v>
      </c>
      <c r="AA2" s="7">
        <v>33878</v>
      </c>
      <c r="AB2" s="7" t="s">
        <v>2359</v>
      </c>
    </row>
    <row r="3" spans="1:28" ht="24.95" customHeight="1" x14ac:dyDescent="0.3">
      <c r="A3" s="9" t="s">
        <v>5</v>
      </c>
      <c r="B3" s="8">
        <f>SUM(P2:P1027)</f>
        <v>31</v>
      </c>
      <c r="D3" s="6">
        <f t="shared" ref="D3:D66" si="0">ROW()-1</f>
        <v>2</v>
      </c>
      <c r="E3" s="42" t="s">
        <v>2360</v>
      </c>
      <c r="F3" s="42" t="s">
        <v>2361</v>
      </c>
      <c r="G3" s="6" t="s">
        <v>2362</v>
      </c>
      <c r="H3" s="6" t="s">
        <v>1760</v>
      </c>
      <c r="I3" s="30" t="str">
        <f>VLOOKUP(H3,[1]VLOOKUP!$A$2:$B$35,2,FALSE)</f>
        <v>华北</v>
      </c>
      <c r="J3" s="6" t="s">
        <v>2363</v>
      </c>
      <c r="K3" s="6" t="s">
        <v>1760</v>
      </c>
      <c r="L3" s="30" t="str">
        <f>VLOOKUP(K3,[1]VLOOKUP!$A$2:$B$35,2,FALSE)</f>
        <v>华北</v>
      </c>
      <c r="M3" s="6" t="s">
        <v>2364</v>
      </c>
      <c r="N3" s="6" t="s">
        <v>1809</v>
      </c>
      <c r="O3" s="30" t="str">
        <f>VLOOKUP(N3,[1]VLOOKUP!$A$2:$B$35,2,FALSE)</f>
        <v>华东</v>
      </c>
      <c r="P3" s="6">
        <v>1</v>
      </c>
      <c r="Q3" s="8" t="s">
        <v>609</v>
      </c>
      <c r="R3" s="6"/>
      <c r="S3" s="6"/>
      <c r="T3" s="6"/>
      <c r="U3" s="6"/>
      <c r="V3" s="6"/>
      <c r="W3" s="6"/>
      <c r="X3" s="6"/>
      <c r="Y3" s="6"/>
      <c r="Z3" s="7">
        <v>36795</v>
      </c>
      <c r="AA3" s="7">
        <v>36923</v>
      </c>
      <c r="AB3" s="7" t="s">
        <v>2365</v>
      </c>
    </row>
    <row r="4" spans="1:28" ht="24.95" customHeight="1" x14ac:dyDescent="0.3">
      <c r="A4" s="9" t="s">
        <v>6</v>
      </c>
      <c r="B4" s="8">
        <f>SUM(R2:R1027)</f>
        <v>17</v>
      </c>
      <c r="D4" s="6">
        <f t="shared" si="0"/>
        <v>3</v>
      </c>
      <c r="E4" s="42" t="s">
        <v>2366</v>
      </c>
      <c r="F4" s="42" t="s">
        <v>2367</v>
      </c>
      <c r="G4" s="6" t="s">
        <v>2368</v>
      </c>
      <c r="H4" s="6" t="s">
        <v>1989</v>
      </c>
      <c r="I4" s="30" t="str">
        <f>VLOOKUP(H4,[1]VLOOKUP!$A$2:$B$35,2,FALSE)</f>
        <v>西南</v>
      </c>
      <c r="J4" s="6" t="s">
        <v>2369</v>
      </c>
      <c r="K4" s="6" t="s">
        <v>1880</v>
      </c>
      <c r="L4" s="30" t="str">
        <f>VLOOKUP(K4,[1]VLOOKUP!$A$2:$B$35,2,FALSE)</f>
        <v>华中</v>
      </c>
      <c r="M4" s="6" t="s">
        <v>2370</v>
      </c>
      <c r="N4" s="6" t="s">
        <v>1989</v>
      </c>
      <c r="O4" s="30" t="str">
        <f>VLOOKUP(N4,[1]VLOOKUP!$A$2:$B$35,2,FALSE)</f>
        <v>西南</v>
      </c>
      <c r="P4" s="6"/>
      <c r="Q4" s="6"/>
      <c r="R4" s="6">
        <v>1</v>
      </c>
      <c r="S4" s="8" t="s">
        <v>80</v>
      </c>
      <c r="T4" s="6"/>
      <c r="U4" s="6"/>
      <c r="V4" s="6"/>
      <c r="W4" s="6"/>
      <c r="X4" s="6"/>
      <c r="Y4" s="6"/>
      <c r="Z4" s="7">
        <v>38457</v>
      </c>
      <c r="AA4" s="7">
        <v>38626</v>
      </c>
      <c r="AB4" s="7" t="s">
        <v>2371</v>
      </c>
    </row>
    <row r="5" spans="1:28" ht="24.95" customHeight="1" x14ac:dyDescent="0.3">
      <c r="A5" s="9" t="s">
        <v>7</v>
      </c>
      <c r="B5" s="8">
        <f>SUM(T2:T1027)</f>
        <v>22</v>
      </c>
      <c r="D5" s="6">
        <f t="shared" si="0"/>
        <v>4</v>
      </c>
      <c r="E5" s="42" t="s">
        <v>2372</v>
      </c>
      <c r="F5" s="42" t="s">
        <v>2373</v>
      </c>
      <c r="G5" s="6" t="s">
        <v>2374</v>
      </c>
      <c r="H5" s="6" t="s">
        <v>1760</v>
      </c>
      <c r="I5" s="30" t="str">
        <f>VLOOKUP(H5,[1]VLOOKUP!$A$2:$B$35,2,FALSE)</f>
        <v>华北</v>
      </c>
      <c r="J5" s="6" t="s">
        <v>2375</v>
      </c>
      <c r="K5" s="6" t="s">
        <v>1760</v>
      </c>
      <c r="L5" s="30" t="str">
        <f>VLOOKUP(K5,[1]VLOOKUP!$A$2:$B$35,2,FALSE)</f>
        <v>华北</v>
      </c>
      <c r="M5" s="6" t="s">
        <v>2368</v>
      </c>
      <c r="N5" s="6" t="s">
        <v>1989</v>
      </c>
      <c r="O5" s="30" t="str">
        <f>VLOOKUP(N5,[1]VLOOKUP!$A$2:$B$35,2,FALSE)</f>
        <v>西南</v>
      </c>
      <c r="P5" s="6"/>
      <c r="Q5" s="6"/>
      <c r="R5" s="6">
        <v>1</v>
      </c>
      <c r="S5" s="8" t="s">
        <v>80</v>
      </c>
      <c r="T5" s="6"/>
      <c r="U5" s="6"/>
      <c r="V5" s="6"/>
      <c r="W5" s="6"/>
      <c r="X5" s="6"/>
      <c r="Y5" s="6"/>
      <c r="Z5" s="7">
        <v>38497</v>
      </c>
      <c r="AA5" s="7">
        <v>38657</v>
      </c>
      <c r="AB5" s="7" t="s">
        <v>2376</v>
      </c>
    </row>
    <row r="6" spans="1:28" ht="24.95" customHeight="1" x14ac:dyDescent="0.3">
      <c r="A6" s="9" t="s">
        <v>8</v>
      </c>
      <c r="B6" s="8">
        <f>SUM(V2:V1027)</f>
        <v>14</v>
      </c>
      <c r="D6" s="6">
        <f t="shared" si="0"/>
        <v>5</v>
      </c>
      <c r="E6" s="42" t="s">
        <v>2377</v>
      </c>
      <c r="F6" s="42" t="s">
        <v>2378</v>
      </c>
      <c r="G6" s="6" t="s">
        <v>2374</v>
      </c>
      <c r="H6" s="6" t="s">
        <v>1760</v>
      </c>
      <c r="I6" s="30" t="str">
        <f>VLOOKUP(H6,[1]VLOOKUP!$A$2:$B$35,2,FALSE)</f>
        <v>华北</v>
      </c>
      <c r="J6" s="6" t="s">
        <v>2379</v>
      </c>
      <c r="K6" s="6" t="s">
        <v>1760</v>
      </c>
      <c r="L6" s="30" t="str">
        <f>VLOOKUP(K6,[1]VLOOKUP!$A$2:$B$35,2,FALSE)</f>
        <v>华北</v>
      </c>
      <c r="M6" s="6" t="s">
        <v>2375</v>
      </c>
      <c r="N6" s="6" t="s">
        <v>1760</v>
      </c>
      <c r="O6" s="30" t="str">
        <f>VLOOKUP(N6,[1]VLOOKUP!$A$2:$B$35,2,FALSE)</f>
        <v>华北</v>
      </c>
      <c r="P6" s="6"/>
      <c r="Q6" s="6"/>
      <c r="R6" s="6">
        <v>1</v>
      </c>
      <c r="S6" s="8" t="s">
        <v>130</v>
      </c>
      <c r="T6" s="6"/>
      <c r="U6" s="6"/>
      <c r="V6" s="6"/>
      <c r="W6" s="6"/>
      <c r="X6" s="6"/>
      <c r="Y6" s="6"/>
      <c r="Z6" s="7">
        <v>38497</v>
      </c>
      <c r="AA6" s="7">
        <v>38657</v>
      </c>
      <c r="AB6" s="7" t="s">
        <v>2376</v>
      </c>
    </row>
    <row r="7" spans="1:28" ht="24.95" customHeight="1" x14ac:dyDescent="0.3">
      <c r="A7" s="9" t="s">
        <v>9</v>
      </c>
      <c r="B7" s="8">
        <f>SUM(X2:X1027)</f>
        <v>69</v>
      </c>
      <c r="D7" s="6">
        <f t="shared" si="0"/>
        <v>6</v>
      </c>
      <c r="E7" s="42" t="s">
        <v>2380</v>
      </c>
      <c r="F7" s="42" t="s">
        <v>2381</v>
      </c>
      <c r="G7" s="6" t="s">
        <v>2382</v>
      </c>
      <c r="H7" s="6" t="s">
        <v>1989</v>
      </c>
      <c r="I7" s="30" t="str">
        <f>VLOOKUP(H7,[1]VLOOKUP!$A$2:$B$35,2,FALSE)</f>
        <v>西南</v>
      </c>
      <c r="J7" s="6" t="s">
        <v>2383</v>
      </c>
      <c r="K7" s="6" t="s">
        <v>2384</v>
      </c>
      <c r="L7" s="30" t="str">
        <f>VLOOKUP(K7,[1]VLOOKUP!$A$2:$B$35,2,FALSE)</f>
        <v>西北</v>
      </c>
      <c r="M7" s="6" t="s">
        <v>2385</v>
      </c>
      <c r="N7" s="6" t="s">
        <v>1758</v>
      </c>
      <c r="O7" s="30" t="str">
        <f>VLOOKUP(N7,[1]VLOOKUP!$A$2:$B$35,2,FALSE)</f>
        <v>华南</v>
      </c>
      <c r="P7" s="6">
        <v>1</v>
      </c>
      <c r="Q7" s="8" t="s">
        <v>21</v>
      </c>
      <c r="R7" s="6"/>
      <c r="S7" s="6"/>
      <c r="T7" s="6"/>
      <c r="U7" s="6"/>
      <c r="V7" s="6"/>
      <c r="W7" s="6"/>
      <c r="X7" s="6"/>
      <c r="Y7" s="6"/>
      <c r="Z7" s="7">
        <v>38740</v>
      </c>
      <c r="AA7" s="7">
        <v>39022</v>
      </c>
      <c r="AB7" s="7" t="s">
        <v>2386</v>
      </c>
    </row>
    <row r="8" spans="1:28" ht="24.95" customHeight="1" x14ac:dyDescent="0.3">
      <c r="D8" s="6">
        <f t="shared" si="0"/>
        <v>7</v>
      </c>
      <c r="E8" s="42" t="s">
        <v>2387</v>
      </c>
      <c r="F8" s="42" t="s">
        <v>2388</v>
      </c>
      <c r="G8" s="6" t="s">
        <v>2389</v>
      </c>
      <c r="H8" s="6" t="s">
        <v>1826</v>
      </c>
      <c r="I8" s="30" t="str">
        <f>VLOOKUP(H8,[1]VLOOKUP!$A$2:$B$35,2,FALSE)</f>
        <v>东北</v>
      </c>
      <c r="J8" s="6" t="s">
        <v>2390</v>
      </c>
      <c r="K8" s="6" t="s">
        <v>1826</v>
      </c>
      <c r="L8" s="30" t="str">
        <f>VLOOKUP(K8,[1]VLOOKUP!$A$2:$B$35,2,FALSE)</f>
        <v>东北</v>
      </c>
      <c r="M8" s="6" t="s">
        <v>2391</v>
      </c>
      <c r="N8" s="6" t="s">
        <v>1760</v>
      </c>
      <c r="O8" s="30" t="str">
        <f>VLOOKUP(N8,[1]VLOOKUP!$A$2:$B$35,2,FALSE)</f>
        <v>华北</v>
      </c>
      <c r="P8" s="6"/>
      <c r="Q8" s="6"/>
      <c r="R8" s="6"/>
      <c r="S8" s="6"/>
      <c r="T8" s="6"/>
      <c r="U8" s="6"/>
      <c r="V8" s="6"/>
      <c r="W8" s="6"/>
      <c r="X8" s="6">
        <v>1</v>
      </c>
      <c r="Y8" s="8" t="s">
        <v>25</v>
      </c>
      <c r="Z8" s="7">
        <v>39588</v>
      </c>
      <c r="AA8" s="7">
        <v>39814</v>
      </c>
      <c r="AB8" s="7" t="s">
        <v>13</v>
      </c>
    </row>
    <row r="9" spans="1:28" ht="24.95" customHeight="1" x14ac:dyDescent="0.3">
      <c r="D9" s="6">
        <f t="shared" si="0"/>
        <v>8</v>
      </c>
      <c r="E9" s="42" t="s">
        <v>2392</v>
      </c>
      <c r="F9" s="42" t="s">
        <v>2393</v>
      </c>
      <c r="G9" s="6" t="s">
        <v>2394</v>
      </c>
      <c r="H9" s="6" t="s">
        <v>1809</v>
      </c>
      <c r="I9" s="30" t="str">
        <f>VLOOKUP(H9,[1]VLOOKUP!$A$2:$B$35,2,FALSE)</f>
        <v>华东</v>
      </c>
      <c r="J9" s="6" t="s">
        <v>2395</v>
      </c>
      <c r="K9" s="6" t="s">
        <v>1809</v>
      </c>
      <c r="L9" s="30" t="str">
        <f>VLOOKUP(K9,[1]VLOOKUP!$A$2:$B$35,2,FALSE)</f>
        <v>华东</v>
      </c>
      <c r="M9" s="6" t="s">
        <v>2396</v>
      </c>
      <c r="N9" s="6" t="s">
        <v>1752</v>
      </c>
      <c r="O9" s="30" t="str">
        <f>VLOOKUP(N9,[1]VLOOKUP!$A$2:$B$35,2,FALSE)</f>
        <v>华东</v>
      </c>
      <c r="P9" s="6">
        <v>1</v>
      </c>
      <c r="Q9" s="8" t="s">
        <v>609</v>
      </c>
      <c r="R9" s="6"/>
      <c r="S9" s="6"/>
      <c r="T9" s="6"/>
      <c r="U9" s="6"/>
      <c r="V9" s="6"/>
      <c r="W9" s="6"/>
      <c r="X9" s="6"/>
      <c r="Y9" s="6"/>
      <c r="Z9" s="7">
        <v>39793</v>
      </c>
      <c r="AA9" s="7">
        <v>40087</v>
      </c>
      <c r="AB9" s="7" t="s">
        <v>2397</v>
      </c>
    </row>
    <row r="10" spans="1:28" ht="24.95" customHeight="1" x14ac:dyDescent="0.3">
      <c r="D10" s="6">
        <f t="shared" si="0"/>
        <v>9</v>
      </c>
      <c r="E10" s="42" t="s">
        <v>2398</v>
      </c>
      <c r="F10" s="42" t="s">
        <v>2399</v>
      </c>
      <c r="G10" s="6" t="s">
        <v>2400</v>
      </c>
      <c r="H10" s="6" t="s">
        <v>1760</v>
      </c>
      <c r="I10" s="30" t="str">
        <f>VLOOKUP(H10,[1]VLOOKUP!$A$2:$B$35,2,FALSE)</f>
        <v>华北</v>
      </c>
      <c r="J10" s="6" t="s">
        <v>2391</v>
      </c>
      <c r="K10" s="6" t="s">
        <v>1760</v>
      </c>
      <c r="L10" s="30" t="str">
        <f>VLOOKUP(K10,[1]VLOOKUP!$A$2:$B$35,2,FALSE)</f>
        <v>华北</v>
      </c>
      <c r="M10" s="6" t="s">
        <v>2390</v>
      </c>
      <c r="N10" s="6" t="s">
        <v>1826</v>
      </c>
      <c r="O10" s="30" t="str">
        <f>VLOOKUP(N10,[1]VLOOKUP!$A$2:$B$35,2,FALSE)</f>
        <v>东北</v>
      </c>
      <c r="P10" s="6"/>
      <c r="Q10" s="6"/>
      <c r="R10" s="6"/>
      <c r="S10" s="6"/>
      <c r="T10" s="6"/>
      <c r="U10" s="6"/>
      <c r="V10" s="6"/>
      <c r="W10" s="6"/>
      <c r="X10" s="6">
        <v>1</v>
      </c>
      <c r="Y10" s="8" t="s">
        <v>25</v>
      </c>
      <c r="Z10" s="7">
        <v>39939</v>
      </c>
      <c r="AA10" s="7">
        <v>40118</v>
      </c>
      <c r="AB10" s="7" t="s">
        <v>2401</v>
      </c>
    </row>
    <row r="11" spans="1:28" ht="24.95" customHeight="1" x14ac:dyDescent="0.3">
      <c r="D11" s="6">
        <f t="shared" si="0"/>
        <v>10</v>
      </c>
      <c r="E11" s="42" t="s">
        <v>2402</v>
      </c>
      <c r="F11" s="42" t="s">
        <v>2403</v>
      </c>
      <c r="G11" s="6" t="s">
        <v>2390</v>
      </c>
      <c r="H11" s="6" t="s">
        <v>1826</v>
      </c>
      <c r="I11" s="30" t="str">
        <f>VLOOKUP(H11,[1]VLOOKUP!$A$2:$B$35,2,FALSE)</f>
        <v>东北</v>
      </c>
      <c r="J11" s="6" t="s">
        <v>2391</v>
      </c>
      <c r="K11" s="6" t="s">
        <v>1760</v>
      </c>
      <c r="L11" s="30" t="str">
        <f>VLOOKUP(K11,[1]VLOOKUP!$A$2:$B$35,2,FALSE)</f>
        <v>华北</v>
      </c>
      <c r="M11" s="6"/>
      <c r="N11" s="6"/>
      <c r="O11" s="30" t="e">
        <f>VLOOKUP(N11,[1]VLOOKUP!$A$2:$B$35,2,FALSE)</f>
        <v>#N/A</v>
      </c>
      <c r="P11" s="6"/>
      <c r="Q11" s="6"/>
      <c r="R11" s="6"/>
      <c r="S11" s="6"/>
      <c r="T11" s="6"/>
      <c r="U11" s="6"/>
      <c r="V11" s="6"/>
      <c r="W11" s="6"/>
      <c r="X11" s="6">
        <v>1</v>
      </c>
      <c r="Y11" s="8" t="s">
        <v>58</v>
      </c>
      <c r="Z11" s="7">
        <v>39924</v>
      </c>
      <c r="AA11" s="7">
        <v>40118</v>
      </c>
      <c r="AB11" s="7" t="s">
        <v>2401</v>
      </c>
    </row>
    <row r="12" spans="1:28" ht="24.95" customHeight="1" x14ac:dyDescent="0.3">
      <c r="D12" s="6">
        <f t="shared" si="0"/>
        <v>11</v>
      </c>
      <c r="E12" s="42" t="s">
        <v>2404</v>
      </c>
      <c r="F12" s="42" t="s">
        <v>2405</v>
      </c>
      <c r="G12" s="6" t="s">
        <v>2390</v>
      </c>
      <c r="H12" s="6" t="s">
        <v>1826</v>
      </c>
      <c r="I12" s="30" t="str">
        <f>VLOOKUP(H12,[1]VLOOKUP!$A$2:$B$35,2,FALSE)</f>
        <v>东北</v>
      </c>
      <c r="J12" s="6" t="s">
        <v>2391</v>
      </c>
      <c r="K12" s="6" t="s">
        <v>1760</v>
      </c>
      <c r="L12" s="30" t="str">
        <f>VLOOKUP(K12,[1]VLOOKUP!$A$2:$B$35,2,FALSE)</f>
        <v>华北</v>
      </c>
      <c r="M12" s="6"/>
      <c r="N12" s="6"/>
      <c r="O12" s="30" t="e">
        <f>VLOOKUP(N12,[1]VLOOKUP!$A$2:$B$35,2,FALSE)</f>
        <v>#N/A</v>
      </c>
      <c r="P12" s="6"/>
      <c r="Q12" s="6"/>
      <c r="R12" s="6"/>
      <c r="S12" s="6"/>
      <c r="T12" s="6"/>
      <c r="U12" s="6"/>
      <c r="V12" s="6"/>
      <c r="W12" s="6"/>
      <c r="X12" s="6">
        <v>1</v>
      </c>
      <c r="Y12" s="8" t="s">
        <v>58</v>
      </c>
      <c r="Z12" s="7">
        <v>45657</v>
      </c>
      <c r="AA12" s="7">
        <v>45839</v>
      </c>
      <c r="AB12" s="7" t="s">
        <v>2401</v>
      </c>
    </row>
    <row r="13" spans="1:28" ht="24.95" customHeight="1" x14ac:dyDescent="0.3">
      <c r="D13" s="6">
        <f t="shared" si="0"/>
        <v>12</v>
      </c>
      <c r="E13" s="42" t="s">
        <v>2406</v>
      </c>
      <c r="F13" s="42" t="s">
        <v>2407</v>
      </c>
      <c r="G13" s="6" t="s">
        <v>1938</v>
      </c>
      <c r="H13" s="6" t="s">
        <v>1809</v>
      </c>
      <c r="I13" s="30" t="str">
        <f>VLOOKUP(H13,[1]VLOOKUP!$A$2:$B$35,2,FALSE)</f>
        <v>华东</v>
      </c>
      <c r="J13" s="6" t="s">
        <v>2391</v>
      </c>
      <c r="K13" s="6" t="s">
        <v>1760</v>
      </c>
      <c r="L13" s="30" t="str">
        <f>VLOOKUP(K13,[1]VLOOKUP!$A$2:$B$35,2,FALSE)</f>
        <v>华北</v>
      </c>
      <c r="M13" s="6" t="s">
        <v>2257</v>
      </c>
      <c r="N13" s="6" t="s">
        <v>1809</v>
      </c>
      <c r="O13" s="30" t="str">
        <f>VLOOKUP(N13,[1]VLOOKUP!$A$2:$B$35,2,FALSE)</f>
        <v>华东</v>
      </c>
      <c r="P13" s="6"/>
      <c r="Q13" s="6"/>
      <c r="R13" s="6"/>
      <c r="S13" s="6"/>
      <c r="T13" s="6"/>
      <c r="U13" s="6"/>
      <c r="V13" s="6"/>
      <c r="W13" s="6"/>
      <c r="X13" s="6">
        <v>1</v>
      </c>
      <c r="Y13" s="8" t="s">
        <v>16</v>
      </c>
      <c r="Z13" s="7">
        <v>39924</v>
      </c>
      <c r="AA13" s="7">
        <v>40118</v>
      </c>
      <c r="AB13" s="7" t="s">
        <v>2401</v>
      </c>
    </row>
    <row r="14" spans="1:28" ht="24.95" customHeight="1" x14ac:dyDescent="0.3">
      <c r="D14" s="6">
        <f t="shared" si="0"/>
        <v>13</v>
      </c>
      <c r="E14" s="42" t="s">
        <v>2408</v>
      </c>
      <c r="F14" s="42" t="s">
        <v>2409</v>
      </c>
      <c r="G14" s="6" t="s">
        <v>2410</v>
      </c>
      <c r="H14" s="6" t="s">
        <v>1834</v>
      </c>
      <c r="I14" s="30" t="str">
        <f>VLOOKUP(H14,[1]VLOOKUP!$A$2:$B$35,2,FALSE)</f>
        <v>华中</v>
      </c>
      <c r="J14" s="6"/>
      <c r="K14" s="6"/>
      <c r="L14" s="30" t="e">
        <f>VLOOKUP(K14,[1]VLOOKUP!$A$2:$B$35,2,FALSE)</f>
        <v>#N/A</v>
      </c>
      <c r="M14" s="6"/>
      <c r="N14" s="6"/>
      <c r="O14" s="30" t="e">
        <f>VLOOKUP(N14,[1]VLOOKUP!$A$2:$B$35,2,FALSE)</f>
        <v>#N/A</v>
      </c>
      <c r="P14" s="6">
        <v>1</v>
      </c>
      <c r="Q14" s="8" t="s">
        <v>609</v>
      </c>
      <c r="R14" s="6"/>
      <c r="S14" s="6"/>
      <c r="T14" s="6"/>
      <c r="U14" s="6"/>
      <c r="V14" s="6"/>
      <c r="W14" s="6"/>
      <c r="X14" s="6"/>
      <c r="Y14" s="6"/>
      <c r="Z14" s="7">
        <v>39918</v>
      </c>
      <c r="AA14" s="7">
        <v>40210</v>
      </c>
      <c r="AB14" s="7" t="s">
        <v>2411</v>
      </c>
    </row>
    <row r="15" spans="1:28" ht="24.95" customHeight="1" x14ac:dyDescent="0.3">
      <c r="D15" s="6">
        <f t="shared" si="0"/>
        <v>14</v>
      </c>
      <c r="E15" s="42" t="s">
        <v>2412</v>
      </c>
      <c r="F15" s="42" t="s">
        <v>2413</v>
      </c>
      <c r="G15" s="6" t="s">
        <v>2414</v>
      </c>
      <c r="H15" s="6" t="s">
        <v>1809</v>
      </c>
      <c r="I15" s="30" t="str">
        <f>VLOOKUP(H15,[1]VLOOKUP!$A$2:$B$35,2,FALSE)</f>
        <v>华东</v>
      </c>
      <c r="J15" s="6"/>
      <c r="K15" s="6"/>
      <c r="L15" s="30" t="e">
        <f>VLOOKUP(K15,[1]VLOOKUP!$A$2:$B$35,2,FALSE)</f>
        <v>#N/A</v>
      </c>
      <c r="M15" s="6"/>
      <c r="N15" s="6"/>
      <c r="O15" s="30" t="e">
        <f>VLOOKUP(N15,[1]VLOOKUP!$A$2:$B$35,2,FALSE)</f>
        <v>#N/A</v>
      </c>
      <c r="P15" s="6">
        <v>1</v>
      </c>
      <c r="Q15" s="8" t="s">
        <v>609</v>
      </c>
      <c r="R15" s="6"/>
      <c r="S15" s="6"/>
      <c r="T15" s="6"/>
      <c r="U15" s="6"/>
      <c r="V15" s="6"/>
      <c r="W15" s="6"/>
      <c r="X15" s="6"/>
      <c r="Y15" s="6"/>
      <c r="Z15" s="7">
        <v>39989</v>
      </c>
      <c r="AA15" s="7">
        <v>40269</v>
      </c>
      <c r="AB15" s="7" t="s">
        <v>2415</v>
      </c>
    </row>
    <row r="16" spans="1:28" ht="24.95" customHeight="1" x14ac:dyDescent="0.3">
      <c r="D16" s="6">
        <f t="shared" si="0"/>
        <v>15</v>
      </c>
      <c r="E16" s="42" t="s">
        <v>2416</v>
      </c>
      <c r="F16" s="42" t="s">
        <v>2417</v>
      </c>
      <c r="G16" s="6" t="s">
        <v>2375</v>
      </c>
      <c r="H16" s="6" t="s">
        <v>1760</v>
      </c>
      <c r="I16" s="30" t="str">
        <f>VLOOKUP(H16,[1]VLOOKUP!$A$2:$B$35,2,FALSE)</f>
        <v>华北</v>
      </c>
      <c r="J16" s="6" t="s">
        <v>2374</v>
      </c>
      <c r="K16" s="6" t="s">
        <v>1760</v>
      </c>
      <c r="L16" s="30" t="str">
        <f>VLOOKUP(K16,[1]VLOOKUP!$A$2:$B$35,2,FALSE)</f>
        <v>华北</v>
      </c>
      <c r="M16" s="6" t="s">
        <v>1938</v>
      </c>
      <c r="N16" s="6" t="s">
        <v>1809</v>
      </c>
      <c r="O16" s="30" t="str">
        <f>VLOOKUP(N16,[1]VLOOKUP!$A$2:$B$35,2,FALSE)</f>
        <v>华东</v>
      </c>
      <c r="P16" s="6">
        <v>1</v>
      </c>
      <c r="Q16" s="8" t="s">
        <v>1667</v>
      </c>
      <c r="R16" s="6"/>
      <c r="S16" s="6"/>
      <c r="T16" s="6"/>
      <c r="U16" s="6"/>
      <c r="V16" s="6"/>
      <c r="W16" s="6"/>
      <c r="X16" s="6"/>
      <c r="Y16" s="6"/>
      <c r="Z16" s="7">
        <v>40116</v>
      </c>
      <c r="AA16" s="7">
        <v>40299</v>
      </c>
      <c r="AB16" s="7" t="s">
        <v>2376</v>
      </c>
    </row>
    <row r="17" spans="4:28" ht="24.95" customHeight="1" x14ac:dyDescent="0.3">
      <c r="D17" s="6">
        <f t="shared" si="0"/>
        <v>16</v>
      </c>
      <c r="E17" s="42" t="s">
        <v>2418</v>
      </c>
      <c r="F17" s="42" t="s">
        <v>2419</v>
      </c>
      <c r="G17" s="6" t="s">
        <v>2420</v>
      </c>
      <c r="H17" s="6" t="s">
        <v>1760</v>
      </c>
      <c r="I17" s="30" t="str">
        <f>VLOOKUP(H17,[1]VLOOKUP!$A$2:$B$35,2,FALSE)</f>
        <v>华北</v>
      </c>
      <c r="J17" s="6" t="s">
        <v>2368</v>
      </c>
      <c r="K17" s="6" t="s">
        <v>1989</v>
      </c>
      <c r="L17" s="30" t="str">
        <f>VLOOKUP(K17,[1]VLOOKUP!$A$2:$B$35,2,FALSE)</f>
        <v>西南</v>
      </c>
      <c r="M17" s="6"/>
      <c r="N17" s="6"/>
      <c r="O17" s="30" t="e">
        <f>VLOOKUP(N17,[1]VLOOKUP!$A$2:$B$35,2,FALSE)</f>
        <v>#N/A</v>
      </c>
      <c r="P17" s="6">
        <v>1</v>
      </c>
      <c r="Q17" s="8" t="s">
        <v>21</v>
      </c>
      <c r="R17" s="6"/>
      <c r="S17" s="6"/>
      <c r="T17" s="6"/>
      <c r="U17" s="6"/>
      <c r="V17" s="6"/>
      <c r="W17" s="6"/>
      <c r="X17" s="6"/>
      <c r="Y17" s="6"/>
      <c r="Z17" s="7">
        <v>40116</v>
      </c>
      <c r="AA17" s="7">
        <v>40299</v>
      </c>
      <c r="AB17" s="7" t="s">
        <v>2421</v>
      </c>
    </row>
    <row r="18" spans="4:28" ht="24.95" customHeight="1" x14ac:dyDescent="0.3">
      <c r="D18" s="6">
        <f t="shared" si="0"/>
        <v>17</v>
      </c>
      <c r="E18" s="42" t="s">
        <v>2422</v>
      </c>
      <c r="F18" s="42" t="s">
        <v>2423</v>
      </c>
      <c r="G18" s="6" t="s">
        <v>2424</v>
      </c>
      <c r="H18" s="6" t="s">
        <v>1809</v>
      </c>
      <c r="I18" s="30" t="str">
        <f>VLOOKUP(H18,[1]VLOOKUP!$A$2:$B$35,2,FALSE)</f>
        <v>华东</v>
      </c>
      <c r="J18" s="6" t="s">
        <v>2109</v>
      </c>
      <c r="K18" s="6" t="s">
        <v>1797</v>
      </c>
      <c r="L18" s="30" t="str">
        <f>VLOOKUP(K18,[1]VLOOKUP!$A$2:$B$35,2,FALSE)</f>
        <v>华北</v>
      </c>
      <c r="M18" s="6" t="s">
        <v>1938</v>
      </c>
      <c r="N18" s="6" t="s">
        <v>1809</v>
      </c>
      <c r="O18" s="30" t="str">
        <f>VLOOKUP(N18,[1]VLOOKUP!$A$2:$B$35,2,FALSE)</f>
        <v>华东</v>
      </c>
      <c r="P18" s="6">
        <v>1</v>
      </c>
      <c r="Q18" s="8" t="s">
        <v>1667</v>
      </c>
      <c r="R18" s="6"/>
      <c r="S18" s="6"/>
      <c r="T18" s="6"/>
      <c r="U18" s="6"/>
      <c r="V18" s="6"/>
      <c r="W18" s="6"/>
      <c r="X18" s="6"/>
      <c r="Y18" s="6"/>
      <c r="Z18" s="7">
        <v>40116</v>
      </c>
      <c r="AA18" s="7">
        <v>40360</v>
      </c>
      <c r="AB18" s="7" t="s">
        <v>2425</v>
      </c>
    </row>
    <row r="19" spans="4:28" ht="24.95" customHeight="1" x14ac:dyDescent="0.3">
      <c r="D19" s="6">
        <f t="shared" si="0"/>
        <v>18</v>
      </c>
      <c r="E19" s="42" t="s">
        <v>2426</v>
      </c>
      <c r="F19" s="42" t="s">
        <v>2427</v>
      </c>
      <c r="G19" s="6" t="s">
        <v>2428</v>
      </c>
      <c r="H19" s="6" t="s">
        <v>1760</v>
      </c>
      <c r="I19" s="30" t="str">
        <f>VLOOKUP(H19,[1]VLOOKUP!$A$2:$B$35,2,FALSE)</f>
        <v>华北</v>
      </c>
      <c r="J19" s="6" t="s">
        <v>2429</v>
      </c>
      <c r="K19" s="6" t="s">
        <v>2094</v>
      </c>
      <c r="L19" s="30" t="str">
        <f>VLOOKUP(K19,[1]VLOOKUP!$A$2:$B$35,2,FALSE)</f>
        <v>华东</v>
      </c>
      <c r="M19" s="6" t="s">
        <v>1759</v>
      </c>
      <c r="N19" s="6" t="s">
        <v>1760</v>
      </c>
      <c r="O19" s="30" t="str">
        <f>VLOOKUP(N19,[1]VLOOKUP!$A$2:$B$35,2,FALSE)</f>
        <v>华北</v>
      </c>
      <c r="P19" s="6"/>
      <c r="Q19" s="6"/>
      <c r="R19" s="6"/>
      <c r="S19" s="6"/>
      <c r="T19" s="6"/>
      <c r="U19" s="6"/>
      <c r="V19" s="6">
        <v>1</v>
      </c>
      <c r="W19" s="8" t="s">
        <v>108</v>
      </c>
      <c r="X19" s="6"/>
      <c r="Y19" s="6"/>
      <c r="Z19" s="7">
        <v>40329</v>
      </c>
      <c r="AA19" s="7">
        <v>40513</v>
      </c>
      <c r="AB19" s="7"/>
    </row>
    <row r="20" spans="4:28" ht="24.95" customHeight="1" x14ac:dyDescent="0.3">
      <c r="D20" s="6">
        <f t="shared" si="0"/>
        <v>19</v>
      </c>
      <c r="E20" s="42" t="s">
        <v>2430</v>
      </c>
      <c r="F20" s="42" t="s">
        <v>2431</v>
      </c>
      <c r="G20" s="6" t="s">
        <v>2432</v>
      </c>
      <c r="H20" s="6" t="s">
        <v>1809</v>
      </c>
      <c r="I20" s="30" t="str">
        <f>VLOOKUP(H20,[1]VLOOKUP!$A$2:$B$35,2,FALSE)</f>
        <v>华东</v>
      </c>
      <c r="J20" s="6" t="s">
        <v>2391</v>
      </c>
      <c r="K20" s="6" t="s">
        <v>1760</v>
      </c>
      <c r="L20" s="30" t="str">
        <f>VLOOKUP(K20,[1]VLOOKUP!$A$2:$B$35,2,FALSE)</f>
        <v>华北</v>
      </c>
      <c r="M20" s="6" t="s">
        <v>2257</v>
      </c>
      <c r="N20" s="6" t="s">
        <v>1809</v>
      </c>
      <c r="O20" s="30" t="str">
        <f>VLOOKUP(N20,[1]VLOOKUP!$A$2:$B$35,2,FALSE)</f>
        <v>华东</v>
      </c>
      <c r="P20" s="6"/>
      <c r="Q20" s="6"/>
      <c r="R20" s="6"/>
      <c r="S20" s="6"/>
      <c r="T20" s="6"/>
      <c r="U20" s="6"/>
      <c r="V20" s="6"/>
      <c r="W20" s="6"/>
      <c r="X20" s="6">
        <v>1</v>
      </c>
      <c r="Y20" s="8" t="s">
        <v>16</v>
      </c>
      <c r="Z20" s="7">
        <v>40492</v>
      </c>
      <c r="AA20" s="7">
        <v>40664</v>
      </c>
      <c r="AB20" s="7" t="s">
        <v>2401</v>
      </c>
    </row>
    <row r="21" spans="4:28" ht="24.95" customHeight="1" x14ac:dyDescent="0.3">
      <c r="D21" s="6">
        <f t="shared" si="0"/>
        <v>20</v>
      </c>
      <c r="E21" s="42" t="s">
        <v>2433</v>
      </c>
      <c r="F21" s="42" t="s">
        <v>2434</v>
      </c>
      <c r="G21" s="6" t="s">
        <v>2435</v>
      </c>
      <c r="H21" s="6" t="s">
        <v>1880</v>
      </c>
      <c r="I21" s="30" t="str">
        <f>VLOOKUP(H21,[1]VLOOKUP!$A$2:$B$35,2,FALSE)</f>
        <v>华中</v>
      </c>
      <c r="J21" s="6" t="s">
        <v>2436</v>
      </c>
      <c r="K21" s="6" t="s">
        <v>1880</v>
      </c>
      <c r="L21" s="30" t="str">
        <f>VLOOKUP(K21,[1]VLOOKUP!$A$2:$B$35,2,FALSE)</f>
        <v>华中</v>
      </c>
      <c r="M21" s="6" t="s">
        <v>2437</v>
      </c>
      <c r="N21" s="6" t="s">
        <v>2094</v>
      </c>
      <c r="O21" s="30" t="str">
        <f>VLOOKUP(N21,[1]VLOOKUP!$A$2:$B$35,2,FALSE)</f>
        <v>华东</v>
      </c>
      <c r="P21" s="6">
        <v>1</v>
      </c>
      <c r="Q21" s="8" t="s">
        <v>609</v>
      </c>
      <c r="R21" s="6"/>
      <c r="S21" s="6"/>
      <c r="T21" s="6"/>
      <c r="U21" s="6"/>
      <c r="V21" s="6"/>
      <c r="W21" s="6"/>
      <c r="X21" s="6"/>
      <c r="Y21" s="6"/>
      <c r="Z21" s="7">
        <v>40553</v>
      </c>
      <c r="AA21" s="7">
        <v>40817</v>
      </c>
      <c r="AB21" s="7" t="s">
        <v>2359</v>
      </c>
    </row>
    <row r="22" spans="4:28" ht="24.95" customHeight="1" x14ac:dyDescent="0.3">
      <c r="D22" s="6">
        <f t="shared" si="0"/>
        <v>21</v>
      </c>
      <c r="E22" s="42" t="s">
        <v>2438</v>
      </c>
      <c r="F22" s="42" t="s">
        <v>2439</v>
      </c>
      <c r="G22" s="6" t="s">
        <v>2440</v>
      </c>
      <c r="H22" s="6" t="s">
        <v>2094</v>
      </c>
      <c r="I22" s="30" t="str">
        <f>VLOOKUP(H22,[1]VLOOKUP!$A$2:$B$35,2,FALSE)</f>
        <v>华东</v>
      </c>
      <c r="J22" s="6" t="s">
        <v>2441</v>
      </c>
      <c r="K22" s="6" t="s">
        <v>2094</v>
      </c>
      <c r="L22" s="30" t="str">
        <f>VLOOKUP(K22,[1]VLOOKUP!$A$2:$B$35,2,FALSE)</f>
        <v>华东</v>
      </c>
      <c r="M22" s="6" t="s">
        <v>2379</v>
      </c>
      <c r="N22" s="6" t="s">
        <v>1760</v>
      </c>
      <c r="O22" s="30" t="str">
        <f>VLOOKUP(N22,[1]VLOOKUP!$A$2:$B$35,2,FALSE)</f>
        <v>华北</v>
      </c>
      <c r="P22" s="6"/>
      <c r="Q22" s="6"/>
      <c r="R22" s="6"/>
      <c r="S22" s="6"/>
      <c r="T22" s="6">
        <v>1</v>
      </c>
      <c r="U22" s="8" t="s">
        <v>48</v>
      </c>
      <c r="V22" s="6"/>
      <c r="W22" s="6"/>
      <c r="X22" s="6"/>
      <c r="Y22" s="6"/>
      <c r="Z22" s="7">
        <v>40675</v>
      </c>
      <c r="AA22" s="7">
        <v>40878</v>
      </c>
      <c r="AB22" s="7" t="s">
        <v>2442</v>
      </c>
    </row>
    <row r="23" spans="4:28" ht="24.95" customHeight="1" x14ac:dyDescent="0.3">
      <c r="D23" s="6">
        <f t="shared" si="0"/>
        <v>22</v>
      </c>
      <c r="E23" s="42" t="s">
        <v>2443</v>
      </c>
      <c r="F23" s="42" t="s">
        <v>2444</v>
      </c>
      <c r="G23" s="6" t="s">
        <v>2279</v>
      </c>
      <c r="H23" s="6" t="s">
        <v>2058</v>
      </c>
      <c r="I23" s="30" t="str">
        <f>VLOOKUP(H23,[1]VLOOKUP!$A$2:$B$35,2,FALSE)</f>
        <v>西北</v>
      </c>
      <c r="J23" s="6" t="s">
        <v>2374</v>
      </c>
      <c r="K23" s="6" t="s">
        <v>1760</v>
      </c>
      <c r="L23" s="30" t="str">
        <f>VLOOKUP(K23,[1]VLOOKUP!$A$2:$B$35,2,FALSE)</f>
        <v>华北</v>
      </c>
      <c r="M23" s="6" t="s">
        <v>2445</v>
      </c>
      <c r="N23" s="6" t="s">
        <v>1760</v>
      </c>
      <c r="O23" s="30" t="str">
        <f>VLOOKUP(N23,[1]VLOOKUP!$A$2:$B$35,2,FALSE)</f>
        <v>华北</v>
      </c>
      <c r="P23" s="6"/>
      <c r="Q23" s="6"/>
      <c r="R23" s="6">
        <v>1</v>
      </c>
      <c r="S23" s="8" t="s">
        <v>1021</v>
      </c>
      <c r="T23" s="6"/>
      <c r="U23" s="6"/>
      <c r="V23" s="6"/>
      <c r="W23" s="6"/>
      <c r="X23" s="6"/>
      <c r="Y23" s="6"/>
      <c r="Z23" s="7">
        <v>40743</v>
      </c>
      <c r="AA23" s="7">
        <v>40969</v>
      </c>
      <c r="AB23" s="7" t="s">
        <v>2376</v>
      </c>
    </row>
    <row r="24" spans="4:28" ht="24.95" customHeight="1" x14ac:dyDescent="0.3">
      <c r="D24" s="6">
        <f t="shared" si="0"/>
        <v>23</v>
      </c>
      <c r="E24" s="42" t="s">
        <v>2446</v>
      </c>
      <c r="F24" s="42" t="s">
        <v>2447</v>
      </c>
      <c r="G24" s="6" t="s">
        <v>2379</v>
      </c>
      <c r="H24" s="6" t="s">
        <v>1760</v>
      </c>
      <c r="I24" s="30" t="str">
        <f>VLOOKUP(H24,[1]VLOOKUP!$A$2:$B$35,2,FALSE)</f>
        <v>华北</v>
      </c>
      <c r="J24" s="6" t="s">
        <v>2448</v>
      </c>
      <c r="K24" s="6" t="s">
        <v>1758</v>
      </c>
      <c r="L24" s="30" t="str">
        <f>VLOOKUP(K24,[1]VLOOKUP!$A$2:$B$35,2,FALSE)</f>
        <v>华南</v>
      </c>
      <c r="M24" s="6" t="s">
        <v>2374</v>
      </c>
      <c r="N24" s="6" t="s">
        <v>1760</v>
      </c>
      <c r="O24" s="30" t="str">
        <f>VLOOKUP(N24,[1]VLOOKUP!$A$2:$B$35,2,FALSE)</f>
        <v>华北</v>
      </c>
      <c r="P24" s="6"/>
      <c r="Q24" s="6"/>
      <c r="R24" s="6"/>
      <c r="S24" s="6"/>
      <c r="T24" s="6"/>
      <c r="U24" s="6"/>
      <c r="V24" s="6"/>
      <c r="W24" s="6"/>
      <c r="X24" s="6">
        <v>1</v>
      </c>
      <c r="Y24" s="8" t="s">
        <v>25</v>
      </c>
      <c r="Z24" s="7">
        <v>40743</v>
      </c>
      <c r="AA24" s="7">
        <v>40969</v>
      </c>
      <c r="AB24" s="7" t="s">
        <v>2376</v>
      </c>
    </row>
    <row r="25" spans="4:28" ht="24.95" customHeight="1" x14ac:dyDescent="0.3">
      <c r="D25" s="6">
        <f t="shared" si="0"/>
        <v>24</v>
      </c>
      <c r="E25" s="42" t="s">
        <v>2449</v>
      </c>
      <c r="F25" s="42" t="s">
        <v>2450</v>
      </c>
      <c r="G25" s="6" t="s">
        <v>2109</v>
      </c>
      <c r="H25" s="6" t="s">
        <v>1797</v>
      </c>
      <c r="I25" s="30" t="str">
        <f>VLOOKUP(H25,[1]VLOOKUP!$A$2:$B$35,2,FALSE)</f>
        <v>华北</v>
      </c>
      <c r="J25" s="6" t="s">
        <v>2451</v>
      </c>
      <c r="K25" s="6" t="s">
        <v>1809</v>
      </c>
      <c r="L25" s="30" t="str">
        <f>VLOOKUP(K25,[1]VLOOKUP!$A$2:$B$35,2,FALSE)</f>
        <v>华东</v>
      </c>
      <c r="M25" s="6" t="s">
        <v>2452</v>
      </c>
      <c r="N25" s="6" t="s">
        <v>1880</v>
      </c>
      <c r="O25" s="30" t="str">
        <f>VLOOKUP(N25,[1]VLOOKUP!$A$2:$B$35,2,FALSE)</f>
        <v>华中</v>
      </c>
      <c r="P25" s="6"/>
      <c r="Q25" s="6"/>
      <c r="R25" s="6"/>
      <c r="S25" s="6"/>
      <c r="T25" s="6"/>
      <c r="U25" s="6"/>
      <c r="V25" s="6"/>
      <c r="W25" s="6"/>
      <c r="X25" s="6">
        <v>1</v>
      </c>
      <c r="Y25" s="8" t="s">
        <v>16</v>
      </c>
      <c r="Z25" s="7">
        <v>45288</v>
      </c>
      <c r="AA25" s="7">
        <v>45474</v>
      </c>
      <c r="AB25" s="7" t="s">
        <v>2425</v>
      </c>
    </row>
    <row r="26" spans="4:28" ht="24.95" customHeight="1" x14ac:dyDescent="0.3">
      <c r="D26" s="6">
        <f t="shared" si="0"/>
        <v>25</v>
      </c>
      <c r="E26" s="42" t="s">
        <v>2453</v>
      </c>
      <c r="F26" s="42" t="s">
        <v>2454</v>
      </c>
      <c r="G26" s="6" t="s">
        <v>2013</v>
      </c>
      <c r="H26" s="6" t="s">
        <v>1773</v>
      </c>
      <c r="I26" s="30" t="str">
        <f>VLOOKUP(H26,[1]VLOOKUP!$A$2:$B$35,2,FALSE)</f>
        <v>华东</v>
      </c>
      <c r="J26" s="6" t="s">
        <v>2390</v>
      </c>
      <c r="K26" s="6" t="s">
        <v>1826</v>
      </c>
      <c r="L26" s="30" t="str">
        <f>VLOOKUP(K26,[1]VLOOKUP!$A$2:$B$35,2,FALSE)</f>
        <v>东北</v>
      </c>
      <c r="M26" s="6" t="s">
        <v>2432</v>
      </c>
      <c r="N26" s="6" t="s">
        <v>1809</v>
      </c>
      <c r="O26" s="30" t="str">
        <f>VLOOKUP(N26,[1]VLOOKUP!$A$2:$B$35,2,FALSE)</f>
        <v>华东</v>
      </c>
      <c r="P26" s="6"/>
      <c r="Q26" s="6"/>
      <c r="R26" s="6"/>
      <c r="S26" s="6"/>
      <c r="T26" s="6"/>
      <c r="U26" s="6"/>
      <c r="V26" s="6"/>
      <c r="W26" s="6"/>
      <c r="X26" s="6">
        <v>1</v>
      </c>
      <c r="Y26" s="8" t="s">
        <v>58</v>
      </c>
      <c r="Z26" s="7">
        <v>45366</v>
      </c>
      <c r="AA26" s="7">
        <v>45566</v>
      </c>
      <c r="AB26" s="7" t="s">
        <v>2401</v>
      </c>
    </row>
    <row r="27" spans="4:28" ht="24.95" customHeight="1" x14ac:dyDescent="0.3">
      <c r="D27" s="6">
        <f t="shared" si="0"/>
        <v>26</v>
      </c>
      <c r="E27" s="42" t="s">
        <v>2455</v>
      </c>
      <c r="F27" s="42" t="s">
        <v>2456</v>
      </c>
      <c r="G27" s="6" t="s">
        <v>2457</v>
      </c>
      <c r="H27" s="6" t="s">
        <v>1880</v>
      </c>
      <c r="I27" s="30" t="str">
        <f>VLOOKUP(H27,[1]VLOOKUP!$A$2:$B$35,2,FALSE)</f>
        <v>华中</v>
      </c>
      <c r="J27" s="6" t="s">
        <v>2458</v>
      </c>
      <c r="K27" s="6" t="s">
        <v>1880</v>
      </c>
      <c r="L27" s="30" t="str">
        <f>VLOOKUP(K27,[1]VLOOKUP!$A$2:$B$35,2,FALSE)</f>
        <v>华中</v>
      </c>
      <c r="M27" s="6" t="s">
        <v>2391</v>
      </c>
      <c r="N27" s="6" t="s">
        <v>1760</v>
      </c>
      <c r="O27" s="30" t="str">
        <f>VLOOKUP(N27,[1]VLOOKUP!$A$2:$B$35,2,FALSE)</f>
        <v>华北</v>
      </c>
      <c r="P27" s="6"/>
      <c r="Q27" s="6"/>
      <c r="R27" s="6"/>
      <c r="S27" s="6"/>
      <c r="T27" s="6"/>
      <c r="U27" s="6"/>
      <c r="V27" s="6"/>
      <c r="W27" s="6"/>
      <c r="X27" s="6">
        <v>1</v>
      </c>
      <c r="Y27" s="8" t="s">
        <v>58</v>
      </c>
      <c r="Z27" s="7">
        <v>40907</v>
      </c>
      <c r="AA27" s="7">
        <v>41030</v>
      </c>
      <c r="AB27" s="7" t="s">
        <v>2401</v>
      </c>
    </row>
    <row r="28" spans="4:28" ht="24.95" customHeight="1" x14ac:dyDescent="0.3">
      <c r="D28" s="6">
        <f t="shared" si="0"/>
        <v>27</v>
      </c>
      <c r="E28" s="42" t="s">
        <v>2459</v>
      </c>
      <c r="F28" s="42" t="s">
        <v>2460</v>
      </c>
      <c r="G28" s="6" t="s">
        <v>1759</v>
      </c>
      <c r="H28" s="6" t="s">
        <v>1760</v>
      </c>
      <c r="I28" s="30" t="str">
        <f>VLOOKUP(H28,[1]VLOOKUP!$A$2:$B$35,2,FALSE)</f>
        <v>华北</v>
      </c>
      <c r="J28" s="6" t="s">
        <v>2391</v>
      </c>
      <c r="K28" s="6" t="s">
        <v>1760</v>
      </c>
      <c r="L28" s="30" t="str">
        <f>VLOOKUP(K28,[1]VLOOKUP!$A$2:$B$35,2,FALSE)</f>
        <v>华北</v>
      </c>
      <c r="M28" s="6" t="s">
        <v>2432</v>
      </c>
      <c r="N28" s="6" t="s">
        <v>1809</v>
      </c>
      <c r="O28" s="30" t="str">
        <f>VLOOKUP(N28,[1]VLOOKUP!$A$2:$B$35,2,FALSE)</f>
        <v>华东</v>
      </c>
      <c r="P28" s="6"/>
      <c r="Q28" s="6"/>
      <c r="R28" s="6"/>
      <c r="S28" s="6"/>
      <c r="T28" s="6"/>
      <c r="U28" s="6"/>
      <c r="V28" s="6"/>
      <c r="W28" s="6"/>
      <c r="X28" s="6">
        <v>1</v>
      </c>
      <c r="Y28" s="8" t="s">
        <v>16</v>
      </c>
      <c r="Z28" s="7">
        <v>40907</v>
      </c>
      <c r="AA28" s="7">
        <v>41061</v>
      </c>
      <c r="AB28" s="7" t="s">
        <v>2401</v>
      </c>
    </row>
    <row r="29" spans="4:28" ht="24.95" customHeight="1" x14ac:dyDescent="0.3">
      <c r="D29" s="6">
        <f t="shared" si="0"/>
        <v>28</v>
      </c>
      <c r="E29" s="42" t="s">
        <v>2461</v>
      </c>
      <c r="F29" s="42" t="s">
        <v>2462</v>
      </c>
      <c r="G29" s="6" t="s">
        <v>2382</v>
      </c>
      <c r="H29" s="6" t="s">
        <v>1989</v>
      </c>
      <c r="I29" s="30" t="str">
        <f>VLOOKUP(H29,[1]VLOOKUP!$A$2:$B$35,2,FALSE)</f>
        <v>西南</v>
      </c>
      <c r="J29" s="6" t="s">
        <v>2463</v>
      </c>
      <c r="K29" s="6" t="s">
        <v>1989</v>
      </c>
      <c r="L29" s="30" t="str">
        <f>VLOOKUP(K29,[1]VLOOKUP!$A$2:$B$35,2,FALSE)</f>
        <v>西南</v>
      </c>
      <c r="M29" s="6" t="s">
        <v>2383</v>
      </c>
      <c r="N29" s="6" t="s">
        <v>2384</v>
      </c>
      <c r="O29" s="30" t="str">
        <f>VLOOKUP(N29,[1]VLOOKUP!$A$2:$B$35,2,FALSE)</f>
        <v>西北</v>
      </c>
      <c r="P29" s="6">
        <v>1</v>
      </c>
      <c r="Q29" s="8" t="s">
        <v>21</v>
      </c>
      <c r="R29" s="6"/>
      <c r="S29" s="6"/>
      <c r="T29" s="6"/>
      <c r="U29" s="6"/>
      <c r="V29" s="6"/>
      <c r="W29" s="6"/>
      <c r="X29" s="6"/>
      <c r="Y29" s="6"/>
      <c r="Z29" s="7">
        <v>40907</v>
      </c>
      <c r="AA29" s="7">
        <v>41183</v>
      </c>
      <c r="AB29" s="7" t="s">
        <v>2386</v>
      </c>
    </row>
    <row r="30" spans="4:28" ht="24.95" customHeight="1" x14ac:dyDescent="0.3">
      <c r="D30" s="6">
        <f t="shared" si="0"/>
        <v>29</v>
      </c>
      <c r="E30" s="42" t="s">
        <v>2464</v>
      </c>
      <c r="F30" s="42" t="s">
        <v>2465</v>
      </c>
      <c r="G30" s="6" t="s">
        <v>1759</v>
      </c>
      <c r="H30" s="6" t="s">
        <v>1760</v>
      </c>
      <c r="I30" s="30" t="str">
        <f>VLOOKUP(H30,[1]VLOOKUP!$A$2:$B$35,2,FALSE)</f>
        <v>华北</v>
      </c>
      <c r="J30" s="6" t="s">
        <v>2109</v>
      </c>
      <c r="K30" s="6" t="s">
        <v>1797</v>
      </c>
      <c r="L30" s="30" t="str">
        <f>VLOOKUP(K30,[1]VLOOKUP!$A$2:$B$35,2,FALSE)</f>
        <v>华北</v>
      </c>
      <c r="M30" s="6"/>
      <c r="N30" s="6"/>
      <c r="O30" s="30" t="e">
        <f>VLOOKUP(N30,[1]VLOOKUP!$A$2:$B$35,2,FALSE)</f>
        <v>#N/A</v>
      </c>
      <c r="P30" s="6"/>
      <c r="Q30" s="6"/>
      <c r="R30" s="6"/>
      <c r="S30" s="6"/>
      <c r="T30" s="6"/>
      <c r="U30" s="6"/>
      <c r="V30" s="6"/>
      <c r="W30" s="6"/>
      <c r="X30" s="6">
        <v>1</v>
      </c>
      <c r="Y30" s="8" t="s">
        <v>16</v>
      </c>
      <c r="Z30" s="7">
        <v>41274</v>
      </c>
      <c r="AA30" s="7">
        <v>41456</v>
      </c>
      <c r="AB30" s="7" t="s">
        <v>2425</v>
      </c>
    </row>
    <row r="31" spans="4:28" ht="24.95" customHeight="1" x14ac:dyDescent="0.3">
      <c r="D31" s="6">
        <f t="shared" si="0"/>
        <v>30</v>
      </c>
      <c r="E31" s="42" t="s">
        <v>2466</v>
      </c>
      <c r="F31" s="42" t="s">
        <v>2467</v>
      </c>
      <c r="G31" s="6" t="s">
        <v>1759</v>
      </c>
      <c r="H31" s="6" t="s">
        <v>1760</v>
      </c>
      <c r="I31" s="30" t="str">
        <f>VLOOKUP(H31,[1]VLOOKUP!$A$2:$B$35,2,FALSE)</f>
        <v>华北</v>
      </c>
      <c r="J31" s="6" t="s">
        <v>2109</v>
      </c>
      <c r="K31" s="6" t="s">
        <v>1797</v>
      </c>
      <c r="L31" s="30" t="str">
        <f>VLOOKUP(K31,[1]VLOOKUP!$A$2:$B$35,2,FALSE)</f>
        <v>华北</v>
      </c>
      <c r="M31" s="6"/>
      <c r="N31" s="6"/>
      <c r="O31" s="30" t="e">
        <f>VLOOKUP(N31,[1]VLOOKUP!$A$2:$B$35,2,FALSE)</f>
        <v>#N/A</v>
      </c>
      <c r="P31" s="6"/>
      <c r="Q31" s="6"/>
      <c r="R31" s="6"/>
      <c r="S31" s="6"/>
      <c r="T31" s="6"/>
      <c r="U31" s="6"/>
      <c r="V31" s="6">
        <v>1</v>
      </c>
      <c r="W31" s="8" t="s">
        <v>77</v>
      </c>
      <c r="X31" s="6"/>
      <c r="Y31" s="6"/>
      <c r="Z31" s="7">
        <v>41274</v>
      </c>
      <c r="AA31" s="7">
        <v>41456</v>
      </c>
      <c r="AB31" s="7" t="s">
        <v>2425</v>
      </c>
    </row>
    <row r="32" spans="4:28" ht="24.95" customHeight="1" x14ac:dyDescent="0.3">
      <c r="D32" s="6">
        <f t="shared" si="0"/>
        <v>31</v>
      </c>
      <c r="E32" s="42" t="s">
        <v>2468</v>
      </c>
      <c r="F32" s="42" t="s">
        <v>2469</v>
      </c>
      <c r="G32" s="6" t="s">
        <v>2435</v>
      </c>
      <c r="H32" s="6" t="s">
        <v>1880</v>
      </c>
      <c r="I32" s="30" t="str">
        <f>VLOOKUP(H32,[1]VLOOKUP!$A$2:$B$35,2,FALSE)</f>
        <v>华中</v>
      </c>
      <c r="J32" s="6" t="s">
        <v>2470</v>
      </c>
      <c r="K32" s="6" t="s">
        <v>1880</v>
      </c>
      <c r="L32" s="30" t="str">
        <f>VLOOKUP(K32,[1]VLOOKUP!$A$2:$B$35,2,FALSE)</f>
        <v>华中</v>
      </c>
      <c r="M32" s="6"/>
      <c r="N32" s="6"/>
      <c r="O32" s="30" t="e">
        <f>VLOOKUP(N32,[1]VLOOKUP!$A$2:$B$35,2,FALSE)</f>
        <v>#N/A</v>
      </c>
      <c r="P32" s="6">
        <v>1</v>
      </c>
      <c r="Q32" s="8" t="s">
        <v>609</v>
      </c>
      <c r="R32" s="6"/>
      <c r="S32" s="6"/>
      <c r="T32" s="6"/>
      <c r="U32" s="6"/>
      <c r="V32" s="6"/>
      <c r="W32" s="6"/>
      <c r="X32" s="6"/>
      <c r="Y32" s="6"/>
      <c r="Z32" s="7">
        <v>41274</v>
      </c>
      <c r="AA32" s="7">
        <v>41548</v>
      </c>
      <c r="AB32" s="7" t="s">
        <v>2359</v>
      </c>
    </row>
    <row r="33" spans="4:28" ht="24.95" customHeight="1" x14ac:dyDescent="0.3">
      <c r="D33" s="6">
        <f t="shared" si="0"/>
        <v>32</v>
      </c>
      <c r="E33" s="42" t="s">
        <v>2471</v>
      </c>
      <c r="F33" s="42" t="s">
        <v>2472</v>
      </c>
      <c r="G33" s="6" t="s">
        <v>2435</v>
      </c>
      <c r="H33" s="6" t="s">
        <v>1880</v>
      </c>
      <c r="I33" s="30" t="str">
        <f>VLOOKUP(H33,[1]VLOOKUP!$A$2:$B$35,2,FALSE)</f>
        <v>华中</v>
      </c>
      <c r="J33" s="6" t="s">
        <v>2470</v>
      </c>
      <c r="K33" s="6" t="s">
        <v>1880</v>
      </c>
      <c r="L33" s="30" t="str">
        <f>VLOOKUP(K33,[1]VLOOKUP!$A$2:$B$35,2,FALSE)</f>
        <v>华中</v>
      </c>
      <c r="M33" s="6"/>
      <c r="N33" s="6"/>
      <c r="O33" s="30" t="e">
        <f>VLOOKUP(N33,[1]VLOOKUP!$A$2:$B$35,2,FALSE)</f>
        <v>#N/A</v>
      </c>
      <c r="P33" s="6">
        <v>1</v>
      </c>
      <c r="Q33" s="8" t="s">
        <v>609</v>
      </c>
      <c r="R33" s="6"/>
      <c r="S33" s="6"/>
      <c r="T33" s="6"/>
      <c r="U33" s="6"/>
      <c r="V33" s="6"/>
      <c r="W33" s="6"/>
      <c r="X33" s="6"/>
      <c r="Y33" s="6"/>
      <c r="Z33" s="7">
        <v>41274</v>
      </c>
      <c r="AA33" s="7">
        <v>41548</v>
      </c>
      <c r="AB33" s="7" t="s">
        <v>2359</v>
      </c>
    </row>
    <row r="34" spans="4:28" ht="24.95" customHeight="1" x14ac:dyDescent="0.3">
      <c r="D34" s="6">
        <f t="shared" si="0"/>
        <v>33</v>
      </c>
      <c r="E34" s="42" t="s">
        <v>2473</v>
      </c>
      <c r="F34" s="42" t="s">
        <v>2474</v>
      </c>
      <c r="G34" s="6" t="s">
        <v>2374</v>
      </c>
      <c r="H34" s="6" t="s">
        <v>1760</v>
      </c>
      <c r="I34" s="30" t="str">
        <f>VLOOKUP(H34,[1]VLOOKUP!$A$2:$B$35,2,FALSE)</f>
        <v>华北</v>
      </c>
      <c r="J34" s="6" t="s">
        <v>2475</v>
      </c>
      <c r="K34" s="6" t="s">
        <v>2476</v>
      </c>
      <c r="L34" s="30" t="str">
        <f>VLOOKUP(K34,[1]VLOOKUP!$A$2:$B$35,2,FALSE)</f>
        <v>华中</v>
      </c>
      <c r="M34" s="6" t="s">
        <v>2477</v>
      </c>
      <c r="N34" s="6" t="s">
        <v>1809</v>
      </c>
      <c r="O34" s="30" t="str">
        <f>VLOOKUP(N34,[1]VLOOKUP!$A$2:$B$35,2,FALSE)</f>
        <v>华东</v>
      </c>
      <c r="P34" s="6"/>
      <c r="Q34" s="6"/>
      <c r="R34" s="6">
        <v>1</v>
      </c>
      <c r="S34" s="8" t="s">
        <v>130</v>
      </c>
      <c r="T34" s="6"/>
      <c r="U34" s="6"/>
      <c r="V34" s="6"/>
      <c r="W34" s="6"/>
      <c r="X34" s="6"/>
      <c r="Y34" s="6"/>
      <c r="Z34" s="7">
        <v>41274</v>
      </c>
      <c r="AA34" s="7">
        <v>41548</v>
      </c>
      <c r="AB34" s="7" t="s">
        <v>2376</v>
      </c>
    </row>
    <row r="35" spans="4:28" ht="24.95" customHeight="1" x14ac:dyDescent="0.3">
      <c r="D35" s="6">
        <f t="shared" si="0"/>
        <v>34</v>
      </c>
      <c r="E35" s="42" t="s">
        <v>2478</v>
      </c>
      <c r="F35" s="42" t="s">
        <v>2479</v>
      </c>
      <c r="G35" s="6" t="s">
        <v>2368</v>
      </c>
      <c r="H35" s="6" t="s">
        <v>1989</v>
      </c>
      <c r="I35" s="30" t="str">
        <f>VLOOKUP(H35,[1]VLOOKUP!$A$2:$B$35,2,FALSE)</f>
        <v>西南</v>
      </c>
      <c r="J35" s="6" t="s">
        <v>2480</v>
      </c>
      <c r="K35" s="6" t="s">
        <v>1989</v>
      </c>
      <c r="L35" s="30" t="str">
        <f>VLOOKUP(K35,[1]VLOOKUP!$A$2:$B$35,2,FALSE)</f>
        <v>西南</v>
      </c>
      <c r="M35" s="6" t="s">
        <v>2374</v>
      </c>
      <c r="N35" s="6" t="s">
        <v>1760</v>
      </c>
      <c r="O35" s="30" t="str">
        <f>VLOOKUP(N35,[1]VLOOKUP!$A$2:$B$35,2,FALSE)</f>
        <v>华北</v>
      </c>
      <c r="P35" s="6"/>
      <c r="Q35" s="6"/>
      <c r="R35" s="6">
        <v>1</v>
      </c>
      <c r="S35" s="8" t="s">
        <v>80</v>
      </c>
      <c r="T35" s="6"/>
      <c r="U35" s="6"/>
      <c r="V35" s="6"/>
      <c r="W35" s="6"/>
      <c r="X35" s="6"/>
      <c r="Y35" s="6"/>
      <c r="Z35" s="7">
        <v>41274</v>
      </c>
      <c r="AA35" s="7">
        <v>41548</v>
      </c>
      <c r="AB35" s="7" t="s">
        <v>2376</v>
      </c>
    </row>
    <row r="36" spans="4:28" ht="24.95" customHeight="1" x14ac:dyDescent="0.3">
      <c r="D36" s="6">
        <f t="shared" si="0"/>
        <v>35</v>
      </c>
      <c r="E36" s="42" t="s">
        <v>2481</v>
      </c>
      <c r="F36" s="42" t="s">
        <v>2482</v>
      </c>
      <c r="G36" s="6" t="s">
        <v>2390</v>
      </c>
      <c r="H36" s="6" t="s">
        <v>1826</v>
      </c>
      <c r="I36" s="30" t="str">
        <f>VLOOKUP(H36,[1]VLOOKUP!$A$2:$B$35,2,FALSE)</f>
        <v>东北</v>
      </c>
      <c r="J36" s="6" t="s">
        <v>1938</v>
      </c>
      <c r="K36" s="6" t="s">
        <v>1809</v>
      </c>
      <c r="L36" s="30" t="str">
        <f>VLOOKUP(K36,[1]VLOOKUP!$A$2:$B$35,2,FALSE)</f>
        <v>华东</v>
      </c>
      <c r="M36" s="6" t="s">
        <v>2483</v>
      </c>
      <c r="N36" s="6" t="s">
        <v>2094</v>
      </c>
      <c r="O36" s="30" t="str">
        <f>VLOOKUP(N36,[1]VLOOKUP!$A$2:$B$35,2,FALSE)</f>
        <v>华东</v>
      </c>
      <c r="P36" s="6"/>
      <c r="Q36" s="6"/>
      <c r="R36" s="6"/>
      <c r="S36" s="6"/>
      <c r="T36" s="6"/>
      <c r="U36" s="6"/>
      <c r="V36" s="6"/>
      <c r="W36" s="6"/>
      <c r="X36" s="6">
        <v>1</v>
      </c>
      <c r="Y36" s="8" t="s">
        <v>25</v>
      </c>
      <c r="Z36" s="7">
        <v>45366</v>
      </c>
      <c r="AA36" s="7">
        <v>45566</v>
      </c>
      <c r="AB36" s="7" t="s">
        <v>2401</v>
      </c>
    </row>
    <row r="37" spans="4:28" ht="24.95" customHeight="1" x14ac:dyDescent="0.3">
      <c r="D37" s="6">
        <f t="shared" si="0"/>
        <v>36</v>
      </c>
      <c r="E37" s="42" t="s">
        <v>2484</v>
      </c>
      <c r="F37" s="42" t="s">
        <v>2485</v>
      </c>
      <c r="G37" s="6" t="s">
        <v>2486</v>
      </c>
      <c r="H37" s="6" t="s">
        <v>1826</v>
      </c>
      <c r="I37" s="30" t="str">
        <f>VLOOKUP(H37,[1]VLOOKUP!$A$2:$B$35,2,FALSE)</f>
        <v>东北</v>
      </c>
      <c r="J37" s="6" t="s">
        <v>2391</v>
      </c>
      <c r="K37" s="6" t="s">
        <v>1760</v>
      </c>
      <c r="L37" s="30" t="str">
        <f>VLOOKUP(K37,[1]VLOOKUP!$A$2:$B$35,2,FALSE)</f>
        <v>华北</v>
      </c>
      <c r="M37" s="6" t="s">
        <v>2432</v>
      </c>
      <c r="N37" s="6" t="s">
        <v>1809</v>
      </c>
      <c r="O37" s="30" t="str">
        <f>VLOOKUP(N37,[1]VLOOKUP!$A$2:$B$35,2,FALSE)</f>
        <v>华东</v>
      </c>
      <c r="P37" s="6"/>
      <c r="Q37" s="6"/>
      <c r="R37" s="6"/>
      <c r="S37" s="6"/>
      <c r="T37" s="6"/>
      <c r="U37" s="6"/>
      <c r="V37" s="6"/>
      <c r="W37" s="6"/>
      <c r="X37" s="6">
        <v>1</v>
      </c>
      <c r="Y37" s="8" t="s">
        <v>58</v>
      </c>
      <c r="Z37" s="7">
        <v>41590</v>
      </c>
      <c r="AA37" s="7">
        <v>41705</v>
      </c>
      <c r="AB37" s="7" t="s">
        <v>2401</v>
      </c>
    </row>
    <row r="38" spans="4:28" ht="24.95" customHeight="1" x14ac:dyDescent="0.3">
      <c r="D38" s="6">
        <f t="shared" si="0"/>
        <v>37</v>
      </c>
      <c r="E38" s="42" t="s">
        <v>2487</v>
      </c>
      <c r="F38" s="42" t="s">
        <v>2488</v>
      </c>
      <c r="G38" s="6" t="s">
        <v>2391</v>
      </c>
      <c r="H38" s="6" t="s">
        <v>1760</v>
      </c>
      <c r="I38" s="30" t="str">
        <f>VLOOKUP(H38,[1]VLOOKUP!$A$2:$B$35,2,FALSE)</f>
        <v>华北</v>
      </c>
      <c r="J38" s="6" t="s">
        <v>2448</v>
      </c>
      <c r="K38" s="6" t="s">
        <v>1758</v>
      </c>
      <c r="L38" s="30" t="str">
        <f>VLOOKUP(K38,[1]VLOOKUP!$A$2:$B$35,2,FALSE)</f>
        <v>华南</v>
      </c>
      <c r="M38" s="6" t="s">
        <v>2432</v>
      </c>
      <c r="N38" s="6" t="s">
        <v>1809</v>
      </c>
      <c r="O38" s="30" t="str">
        <f>VLOOKUP(N38,[1]VLOOKUP!$A$2:$B$35,2,FALSE)</f>
        <v>华东</v>
      </c>
      <c r="P38" s="6"/>
      <c r="Q38" s="6"/>
      <c r="R38" s="6"/>
      <c r="S38" s="6"/>
      <c r="T38" s="6"/>
      <c r="U38" s="6"/>
      <c r="V38" s="6"/>
      <c r="W38" s="6"/>
      <c r="X38" s="6">
        <v>1</v>
      </c>
      <c r="Y38" s="8" t="s">
        <v>25</v>
      </c>
      <c r="Z38" s="7">
        <v>41625</v>
      </c>
      <c r="AA38" s="7">
        <v>41738</v>
      </c>
      <c r="AB38" s="7" t="s">
        <v>2401</v>
      </c>
    </row>
    <row r="39" spans="4:28" ht="24.95" customHeight="1" x14ac:dyDescent="0.3">
      <c r="D39" s="6">
        <f t="shared" si="0"/>
        <v>38</v>
      </c>
      <c r="E39" s="42" t="s">
        <v>2489</v>
      </c>
      <c r="F39" s="42" t="s">
        <v>2490</v>
      </c>
      <c r="G39" s="6" t="s">
        <v>1938</v>
      </c>
      <c r="H39" s="6" t="s">
        <v>1809</v>
      </c>
      <c r="I39" s="30" t="str">
        <f>VLOOKUP(H39,[1]VLOOKUP!$A$2:$B$35,2,FALSE)</f>
        <v>华东</v>
      </c>
      <c r="J39" s="6" t="s">
        <v>2109</v>
      </c>
      <c r="K39" s="6" t="s">
        <v>1797</v>
      </c>
      <c r="L39" s="30" t="str">
        <f>VLOOKUP(K39,[1]VLOOKUP!$A$2:$B$35,2,FALSE)</f>
        <v>华北</v>
      </c>
      <c r="M39" s="6" t="s">
        <v>1759</v>
      </c>
      <c r="N39" s="6" t="s">
        <v>1760</v>
      </c>
      <c r="O39" s="30" t="str">
        <f>VLOOKUP(N39,[1]VLOOKUP!$A$2:$B$35,2,FALSE)</f>
        <v>华北</v>
      </c>
      <c r="P39" s="6"/>
      <c r="Q39" s="6"/>
      <c r="R39" s="6"/>
      <c r="S39" s="6"/>
      <c r="T39" s="6"/>
      <c r="U39" s="6"/>
      <c r="V39" s="6">
        <v>1</v>
      </c>
      <c r="W39" s="8" t="s">
        <v>54</v>
      </c>
      <c r="X39" s="6"/>
      <c r="Y39" s="6"/>
      <c r="Z39" s="7">
        <v>41725</v>
      </c>
      <c r="AA39" s="7">
        <v>41913</v>
      </c>
      <c r="AB39" s="7" t="s">
        <v>2376</v>
      </c>
    </row>
    <row r="40" spans="4:28" ht="24.95" customHeight="1" x14ac:dyDescent="0.3">
      <c r="D40" s="6">
        <f t="shared" si="0"/>
        <v>39</v>
      </c>
      <c r="E40" s="42" t="s">
        <v>2491</v>
      </c>
      <c r="F40" s="42" t="s">
        <v>2492</v>
      </c>
      <c r="G40" s="6" t="s">
        <v>1938</v>
      </c>
      <c r="H40" s="6" t="s">
        <v>1809</v>
      </c>
      <c r="I40" s="30" t="str">
        <f>VLOOKUP(H40,[1]VLOOKUP!$A$2:$B$35,2,FALSE)</f>
        <v>华东</v>
      </c>
      <c r="J40" s="6" t="s">
        <v>2374</v>
      </c>
      <c r="K40" s="6" t="s">
        <v>1760</v>
      </c>
      <c r="L40" s="30" t="str">
        <f>VLOOKUP(K40,[1]VLOOKUP!$A$2:$B$35,2,FALSE)</f>
        <v>华北</v>
      </c>
      <c r="M40" s="6" t="s">
        <v>2110</v>
      </c>
      <c r="N40" s="6" t="s">
        <v>1809</v>
      </c>
      <c r="O40" s="30" t="str">
        <f>VLOOKUP(N40,[1]VLOOKUP!$A$2:$B$35,2,FALSE)</f>
        <v>华东</v>
      </c>
      <c r="P40" s="6"/>
      <c r="Q40" s="6"/>
      <c r="R40" s="6"/>
      <c r="S40" s="6"/>
      <c r="T40" s="6"/>
      <c r="U40" s="6"/>
      <c r="V40" s="6"/>
      <c r="W40" s="6"/>
      <c r="X40" s="6">
        <v>1</v>
      </c>
      <c r="Y40" s="8" t="s">
        <v>16</v>
      </c>
      <c r="Z40" s="7">
        <v>41725</v>
      </c>
      <c r="AA40" s="7">
        <v>41913</v>
      </c>
      <c r="AB40" s="7" t="s">
        <v>2376</v>
      </c>
    </row>
    <row r="41" spans="4:28" ht="24.95" customHeight="1" x14ac:dyDescent="0.3">
      <c r="D41" s="6">
        <f t="shared" si="0"/>
        <v>40</v>
      </c>
      <c r="E41" s="42" t="s">
        <v>2493</v>
      </c>
      <c r="F41" s="42" t="s">
        <v>2494</v>
      </c>
      <c r="G41" s="6" t="s">
        <v>2110</v>
      </c>
      <c r="H41" s="6" t="s">
        <v>1809</v>
      </c>
      <c r="I41" s="30" t="str">
        <f>VLOOKUP(H41,[1]VLOOKUP!$A$2:$B$35,2,FALSE)</f>
        <v>华东</v>
      </c>
      <c r="J41" s="6" t="s">
        <v>1938</v>
      </c>
      <c r="K41" s="6" t="s">
        <v>1809</v>
      </c>
      <c r="L41" s="30" t="str">
        <f>VLOOKUP(K41,[1]VLOOKUP!$A$2:$B$35,2,FALSE)</f>
        <v>华东</v>
      </c>
      <c r="M41" s="6" t="s">
        <v>2374</v>
      </c>
      <c r="N41" s="6" t="s">
        <v>1760</v>
      </c>
      <c r="O41" s="30" t="str">
        <f>VLOOKUP(N41,[1]VLOOKUP!$A$2:$B$35,2,FALSE)</f>
        <v>华北</v>
      </c>
      <c r="P41" s="6"/>
      <c r="Q41" s="6"/>
      <c r="R41" s="6"/>
      <c r="S41" s="6"/>
      <c r="T41" s="6"/>
      <c r="U41" s="6"/>
      <c r="V41" s="6">
        <v>1</v>
      </c>
      <c r="W41" s="8" t="s">
        <v>77</v>
      </c>
      <c r="X41" s="6"/>
      <c r="Y41" s="6"/>
      <c r="Z41" s="7">
        <v>41885</v>
      </c>
      <c r="AA41" s="7">
        <v>42005</v>
      </c>
      <c r="AB41" s="7" t="s">
        <v>2376</v>
      </c>
    </row>
    <row r="42" spans="4:28" ht="24.95" customHeight="1" x14ac:dyDescent="0.3">
      <c r="D42" s="6">
        <f t="shared" si="0"/>
        <v>41</v>
      </c>
      <c r="E42" s="42" t="s">
        <v>2495</v>
      </c>
      <c r="F42" s="42" t="s">
        <v>2496</v>
      </c>
      <c r="G42" s="6" t="s">
        <v>1904</v>
      </c>
      <c r="H42" s="6" t="s">
        <v>1809</v>
      </c>
      <c r="I42" s="30" t="str">
        <f>VLOOKUP(H42,[1]VLOOKUP!$A$2:$B$35,2,FALSE)</f>
        <v>华东</v>
      </c>
      <c r="J42" s="6" t="s">
        <v>1938</v>
      </c>
      <c r="K42" s="6" t="s">
        <v>1809</v>
      </c>
      <c r="L42" s="30" t="str">
        <f>VLOOKUP(K42,[1]VLOOKUP!$A$2:$B$35,2,FALSE)</f>
        <v>华东</v>
      </c>
      <c r="M42" s="6" t="s">
        <v>2390</v>
      </c>
      <c r="N42" s="6" t="s">
        <v>1826</v>
      </c>
      <c r="O42" s="30" t="str">
        <f>VLOOKUP(N42,[1]VLOOKUP!$A$2:$B$35,2,FALSE)</f>
        <v>东北</v>
      </c>
      <c r="P42" s="6"/>
      <c r="Q42" s="6"/>
      <c r="R42" s="6"/>
      <c r="S42" s="6"/>
      <c r="T42" s="6"/>
      <c r="U42" s="6"/>
      <c r="V42" s="6"/>
      <c r="W42" s="6"/>
      <c r="X42" s="6">
        <v>1</v>
      </c>
      <c r="Y42" s="8" t="s">
        <v>25</v>
      </c>
      <c r="Z42" s="7">
        <v>41978</v>
      </c>
      <c r="AA42" s="7">
        <v>42186</v>
      </c>
      <c r="AB42" s="7" t="s">
        <v>2401</v>
      </c>
    </row>
    <row r="43" spans="4:28" ht="24.95" customHeight="1" x14ac:dyDescent="0.3">
      <c r="D43" s="6">
        <f t="shared" si="0"/>
        <v>42</v>
      </c>
      <c r="E43" s="42" t="s">
        <v>2497</v>
      </c>
      <c r="F43" s="42" t="s">
        <v>2498</v>
      </c>
      <c r="G43" s="6" t="s">
        <v>2432</v>
      </c>
      <c r="H43" s="6" t="s">
        <v>1809</v>
      </c>
      <c r="I43" s="30" t="str">
        <f>VLOOKUP(H43,[1]VLOOKUP!$A$2:$B$35,2,FALSE)</f>
        <v>华东</v>
      </c>
      <c r="J43" s="6" t="s">
        <v>2499</v>
      </c>
      <c r="K43" s="6" t="s">
        <v>1902</v>
      </c>
      <c r="L43" s="30" t="str">
        <f>VLOOKUP(K43,[1]VLOOKUP!$A$2:$B$35,2,FALSE)</f>
        <v>华东</v>
      </c>
      <c r="M43" s="6" t="s">
        <v>2500</v>
      </c>
      <c r="N43" s="6" t="s">
        <v>2094</v>
      </c>
      <c r="O43" s="30" t="str">
        <f>VLOOKUP(N43,[1]VLOOKUP!$A$2:$B$35,2,FALSE)</f>
        <v>华东</v>
      </c>
      <c r="P43" s="6"/>
      <c r="Q43" s="6"/>
      <c r="R43" s="6"/>
      <c r="S43" s="6"/>
      <c r="T43" s="6"/>
      <c r="U43" s="6"/>
      <c r="V43" s="6"/>
      <c r="W43" s="6"/>
      <c r="X43" s="6">
        <v>1</v>
      </c>
      <c r="Y43" s="8" t="s">
        <v>16</v>
      </c>
      <c r="Z43" s="7">
        <v>41978</v>
      </c>
      <c r="AA43" s="7">
        <v>42186</v>
      </c>
      <c r="AB43" s="7" t="s">
        <v>2401</v>
      </c>
    </row>
    <row r="44" spans="4:28" ht="24.95" customHeight="1" x14ac:dyDescent="0.3">
      <c r="D44" s="6">
        <f t="shared" si="0"/>
        <v>43</v>
      </c>
      <c r="E44" s="42" t="s">
        <v>2501</v>
      </c>
      <c r="F44" s="42" t="s">
        <v>2502</v>
      </c>
      <c r="G44" s="6" t="s">
        <v>2432</v>
      </c>
      <c r="H44" s="6" t="s">
        <v>1809</v>
      </c>
      <c r="I44" s="30" t="str">
        <f>VLOOKUP(H44,[1]VLOOKUP!$A$2:$B$35,2,FALSE)</f>
        <v>华东</v>
      </c>
      <c r="J44" s="6" t="s">
        <v>2499</v>
      </c>
      <c r="K44" s="6" t="s">
        <v>1902</v>
      </c>
      <c r="L44" s="30" t="str">
        <f>VLOOKUP(K44,[1]VLOOKUP!$A$2:$B$35,2,FALSE)</f>
        <v>华东</v>
      </c>
      <c r="M44" s="6" t="s">
        <v>2500</v>
      </c>
      <c r="N44" s="6" t="s">
        <v>2094</v>
      </c>
      <c r="O44" s="30" t="str">
        <f>VLOOKUP(N44,[1]VLOOKUP!$A$2:$B$35,2,FALSE)</f>
        <v>华东</v>
      </c>
      <c r="P44" s="6"/>
      <c r="Q44" s="6"/>
      <c r="R44" s="6"/>
      <c r="S44" s="6"/>
      <c r="T44" s="6"/>
      <c r="U44" s="6"/>
      <c r="V44" s="6"/>
      <c r="W44" s="6"/>
      <c r="X44" s="6">
        <v>1</v>
      </c>
      <c r="Y44" s="8" t="s">
        <v>16</v>
      </c>
      <c r="Z44" s="7">
        <v>41978</v>
      </c>
      <c r="AA44" s="7">
        <v>42186</v>
      </c>
      <c r="AB44" s="7" t="s">
        <v>2401</v>
      </c>
    </row>
    <row r="45" spans="4:28" ht="24.95" customHeight="1" x14ac:dyDescent="0.3">
      <c r="D45" s="6">
        <f t="shared" si="0"/>
        <v>44</v>
      </c>
      <c r="E45" s="42" t="s">
        <v>2503</v>
      </c>
      <c r="F45" s="42" t="s">
        <v>2504</v>
      </c>
      <c r="G45" s="6" t="s">
        <v>2390</v>
      </c>
      <c r="H45" s="6" t="s">
        <v>1826</v>
      </c>
      <c r="I45" s="30" t="str">
        <f>VLOOKUP(H45,[1]VLOOKUP!$A$2:$B$35,2,FALSE)</f>
        <v>东北</v>
      </c>
      <c r="J45" s="6" t="s">
        <v>2391</v>
      </c>
      <c r="K45" s="6" t="s">
        <v>1760</v>
      </c>
      <c r="L45" s="30" t="str">
        <f>VLOOKUP(K45,[1]VLOOKUP!$A$2:$B$35,2,FALSE)</f>
        <v>华北</v>
      </c>
      <c r="M45" s="6" t="s">
        <v>2486</v>
      </c>
      <c r="N45" s="6" t="s">
        <v>1826</v>
      </c>
      <c r="O45" s="30" t="str">
        <f>VLOOKUP(N45,[1]VLOOKUP!$A$2:$B$35,2,FALSE)</f>
        <v>东北</v>
      </c>
      <c r="P45" s="6"/>
      <c r="Q45" s="6"/>
      <c r="R45" s="6"/>
      <c r="S45" s="6"/>
      <c r="T45" s="6"/>
      <c r="U45" s="6"/>
      <c r="V45" s="6"/>
      <c r="W45" s="6"/>
      <c r="X45" s="6">
        <v>1</v>
      </c>
      <c r="Y45" s="8" t="s">
        <v>58</v>
      </c>
      <c r="Z45" s="7">
        <v>45657</v>
      </c>
      <c r="AA45" s="7">
        <v>45839</v>
      </c>
      <c r="AB45" s="7" t="s">
        <v>2401</v>
      </c>
    </row>
    <row r="46" spans="4:28" ht="24.95" customHeight="1" x14ac:dyDescent="0.3">
      <c r="D46" s="6">
        <f t="shared" si="0"/>
        <v>45</v>
      </c>
      <c r="E46" s="42" t="s">
        <v>2505</v>
      </c>
      <c r="F46" s="42" t="s">
        <v>2506</v>
      </c>
      <c r="G46" s="6" t="s">
        <v>2390</v>
      </c>
      <c r="H46" s="6" t="s">
        <v>1826</v>
      </c>
      <c r="I46" s="30" t="str">
        <f>VLOOKUP(H46,[1]VLOOKUP!$A$2:$B$35,2,FALSE)</f>
        <v>东北</v>
      </c>
      <c r="J46" s="6" t="s">
        <v>2391</v>
      </c>
      <c r="K46" s="6" t="s">
        <v>1760</v>
      </c>
      <c r="L46" s="30" t="str">
        <f>VLOOKUP(K46,[1]VLOOKUP!$A$2:$B$35,2,FALSE)</f>
        <v>华北</v>
      </c>
      <c r="M46" s="6" t="s">
        <v>2432</v>
      </c>
      <c r="N46" s="6" t="s">
        <v>1809</v>
      </c>
      <c r="O46" s="30" t="str">
        <f>VLOOKUP(N46,[1]VLOOKUP!$A$2:$B$35,2,FALSE)</f>
        <v>华东</v>
      </c>
      <c r="P46" s="6"/>
      <c r="Q46" s="6"/>
      <c r="R46" s="6"/>
      <c r="S46" s="6"/>
      <c r="T46" s="6"/>
      <c r="U46" s="6"/>
      <c r="V46" s="6"/>
      <c r="W46" s="6"/>
      <c r="X46" s="6">
        <v>1</v>
      </c>
      <c r="Y46" s="8" t="s">
        <v>58</v>
      </c>
      <c r="Z46" s="7">
        <v>41978</v>
      </c>
      <c r="AA46" s="7">
        <v>42186</v>
      </c>
      <c r="AB46" s="7" t="s">
        <v>2401</v>
      </c>
    </row>
    <row r="47" spans="4:28" ht="24.95" customHeight="1" x14ac:dyDescent="0.3">
      <c r="D47" s="6">
        <f t="shared" si="0"/>
        <v>46</v>
      </c>
      <c r="E47" s="42" t="s">
        <v>2507</v>
      </c>
      <c r="F47" s="42" t="s">
        <v>2508</v>
      </c>
      <c r="G47" s="6" t="s">
        <v>2390</v>
      </c>
      <c r="H47" s="6" t="s">
        <v>1826</v>
      </c>
      <c r="I47" s="30" t="str">
        <f>VLOOKUP(H47,[1]VLOOKUP!$A$2:$B$35,2,FALSE)</f>
        <v>东北</v>
      </c>
      <c r="J47" s="6" t="s">
        <v>2391</v>
      </c>
      <c r="K47" s="6" t="s">
        <v>1760</v>
      </c>
      <c r="L47" s="30" t="str">
        <f>VLOOKUP(K47,[1]VLOOKUP!$A$2:$B$35,2,FALSE)</f>
        <v>华北</v>
      </c>
      <c r="M47" s="6" t="s">
        <v>2486</v>
      </c>
      <c r="N47" s="6" t="s">
        <v>1826</v>
      </c>
      <c r="O47" s="30" t="str">
        <f>VLOOKUP(N47,[1]VLOOKUP!$A$2:$B$35,2,FALSE)</f>
        <v>东北</v>
      </c>
      <c r="P47" s="6"/>
      <c r="Q47" s="6"/>
      <c r="R47" s="6"/>
      <c r="S47" s="6"/>
      <c r="T47" s="6"/>
      <c r="U47" s="6"/>
      <c r="V47" s="6"/>
      <c r="W47" s="6"/>
      <c r="X47" s="6">
        <v>1</v>
      </c>
      <c r="Y47" s="8" t="s">
        <v>58</v>
      </c>
      <c r="Z47" s="7">
        <v>42258</v>
      </c>
      <c r="AA47" s="7">
        <v>42461</v>
      </c>
      <c r="AB47" s="7" t="s">
        <v>2401</v>
      </c>
    </row>
    <row r="48" spans="4:28" ht="24.95" customHeight="1" x14ac:dyDescent="0.3">
      <c r="D48" s="6">
        <f t="shared" si="0"/>
        <v>47</v>
      </c>
      <c r="E48" s="42" t="s">
        <v>2509</v>
      </c>
      <c r="F48" s="42" t="s">
        <v>2510</v>
      </c>
      <c r="G48" s="6" t="s">
        <v>2390</v>
      </c>
      <c r="H48" s="6" t="s">
        <v>1826</v>
      </c>
      <c r="I48" s="30" t="str">
        <f>VLOOKUP(H48,[1]VLOOKUP!$A$2:$B$35,2,FALSE)</f>
        <v>东北</v>
      </c>
      <c r="J48" s="6" t="s">
        <v>2391</v>
      </c>
      <c r="K48" s="6" t="s">
        <v>1760</v>
      </c>
      <c r="L48" s="30" t="str">
        <f>VLOOKUP(K48,[1]VLOOKUP!$A$2:$B$35,2,FALSE)</f>
        <v>华北</v>
      </c>
      <c r="M48" s="6" t="s">
        <v>2486</v>
      </c>
      <c r="N48" s="6" t="s">
        <v>1826</v>
      </c>
      <c r="O48" s="30" t="str">
        <f>VLOOKUP(N48,[1]VLOOKUP!$A$2:$B$35,2,FALSE)</f>
        <v>东北</v>
      </c>
      <c r="P48" s="6"/>
      <c r="Q48" s="6"/>
      <c r="R48" s="6"/>
      <c r="S48" s="6"/>
      <c r="T48" s="6"/>
      <c r="U48" s="6"/>
      <c r="V48" s="6"/>
      <c r="W48" s="6"/>
      <c r="X48" s="6">
        <v>1</v>
      </c>
      <c r="Y48" s="8" t="s">
        <v>58</v>
      </c>
      <c r="Z48" s="7">
        <v>42258</v>
      </c>
      <c r="AA48" s="7">
        <v>42461</v>
      </c>
      <c r="AB48" s="7" t="s">
        <v>2401</v>
      </c>
    </row>
    <row r="49" spans="4:28" ht="24.95" customHeight="1" x14ac:dyDescent="0.3">
      <c r="D49" s="6">
        <f t="shared" si="0"/>
        <v>48</v>
      </c>
      <c r="E49" s="42" t="s">
        <v>2511</v>
      </c>
      <c r="F49" s="42" t="s">
        <v>2512</v>
      </c>
      <c r="G49" s="6" t="s">
        <v>2374</v>
      </c>
      <c r="H49" s="6" t="s">
        <v>1760</v>
      </c>
      <c r="I49" s="30" t="str">
        <f>VLOOKUP(H49,[1]VLOOKUP!$A$2:$B$35,2,FALSE)</f>
        <v>华北</v>
      </c>
      <c r="J49" s="6" t="s">
        <v>2513</v>
      </c>
      <c r="K49" s="6" t="s">
        <v>1902</v>
      </c>
      <c r="L49" s="30" t="str">
        <f>VLOOKUP(K49,[1]VLOOKUP!$A$2:$B$35,2,FALSE)</f>
        <v>华东</v>
      </c>
      <c r="M49" s="6" t="s">
        <v>2114</v>
      </c>
      <c r="N49" s="6" t="s">
        <v>1797</v>
      </c>
      <c r="O49" s="30" t="str">
        <f>VLOOKUP(N49,[1]VLOOKUP!$A$2:$B$35,2,FALSE)</f>
        <v>华北</v>
      </c>
      <c r="P49" s="6">
        <v>1</v>
      </c>
      <c r="Q49" s="8" t="s">
        <v>277</v>
      </c>
      <c r="R49" s="6"/>
      <c r="S49" s="6"/>
      <c r="T49" s="6"/>
      <c r="U49" s="6"/>
      <c r="V49" s="6"/>
      <c r="W49" s="6"/>
      <c r="X49" s="6"/>
      <c r="Y49" s="6"/>
      <c r="Z49" s="7">
        <v>42348</v>
      </c>
      <c r="AA49" s="7">
        <v>42736</v>
      </c>
      <c r="AB49" s="7" t="s">
        <v>2514</v>
      </c>
    </row>
    <row r="50" spans="4:28" ht="24.95" customHeight="1" x14ac:dyDescent="0.3">
      <c r="D50" s="6">
        <f t="shared" si="0"/>
        <v>49</v>
      </c>
      <c r="E50" s="42" t="s">
        <v>2515</v>
      </c>
      <c r="F50" s="42" t="s">
        <v>2516</v>
      </c>
      <c r="G50" s="6" t="s">
        <v>2517</v>
      </c>
      <c r="H50" s="6" t="s">
        <v>1760</v>
      </c>
      <c r="I50" s="30" t="str">
        <f>VLOOKUP(H50,[1]VLOOKUP!$A$2:$B$35,2,FALSE)</f>
        <v>华北</v>
      </c>
      <c r="J50" s="6" t="s">
        <v>2374</v>
      </c>
      <c r="K50" s="6" t="s">
        <v>1760</v>
      </c>
      <c r="L50" s="30" t="str">
        <f>VLOOKUP(K50,[1]VLOOKUP!$A$2:$B$35,2,FALSE)</f>
        <v>华北</v>
      </c>
      <c r="M50" s="6" t="s">
        <v>2379</v>
      </c>
      <c r="N50" s="6" t="s">
        <v>1760</v>
      </c>
      <c r="O50" s="30" t="str">
        <f>VLOOKUP(N50,[1]VLOOKUP!$A$2:$B$35,2,FALSE)</f>
        <v>华北</v>
      </c>
      <c r="P50" s="6"/>
      <c r="Q50" s="6"/>
      <c r="R50" s="6"/>
      <c r="S50" s="6"/>
      <c r="T50" s="6">
        <v>1</v>
      </c>
      <c r="U50" s="8" t="s">
        <v>92</v>
      </c>
      <c r="V50" s="6"/>
      <c r="W50" s="6"/>
      <c r="X50" s="6"/>
      <c r="Y50" s="6"/>
      <c r="Z50" s="7">
        <v>42717</v>
      </c>
      <c r="AA50" s="7">
        <v>42917</v>
      </c>
      <c r="AB50" s="7" t="s">
        <v>2376</v>
      </c>
    </row>
    <row r="51" spans="4:28" ht="24.95" customHeight="1" x14ac:dyDescent="0.3">
      <c r="D51" s="6">
        <f t="shared" si="0"/>
        <v>50</v>
      </c>
      <c r="E51" s="42" t="s">
        <v>2518</v>
      </c>
      <c r="F51" s="42" t="s">
        <v>2519</v>
      </c>
      <c r="G51" s="6" t="s">
        <v>2517</v>
      </c>
      <c r="H51" s="6" t="s">
        <v>1760</v>
      </c>
      <c r="I51" s="30" t="str">
        <f>VLOOKUP(H51,[1]VLOOKUP!$A$2:$B$35,2,FALSE)</f>
        <v>华北</v>
      </c>
      <c r="J51" s="6" t="s">
        <v>2374</v>
      </c>
      <c r="K51" s="6" t="s">
        <v>1760</v>
      </c>
      <c r="L51" s="30" t="str">
        <f>VLOOKUP(K51,[1]VLOOKUP!$A$2:$B$35,2,FALSE)</f>
        <v>华北</v>
      </c>
      <c r="M51" s="6" t="s">
        <v>1759</v>
      </c>
      <c r="N51" s="6" t="s">
        <v>1760</v>
      </c>
      <c r="O51" s="30" t="str">
        <f>VLOOKUP(N51,[1]VLOOKUP!$A$2:$B$35,2,FALSE)</f>
        <v>华北</v>
      </c>
      <c r="P51" s="6"/>
      <c r="Q51" s="6"/>
      <c r="R51" s="6"/>
      <c r="S51" s="6"/>
      <c r="T51" s="6">
        <v>1</v>
      </c>
      <c r="U51" s="8" t="s">
        <v>64</v>
      </c>
      <c r="V51" s="6"/>
      <c r="W51" s="6"/>
      <c r="X51" s="6"/>
      <c r="Y51" s="6"/>
      <c r="Z51" s="7">
        <v>42717</v>
      </c>
      <c r="AA51" s="7">
        <v>42917</v>
      </c>
      <c r="AB51" s="7" t="s">
        <v>2376</v>
      </c>
    </row>
    <row r="52" spans="4:28" ht="24.95" customHeight="1" x14ac:dyDescent="0.3">
      <c r="D52" s="6">
        <f t="shared" si="0"/>
        <v>51</v>
      </c>
      <c r="E52" s="42" t="s">
        <v>2520</v>
      </c>
      <c r="F52" s="42" t="s">
        <v>2521</v>
      </c>
      <c r="G52" s="6" t="s">
        <v>2390</v>
      </c>
      <c r="H52" s="6" t="s">
        <v>1826</v>
      </c>
      <c r="I52" s="30" t="str">
        <f>VLOOKUP(H52,[1]VLOOKUP!$A$2:$B$35,2,FALSE)</f>
        <v>东北</v>
      </c>
      <c r="J52" s="6" t="s">
        <v>2522</v>
      </c>
      <c r="K52" s="6" t="s">
        <v>1880</v>
      </c>
      <c r="L52" s="30" t="str">
        <f>VLOOKUP(K52,[1]VLOOKUP!$A$2:$B$35,2,FALSE)</f>
        <v>华中</v>
      </c>
      <c r="M52" s="6" t="s">
        <v>2457</v>
      </c>
      <c r="N52" s="6" t="s">
        <v>1880</v>
      </c>
      <c r="O52" s="30" t="str">
        <f>VLOOKUP(N52,[1]VLOOKUP!$A$2:$B$35,2,FALSE)</f>
        <v>华中</v>
      </c>
      <c r="P52" s="6">
        <v>1</v>
      </c>
      <c r="Q52" s="8" t="s">
        <v>1667</v>
      </c>
      <c r="R52" s="6"/>
      <c r="S52" s="6"/>
      <c r="T52" s="6"/>
      <c r="U52" s="6"/>
      <c r="V52" s="6"/>
      <c r="W52" s="6"/>
      <c r="X52" s="6"/>
      <c r="Y52" s="6"/>
      <c r="Z52" s="7">
        <v>42867</v>
      </c>
      <c r="AA52" s="7">
        <v>43070</v>
      </c>
      <c r="AB52" s="7" t="s">
        <v>2401</v>
      </c>
    </row>
    <row r="53" spans="4:28" ht="24.95" customHeight="1" x14ac:dyDescent="0.3">
      <c r="D53" s="6">
        <f t="shared" si="0"/>
        <v>52</v>
      </c>
      <c r="E53" s="42" t="s">
        <v>2523</v>
      </c>
      <c r="F53" s="42" t="s">
        <v>2524</v>
      </c>
      <c r="G53" s="6" t="s">
        <v>2499</v>
      </c>
      <c r="H53" s="6" t="s">
        <v>1902</v>
      </c>
      <c r="I53" s="30" t="str">
        <f>VLOOKUP(H53,[1]VLOOKUP!$A$2:$B$35,2,FALSE)</f>
        <v>华东</v>
      </c>
      <c r="J53" s="6" t="s">
        <v>2391</v>
      </c>
      <c r="K53" s="6" t="s">
        <v>1760</v>
      </c>
      <c r="L53" s="30" t="str">
        <f>VLOOKUP(K53,[1]VLOOKUP!$A$2:$B$35,2,FALSE)</f>
        <v>华北</v>
      </c>
      <c r="M53" s="6" t="s">
        <v>1759</v>
      </c>
      <c r="N53" s="6" t="s">
        <v>1760</v>
      </c>
      <c r="O53" s="30" t="str">
        <f>VLOOKUP(N53,[1]VLOOKUP!$A$2:$B$35,2,FALSE)</f>
        <v>华北</v>
      </c>
      <c r="P53" s="6"/>
      <c r="Q53" s="6"/>
      <c r="R53" s="6"/>
      <c r="S53" s="6"/>
      <c r="T53" s="6"/>
      <c r="U53" s="6"/>
      <c r="V53" s="6"/>
      <c r="W53" s="6"/>
      <c r="X53" s="6">
        <v>1</v>
      </c>
      <c r="Y53" s="8" t="s">
        <v>25</v>
      </c>
      <c r="Z53" s="7">
        <v>42947</v>
      </c>
      <c r="AA53" s="7">
        <v>43132</v>
      </c>
      <c r="AB53" s="7" t="s">
        <v>2401</v>
      </c>
    </row>
    <row r="54" spans="4:28" ht="24.95" customHeight="1" x14ac:dyDescent="0.3">
      <c r="D54" s="6">
        <f t="shared" si="0"/>
        <v>53</v>
      </c>
      <c r="E54" s="42" t="s">
        <v>2525</v>
      </c>
      <c r="F54" s="42" t="s">
        <v>2526</v>
      </c>
      <c r="G54" s="6" t="s">
        <v>2390</v>
      </c>
      <c r="H54" s="6" t="s">
        <v>1826</v>
      </c>
      <c r="I54" s="30" t="str">
        <f>VLOOKUP(H54,[1]VLOOKUP!$A$2:$B$35,2,FALSE)</f>
        <v>东北</v>
      </c>
      <c r="J54" s="6" t="s">
        <v>2527</v>
      </c>
      <c r="K54" s="6" t="s">
        <v>1826</v>
      </c>
      <c r="L54" s="30" t="str">
        <f>VLOOKUP(K54,[1]VLOOKUP!$A$2:$B$35,2,FALSE)</f>
        <v>东北</v>
      </c>
      <c r="M54" s="6" t="s">
        <v>2522</v>
      </c>
      <c r="N54" s="6" t="s">
        <v>1880</v>
      </c>
      <c r="O54" s="30" t="str">
        <f>VLOOKUP(N54,[1]VLOOKUP!$A$2:$B$35,2,FALSE)</f>
        <v>华中</v>
      </c>
      <c r="P54" s="6"/>
      <c r="Q54" s="6"/>
      <c r="R54" s="6"/>
      <c r="S54" s="6"/>
      <c r="T54" s="6"/>
      <c r="U54" s="6"/>
      <c r="V54" s="6"/>
      <c r="W54" s="6"/>
      <c r="X54" s="6">
        <v>1</v>
      </c>
      <c r="Y54" s="8" t="s">
        <v>25</v>
      </c>
      <c r="Z54" s="7">
        <v>42947</v>
      </c>
      <c r="AA54" s="7">
        <v>43132</v>
      </c>
      <c r="AB54" s="7" t="s">
        <v>2401</v>
      </c>
    </row>
    <row r="55" spans="4:28" ht="24.95" customHeight="1" x14ac:dyDescent="0.3">
      <c r="D55" s="6">
        <f t="shared" si="0"/>
        <v>54</v>
      </c>
      <c r="E55" s="42" t="s">
        <v>2528</v>
      </c>
      <c r="F55" s="42" t="s">
        <v>2529</v>
      </c>
      <c r="G55" s="6" t="s">
        <v>2486</v>
      </c>
      <c r="H55" s="6" t="s">
        <v>1826</v>
      </c>
      <c r="I55" s="30" t="str">
        <f>VLOOKUP(H55,[1]VLOOKUP!$A$2:$B$35,2,FALSE)</f>
        <v>东北</v>
      </c>
      <c r="J55" s="6" t="s">
        <v>2424</v>
      </c>
      <c r="K55" s="6" t="s">
        <v>1809</v>
      </c>
      <c r="L55" s="30" t="str">
        <f>VLOOKUP(K55,[1]VLOOKUP!$A$2:$B$35,2,FALSE)</f>
        <v>华东</v>
      </c>
      <c r="M55" s="6" t="s">
        <v>1938</v>
      </c>
      <c r="N55" s="6" t="s">
        <v>1809</v>
      </c>
      <c r="O55" s="30" t="str">
        <f>VLOOKUP(N55,[1]VLOOKUP!$A$2:$B$35,2,FALSE)</f>
        <v>华东</v>
      </c>
      <c r="P55" s="6"/>
      <c r="Q55" s="6"/>
      <c r="R55" s="6"/>
      <c r="S55" s="6"/>
      <c r="T55" s="6"/>
      <c r="U55" s="6"/>
      <c r="V55" s="6"/>
      <c r="W55" s="6"/>
      <c r="X55" s="6">
        <v>1</v>
      </c>
      <c r="Y55" s="8" t="s">
        <v>16</v>
      </c>
      <c r="Z55" s="7">
        <v>42928</v>
      </c>
      <c r="AA55" s="7">
        <v>43132</v>
      </c>
      <c r="AB55" s="7" t="s">
        <v>2401</v>
      </c>
    </row>
    <row r="56" spans="4:28" ht="24.95" customHeight="1" x14ac:dyDescent="0.3">
      <c r="D56" s="6">
        <f t="shared" si="0"/>
        <v>55</v>
      </c>
      <c r="E56" s="42" t="s">
        <v>2530</v>
      </c>
      <c r="F56" s="42" t="s">
        <v>2531</v>
      </c>
      <c r="G56" s="6" t="s">
        <v>2448</v>
      </c>
      <c r="H56" s="6" t="s">
        <v>1758</v>
      </c>
      <c r="I56" s="30" t="str">
        <f>VLOOKUP(H56,[1]VLOOKUP!$A$2:$B$35,2,FALSE)</f>
        <v>华南</v>
      </c>
      <c r="J56" s="6" t="s">
        <v>2390</v>
      </c>
      <c r="K56" s="6" t="s">
        <v>1826</v>
      </c>
      <c r="L56" s="30" t="str">
        <f>VLOOKUP(K56,[1]VLOOKUP!$A$2:$B$35,2,FALSE)</f>
        <v>东北</v>
      </c>
      <c r="M56" s="6" t="s">
        <v>2391</v>
      </c>
      <c r="N56" s="6" t="s">
        <v>1760</v>
      </c>
      <c r="O56" s="30" t="str">
        <f>VLOOKUP(N56,[1]VLOOKUP!$A$2:$B$35,2,FALSE)</f>
        <v>华北</v>
      </c>
      <c r="P56" s="6"/>
      <c r="Q56" s="6"/>
      <c r="R56" s="6"/>
      <c r="S56" s="6"/>
      <c r="T56" s="6"/>
      <c r="U56" s="6"/>
      <c r="V56" s="6"/>
      <c r="W56" s="6"/>
      <c r="X56" s="6">
        <v>1</v>
      </c>
      <c r="Y56" s="8" t="s">
        <v>25</v>
      </c>
      <c r="Z56" s="7">
        <v>42928</v>
      </c>
      <c r="AA56" s="7">
        <v>43132</v>
      </c>
      <c r="AB56" s="7" t="s">
        <v>2401</v>
      </c>
    </row>
    <row r="57" spans="4:28" ht="24.95" customHeight="1" x14ac:dyDescent="0.3">
      <c r="D57" s="6">
        <f t="shared" si="0"/>
        <v>56</v>
      </c>
      <c r="E57" s="42" t="s">
        <v>2532</v>
      </c>
      <c r="F57" s="42" t="s">
        <v>2533</v>
      </c>
      <c r="G57" s="6" t="s">
        <v>2432</v>
      </c>
      <c r="H57" s="6" t="s">
        <v>1809</v>
      </c>
      <c r="I57" s="30" t="str">
        <f>VLOOKUP(H57,[1]VLOOKUP!$A$2:$B$35,2,FALSE)</f>
        <v>华东</v>
      </c>
      <c r="J57" s="6" t="s">
        <v>2522</v>
      </c>
      <c r="K57" s="6" t="s">
        <v>1880</v>
      </c>
      <c r="L57" s="30" t="str">
        <f>VLOOKUP(K57,[1]VLOOKUP!$A$2:$B$35,2,FALSE)</f>
        <v>华中</v>
      </c>
      <c r="M57" s="6" t="s">
        <v>2391</v>
      </c>
      <c r="N57" s="6" t="s">
        <v>1760</v>
      </c>
      <c r="O57" s="30" t="str">
        <f>VLOOKUP(N57,[1]VLOOKUP!$A$2:$B$35,2,FALSE)</f>
        <v>华北</v>
      </c>
      <c r="P57" s="6"/>
      <c r="Q57" s="6"/>
      <c r="R57" s="6"/>
      <c r="S57" s="6"/>
      <c r="T57" s="6"/>
      <c r="U57" s="6"/>
      <c r="V57" s="6"/>
      <c r="W57" s="6"/>
      <c r="X57" s="6">
        <v>1</v>
      </c>
      <c r="Y57" s="8" t="s">
        <v>25</v>
      </c>
      <c r="Z57" s="7">
        <v>42928</v>
      </c>
      <c r="AA57" s="7">
        <v>43132</v>
      </c>
      <c r="AB57" s="7" t="s">
        <v>2401</v>
      </c>
    </row>
    <row r="58" spans="4:28" ht="24.95" customHeight="1" x14ac:dyDescent="0.3">
      <c r="D58" s="6">
        <f t="shared" si="0"/>
        <v>57</v>
      </c>
      <c r="E58" s="42" t="s">
        <v>2534</v>
      </c>
      <c r="F58" s="42" t="s">
        <v>2535</v>
      </c>
      <c r="G58" s="6" t="s">
        <v>2390</v>
      </c>
      <c r="H58" s="6" t="s">
        <v>1826</v>
      </c>
      <c r="I58" s="30" t="str">
        <f>VLOOKUP(H58,[1]VLOOKUP!$A$2:$B$35,2,FALSE)</f>
        <v>东北</v>
      </c>
      <c r="J58" s="6" t="s">
        <v>1938</v>
      </c>
      <c r="K58" s="6" t="s">
        <v>1809</v>
      </c>
      <c r="L58" s="30" t="str">
        <f>VLOOKUP(K58,[1]VLOOKUP!$A$2:$B$35,2,FALSE)</f>
        <v>华东</v>
      </c>
      <c r="M58" s="6" t="s">
        <v>2486</v>
      </c>
      <c r="N58" s="6" t="s">
        <v>1826</v>
      </c>
      <c r="O58" s="30" t="str">
        <f>VLOOKUP(N58,[1]VLOOKUP!$A$2:$B$35,2,FALSE)</f>
        <v>东北</v>
      </c>
      <c r="P58" s="6"/>
      <c r="Q58" s="6"/>
      <c r="R58" s="6"/>
      <c r="S58" s="6"/>
      <c r="T58" s="6"/>
      <c r="U58" s="6"/>
      <c r="V58" s="6"/>
      <c r="W58" s="6"/>
      <c r="X58" s="6">
        <v>1</v>
      </c>
      <c r="Y58" s="8" t="s">
        <v>25</v>
      </c>
      <c r="Z58" s="7">
        <v>42928</v>
      </c>
      <c r="AA58" s="7">
        <v>43132</v>
      </c>
      <c r="AB58" s="7" t="s">
        <v>2401</v>
      </c>
    </row>
    <row r="59" spans="4:28" ht="24.95" customHeight="1" x14ac:dyDescent="0.3">
      <c r="D59" s="6">
        <f t="shared" si="0"/>
        <v>58</v>
      </c>
      <c r="E59" s="42" t="s">
        <v>2536</v>
      </c>
      <c r="F59" s="42" t="s">
        <v>2537</v>
      </c>
      <c r="G59" s="6" t="s">
        <v>2390</v>
      </c>
      <c r="H59" s="6" t="s">
        <v>1826</v>
      </c>
      <c r="I59" s="30" t="str">
        <f>VLOOKUP(H59,[1]VLOOKUP!$A$2:$B$35,2,FALSE)</f>
        <v>东北</v>
      </c>
      <c r="J59" s="6" t="s">
        <v>2527</v>
      </c>
      <c r="K59" s="6" t="s">
        <v>1826</v>
      </c>
      <c r="L59" s="30" t="str">
        <f>VLOOKUP(K59,[1]VLOOKUP!$A$2:$B$35,2,FALSE)</f>
        <v>东北</v>
      </c>
      <c r="M59" s="6" t="s">
        <v>2538</v>
      </c>
      <c r="N59" s="6" t="s">
        <v>1880</v>
      </c>
      <c r="O59" s="30" t="str">
        <f>VLOOKUP(N59,[1]VLOOKUP!$A$2:$B$35,2,FALSE)</f>
        <v>华中</v>
      </c>
      <c r="P59" s="6"/>
      <c r="Q59" s="6"/>
      <c r="R59" s="6"/>
      <c r="S59" s="6"/>
      <c r="T59" s="6"/>
      <c r="U59" s="6"/>
      <c r="V59" s="6"/>
      <c r="W59" s="6"/>
      <c r="X59" s="6">
        <v>1</v>
      </c>
      <c r="Y59" s="8" t="s">
        <v>25</v>
      </c>
      <c r="Z59" s="7">
        <v>42928</v>
      </c>
      <c r="AA59" s="7">
        <v>43132</v>
      </c>
      <c r="AB59" s="7" t="s">
        <v>2401</v>
      </c>
    </row>
    <row r="60" spans="4:28" ht="24.95" customHeight="1" x14ac:dyDescent="0.3">
      <c r="D60" s="6">
        <f t="shared" si="0"/>
        <v>59</v>
      </c>
      <c r="E60" s="42" t="s">
        <v>2539</v>
      </c>
      <c r="F60" s="42" t="s">
        <v>2540</v>
      </c>
      <c r="G60" s="6" t="s">
        <v>2432</v>
      </c>
      <c r="H60" s="6" t="s">
        <v>1809</v>
      </c>
      <c r="I60" s="30" t="str">
        <f>VLOOKUP(H60,[1]VLOOKUP!$A$2:$B$35,2,FALSE)</f>
        <v>华东</v>
      </c>
      <c r="J60" s="6" t="s">
        <v>2522</v>
      </c>
      <c r="K60" s="6" t="s">
        <v>1880</v>
      </c>
      <c r="L60" s="30" t="str">
        <f>VLOOKUP(K60,[1]VLOOKUP!$A$2:$B$35,2,FALSE)</f>
        <v>华中</v>
      </c>
      <c r="M60" s="6" t="s">
        <v>2391</v>
      </c>
      <c r="N60" s="6" t="s">
        <v>1760</v>
      </c>
      <c r="O60" s="30" t="str">
        <f>VLOOKUP(N60,[1]VLOOKUP!$A$2:$B$35,2,FALSE)</f>
        <v>华北</v>
      </c>
      <c r="P60" s="6"/>
      <c r="Q60" s="6"/>
      <c r="R60" s="6"/>
      <c r="S60" s="6"/>
      <c r="T60" s="6"/>
      <c r="U60" s="6"/>
      <c r="V60" s="6"/>
      <c r="W60" s="6"/>
      <c r="X60" s="6">
        <v>1</v>
      </c>
      <c r="Y60" s="8" t="s">
        <v>25</v>
      </c>
      <c r="Z60" s="7">
        <v>42985</v>
      </c>
      <c r="AA60" s="7">
        <v>43191</v>
      </c>
      <c r="AB60" s="7" t="s">
        <v>2401</v>
      </c>
    </row>
    <row r="61" spans="4:28" ht="24.95" customHeight="1" x14ac:dyDescent="0.3">
      <c r="D61" s="6">
        <f t="shared" si="0"/>
        <v>60</v>
      </c>
      <c r="E61" s="42" t="s">
        <v>2541</v>
      </c>
      <c r="F61" s="42" t="s">
        <v>2542</v>
      </c>
      <c r="G61" s="6" t="s">
        <v>2188</v>
      </c>
      <c r="H61" s="6" t="s">
        <v>1760</v>
      </c>
      <c r="I61" s="30" t="str">
        <f>VLOOKUP(H61,[1]VLOOKUP!$A$2:$B$35,2,FALSE)</f>
        <v>华北</v>
      </c>
      <c r="J61" s="6" t="s">
        <v>2543</v>
      </c>
      <c r="K61" s="6" t="s">
        <v>1809</v>
      </c>
      <c r="L61" s="30" t="str">
        <f>VLOOKUP(K61,[1]VLOOKUP!$A$2:$B$35,2,FALSE)</f>
        <v>华东</v>
      </c>
      <c r="M61" s="6" t="s">
        <v>2544</v>
      </c>
      <c r="N61" s="6" t="s">
        <v>1880</v>
      </c>
      <c r="O61" s="30" t="str">
        <f>VLOOKUP(N61,[1]VLOOKUP!$A$2:$B$35,2,FALSE)</f>
        <v>华中</v>
      </c>
      <c r="P61" s="6"/>
      <c r="Q61" s="6"/>
      <c r="R61" s="6"/>
      <c r="S61" s="6"/>
      <c r="T61" s="6"/>
      <c r="U61" s="6"/>
      <c r="V61" s="6"/>
      <c r="W61" s="6"/>
      <c r="X61" s="6">
        <v>1</v>
      </c>
      <c r="Y61" s="8" t="s">
        <v>58</v>
      </c>
      <c r="Z61" s="7">
        <v>43007</v>
      </c>
      <c r="AA61" s="7">
        <v>43191</v>
      </c>
      <c r="AB61" s="7" t="s">
        <v>2401</v>
      </c>
    </row>
    <row r="62" spans="4:28" ht="24.95" customHeight="1" x14ac:dyDescent="0.3">
      <c r="D62" s="6">
        <f t="shared" si="0"/>
        <v>61</v>
      </c>
      <c r="E62" s="42" t="s">
        <v>2545</v>
      </c>
      <c r="F62" s="42" t="s">
        <v>2546</v>
      </c>
      <c r="G62" s="6" t="s">
        <v>2547</v>
      </c>
      <c r="H62" s="6" t="s">
        <v>2024</v>
      </c>
      <c r="I62" s="30" t="str">
        <f>VLOOKUP(H62,[1]VLOOKUP!$A$2:$B$35,2,FALSE)</f>
        <v>华北</v>
      </c>
      <c r="J62" s="6" t="s">
        <v>2513</v>
      </c>
      <c r="K62" s="6" t="s">
        <v>1902</v>
      </c>
      <c r="L62" s="30" t="str">
        <f>VLOOKUP(K62,[1]VLOOKUP!$A$2:$B$35,2,FALSE)</f>
        <v>华东</v>
      </c>
      <c r="M62" s="6" t="s">
        <v>2375</v>
      </c>
      <c r="N62" s="6" t="s">
        <v>1760</v>
      </c>
      <c r="O62" s="30" t="str">
        <f>VLOOKUP(N62,[1]VLOOKUP!$A$2:$B$35,2,FALSE)</f>
        <v>华北</v>
      </c>
      <c r="P62" s="6">
        <v>1</v>
      </c>
      <c r="Q62" s="8" t="s">
        <v>21</v>
      </c>
      <c r="R62" s="6"/>
      <c r="S62" s="6"/>
      <c r="T62" s="6"/>
      <c r="U62" s="6"/>
      <c r="V62" s="6"/>
      <c r="W62" s="6"/>
      <c r="X62" s="6"/>
      <c r="Y62" s="6"/>
      <c r="Z62" s="7">
        <v>43022</v>
      </c>
      <c r="AA62" s="7">
        <v>43221</v>
      </c>
      <c r="AB62" s="7" t="s">
        <v>2376</v>
      </c>
    </row>
    <row r="63" spans="4:28" ht="24.95" customHeight="1" x14ac:dyDescent="0.3">
      <c r="D63" s="6">
        <f t="shared" si="0"/>
        <v>62</v>
      </c>
      <c r="E63" s="42" t="s">
        <v>2548</v>
      </c>
      <c r="F63" s="42" t="s">
        <v>2549</v>
      </c>
      <c r="G63" s="6" t="s">
        <v>2550</v>
      </c>
      <c r="H63" s="6" t="s">
        <v>2094</v>
      </c>
      <c r="I63" s="30" t="str">
        <f>VLOOKUP(H63,[1]VLOOKUP!$A$2:$B$35,2,FALSE)</f>
        <v>华东</v>
      </c>
      <c r="J63" s="6" t="s">
        <v>2477</v>
      </c>
      <c r="K63" s="6" t="s">
        <v>1809</v>
      </c>
      <c r="L63" s="30" t="str">
        <f>VLOOKUP(K63,[1]VLOOKUP!$A$2:$B$35,2,FALSE)</f>
        <v>华东</v>
      </c>
      <c r="M63" s="6" t="s">
        <v>2440</v>
      </c>
      <c r="N63" s="6" t="s">
        <v>2094</v>
      </c>
      <c r="O63" s="30" t="str">
        <f>VLOOKUP(N63,[1]VLOOKUP!$A$2:$B$35,2,FALSE)</f>
        <v>华东</v>
      </c>
      <c r="P63" s="6"/>
      <c r="Q63" s="6"/>
      <c r="R63" s="6">
        <v>1</v>
      </c>
      <c r="S63" s="8" t="s">
        <v>130</v>
      </c>
      <c r="T63" s="6"/>
      <c r="U63" s="6"/>
      <c r="V63" s="6"/>
      <c r="W63" s="6"/>
      <c r="X63" s="6"/>
      <c r="Y63" s="6"/>
      <c r="Z63" s="7">
        <v>43022</v>
      </c>
      <c r="AA63" s="7">
        <v>43221</v>
      </c>
      <c r="AB63" s="7" t="s">
        <v>2376</v>
      </c>
    </row>
    <row r="64" spans="4:28" ht="24.95" customHeight="1" x14ac:dyDescent="0.3">
      <c r="D64" s="6">
        <f t="shared" si="0"/>
        <v>63</v>
      </c>
      <c r="E64" s="42" t="s">
        <v>2551</v>
      </c>
      <c r="F64" s="42" t="s">
        <v>2552</v>
      </c>
      <c r="G64" s="6" t="s">
        <v>1910</v>
      </c>
      <c r="H64" s="6" t="s">
        <v>1760</v>
      </c>
      <c r="I64" s="30" t="str">
        <f>VLOOKUP(H64,[1]VLOOKUP!$A$2:$B$35,2,FALSE)</f>
        <v>华北</v>
      </c>
      <c r="J64" s="6" t="s">
        <v>2374</v>
      </c>
      <c r="K64" s="6" t="s">
        <v>1760</v>
      </c>
      <c r="L64" s="30" t="str">
        <f>VLOOKUP(K64,[1]VLOOKUP!$A$2:$B$35,2,FALSE)</f>
        <v>华北</v>
      </c>
      <c r="M64" s="6" t="s">
        <v>1759</v>
      </c>
      <c r="N64" s="6" t="s">
        <v>1760</v>
      </c>
      <c r="O64" s="30" t="str">
        <f>VLOOKUP(N64,[1]VLOOKUP!$A$2:$B$35,2,FALSE)</f>
        <v>华北</v>
      </c>
      <c r="P64" s="6"/>
      <c r="Q64" s="6"/>
      <c r="R64" s="6"/>
      <c r="S64" s="6"/>
      <c r="T64" s="6"/>
      <c r="U64" s="6"/>
      <c r="V64" s="6">
        <v>1</v>
      </c>
      <c r="W64" s="8" t="s">
        <v>77</v>
      </c>
      <c r="X64" s="6"/>
      <c r="Y64" s="6"/>
      <c r="Z64" s="7">
        <v>43022</v>
      </c>
      <c r="AA64" s="7">
        <v>43221</v>
      </c>
      <c r="AB64" s="7" t="s">
        <v>2376</v>
      </c>
    </row>
    <row r="65" spans="4:28" ht="24.95" customHeight="1" x14ac:dyDescent="0.3">
      <c r="D65" s="6">
        <f t="shared" si="0"/>
        <v>64</v>
      </c>
      <c r="E65" s="42" t="s">
        <v>2553</v>
      </c>
      <c r="F65" s="42" t="s">
        <v>2554</v>
      </c>
      <c r="G65" s="6" t="s">
        <v>2429</v>
      </c>
      <c r="H65" s="6" t="s">
        <v>2094</v>
      </c>
      <c r="I65" s="30" t="str">
        <f>VLOOKUP(H65,[1]VLOOKUP!$A$2:$B$35,2,FALSE)</f>
        <v>华东</v>
      </c>
      <c r="J65" s="6" t="s">
        <v>1938</v>
      </c>
      <c r="K65" s="6" t="s">
        <v>1809</v>
      </c>
      <c r="L65" s="30" t="str">
        <f>VLOOKUP(K65,[1]VLOOKUP!$A$2:$B$35,2,FALSE)</f>
        <v>华东</v>
      </c>
      <c r="M65" s="6" t="s">
        <v>2374</v>
      </c>
      <c r="N65" s="6" t="s">
        <v>1760</v>
      </c>
      <c r="O65" s="30" t="str">
        <f>VLOOKUP(N65,[1]VLOOKUP!$A$2:$B$35,2,FALSE)</f>
        <v>华北</v>
      </c>
      <c r="P65" s="6"/>
      <c r="Q65" s="6"/>
      <c r="R65" s="6"/>
      <c r="S65" s="6"/>
      <c r="T65" s="6"/>
      <c r="U65" s="6"/>
      <c r="V65" s="6">
        <v>1</v>
      </c>
      <c r="W65" s="8" t="s">
        <v>54</v>
      </c>
      <c r="X65" s="6"/>
      <c r="Y65" s="6"/>
      <c r="Z65" s="7">
        <v>43022</v>
      </c>
      <c r="AA65" s="7">
        <v>43221</v>
      </c>
      <c r="AB65" s="7" t="s">
        <v>2376</v>
      </c>
    </row>
    <row r="66" spans="4:28" ht="24.95" customHeight="1" x14ac:dyDescent="0.3">
      <c r="D66" s="6">
        <f t="shared" si="0"/>
        <v>65</v>
      </c>
      <c r="E66" s="42" t="s">
        <v>2555</v>
      </c>
      <c r="F66" s="42" t="s">
        <v>2556</v>
      </c>
      <c r="G66" s="6" t="s">
        <v>1938</v>
      </c>
      <c r="H66" s="6" t="s">
        <v>1809</v>
      </c>
      <c r="I66" s="30" t="str">
        <f>VLOOKUP(H66,[1]VLOOKUP!$A$2:$B$35,2,FALSE)</f>
        <v>华东</v>
      </c>
      <c r="J66" s="6" t="s">
        <v>2110</v>
      </c>
      <c r="K66" s="6" t="s">
        <v>1809</v>
      </c>
      <c r="L66" s="30" t="str">
        <f>VLOOKUP(K66,[1]VLOOKUP!$A$2:$B$35,2,FALSE)</f>
        <v>华东</v>
      </c>
      <c r="M66" s="6" t="s">
        <v>2379</v>
      </c>
      <c r="N66" s="6" t="s">
        <v>1760</v>
      </c>
      <c r="O66" s="30" t="str">
        <f>VLOOKUP(N66,[1]VLOOKUP!$A$2:$B$35,2,FALSE)</f>
        <v>华北</v>
      </c>
      <c r="P66" s="6"/>
      <c r="Q66" s="6"/>
      <c r="R66" s="6"/>
      <c r="S66" s="6"/>
      <c r="T66" s="6"/>
      <c r="U66" s="6"/>
      <c r="V66" s="6">
        <v>1</v>
      </c>
      <c r="W66" s="8" t="s">
        <v>77</v>
      </c>
      <c r="X66" s="6"/>
      <c r="Y66" s="6"/>
      <c r="Z66" s="7">
        <v>43022</v>
      </c>
      <c r="AA66" s="7">
        <v>43221</v>
      </c>
      <c r="AB66" s="7" t="s">
        <v>2376</v>
      </c>
    </row>
    <row r="67" spans="4:28" ht="24.95" customHeight="1" x14ac:dyDescent="0.3">
      <c r="D67" s="6">
        <f t="shared" ref="D67:D130" si="1">ROW()-1</f>
        <v>66</v>
      </c>
      <c r="E67" s="42" t="s">
        <v>2557</v>
      </c>
      <c r="F67" s="42" t="s">
        <v>2558</v>
      </c>
      <c r="G67" s="6" t="s">
        <v>2559</v>
      </c>
      <c r="H67" s="6" t="s">
        <v>1989</v>
      </c>
      <c r="I67" s="30" t="str">
        <f>VLOOKUP(H67,[1]VLOOKUP!$A$2:$B$35,2,FALSE)</f>
        <v>西南</v>
      </c>
      <c r="J67" s="6" t="s">
        <v>2137</v>
      </c>
      <c r="K67" s="6" t="s">
        <v>1989</v>
      </c>
      <c r="L67" s="30" t="str">
        <f>VLOOKUP(K67,[1]VLOOKUP!$A$2:$B$35,2,FALSE)</f>
        <v>西南</v>
      </c>
      <c r="M67" s="6" t="s">
        <v>2374</v>
      </c>
      <c r="N67" s="6" t="s">
        <v>1760</v>
      </c>
      <c r="O67" s="30" t="str">
        <f>VLOOKUP(N67,[1]VLOOKUP!$A$2:$B$35,2,FALSE)</f>
        <v>华北</v>
      </c>
      <c r="P67" s="6"/>
      <c r="Q67" s="6"/>
      <c r="R67" s="6">
        <v>1</v>
      </c>
      <c r="S67" s="8" t="s">
        <v>80</v>
      </c>
      <c r="T67" s="6"/>
      <c r="U67" s="6"/>
      <c r="V67" s="6"/>
      <c r="W67" s="6"/>
      <c r="X67" s="6"/>
      <c r="Y67" s="6"/>
      <c r="Z67" s="7">
        <v>43022</v>
      </c>
      <c r="AA67" s="7">
        <v>43221</v>
      </c>
      <c r="AB67" s="7" t="s">
        <v>2376</v>
      </c>
    </row>
    <row r="68" spans="4:28" ht="24.95" customHeight="1" x14ac:dyDescent="0.3">
      <c r="D68" s="6">
        <f t="shared" si="1"/>
        <v>67</v>
      </c>
      <c r="E68" s="42" t="s">
        <v>2560</v>
      </c>
      <c r="F68" s="42" t="s">
        <v>2561</v>
      </c>
      <c r="G68" s="6" t="s">
        <v>2110</v>
      </c>
      <c r="H68" s="6" t="s">
        <v>1809</v>
      </c>
      <c r="I68" s="30" t="str">
        <f>VLOOKUP(H68,[1]VLOOKUP!$A$2:$B$35,2,FALSE)</f>
        <v>华东</v>
      </c>
      <c r="J68" s="6" t="s">
        <v>2233</v>
      </c>
      <c r="K68" s="6" t="s">
        <v>1797</v>
      </c>
      <c r="L68" s="30" t="str">
        <f>VLOOKUP(K68,[1]VLOOKUP!$A$2:$B$35,2,FALSE)</f>
        <v>华北</v>
      </c>
      <c r="M68" s="6" t="s">
        <v>1796</v>
      </c>
      <c r="N68" s="6" t="s">
        <v>1797</v>
      </c>
      <c r="O68" s="30" t="str">
        <f>VLOOKUP(N68,[1]VLOOKUP!$A$2:$B$35,2,FALSE)</f>
        <v>华北</v>
      </c>
      <c r="P68" s="6"/>
      <c r="Q68" s="6"/>
      <c r="R68" s="6"/>
      <c r="S68" s="6"/>
      <c r="T68" s="6"/>
      <c r="U68" s="6"/>
      <c r="V68" s="6">
        <v>1</v>
      </c>
      <c r="W68" s="8" t="s">
        <v>54</v>
      </c>
      <c r="X68" s="6"/>
      <c r="Y68" s="6"/>
      <c r="Z68" s="7">
        <v>45288</v>
      </c>
      <c r="AA68" s="7">
        <v>45474</v>
      </c>
      <c r="AB68" s="7" t="s">
        <v>2425</v>
      </c>
    </row>
    <row r="69" spans="4:28" ht="24.95" customHeight="1" x14ac:dyDescent="0.3">
      <c r="D69" s="6">
        <f t="shared" si="1"/>
        <v>68</v>
      </c>
      <c r="E69" s="42" t="s">
        <v>2562</v>
      </c>
      <c r="F69" s="42" t="s">
        <v>2563</v>
      </c>
      <c r="G69" s="6" t="s">
        <v>2429</v>
      </c>
      <c r="H69" s="6" t="s">
        <v>2094</v>
      </c>
      <c r="I69" s="30" t="str">
        <f>VLOOKUP(H69,[1]VLOOKUP!$A$2:$B$35,2,FALSE)</f>
        <v>华东</v>
      </c>
      <c r="J69" s="6" t="s">
        <v>2374</v>
      </c>
      <c r="K69" s="6" t="s">
        <v>1760</v>
      </c>
      <c r="L69" s="30" t="str">
        <f>VLOOKUP(K69,[1]VLOOKUP!$A$2:$B$35,2,FALSE)</f>
        <v>华北</v>
      </c>
      <c r="M69" s="6" t="s">
        <v>2379</v>
      </c>
      <c r="N69" s="6" t="s">
        <v>1760</v>
      </c>
      <c r="O69" s="30" t="str">
        <f>VLOOKUP(N69,[1]VLOOKUP!$A$2:$B$35,2,FALSE)</f>
        <v>华北</v>
      </c>
      <c r="P69" s="6"/>
      <c r="Q69" s="6"/>
      <c r="R69" s="6"/>
      <c r="S69" s="6"/>
      <c r="T69" s="6">
        <v>1</v>
      </c>
      <c r="U69" s="8" t="s">
        <v>92</v>
      </c>
      <c r="V69" s="6"/>
      <c r="W69" s="6"/>
      <c r="X69" s="6"/>
      <c r="Y69" s="6"/>
      <c r="Z69" s="7">
        <v>43022</v>
      </c>
      <c r="AA69" s="7">
        <v>43221</v>
      </c>
      <c r="AB69" s="7" t="s">
        <v>2376</v>
      </c>
    </row>
    <row r="70" spans="4:28" ht="24.95" customHeight="1" x14ac:dyDescent="0.3">
      <c r="D70" s="6">
        <f t="shared" si="1"/>
        <v>69</v>
      </c>
      <c r="E70" s="42" t="s">
        <v>2564</v>
      </c>
      <c r="F70" s="42" t="s">
        <v>2565</v>
      </c>
      <c r="G70" s="6" t="s">
        <v>1910</v>
      </c>
      <c r="H70" s="6" t="s">
        <v>1760</v>
      </c>
      <c r="I70" s="30" t="str">
        <f>VLOOKUP(H70,[1]VLOOKUP!$A$2:$B$35,2,FALSE)</f>
        <v>华北</v>
      </c>
      <c r="J70" s="6" t="s">
        <v>2424</v>
      </c>
      <c r="K70" s="6" t="s">
        <v>1809</v>
      </c>
      <c r="L70" s="30" t="str">
        <f>VLOOKUP(K70,[1]VLOOKUP!$A$2:$B$35,2,FALSE)</f>
        <v>华东</v>
      </c>
      <c r="M70" s="6" t="s">
        <v>2257</v>
      </c>
      <c r="N70" s="6" t="s">
        <v>1809</v>
      </c>
      <c r="O70" s="30" t="str">
        <f>VLOOKUP(N70,[1]VLOOKUP!$A$2:$B$35,2,FALSE)</f>
        <v>华东</v>
      </c>
      <c r="P70" s="6"/>
      <c r="Q70" s="6"/>
      <c r="R70" s="6"/>
      <c r="S70" s="6"/>
      <c r="T70" s="6"/>
      <c r="U70" s="6"/>
      <c r="V70" s="6"/>
      <c r="W70" s="6"/>
      <c r="X70" s="6">
        <v>1</v>
      </c>
      <c r="Y70" s="8" t="s">
        <v>58</v>
      </c>
      <c r="Z70" s="7">
        <v>43040</v>
      </c>
      <c r="AA70" s="7">
        <v>43221</v>
      </c>
      <c r="AB70" s="7" t="s">
        <v>2401</v>
      </c>
    </row>
    <row r="71" spans="4:28" ht="24.95" customHeight="1" x14ac:dyDescent="0.3">
      <c r="D71" s="6">
        <f t="shared" si="1"/>
        <v>70</v>
      </c>
      <c r="E71" s="42" t="s">
        <v>2566</v>
      </c>
      <c r="F71" s="42" t="s">
        <v>2567</v>
      </c>
      <c r="G71" s="6" t="s">
        <v>2429</v>
      </c>
      <c r="H71" s="6" t="s">
        <v>2094</v>
      </c>
      <c r="I71" s="30" t="str">
        <f>VLOOKUP(H71,[1]VLOOKUP!$A$2:$B$35,2,FALSE)</f>
        <v>华东</v>
      </c>
      <c r="J71" s="6" t="s">
        <v>2374</v>
      </c>
      <c r="K71" s="6" t="s">
        <v>1760</v>
      </c>
      <c r="L71" s="30" t="str">
        <f>VLOOKUP(K71,[1]VLOOKUP!$A$2:$B$35,2,FALSE)</f>
        <v>华北</v>
      </c>
      <c r="M71" s="6" t="s">
        <v>2517</v>
      </c>
      <c r="N71" s="6" t="s">
        <v>1760</v>
      </c>
      <c r="O71" s="30" t="str">
        <f>VLOOKUP(N71,[1]VLOOKUP!$A$2:$B$35,2,FALSE)</f>
        <v>华北</v>
      </c>
      <c r="P71" s="6"/>
      <c r="Q71" s="6"/>
      <c r="R71" s="6"/>
      <c r="S71" s="6"/>
      <c r="T71" s="6">
        <v>1</v>
      </c>
      <c r="U71" s="8" t="s">
        <v>48</v>
      </c>
      <c r="V71" s="6"/>
      <c r="W71" s="6"/>
      <c r="X71" s="6"/>
      <c r="Y71" s="6"/>
      <c r="Z71" s="7">
        <v>43022</v>
      </c>
      <c r="AA71" s="7">
        <v>43221</v>
      </c>
      <c r="AB71" s="7" t="s">
        <v>2376</v>
      </c>
    </row>
    <row r="72" spans="4:28" ht="24.95" customHeight="1" x14ac:dyDescent="0.3">
      <c r="D72" s="6">
        <f t="shared" si="1"/>
        <v>71</v>
      </c>
      <c r="E72" s="42" t="s">
        <v>2568</v>
      </c>
      <c r="F72" s="42" t="s">
        <v>2569</v>
      </c>
      <c r="G72" s="6" t="s">
        <v>1938</v>
      </c>
      <c r="H72" s="6" t="s">
        <v>1809</v>
      </c>
      <c r="I72" s="30" t="str">
        <f>VLOOKUP(H72,[1]VLOOKUP!$A$2:$B$35,2,FALSE)</f>
        <v>华东</v>
      </c>
      <c r="J72" s="6" t="s">
        <v>1796</v>
      </c>
      <c r="K72" s="6" t="s">
        <v>1797</v>
      </c>
      <c r="L72" s="30" t="str">
        <f>VLOOKUP(K72,[1]VLOOKUP!$A$2:$B$35,2,FALSE)</f>
        <v>华北</v>
      </c>
      <c r="M72" s="6" t="s">
        <v>2424</v>
      </c>
      <c r="N72" s="6" t="s">
        <v>1809</v>
      </c>
      <c r="O72" s="30" t="str">
        <f>VLOOKUP(N72,[1]VLOOKUP!$A$2:$B$35,2,FALSE)</f>
        <v>华东</v>
      </c>
      <c r="P72" s="6"/>
      <c r="Q72" s="6"/>
      <c r="R72" s="6"/>
      <c r="S72" s="6"/>
      <c r="T72" s="6"/>
      <c r="U72" s="6"/>
      <c r="V72" s="6"/>
      <c r="W72" s="6"/>
      <c r="X72" s="6">
        <v>1</v>
      </c>
      <c r="Y72" s="8" t="s">
        <v>16</v>
      </c>
      <c r="Z72" s="7">
        <v>43022</v>
      </c>
      <c r="AA72" s="7">
        <v>43221</v>
      </c>
      <c r="AB72" s="7" t="s">
        <v>2425</v>
      </c>
    </row>
    <row r="73" spans="4:28" ht="24.95" customHeight="1" x14ac:dyDescent="0.3">
      <c r="D73" s="6">
        <f t="shared" si="1"/>
        <v>72</v>
      </c>
      <c r="E73" s="42" t="s">
        <v>2570</v>
      </c>
      <c r="F73" s="42" t="s">
        <v>2571</v>
      </c>
      <c r="G73" s="6" t="s">
        <v>2429</v>
      </c>
      <c r="H73" s="6" t="s">
        <v>2094</v>
      </c>
      <c r="I73" s="30" t="str">
        <f>VLOOKUP(H73,[1]VLOOKUP!$A$2:$B$35,2,FALSE)</f>
        <v>华东</v>
      </c>
      <c r="J73" s="6" t="s">
        <v>2572</v>
      </c>
      <c r="K73" s="6" t="s">
        <v>1826</v>
      </c>
      <c r="L73" s="30" t="str">
        <f>VLOOKUP(K73,[1]VLOOKUP!$A$2:$B$35,2,FALSE)</f>
        <v>东北</v>
      </c>
      <c r="M73" s="6" t="s">
        <v>2182</v>
      </c>
      <c r="N73" s="6" t="s">
        <v>1760</v>
      </c>
      <c r="O73" s="30" t="str">
        <f>VLOOKUP(N73,[1]VLOOKUP!$A$2:$B$35,2,FALSE)</f>
        <v>华北</v>
      </c>
      <c r="P73" s="6"/>
      <c r="Q73" s="6"/>
      <c r="R73" s="6"/>
      <c r="S73" s="6"/>
      <c r="T73" s="6">
        <v>1</v>
      </c>
      <c r="U73" s="8" t="s">
        <v>48</v>
      </c>
      <c r="V73" s="6"/>
      <c r="W73" s="6"/>
      <c r="X73" s="6"/>
      <c r="Y73" s="6"/>
      <c r="Z73" s="7">
        <v>43098</v>
      </c>
      <c r="AA73" s="7">
        <v>43282</v>
      </c>
      <c r="AB73" s="7" t="s">
        <v>2573</v>
      </c>
    </row>
    <row r="74" spans="4:28" ht="24.95" customHeight="1" x14ac:dyDescent="0.3">
      <c r="D74" s="6">
        <f t="shared" si="1"/>
        <v>73</v>
      </c>
      <c r="E74" s="42" t="s">
        <v>2574</v>
      </c>
      <c r="F74" s="42" t="s">
        <v>2575</v>
      </c>
      <c r="G74" s="6" t="s">
        <v>1796</v>
      </c>
      <c r="H74" s="6" t="s">
        <v>1797</v>
      </c>
      <c r="I74" s="30" t="str">
        <f>VLOOKUP(H74,[1]VLOOKUP!$A$2:$B$35,2,FALSE)</f>
        <v>华北</v>
      </c>
      <c r="J74" s="6" t="s">
        <v>1796</v>
      </c>
      <c r="K74" s="6" t="s">
        <v>1797</v>
      </c>
      <c r="L74" s="30" t="str">
        <f>VLOOKUP(K74,[1]VLOOKUP!$A$2:$B$35,2,FALSE)</f>
        <v>华北</v>
      </c>
      <c r="M74" s="6" t="s">
        <v>1895</v>
      </c>
      <c r="N74" s="6" t="s">
        <v>1894</v>
      </c>
      <c r="O74" s="30" t="str">
        <f>VLOOKUP(N74,[1]VLOOKUP!$A$2:$B$35,2,FALSE)</f>
        <v>西南</v>
      </c>
      <c r="P74" s="6"/>
      <c r="Q74" s="6"/>
      <c r="R74" s="6"/>
      <c r="S74" s="6"/>
      <c r="T74" s="6"/>
      <c r="U74" s="6"/>
      <c r="V74" s="6"/>
      <c r="W74" s="6"/>
      <c r="X74" s="6">
        <v>1</v>
      </c>
      <c r="Y74" s="8" t="s">
        <v>16</v>
      </c>
      <c r="Z74" s="7">
        <v>43098</v>
      </c>
      <c r="AA74" s="7">
        <v>43282</v>
      </c>
      <c r="AB74" s="7" t="s">
        <v>2425</v>
      </c>
    </row>
    <row r="75" spans="4:28" ht="24.95" customHeight="1" x14ac:dyDescent="0.3">
      <c r="D75" s="6">
        <f t="shared" si="1"/>
        <v>74</v>
      </c>
      <c r="E75" s="42" t="s">
        <v>2576</v>
      </c>
      <c r="F75" s="42" t="s">
        <v>2577</v>
      </c>
      <c r="G75" s="6" t="s">
        <v>2429</v>
      </c>
      <c r="H75" s="6" t="s">
        <v>2094</v>
      </c>
      <c r="I75" s="30" t="str">
        <f>VLOOKUP(H75,[1]VLOOKUP!$A$2:$B$35,2,FALSE)</f>
        <v>华东</v>
      </c>
      <c r="J75" s="6" t="s">
        <v>2374</v>
      </c>
      <c r="K75" s="6" t="s">
        <v>1760</v>
      </c>
      <c r="L75" s="30" t="str">
        <f>VLOOKUP(K75,[1]VLOOKUP!$A$2:$B$35,2,FALSE)</f>
        <v>华北</v>
      </c>
      <c r="M75" s="6" t="s">
        <v>2336</v>
      </c>
      <c r="N75" s="6" t="s">
        <v>1760</v>
      </c>
      <c r="O75" s="30" t="str">
        <f>VLOOKUP(N75,[1]VLOOKUP!$A$2:$B$35,2,FALSE)</f>
        <v>华北</v>
      </c>
      <c r="P75" s="6">
        <v>1</v>
      </c>
      <c r="Q75" s="8" t="s">
        <v>609</v>
      </c>
      <c r="R75" s="6"/>
      <c r="S75" s="6"/>
      <c r="T75" s="6"/>
      <c r="U75" s="6"/>
      <c r="V75" s="6"/>
      <c r="W75" s="6"/>
      <c r="X75" s="6"/>
      <c r="Y75" s="6"/>
      <c r="Z75" s="7">
        <v>43234</v>
      </c>
      <c r="AA75" s="7">
        <v>43435</v>
      </c>
      <c r="AB75" s="7" t="s">
        <v>2376</v>
      </c>
    </row>
    <row r="76" spans="4:28" ht="24.95" customHeight="1" x14ac:dyDescent="0.3">
      <c r="D76" s="6">
        <f t="shared" si="1"/>
        <v>75</v>
      </c>
      <c r="E76" s="42" t="s">
        <v>2578</v>
      </c>
      <c r="F76" s="42" t="s">
        <v>2579</v>
      </c>
      <c r="G76" s="6" t="s">
        <v>2429</v>
      </c>
      <c r="H76" s="6" t="s">
        <v>2094</v>
      </c>
      <c r="I76" s="30" t="str">
        <f>VLOOKUP(H76,[1]VLOOKUP!$A$2:$B$35,2,FALSE)</f>
        <v>华东</v>
      </c>
      <c r="J76" s="6" t="s">
        <v>2336</v>
      </c>
      <c r="K76" s="6" t="s">
        <v>1760</v>
      </c>
      <c r="L76" s="30" t="str">
        <f>VLOOKUP(K76,[1]VLOOKUP!$A$2:$B$35,2,FALSE)</f>
        <v>华北</v>
      </c>
      <c r="M76" s="6" t="s">
        <v>2374</v>
      </c>
      <c r="N76" s="6" t="s">
        <v>1760</v>
      </c>
      <c r="O76" s="30" t="str">
        <f>VLOOKUP(N76,[1]VLOOKUP!$A$2:$B$35,2,FALSE)</f>
        <v>华北</v>
      </c>
      <c r="P76" s="6">
        <v>1</v>
      </c>
      <c r="Q76" s="8" t="s">
        <v>609</v>
      </c>
      <c r="R76" s="6"/>
      <c r="S76" s="6"/>
      <c r="T76" s="6"/>
      <c r="U76" s="6"/>
      <c r="V76" s="6"/>
      <c r="W76" s="6"/>
      <c r="X76" s="6"/>
      <c r="Y76" s="6"/>
      <c r="Z76" s="7">
        <v>43234</v>
      </c>
      <c r="AA76" s="7">
        <v>43435</v>
      </c>
      <c r="AB76" s="7" t="s">
        <v>2376</v>
      </c>
    </row>
    <row r="77" spans="4:28" ht="24.95" customHeight="1" x14ac:dyDescent="0.3">
      <c r="D77" s="6">
        <f t="shared" si="1"/>
        <v>76</v>
      </c>
      <c r="E77" s="42" t="s">
        <v>2580</v>
      </c>
      <c r="F77" s="42" t="s">
        <v>2581</v>
      </c>
      <c r="G77" s="6" t="s">
        <v>1938</v>
      </c>
      <c r="H77" s="6" t="s">
        <v>1809</v>
      </c>
      <c r="I77" s="30" t="str">
        <f>VLOOKUP(H77,[1]VLOOKUP!$A$2:$B$35,2,FALSE)</f>
        <v>华东</v>
      </c>
      <c r="J77" s="6" t="s">
        <v>1796</v>
      </c>
      <c r="K77" s="6" t="s">
        <v>1797</v>
      </c>
      <c r="L77" s="30" t="str">
        <f>VLOOKUP(K77,[1]VLOOKUP!$A$2:$B$35,2,FALSE)</f>
        <v>华北</v>
      </c>
      <c r="M77" s="6" t="s">
        <v>1816</v>
      </c>
      <c r="N77" s="6" t="s">
        <v>1809</v>
      </c>
      <c r="O77" s="30" t="str">
        <f>VLOOKUP(N77,[1]VLOOKUP!$A$2:$B$35,2,FALSE)</f>
        <v>华东</v>
      </c>
      <c r="P77" s="6"/>
      <c r="Q77" s="6"/>
      <c r="R77" s="6"/>
      <c r="S77" s="6"/>
      <c r="T77" s="6"/>
      <c r="U77" s="6"/>
      <c r="V77" s="6"/>
      <c r="W77" s="6"/>
      <c r="X77" s="6">
        <v>1</v>
      </c>
      <c r="Y77" s="8" t="s">
        <v>16</v>
      </c>
      <c r="Z77" s="7">
        <v>43258</v>
      </c>
      <c r="AA77" s="7">
        <v>43466</v>
      </c>
      <c r="AB77" s="7" t="s">
        <v>2401</v>
      </c>
    </row>
    <row r="78" spans="4:28" ht="24.95" customHeight="1" x14ac:dyDescent="0.3">
      <c r="D78" s="6">
        <f t="shared" si="1"/>
        <v>77</v>
      </c>
      <c r="E78" s="42" t="s">
        <v>2582</v>
      </c>
      <c r="F78" s="42" t="s">
        <v>2583</v>
      </c>
      <c r="G78" s="6" t="s">
        <v>2584</v>
      </c>
      <c r="H78" s="6" t="s">
        <v>1760</v>
      </c>
      <c r="I78" s="30" t="str">
        <f>VLOOKUP(H78,[1]VLOOKUP!$A$2:$B$35,2,FALSE)</f>
        <v>华北</v>
      </c>
      <c r="J78" s="6" t="s">
        <v>2312</v>
      </c>
      <c r="K78" s="6" t="s">
        <v>1760</v>
      </c>
      <c r="L78" s="30" t="str">
        <f>VLOOKUP(K78,[1]VLOOKUP!$A$2:$B$35,2,FALSE)</f>
        <v>华北</v>
      </c>
      <c r="M78" s="6" t="s">
        <v>2391</v>
      </c>
      <c r="N78" s="6" t="s">
        <v>1760</v>
      </c>
      <c r="O78" s="30" t="str">
        <f>VLOOKUP(N78,[1]VLOOKUP!$A$2:$B$35,2,FALSE)</f>
        <v>华北</v>
      </c>
      <c r="P78" s="6"/>
      <c r="Q78" s="6"/>
      <c r="R78" s="6"/>
      <c r="S78" s="6"/>
      <c r="T78" s="6"/>
      <c r="U78" s="6"/>
      <c r="V78" s="6"/>
      <c r="W78" s="6"/>
      <c r="X78" s="6">
        <v>1</v>
      </c>
      <c r="Y78" s="8" t="s">
        <v>25</v>
      </c>
      <c r="Z78" s="7">
        <v>43294</v>
      </c>
      <c r="AA78" s="7">
        <v>43497</v>
      </c>
      <c r="AB78" s="7" t="s">
        <v>2401</v>
      </c>
    </row>
    <row r="79" spans="4:28" ht="24.95" customHeight="1" x14ac:dyDescent="0.3">
      <c r="D79" s="6">
        <f t="shared" si="1"/>
        <v>78</v>
      </c>
      <c r="E79" s="42" t="s">
        <v>2585</v>
      </c>
      <c r="F79" s="42" t="s">
        <v>20</v>
      </c>
      <c r="G79" s="6" t="s">
        <v>1938</v>
      </c>
      <c r="H79" s="6" t="s">
        <v>1809</v>
      </c>
      <c r="I79" s="30" t="str">
        <f>VLOOKUP(H79,[1]VLOOKUP!$A$2:$B$35,2,FALSE)</f>
        <v>华东</v>
      </c>
      <c r="J79" s="6" t="s">
        <v>2390</v>
      </c>
      <c r="K79" s="6" t="s">
        <v>1826</v>
      </c>
      <c r="L79" s="30" t="str">
        <f>VLOOKUP(K79,[1]VLOOKUP!$A$2:$B$35,2,FALSE)</f>
        <v>东北</v>
      </c>
      <c r="M79" s="6" t="s">
        <v>2374</v>
      </c>
      <c r="N79" s="6" t="s">
        <v>1760</v>
      </c>
      <c r="O79" s="30" t="str">
        <f>VLOOKUP(N79,[1]VLOOKUP!$A$2:$B$35,2,FALSE)</f>
        <v>华北</v>
      </c>
      <c r="P79" s="6">
        <v>1</v>
      </c>
      <c r="Q79" s="8" t="s">
        <v>21</v>
      </c>
      <c r="R79" s="6"/>
      <c r="S79" s="6"/>
      <c r="T79" s="6"/>
      <c r="U79" s="6"/>
      <c r="V79" s="6"/>
      <c r="W79" s="6"/>
      <c r="X79" s="6"/>
      <c r="Y79" s="6"/>
      <c r="Z79" s="7">
        <v>43462</v>
      </c>
      <c r="AA79" s="7">
        <v>43647</v>
      </c>
      <c r="AB79" s="7" t="s">
        <v>2376</v>
      </c>
    </row>
    <row r="80" spans="4:28" ht="24.95" customHeight="1" x14ac:dyDescent="0.3">
      <c r="D80" s="6">
        <f t="shared" si="1"/>
        <v>79</v>
      </c>
      <c r="E80" s="42" t="s">
        <v>2586</v>
      </c>
      <c r="F80" s="42" t="s">
        <v>2587</v>
      </c>
      <c r="G80" s="6" t="s">
        <v>1938</v>
      </c>
      <c r="H80" s="6" t="s">
        <v>1809</v>
      </c>
      <c r="I80" s="30" t="str">
        <f>VLOOKUP(H80,[1]VLOOKUP!$A$2:$B$35,2,FALSE)</f>
        <v>华东</v>
      </c>
      <c r="J80" s="6" t="s">
        <v>1796</v>
      </c>
      <c r="K80" s="6" t="s">
        <v>1797</v>
      </c>
      <c r="L80" s="30" t="str">
        <f>VLOOKUP(K80,[1]VLOOKUP!$A$2:$B$35,2,FALSE)</f>
        <v>华北</v>
      </c>
      <c r="M80" s="6" t="s">
        <v>1895</v>
      </c>
      <c r="N80" s="6" t="s">
        <v>1894</v>
      </c>
      <c r="O80" s="30" t="str">
        <f>VLOOKUP(N80,[1]VLOOKUP!$A$2:$B$35,2,FALSE)</f>
        <v>西南</v>
      </c>
      <c r="P80" s="6"/>
      <c r="Q80" s="6"/>
      <c r="R80" s="6"/>
      <c r="S80" s="6"/>
      <c r="T80" s="6"/>
      <c r="U80" s="6"/>
      <c r="V80" s="6"/>
      <c r="W80" s="6"/>
      <c r="X80" s="6">
        <v>1</v>
      </c>
      <c r="Y80" s="8" t="s">
        <v>16</v>
      </c>
      <c r="Z80" s="7">
        <v>43462</v>
      </c>
      <c r="AA80" s="7">
        <v>43647</v>
      </c>
      <c r="AB80" s="7" t="s">
        <v>2425</v>
      </c>
    </row>
    <row r="81" spans="4:28" ht="24.95" customHeight="1" x14ac:dyDescent="0.3">
      <c r="D81" s="6">
        <f t="shared" si="1"/>
        <v>80</v>
      </c>
      <c r="E81" s="42" t="s">
        <v>2588</v>
      </c>
      <c r="F81" s="42" t="s">
        <v>2589</v>
      </c>
      <c r="G81" s="6" t="s">
        <v>1841</v>
      </c>
      <c r="H81" s="6" t="s">
        <v>1797</v>
      </c>
      <c r="I81" s="30" t="str">
        <f>VLOOKUP(H81,[1]VLOOKUP!$A$2:$B$35,2,FALSE)</f>
        <v>华北</v>
      </c>
      <c r="J81" s="6" t="s">
        <v>2590</v>
      </c>
      <c r="K81" s="6" t="s">
        <v>1773</v>
      </c>
      <c r="L81" s="30" t="str">
        <f>VLOOKUP(K81,[1]VLOOKUP!$A$2:$B$35,2,FALSE)</f>
        <v>华东</v>
      </c>
      <c r="M81" s="6" t="s">
        <v>2374</v>
      </c>
      <c r="N81" s="6" t="s">
        <v>1760</v>
      </c>
      <c r="O81" s="30" t="str">
        <f>VLOOKUP(N81,[1]VLOOKUP!$A$2:$B$35,2,FALSE)</f>
        <v>华北</v>
      </c>
      <c r="P81" s="6"/>
      <c r="Q81" s="6"/>
      <c r="R81" s="6">
        <v>1</v>
      </c>
      <c r="S81" s="8" t="s">
        <v>130</v>
      </c>
      <c r="T81" s="6"/>
      <c r="U81" s="6"/>
      <c r="V81" s="6"/>
      <c r="W81" s="6"/>
      <c r="X81" s="6"/>
      <c r="Y81" s="6"/>
      <c r="Z81" s="7">
        <v>43620</v>
      </c>
      <c r="AA81" s="7">
        <v>43739</v>
      </c>
      <c r="AB81" s="7" t="s">
        <v>2376</v>
      </c>
    </row>
    <row r="82" spans="4:28" ht="24.95" customHeight="1" x14ac:dyDescent="0.3">
      <c r="D82" s="6">
        <f t="shared" si="1"/>
        <v>81</v>
      </c>
      <c r="E82" s="42" t="s">
        <v>2591</v>
      </c>
      <c r="F82" s="42" t="s">
        <v>2592</v>
      </c>
      <c r="G82" s="6" t="s">
        <v>2593</v>
      </c>
      <c r="H82" s="6" t="s">
        <v>1760</v>
      </c>
      <c r="I82" s="30" t="str">
        <f>VLOOKUP(H82,[1]VLOOKUP!$A$2:$B$35,2,FALSE)</f>
        <v>华北</v>
      </c>
      <c r="J82" s="6" t="s">
        <v>2513</v>
      </c>
      <c r="K82" s="6" t="s">
        <v>1902</v>
      </c>
      <c r="L82" s="30" t="str">
        <f>VLOOKUP(K82,[1]VLOOKUP!$A$2:$B$35,2,FALSE)</f>
        <v>华东</v>
      </c>
      <c r="M82" s="6" t="s">
        <v>2374</v>
      </c>
      <c r="N82" s="6" t="s">
        <v>1760</v>
      </c>
      <c r="O82" s="30" t="str">
        <f>VLOOKUP(N82,[1]VLOOKUP!$A$2:$B$35,2,FALSE)</f>
        <v>华北</v>
      </c>
      <c r="P82" s="6"/>
      <c r="Q82" s="6"/>
      <c r="R82" s="6">
        <v>1</v>
      </c>
      <c r="S82" s="8" t="s">
        <v>130</v>
      </c>
      <c r="T82" s="6"/>
      <c r="U82" s="6"/>
      <c r="V82" s="6"/>
      <c r="W82" s="6"/>
      <c r="X82" s="6"/>
      <c r="Y82" s="6"/>
      <c r="Z82" s="7">
        <v>43620</v>
      </c>
      <c r="AA82" s="7">
        <v>43831</v>
      </c>
      <c r="AB82" s="7" t="s">
        <v>2376</v>
      </c>
    </row>
    <row r="83" spans="4:28" ht="24.95" customHeight="1" x14ac:dyDescent="0.3">
      <c r="D83" s="6">
        <f t="shared" si="1"/>
        <v>82</v>
      </c>
      <c r="E83" s="42" t="s">
        <v>2594</v>
      </c>
      <c r="F83" s="42" t="s">
        <v>2595</v>
      </c>
      <c r="G83" s="6" t="s">
        <v>2391</v>
      </c>
      <c r="H83" s="6" t="s">
        <v>1760</v>
      </c>
      <c r="I83" s="30" t="str">
        <f>VLOOKUP(H83,[1]VLOOKUP!$A$2:$B$35,2,FALSE)</f>
        <v>华北</v>
      </c>
      <c r="J83" s="6" t="s">
        <v>2596</v>
      </c>
      <c r="K83" s="6" t="s">
        <v>1760</v>
      </c>
      <c r="L83" s="30" t="str">
        <f>VLOOKUP(K83,[1]VLOOKUP!$A$2:$B$35,2,FALSE)</f>
        <v>华北</v>
      </c>
      <c r="M83" s="6" t="s">
        <v>2448</v>
      </c>
      <c r="N83" s="6" t="s">
        <v>1758</v>
      </c>
      <c r="O83" s="30" t="str">
        <f>VLOOKUP(N83,[1]VLOOKUP!$A$2:$B$35,2,FALSE)</f>
        <v>华南</v>
      </c>
      <c r="P83" s="6">
        <v>1</v>
      </c>
      <c r="Q83" s="8" t="s">
        <v>1667</v>
      </c>
      <c r="R83" s="6"/>
      <c r="S83" s="6"/>
      <c r="T83" s="6"/>
      <c r="U83" s="6"/>
      <c r="V83" s="6"/>
      <c r="W83" s="6"/>
      <c r="X83" s="6"/>
      <c r="Y83" s="6"/>
      <c r="Z83" s="7">
        <v>43984</v>
      </c>
      <c r="AA83" s="7">
        <v>44166</v>
      </c>
      <c r="AB83" s="7" t="s">
        <v>2401</v>
      </c>
    </row>
    <row r="84" spans="4:28" ht="24.95" customHeight="1" x14ac:dyDescent="0.3">
      <c r="D84" s="6">
        <f t="shared" si="1"/>
        <v>83</v>
      </c>
      <c r="E84" s="42" t="s">
        <v>2597</v>
      </c>
      <c r="F84" s="42" t="s">
        <v>2598</v>
      </c>
      <c r="G84" s="6" t="s">
        <v>2596</v>
      </c>
      <c r="H84" s="6" t="s">
        <v>1760</v>
      </c>
      <c r="I84" s="30" t="str">
        <f>VLOOKUP(H84,[1]VLOOKUP!$A$2:$B$35,2,FALSE)</f>
        <v>华北</v>
      </c>
      <c r="J84" s="6" t="s">
        <v>2599</v>
      </c>
      <c r="K84" s="6" t="s">
        <v>1880</v>
      </c>
      <c r="L84" s="30" t="str">
        <f>VLOOKUP(K84,[1]VLOOKUP!$A$2:$B$35,2,FALSE)</f>
        <v>华中</v>
      </c>
      <c r="M84" s="6" t="s">
        <v>2391</v>
      </c>
      <c r="N84" s="6" t="s">
        <v>1760</v>
      </c>
      <c r="O84" s="30" t="str">
        <f>VLOOKUP(N84,[1]VLOOKUP!$A$2:$B$35,2,FALSE)</f>
        <v>华北</v>
      </c>
      <c r="P84" s="6"/>
      <c r="Q84" s="6"/>
      <c r="R84" s="6"/>
      <c r="S84" s="6"/>
      <c r="T84" s="6"/>
      <c r="U84" s="6"/>
      <c r="V84" s="6"/>
      <c r="W84" s="6"/>
      <c r="X84" s="6">
        <v>1</v>
      </c>
      <c r="Y84" s="8" t="s">
        <v>16</v>
      </c>
      <c r="Z84" s="7">
        <v>43984</v>
      </c>
      <c r="AA84" s="7">
        <v>44166</v>
      </c>
      <c r="AB84" s="7" t="s">
        <v>2401</v>
      </c>
    </row>
    <row r="85" spans="4:28" ht="24.95" customHeight="1" x14ac:dyDescent="0.3">
      <c r="D85" s="6">
        <f t="shared" si="1"/>
        <v>84</v>
      </c>
      <c r="E85" s="42" t="s">
        <v>2600</v>
      </c>
      <c r="F85" s="42" t="s">
        <v>2601</v>
      </c>
      <c r="G85" s="6" t="s">
        <v>1759</v>
      </c>
      <c r="H85" s="6" t="s">
        <v>1760</v>
      </c>
      <c r="I85" s="30" t="str">
        <f>VLOOKUP(H85,[1]VLOOKUP!$A$2:$B$35,2,FALSE)</f>
        <v>华北</v>
      </c>
      <c r="J85" s="6" t="s">
        <v>2602</v>
      </c>
      <c r="K85" s="6" t="s">
        <v>1826</v>
      </c>
      <c r="L85" s="30" t="str">
        <f>VLOOKUP(K85,[1]VLOOKUP!$A$2:$B$35,2,FALSE)</f>
        <v>东北</v>
      </c>
      <c r="M85" s="6" t="s">
        <v>2457</v>
      </c>
      <c r="N85" s="6" t="s">
        <v>1880</v>
      </c>
      <c r="O85" s="30" t="str">
        <f>VLOOKUP(N85,[1]VLOOKUP!$A$2:$B$35,2,FALSE)</f>
        <v>华中</v>
      </c>
      <c r="P85" s="6"/>
      <c r="Q85" s="6"/>
      <c r="R85" s="6"/>
      <c r="S85" s="6"/>
      <c r="T85" s="6"/>
      <c r="U85" s="6"/>
      <c r="V85" s="6"/>
      <c r="W85" s="6"/>
      <c r="X85" s="6">
        <v>1</v>
      </c>
      <c r="Y85" s="8" t="s">
        <v>16</v>
      </c>
      <c r="Z85" s="7">
        <v>43984</v>
      </c>
      <c r="AA85" s="7">
        <v>44166</v>
      </c>
      <c r="AB85" s="7" t="s">
        <v>2401</v>
      </c>
    </row>
    <row r="86" spans="4:28" ht="24.95" customHeight="1" x14ac:dyDescent="0.3">
      <c r="D86" s="6">
        <f t="shared" si="1"/>
        <v>85</v>
      </c>
      <c r="E86" s="42" t="s">
        <v>2603</v>
      </c>
      <c r="F86" s="42" t="s">
        <v>656</v>
      </c>
      <c r="G86" s="6" t="s">
        <v>1796</v>
      </c>
      <c r="H86" s="6" t="s">
        <v>1797</v>
      </c>
      <c r="I86" s="30" t="str">
        <f>VLOOKUP(H86,[1]VLOOKUP!$A$2:$B$35,2,FALSE)</f>
        <v>华北</v>
      </c>
      <c r="J86" s="6" t="s">
        <v>1938</v>
      </c>
      <c r="K86" s="6" t="s">
        <v>1809</v>
      </c>
      <c r="L86" s="30" t="str">
        <f>VLOOKUP(K86,[1]VLOOKUP!$A$2:$B$35,2,FALSE)</f>
        <v>华东</v>
      </c>
      <c r="M86" s="6" t="s">
        <v>1938</v>
      </c>
      <c r="N86" s="6" t="s">
        <v>1809</v>
      </c>
      <c r="O86" s="30" t="str">
        <f>VLOOKUP(N86,[1]VLOOKUP!$A$2:$B$35,2,FALSE)</f>
        <v>华东</v>
      </c>
      <c r="P86" s="6"/>
      <c r="Q86" s="6"/>
      <c r="R86" s="6"/>
      <c r="S86" s="6"/>
      <c r="T86" s="6"/>
      <c r="U86" s="6"/>
      <c r="V86" s="6"/>
      <c r="W86" s="6"/>
      <c r="X86" s="6">
        <v>1</v>
      </c>
      <c r="Y86" s="8" t="s">
        <v>16</v>
      </c>
      <c r="Z86" s="7">
        <v>44103</v>
      </c>
      <c r="AA86" s="7">
        <v>44287</v>
      </c>
      <c r="AB86" s="7" t="s">
        <v>2425</v>
      </c>
    </row>
    <row r="87" spans="4:28" ht="24.95" customHeight="1" x14ac:dyDescent="0.3">
      <c r="D87" s="6">
        <f t="shared" si="1"/>
        <v>86</v>
      </c>
      <c r="E87" s="42" t="s">
        <v>2604</v>
      </c>
      <c r="F87" s="42" t="s">
        <v>2605</v>
      </c>
      <c r="G87" s="6" t="s">
        <v>2424</v>
      </c>
      <c r="H87" s="6" t="s">
        <v>1809</v>
      </c>
      <c r="I87" s="30" t="str">
        <f>VLOOKUP(H87,[1]VLOOKUP!$A$2:$B$35,2,FALSE)</f>
        <v>华东</v>
      </c>
      <c r="J87" s="6" t="s">
        <v>1796</v>
      </c>
      <c r="K87" s="6" t="s">
        <v>1797</v>
      </c>
      <c r="L87" s="30" t="str">
        <f>VLOOKUP(K87,[1]VLOOKUP!$A$2:$B$35,2,FALSE)</f>
        <v>华北</v>
      </c>
      <c r="M87" s="6" t="s">
        <v>1818</v>
      </c>
      <c r="N87" s="6" t="s">
        <v>1809</v>
      </c>
      <c r="O87" s="30" t="str">
        <f>VLOOKUP(N87,[1]VLOOKUP!$A$2:$B$35,2,FALSE)</f>
        <v>华东</v>
      </c>
      <c r="P87" s="6"/>
      <c r="Q87" s="6"/>
      <c r="R87" s="6"/>
      <c r="S87" s="6"/>
      <c r="T87" s="6"/>
      <c r="U87" s="6"/>
      <c r="V87" s="6"/>
      <c r="W87" s="6"/>
      <c r="X87" s="6">
        <v>1</v>
      </c>
      <c r="Y87" s="8" t="s">
        <v>16</v>
      </c>
      <c r="Z87" s="7">
        <v>44115</v>
      </c>
      <c r="AA87" s="7">
        <v>44317</v>
      </c>
      <c r="AB87" s="7" t="s">
        <v>2425</v>
      </c>
    </row>
    <row r="88" spans="4:28" ht="24.95" customHeight="1" x14ac:dyDescent="0.3">
      <c r="D88" s="6">
        <f t="shared" si="1"/>
        <v>87</v>
      </c>
      <c r="E88" s="42" t="s">
        <v>2606</v>
      </c>
      <c r="F88" s="42" t="s">
        <v>2607</v>
      </c>
      <c r="G88" s="6" t="s">
        <v>2279</v>
      </c>
      <c r="H88" s="6" t="s">
        <v>2058</v>
      </c>
      <c r="I88" s="30" t="str">
        <f>VLOOKUP(H88,[1]VLOOKUP!$A$2:$B$35,2,FALSE)</f>
        <v>西北</v>
      </c>
      <c r="J88" s="6" t="s">
        <v>1964</v>
      </c>
      <c r="K88" s="6" t="s">
        <v>1758</v>
      </c>
      <c r="L88" s="30" t="str">
        <f>VLOOKUP(K88,[1]VLOOKUP!$A$2:$B$35,2,FALSE)</f>
        <v>华南</v>
      </c>
      <c r="M88" s="6" t="s">
        <v>2608</v>
      </c>
      <c r="N88" s="6" t="s">
        <v>2250</v>
      </c>
      <c r="O88" s="30" t="str">
        <f>VLOOKUP(N88,[1]VLOOKUP!$A$2:$B$35,2,FALSE)</f>
        <v>西北</v>
      </c>
      <c r="P88" s="6"/>
      <c r="Q88" s="6"/>
      <c r="R88" s="6">
        <v>1</v>
      </c>
      <c r="S88" s="6" t="s">
        <v>1021</v>
      </c>
      <c r="T88" s="6"/>
      <c r="U88" s="6"/>
      <c r="V88" s="6"/>
      <c r="W88" s="6"/>
      <c r="X88" s="6"/>
      <c r="Y88" s="8"/>
      <c r="Z88" s="7">
        <v>44154</v>
      </c>
      <c r="AA88" s="7">
        <v>44348</v>
      </c>
      <c r="AB88" s="7" t="s">
        <v>2376</v>
      </c>
    </row>
    <row r="89" spans="4:28" ht="24.95" customHeight="1" x14ac:dyDescent="0.3">
      <c r="D89" s="6">
        <f t="shared" si="1"/>
        <v>88</v>
      </c>
      <c r="E89" s="42" t="s">
        <v>2609</v>
      </c>
      <c r="F89" s="42" t="s">
        <v>2610</v>
      </c>
      <c r="G89" s="6" t="s">
        <v>1796</v>
      </c>
      <c r="H89" s="6" t="s">
        <v>1797</v>
      </c>
      <c r="I89" s="30" t="str">
        <f>VLOOKUP(H89,[1]VLOOKUP!$A$2:$B$35,2,FALSE)</f>
        <v>华北</v>
      </c>
      <c r="J89" s="6" t="s">
        <v>1939</v>
      </c>
      <c r="K89" s="6" t="s">
        <v>1809</v>
      </c>
      <c r="L89" s="30" t="str">
        <f>VLOOKUP(K89,[1]VLOOKUP!$A$2:$B$35,2,FALSE)</f>
        <v>华东</v>
      </c>
      <c r="M89" s="6" t="s">
        <v>1938</v>
      </c>
      <c r="N89" s="6" t="s">
        <v>1809</v>
      </c>
      <c r="O89" s="30" t="str">
        <f>VLOOKUP(N89,[1]VLOOKUP!$A$2:$B$35,2,FALSE)</f>
        <v>华东</v>
      </c>
      <c r="P89" s="6"/>
      <c r="Q89" s="6"/>
      <c r="R89" s="6"/>
      <c r="S89" s="6"/>
      <c r="T89" s="6"/>
      <c r="U89" s="6"/>
      <c r="V89" s="6"/>
      <c r="W89" s="6"/>
      <c r="X89" s="6">
        <v>1</v>
      </c>
      <c r="Y89" s="8" t="s">
        <v>16</v>
      </c>
      <c r="Z89" s="7">
        <v>44264</v>
      </c>
      <c r="AA89" s="7">
        <v>44470</v>
      </c>
      <c r="AB89" s="7" t="s">
        <v>2425</v>
      </c>
    </row>
    <row r="90" spans="4:28" ht="24.95" customHeight="1" x14ac:dyDescent="0.3">
      <c r="D90" s="6">
        <f t="shared" si="1"/>
        <v>89</v>
      </c>
      <c r="E90" s="42" t="s">
        <v>2611</v>
      </c>
      <c r="F90" s="42" t="s">
        <v>2612</v>
      </c>
      <c r="G90" s="6" t="s">
        <v>1983</v>
      </c>
      <c r="H90" s="6" t="s">
        <v>1760</v>
      </c>
      <c r="I90" s="30" t="str">
        <f>VLOOKUP(H90,[1]VLOOKUP!$A$2:$B$35,2,FALSE)</f>
        <v>华北</v>
      </c>
      <c r="J90" s="6" t="s">
        <v>2374</v>
      </c>
      <c r="K90" s="6" t="s">
        <v>1760</v>
      </c>
      <c r="L90" s="30" t="str">
        <f>VLOOKUP(K90,[1]VLOOKUP!$A$2:$B$35,2,FALSE)</f>
        <v>华北</v>
      </c>
      <c r="M90" s="6" t="s">
        <v>1964</v>
      </c>
      <c r="N90" s="6" t="s">
        <v>1758</v>
      </c>
      <c r="O90" s="30" t="str">
        <f>VLOOKUP(N90,[1]VLOOKUP!$A$2:$B$35,2,FALSE)</f>
        <v>华南</v>
      </c>
      <c r="P90" s="6">
        <v>1</v>
      </c>
      <c r="Q90" s="6" t="s">
        <v>21</v>
      </c>
      <c r="R90" s="6"/>
      <c r="S90" s="6"/>
      <c r="T90" s="6"/>
      <c r="U90" s="6"/>
      <c r="V90" s="6"/>
      <c r="W90" s="6"/>
      <c r="X90" s="6"/>
      <c r="Y90" s="8"/>
      <c r="Z90" s="7">
        <v>44316</v>
      </c>
      <c r="AA90" s="7">
        <v>44501</v>
      </c>
      <c r="AB90" s="7" t="s">
        <v>2376</v>
      </c>
    </row>
    <row r="91" spans="4:28" ht="24.95" customHeight="1" x14ac:dyDescent="0.3">
      <c r="D91" s="6">
        <f t="shared" si="1"/>
        <v>90</v>
      </c>
      <c r="E91" s="42" t="s">
        <v>2613</v>
      </c>
      <c r="F91" s="42" t="s">
        <v>2614</v>
      </c>
      <c r="G91" s="6" t="s">
        <v>1983</v>
      </c>
      <c r="H91" s="6" t="s">
        <v>1760</v>
      </c>
      <c r="I91" s="30" t="str">
        <f>VLOOKUP(H91,[1]VLOOKUP!$A$2:$B$35,2,FALSE)</f>
        <v>华北</v>
      </c>
      <c r="J91" s="6" t="s">
        <v>2429</v>
      </c>
      <c r="K91" s="6" t="s">
        <v>2094</v>
      </c>
      <c r="L91" s="30" t="str">
        <f>VLOOKUP(K91,[1]VLOOKUP!$A$2:$B$35,2,FALSE)</f>
        <v>华东</v>
      </c>
      <c r="M91" s="6" t="s">
        <v>2615</v>
      </c>
      <c r="N91" s="6" t="s">
        <v>1902</v>
      </c>
      <c r="O91" s="30" t="str">
        <f>VLOOKUP(N91,[1]VLOOKUP!$A$2:$B$35,2,FALSE)</f>
        <v>华东</v>
      </c>
      <c r="P91" s="6"/>
      <c r="Q91" s="6"/>
      <c r="R91" s="6"/>
      <c r="S91" s="6"/>
      <c r="T91" s="6">
        <v>1</v>
      </c>
      <c r="U91" s="6" t="s">
        <v>64</v>
      </c>
      <c r="V91" s="6"/>
      <c r="W91" s="6"/>
      <c r="X91" s="6"/>
      <c r="Y91" s="8"/>
      <c r="Z91" s="7">
        <v>44316</v>
      </c>
      <c r="AA91" s="7">
        <v>44501</v>
      </c>
      <c r="AB91" s="7" t="s">
        <v>2376</v>
      </c>
    </row>
    <row r="92" spans="4:28" ht="24.95" customHeight="1" x14ac:dyDescent="0.3">
      <c r="D92" s="6">
        <f t="shared" si="1"/>
        <v>91</v>
      </c>
      <c r="E92" s="42" t="s">
        <v>2616</v>
      </c>
      <c r="F92" s="42" t="s">
        <v>2617</v>
      </c>
      <c r="G92" s="6" t="s">
        <v>1983</v>
      </c>
      <c r="H92" s="6" t="s">
        <v>1760</v>
      </c>
      <c r="I92" s="30" t="str">
        <f>VLOOKUP(H92,[1]VLOOKUP!$A$2:$B$35,2,FALSE)</f>
        <v>华北</v>
      </c>
      <c r="J92" s="6" t="s">
        <v>2429</v>
      </c>
      <c r="K92" s="6" t="s">
        <v>2094</v>
      </c>
      <c r="L92" s="30" t="str">
        <f>VLOOKUP(K92,[1]VLOOKUP!$A$2:$B$35,2,FALSE)</f>
        <v>华东</v>
      </c>
      <c r="M92" s="6" t="s">
        <v>2374</v>
      </c>
      <c r="N92" s="6" t="s">
        <v>1760</v>
      </c>
      <c r="O92" s="30" t="str">
        <f>VLOOKUP(N92,[1]VLOOKUP!$A$2:$B$35,2,FALSE)</f>
        <v>华北</v>
      </c>
      <c r="P92" s="6"/>
      <c r="Q92" s="6"/>
      <c r="R92" s="6"/>
      <c r="S92" s="6"/>
      <c r="T92" s="6">
        <v>1</v>
      </c>
      <c r="U92" s="6" t="s">
        <v>92</v>
      </c>
      <c r="V92" s="6"/>
      <c r="W92" s="6"/>
      <c r="X92" s="6"/>
      <c r="Y92" s="8"/>
      <c r="Z92" s="7">
        <v>44316</v>
      </c>
      <c r="AA92" s="7">
        <v>44501</v>
      </c>
      <c r="AB92" s="7" t="s">
        <v>2376</v>
      </c>
    </row>
    <row r="93" spans="4:28" ht="24.95" customHeight="1" x14ac:dyDescent="0.3">
      <c r="D93" s="6">
        <f t="shared" si="1"/>
        <v>92</v>
      </c>
      <c r="E93" s="42" t="s">
        <v>2618</v>
      </c>
      <c r="F93" s="42" t="s">
        <v>2619</v>
      </c>
      <c r="G93" s="6" t="s">
        <v>2486</v>
      </c>
      <c r="H93" s="6" t="s">
        <v>1826</v>
      </c>
      <c r="I93" s="30" t="str">
        <f>VLOOKUP(H93,[1]VLOOKUP!$A$2:$B$35,2,FALSE)</f>
        <v>东北</v>
      </c>
      <c r="J93" s="6" t="s">
        <v>2457</v>
      </c>
      <c r="K93" s="6" t="s">
        <v>1880</v>
      </c>
      <c r="L93" s="30" t="str">
        <f>VLOOKUP(K93,[1]VLOOKUP!$A$2:$B$35,2,FALSE)</f>
        <v>华中</v>
      </c>
      <c r="M93" s="6" t="s">
        <v>2391</v>
      </c>
      <c r="N93" s="6" t="s">
        <v>1760</v>
      </c>
      <c r="O93" s="30" t="str">
        <f>VLOOKUP(N93,[1]VLOOKUP!$A$2:$B$35,2,FALSE)</f>
        <v>华北</v>
      </c>
      <c r="P93" s="6"/>
      <c r="Q93" s="6"/>
      <c r="R93" s="6"/>
      <c r="S93" s="6"/>
      <c r="T93" s="6"/>
      <c r="U93" s="6"/>
      <c r="V93" s="6"/>
      <c r="W93" s="6"/>
      <c r="X93" s="6">
        <v>1</v>
      </c>
      <c r="Y93" s="8" t="s">
        <v>16</v>
      </c>
      <c r="Z93" s="7">
        <v>44561</v>
      </c>
      <c r="AA93" s="7">
        <v>44743</v>
      </c>
      <c r="AB93" s="7" t="s">
        <v>2401</v>
      </c>
    </row>
    <row r="94" spans="4:28" ht="24.95" customHeight="1" x14ac:dyDescent="0.3">
      <c r="D94" s="6">
        <f t="shared" si="1"/>
        <v>93</v>
      </c>
      <c r="E94" s="42" t="s">
        <v>2620</v>
      </c>
      <c r="F94" s="42" t="s">
        <v>2621</v>
      </c>
      <c r="G94" s="6" t="s">
        <v>2622</v>
      </c>
      <c r="H94" s="6" t="s">
        <v>1773</v>
      </c>
      <c r="I94" s="30" t="str">
        <f>VLOOKUP(H94,[1]VLOOKUP!$A$2:$B$35,2,FALSE)</f>
        <v>华东</v>
      </c>
      <c r="J94" s="6" t="s">
        <v>2390</v>
      </c>
      <c r="K94" s="6" t="s">
        <v>1826</v>
      </c>
      <c r="L94" s="30" t="str">
        <f>VLOOKUP(K94,[1]VLOOKUP!$A$2:$B$35,2,FALSE)</f>
        <v>东北</v>
      </c>
      <c r="M94" s="6" t="s">
        <v>2543</v>
      </c>
      <c r="N94" s="6" t="s">
        <v>1809</v>
      </c>
      <c r="O94" s="30" t="str">
        <f>VLOOKUP(N94,[1]VLOOKUP!$A$2:$B$35,2,FALSE)</f>
        <v>华东</v>
      </c>
      <c r="P94" s="6"/>
      <c r="Q94" s="6"/>
      <c r="R94" s="6"/>
      <c r="S94" s="6"/>
      <c r="T94" s="6"/>
      <c r="U94" s="6"/>
      <c r="V94" s="6"/>
      <c r="W94" s="6"/>
      <c r="X94" s="6">
        <v>1</v>
      </c>
      <c r="Y94" s="8" t="s">
        <v>58</v>
      </c>
      <c r="Z94" s="7">
        <v>44629</v>
      </c>
      <c r="AA94" s="7">
        <v>44835</v>
      </c>
      <c r="AB94" s="7" t="s">
        <v>2401</v>
      </c>
    </row>
    <row r="95" spans="4:28" ht="24.95" customHeight="1" x14ac:dyDescent="0.3">
      <c r="D95" s="6">
        <f t="shared" si="1"/>
        <v>94</v>
      </c>
      <c r="E95" s="42" t="s">
        <v>2623</v>
      </c>
      <c r="F95" s="42" t="s">
        <v>2624</v>
      </c>
      <c r="G95" s="6" t="s">
        <v>2432</v>
      </c>
      <c r="H95" s="6" t="s">
        <v>1809</v>
      </c>
      <c r="I95" s="30" t="str">
        <f>VLOOKUP(H95,[1]VLOOKUP!$A$2:$B$35,2,FALSE)</f>
        <v>华东</v>
      </c>
      <c r="J95" s="6" t="s">
        <v>2391</v>
      </c>
      <c r="K95" s="6" t="s">
        <v>1760</v>
      </c>
      <c r="L95" s="30" t="str">
        <f>VLOOKUP(K95,[1]VLOOKUP!$A$2:$B$35,2,FALSE)</f>
        <v>华北</v>
      </c>
      <c r="M95" s="6" t="s">
        <v>2625</v>
      </c>
      <c r="N95" s="6" t="s">
        <v>1809</v>
      </c>
      <c r="O95" s="30" t="str">
        <f>VLOOKUP(N95,[1]VLOOKUP!$A$2:$B$35,2,FALSE)</f>
        <v>华东</v>
      </c>
      <c r="P95" s="6"/>
      <c r="Q95" s="6"/>
      <c r="R95" s="6"/>
      <c r="S95" s="6"/>
      <c r="T95" s="6"/>
      <c r="U95" s="6"/>
      <c r="V95" s="6"/>
      <c r="W95" s="6"/>
      <c r="X95" s="6">
        <v>1</v>
      </c>
      <c r="Y95" s="8" t="s">
        <v>25</v>
      </c>
      <c r="Z95" s="7">
        <v>44629</v>
      </c>
      <c r="AA95" s="7">
        <v>44835</v>
      </c>
      <c r="AB95" s="7" t="s">
        <v>2401</v>
      </c>
    </row>
    <row r="96" spans="4:28" ht="24.95" customHeight="1" x14ac:dyDescent="0.3">
      <c r="D96" s="6">
        <f t="shared" si="1"/>
        <v>95</v>
      </c>
      <c r="E96" s="42" t="s">
        <v>2626</v>
      </c>
      <c r="F96" s="42" t="s">
        <v>2627</v>
      </c>
      <c r="G96" s="6" t="s">
        <v>2390</v>
      </c>
      <c r="H96" s="6" t="s">
        <v>1826</v>
      </c>
      <c r="I96" s="30" t="str">
        <f>VLOOKUP(H96,[1]VLOOKUP!$A$2:$B$35,2,FALSE)</f>
        <v>东北</v>
      </c>
      <c r="J96" s="6" t="s">
        <v>2391</v>
      </c>
      <c r="K96" s="6" t="s">
        <v>1760</v>
      </c>
      <c r="L96" s="30" t="str">
        <f>VLOOKUP(K96,[1]VLOOKUP!$A$2:$B$35,2,FALSE)</f>
        <v>华北</v>
      </c>
      <c r="M96" s="6" t="s">
        <v>2457</v>
      </c>
      <c r="N96" s="6" t="s">
        <v>1880</v>
      </c>
      <c r="O96" s="30" t="str">
        <f>VLOOKUP(N96,[1]VLOOKUP!$A$2:$B$35,2,FALSE)</f>
        <v>华中</v>
      </c>
      <c r="P96" s="6"/>
      <c r="Q96" s="6"/>
      <c r="R96" s="6"/>
      <c r="S96" s="6"/>
      <c r="T96" s="6"/>
      <c r="U96" s="6"/>
      <c r="V96" s="6"/>
      <c r="W96" s="6"/>
      <c r="X96" s="6">
        <v>1</v>
      </c>
      <c r="Y96" s="8" t="s">
        <v>58</v>
      </c>
      <c r="Z96" s="7">
        <v>44629</v>
      </c>
      <c r="AA96" s="7">
        <v>44835</v>
      </c>
      <c r="AB96" s="7" t="s">
        <v>2401</v>
      </c>
    </row>
    <row r="97" spans="1:28" ht="24.95" customHeight="1" x14ac:dyDescent="0.3">
      <c r="D97" s="6">
        <f t="shared" si="1"/>
        <v>96</v>
      </c>
      <c r="E97" s="42" t="s">
        <v>2628</v>
      </c>
      <c r="F97" s="42" t="s">
        <v>2629</v>
      </c>
      <c r="G97" s="6" t="s">
        <v>2390</v>
      </c>
      <c r="H97" s="6" t="s">
        <v>1826</v>
      </c>
      <c r="I97" s="30" t="str">
        <f>VLOOKUP(H97,[1]VLOOKUP!$A$2:$B$35,2,FALSE)</f>
        <v>东北</v>
      </c>
      <c r="J97" s="6" t="s">
        <v>1938</v>
      </c>
      <c r="K97" s="6" t="s">
        <v>1809</v>
      </c>
      <c r="L97" s="30" t="str">
        <f>VLOOKUP(K97,[1]VLOOKUP!$A$2:$B$35,2,FALSE)</f>
        <v>华东</v>
      </c>
      <c r="M97" s="6" t="s">
        <v>2630</v>
      </c>
      <c r="N97" s="6" t="s">
        <v>1760</v>
      </c>
      <c r="O97" s="30" t="str">
        <f>VLOOKUP(N97,[1]VLOOKUP!$A$2:$B$35,2,FALSE)</f>
        <v>华北</v>
      </c>
      <c r="P97" s="6"/>
      <c r="Q97" s="6"/>
      <c r="R97" s="6"/>
      <c r="S97" s="6"/>
      <c r="T97" s="6"/>
      <c r="U97" s="6"/>
      <c r="V97" s="6"/>
      <c r="W97" s="6"/>
      <c r="X97" s="6">
        <v>1</v>
      </c>
      <c r="Y97" s="8" t="s">
        <v>759</v>
      </c>
      <c r="Z97" s="7">
        <v>45144</v>
      </c>
      <c r="AA97" s="7">
        <v>45352</v>
      </c>
      <c r="AB97" s="7" t="s">
        <v>2401</v>
      </c>
    </row>
    <row r="98" spans="1:28" ht="24.95" customHeight="1" x14ac:dyDescent="0.3">
      <c r="D98" s="6">
        <f t="shared" si="1"/>
        <v>97</v>
      </c>
      <c r="E98" s="42" t="s">
        <v>2631</v>
      </c>
      <c r="F98" s="42" t="s">
        <v>2632</v>
      </c>
      <c r="G98" s="6" t="s">
        <v>2390</v>
      </c>
      <c r="H98" s="6" t="s">
        <v>1826</v>
      </c>
      <c r="I98" s="30" t="str">
        <f>VLOOKUP(H98,[1]VLOOKUP!$A$2:$B$35,2,FALSE)</f>
        <v>东北</v>
      </c>
      <c r="J98" s="6" t="s">
        <v>1938</v>
      </c>
      <c r="K98" s="6" t="s">
        <v>1809</v>
      </c>
      <c r="L98" s="30" t="str">
        <f>VLOOKUP(K98,[1]VLOOKUP!$A$2:$B$35,2,FALSE)</f>
        <v>华东</v>
      </c>
      <c r="M98" s="6" t="s">
        <v>2630</v>
      </c>
      <c r="N98" s="6" t="s">
        <v>1760</v>
      </c>
      <c r="O98" s="30" t="str">
        <f>VLOOKUP(N98,[1]VLOOKUP!$A$2:$B$35,2,FALSE)</f>
        <v>华北</v>
      </c>
      <c r="P98" s="6"/>
      <c r="Q98" s="6"/>
      <c r="R98" s="6"/>
      <c r="S98" s="6"/>
      <c r="T98" s="6"/>
      <c r="U98" s="6"/>
      <c r="V98" s="6"/>
      <c r="W98" s="6"/>
      <c r="X98" s="6">
        <v>1</v>
      </c>
      <c r="Y98" s="8" t="s">
        <v>759</v>
      </c>
      <c r="Z98" s="7">
        <v>45176</v>
      </c>
      <c r="AA98" s="7">
        <v>45383</v>
      </c>
      <c r="AB98" s="7" t="s">
        <v>2401</v>
      </c>
    </row>
    <row r="99" spans="1:28" ht="24.95" customHeight="1" x14ac:dyDescent="0.3">
      <c r="D99" s="6">
        <f t="shared" si="1"/>
        <v>98</v>
      </c>
      <c r="E99" s="42" t="s">
        <v>2633</v>
      </c>
      <c r="F99" s="42" t="s">
        <v>2634</v>
      </c>
      <c r="G99" s="6" t="s">
        <v>2635</v>
      </c>
      <c r="H99" s="6" t="s">
        <v>1760</v>
      </c>
      <c r="I99" s="30" t="str">
        <f>VLOOKUP(H99,[1]VLOOKUP!$A$2:$B$35,2,FALSE)</f>
        <v>华北</v>
      </c>
      <c r="J99" s="6" t="s">
        <v>2374</v>
      </c>
      <c r="K99" s="6" t="s">
        <v>1760</v>
      </c>
      <c r="L99" s="30" t="str">
        <f>VLOOKUP(K99,[1]VLOOKUP!$A$2:$B$35,2,FALSE)</f>
        <v>华北</v>
      </c>
      <c r="M99" s="6" t="s">
        <v>1964</v>
      </c>
      <c r="N99" s="6" t="s">
        <v>1758</v>
      </c>
      <c r="O99" s="30" t="str">
        <f>VLOOKUP(N99,[1]VLOOKUP!$A$2:$B$35,2,FALSE)</f>
        <v>华南</v>
      </c>
      <c r="P99" s="6"/>
      <c r="Q99" s="6"/>
      <c r="R99" s="6"/>
      <c r="S99" s="6"/>
      <c r="T99" s="6"/>
      <c r="U99" s="6"/>
      <c r="V99" s="6">
        <v>1</v>
      </c>
      <c r="W99" s="6" t="s">
        <v>54</v>
      </c>
      <c r="X99" s="6"/>
      <c r="Y99" s="8"/>
      <c r="Z99" s="7">
        <v>44846</v>
      </c>
      <c r="AA99" s="7">
        <v>44846</v>
      </c>
      <c r="AB99" s="7" t="s">
        <v>2376</v>
      </c>
    </row>
    <row r="100" spans="1:28" ht="24.95" customHeight="1" x14ac:dyDescent="0.3">
      <c r="D100" s="6">
        <f t="shared" si="1"/>
        <v>99</v>
      </c>
      <c r="E100" s="42" t="s">
        <v>2636</v>
      </c>
      <c r="F100" s="42" t="s">
        <v>2637</v>
      </c>
      <c r="G100" s="6" t="s">
        <v>2429</v>
      </c>
      <c r="H100" s="6" t="s">
        <v>2094</v>
      </c>
      <c r="I100" s="30" t="str">
        <f>VLOOKUP(H100,[1]VLOOKUP!$A$2:$B$35,2,FALSE)</f>
        <v>华东</v>
      </c>
      <c r="J100" s="6" t="s">
        <v>2374</v>
      </c>
      <c r="K100" s="6" t="s">
        <v>1760</v>
      </c>
      <c r="L100" s="30" t="str">
        <f>VLOOKUP(K100,[1]VLOOKUP!$A$2:$B$35,2,FALSE)</f>
        <v>华北</v>
      </c>
      <c r="M100" s="6" t="s">
        <v>2336</v>
      </c>
      <c r="N100" s="6" t="s">
        <v>1760</v>
      </c>
      <c r="O100" s="30" t="str">
        <f>VLOOKUP(N100,[1]VLOOKUP!$A$2:$B$35,2,FALSE)</f>
        <v>华北</v>
      </c>
      <c r="P100" s="6">
        <v>1</v>
      </c>
      <c r="Q100" s="6" t="s">
        <v>609</v>
      </c>
      <c r="R100" s="6"/>
      <c r="S100" s="6"/>
      <c r="T100" s="6"/>
      <c r="U100" s="6"/>
      <c r="V100" s="6"/>
      <c r="W100" s="6"/>
      <c r="X100" s="6"/>
      <c r="Y100" s="8"/>
      <c r="Z100" s="7">
        <v>44925</v>
      </c>
      <c r="AA100" s="7">
        <v>45017</v>
      </c>
      <c r="AB100" s="7" t="s">
        <v>2376</v>
      </c>
    </row>
    <row r="101" spans="1:28" ht="24.95" customHeight="1" x14ac:dyDescent="0.3">
      <c r="D101" s="6">
        <f t="shared" si="1"/>
        <v>100</v>
      </c>
      <c r="E101" s="42" t="s">
        <v>2638</v>
      </c>
      <c r="F101" s="42" t="s">
        <v>2639</v>
      </c>
      <c r="G101" s="6" t="s">
        <v>2429</v>
      </c>
      <c r="H101" s="6" t="s">
        <v>2094</v>
      </c>
      <c r="I101" s="30" t="str">
        <f>VLOOKUP(H101,[1]VLOOKUP!$A$2:$B$35,2,FALSE)</f>
        <v>华东</v>
      </c>
      <c r="J101" s="6" t="s">
        <v>2336</v>
      </c>
      <c r="K101" s="6" t="s">
        <v>1760</v>
      </c>
      <c r="L101" s="30" t="str">
        <f>VLOOKUP(K101,[1]VLOOKUP!$A$2:$B$35,2,FALSE)</f>
        <v>华北</v>
      </c>
      <c r="M101" s="6" t="s">
        <v>1964</v>
      </c>
      <c r="N101" s="6" t="s">
        <v>1758</v>
      </c>
      <c r="O101" s="30" t="str">
        <f>VLOOKUP(N101,[1]VLOOKUP!$A$2:$B$35,2,FALSE)</f>
        <v>华南</v>
      </c>
      <c r="P101" s="6"/>
      <c r="Q101" s="6"/>
      <c r="R101" s="6"/>
      <c r="S101" s="6"/>
      <c r="T101" s="6"/>
      <c r="U101" s="6"/>
      <c r="V101" s="6">
        <v>1</v>
      </c>
      <c r="W101" s="6" t="s">
        <v>54</v>
      </c>
      <c r="X101" s="6"/>
      <c r="Y101" s="8"/>
      <c r="Z101" s="7">
        <v>44925</v>
      </c>
      <c r="AA101" s="7">
        <v>45017</v>
      </c>
      <c r="AB101" s="7" t="s">
        <v>2376</v>
      </c>
    </row>
    <row r="102" spans="1:28" ht="24.95" customHeight="1" x14ac:dyDescent="0.3">
      <c r="D102" s="6">
        <f t="shared" si="1"/>
        <v>101</v>
      </c>
      <c r="E102" s="42" t="s">
        <v>2640</v>
      </c>
      <c r="F102" s="42" t="s">
        <v>2641</v>
      </c>
      <c r="G102" s="6" t="s">
        <v>1938</v>
      </c>
      <c r="H102" s="6" t="s">
        <v>1809</v>
      </c>
      <c r="I102" s="30" t="str">
        <f>VLOOKUP(H102,[1]VLOOKUP!$A$2:$B$35,2,FALSE)</f>
        <v>华东</v>
      </c>
      <c r="J102" s="6" t="s">
        <v>2233</v>
      </c>
      <c r="K102" s="6" t="s">
        <v>1797</v>
      </c>
      <c r="L102" s="30" t="str">
        <f>VLOOKUP(K102,[1]VLOOKUP!$A$2:$B$35,2,FALSE)</f>
        <v>华北</v>
      </c>
      <c r="M102" s="6" t="s">
        <v>1796</v>
      </c>
      <c r="N102" s="6" t="s">
        <v>1797</v>
      </c>
      <c r="O102" s="30" t="str">
        <f>VLOOKUP(N102,[1]VLOOKUP!$A$2:$B$35,2,FALSE)</f>
        <v>华北</v>
      </c>
      <c r="P102" s="6"/>
      <c r="Q102" s="6"/>
      <c r="R102" s="6"/>
      <c r="S102" s="6"/>
      <c r="T102" s="6"/>
      <c r="U102" s="6"/>
      <c r="V102" s="6"/>
      <c r="W102" s="6"/>
      <c r="X102" s="6">
        <v>1</v>
      </c>
      <c r="Y102" s="8" t="s">
        <v>16</v>
      </c>
      <c r="Z102" s="7">
        <v>44925</v>
      </c>
      <c r="AA102" s="7">
        <v>45108</v>
      </c>
      <c r="AB102" s="7" t="s">
        <v>2425</v>
      </c>
    </row>
    <row r="103" spans="1:28" ht="24.95" customHeight="1" x14ac:dyDescent="0.3">
      <c r="D103" s="6">
        <f t="shared" si="1"/>
        <v>102</v>
      </c>
      <c r="E103" s="42" t="s">
        <v>2642</v>
      </c>
      <c r="F103" s="42" t="s">
        <v>2643</v>
      </c>
      <c r="G103" s="6" t="s">
        <v>2644</v>
      </c>
      <c r="H103" s="6" t="s">
        <v>1760</v>
      </c>
      <c r="I103" s="30" t="str">
        <f>VLOOKUP(H103,[1]VLOOKUP!$A$2:$B$35,2,FALSE)</f>
        <v>华北</v>
      </c>
      <c r="J103" s="6" t="s">
        <v>2645</v>
      </c>
      <c r="K103" s="6" t="s">
        <v>1880</v>
      </c>
      <c r="L103" s="30" t="str">
        <f>VLOOKUP(K103,[1]VLOOKUP!$A$2:$B$35,2,FALSE)</f>
        <v>华中</v>
      </c>
      <c r="M103" s="6" t="s">
        <v>2646</v>
      </c>
      <c r="N103" s="6" t="s">
        <v>2094</v>
      </c>
      <c r="O103" s="30" t="str">
        <f>VLOOKUP(N103,[1]VLOOKUP!$A$2:$B$35,2,FALSE)</f>
        <v>华东</v>
      </c>
      <c r="P103" s="6">
        <v>1</v>
      </c>
      <c r="Q103" s="6" t="s">
        <v>609</v>
      </c>
      <c r="R103" s="6"/>
      <c r="S103" s="6"/>
      <c r="T103" s="6"/>
      <c r="U103" s="6"/>
      <c r="V103" s="6"/>
      <c r="W103" s="6"/>
      <c r="X103" s="6"/>
      <c r="Y103" s="8"/>
      <c r="Z103" s="7">
        <v>44561</v>
      </c>
      <c r="AA103" s="7">
        <v>44743</v>
      </c>
      <c r="AB103" s="7" t="s">
        <v>2647</v>
      </c>
    </row>
    <row r="104" spans="1:28" ht="24.95" customHeight="1" x14ac:dyDescent="0.3">
      <c r="A104" s="31"/>
      <c r="B104" s="31"/>
      <c r="D104" s="6">
        <f t="shared" si="1"/>
        <v>103</v>
      </c>
      <c r="E104" s="42" t="s">
        <v>2648</v>
      </c>
      <c r="F104" s="42" t="s">
        <v>2649</v>
      </c>
      <c r="G104" s="6" t="s">
        <v>2432</v>
      </c>
      <c r="H104" s="6" t="s">
        <v>1809</v>
      </c>
      <c r="I104" s="30" t="str">
        <f>VLOOKUP(H104,[1]VLOOKUP!$A$2:$B$35,2,FALSE)</f>
        <v>华东</v>
      </c>
      <c r="J104" s="6" t="s">
        <v>2390</v>
      </c>
      <c r="K104" s="6" t="s">
        <v>1826</v>
      </c>
      <c r="L104" s="30" t="str">
        <f>VLOOKUP(K104,[1]VLOOKUP!$A$2:$B$35,2,FALSE)</f>
        <v>东北</v>
      </c>
      <c r="M104" s="6" t="s">
        <v>2326</v>
      </c>
      <c r="N104" s="6" t="s">
        <v>1809</v>
      </c>
      <c r="O104" s="30" t="str">
        <f>VLOOKUP(N104,[1]VLOOKUP!$A$2:$B$35,2,FALSE)</f>
        <v>华东</v>
      </c>
      <c r="P104" s="6"/>
      <c r="Q104" s="6"/>
      <c r="R104" s="6"/>
      <c r="S104" s="6"/>
      <c r="T104" s="6"/>
      <c r="U104" s="6"/>
      <c r="V104" s="6"/>
      <c r="W104" s="6"/>
      <c r="X104" s="6">
        <v>1</v>
      </c>
      <c r="Y104" s="8" t="s">
        <v>58</v>
      </c>
      <c r="Z104" s="7">
        <v>45002</v>
      </c>
      <c r="AA104" s="7">
        <v>45200</v>
      </c>
      <c r="AB104" s="7" t="s">
        <v>2401</v>
      </c>
    </row>
    <row r="105" spans="1:28" ht="24.95" customHeight="1" x14ac:dyDescent="0.3">
      <c r="A105" s="31"/>
      <c r="B105" s="31"/>
      <c r="D105" s="6">
        <f t="shared" si="1"/>
        <v>104</v>
      </c>
      <c r="E105" s="42" t="s">
        <v>2650</v>
      </c>
      <c r="F105" s="42" t="s">
        <v>2651</v>
      </c>
      <c r="G105" s="6" t="s">
        <v>2429</v>
      </c>
      <c r="H105" s="6" t="s">
        <v>2094</v>
      </c>
      <c r="I105" s="30" t="str">
        <f>VLOOKUP(H105,[1]VLOOKUP!$A$2:$B$35,2,FALSE)</f>
        <v>华东</v>
      </c>
      <c r="J105" s="6" t="s">
        <v>1796</v>
      </c>
      <c r="K105" s="6" t="s">
        <v>1797</v>
      </c>
      <c r="L105" s="30" t="str">
        <f>VLOOKUP(K105,[1]VLOOKUP!$A$2:$B$35,2,FALSE)</f>
        <v>华北</v>
      </c>
      <c r="M105" s="6" t="s">
        <v>2233</v>
      </c>
      <c r="N105" s="6" t="s">
        <v>1797</v>
      </c>
      <c r="O105" s="30" t="str">
        <f>VLOOKUP(N105,[1]VLOOKUP!$A$2:$B$35,2,FALSE)</f>
        <v>华北</v>
      </c>
      <c r="P105" s="6"/>
      <c r="Q105" s="6"/>
      <c r="R105" s="6"/>
      <c r="S105" s="6"/>
      <c r="T105" s="6"/>
      <c r="U105" s="6"/>
      <c r="V105" s="6"/>
      <c r="W105" s="6"/>
      <c r="X105" s="6">
        <v>1</v>
      </c>
      <c r="Y105" s="8" t="s">
        <v>16</v>
      </c>
      <c r="Z105" s="7">
        <v>45257</v>
      </c>
      <c r="AA105" s="7">
        <v>45257</v>
      </c>
      <c r="AB105" s="7" t="s">
        <v>2425</v>
      </c>
    </row>
    <row r="106" spans="1:28" ht="24.95" customHeight="1" x14ac:dyDescent="0.3">
      <c r="A106" s="31"/>
      <c r="B106" s="31"/>
      <c r="D106" s="6">
        <f t="shared" si="1"/>
        <v>105</v>
      </c>
      <c r="E106" s="42" t="s">
        <v>2652</v>
      </c>
      <c r="F106" s="42" t="s">
        <v>2653</v>
      </c>
      <c r="G106" s="6" t="s">
        <v>1796</v>
      </c>
      <c r="H106" s="6" t="s">
        <v>1797</v>
      </c>
      <c r="I106" s="30" t="str">
        <f>VLOOKUP(H106,[1]VLOOKUP!$A$2:$B$35,2,FALSE)</f>
        <v>华北</v>
      </c>
      <c r="J106" s="6" t="s">
        <v>1938</v>
      </c>
      <c r="K106" s="6" t="s">
        <v>1809</v>
      </c>
      <c r="L106" s="30" t="str">
        <f>VLOOKUP(K106,[1]VLOOKUP!$A$2:$B$35,2,FALSE)</f>
        <v>华东</v>
      </c>
      <c r="M106" s="6" t="s">
        <v>2451</v>
      </c>
      <c r="N106" s="6" t="s">
        <v>1809</v>
      </c>
      <c r="O106" s="30" t="str">
        <f>VLOOKUP(N106,[1]VLOOKUP!$A$2:$B$35,2,FALSE)</f>
        <v>华东</v>
      </c>
      <c r="P106" s="6"/>
      <c r="Q106" s="6"/>
      <c r="R106" s="6"/>
      <c r="S106" s="6"/>
      <c r="T106" s="6"/>
      <c r="U106" s="6"/>
      <c r="V106" s="6"/>
      <c r="W106" s="6"/>
      <c r="X106" s="6">
        <v>1</v>
      </c>
      <c r="Y106" s="8" t="s">
        <v>16</v>
      </c>
      <c r="Z106" s="7">
        <v>45257</v>
      </c>
      <c r="AA106" s="7">
        <v>45257</v>
      </c>
      <c r="AB106" s="7" t="s">
        <v>2425</v>
      </c>
    </row>
    <row r="107" spans="1:28" ht="24.95" customHeight="1" x14ac:dyDescent="0.3">
      <c r="A107" s="31"/>
      <c r="B107" s="31"/>
      <c r="D107" s="6">
        <f t="shared" si="1"/>
        <v>106</v>
      </c>
      <c r="E107" s="42" t="s">
        <v>2654</v>
      </c>
      <c r="F107" s="42" t="s">
        <v>2655</v>
      </c>
      <c r="G107" s="6" t="s">
        <v>2233</v>
      </c>
      <c r="H107" s="6" t="s">
        <v>1797</v>
      </c>
      <c r="I107" s="30" t="str">
        <f>VLOOKUP(H107,[1]VLOOKUP!$A$2:$B$35,2,FALSE)</f>
        <v>华北</v>
      </c>
      <c r="J107" s="6" t="s">
        <v>1796</v>
      </c>
      <c r="K107" s="6" t="s">
        <v>1797</v>
      </c>
      <c r="L107" s="30" t="str">
        <f>VLOOKUP(K107,[1]VLOOKUP!$A$2:$B$35,2,FALSE)</f>
        <v>华北</v>
      </c>
      <c r="M107" s="6" t="s">
        <v>2451</v>
      </c>
      <c r="N107" s="6" t="s">
        <v>1809</v>
      </c>
      <c r="O107" s="30" t="str">
        <f>VLOOKUP(N107,[1]VLOOKUP!$A$2:$B$35,2,FALSE)</f>
        <v>华东</v>
      </c>
      <c r="P107" s="6"/>
      <c r="Q107" s="6"/>
      <c r="R107" s="6"/>
      <c r="S107" s="6"/>
      <c r="T107" s="6"/>
      <c r="U107" s="6"/>
      <c r="V107" s="6"/>
      <c r="W107" s="6"/>
      <c r="X107" s="6">
        <v>1</v>
      </c>
      <c r="Y107" s="8" t="s">
        <v>16</v>
      </c>
      <c r="Z107" s="7">
        <v>45257</v>
      </c>
      <c r="AA107" s="7">
        <v>45257</v>
      </c>
      <c r="AB107" s="7" t="s">
        <v>2425</v>
      </c>
    </row>
    <row r="108" spans="1:28" ht="24.95" customHeight="1" x14ac:dyDescent="0.3">
      <c r="D108" s="6">
        <f t="shared" si="1"/>
        <v>107</v>
      </c>
      <c r="E108" s="42" t="s">
        <v>2656</v>
      </c>
      <c r="F108" s="42" t="s">
        <v>2657</v>
      </c>
      <c r="G108" s="6" t="s">
        <v>2382</v>
      </c>
      <c r="H108" s="6" t="s">
        <v>1989</v>
      </c>
      <c r="I108" s="30" t="str">
        <f>VLOOKUP(H108,[1]VLOOKUP!$A$2:$B$35,2,FALSE)</f>
        <v>西南</v>
      </c>
      <c r="J108" s="6" t="s">
        <v>2374</v>
      </c>
      <c r="K108" s="6" t="s">
        <v>1760</v>
      </c>
      <c r="L108" s="30" t="str">
        <f>VLOOKUP(K108,[1]VLOOKUP!$A$2:$B$35,2,FALSE)</f>
        <v>华北</v>
      </c>
      <c r="M108" s="6" t="s">
        <v>1964</v>
      </c>
      <c r="N108" s="6" t="s">
        <v>1758</v>
      </c>
      <c r="O108" s="30" t="str">
        <f>VLOOKUP(N108,[1]VLOOKUP!$A$2:$B$35,2,FALSE)</f>
        <v>华南</v>
      </c>
      <c r="P108" s="6">
        <v>1</v>
      </c>
      <c r="Q108" s="8" t="s">
        <v>80</v>
      </c>
      <c r="R108" s="6"/>
      <c r="S108" s="6"/>
      <c r="T108" s="6"/>
      <c r="U108" s="6"/>
      <c r="V108" s="6"/>
      <c r="W108" s="6"/>
      <c r="X108" s="6"/>
      <c r="Y108" s="6"/>
      <c r="Z108" s="7">
        <v>45144</v>
      </c>
      <c r="AA108" s="7">
        <v>45261</v>
      </c>
      <c r="AB108" s="7" t="s">
        <v>2376</v>
      </c>
    </row>
    <row r="109" spans="1:28" ht="24.95" customHeight="1" x14ac:dyDescent="0.3">
      <c r="D109" s="6">
        <f t="shared" si="1"/>
        <v>108</v>
      </c>
      <c r="E109" s="42" t="s">
        <v>2658</v>
      </c>
      <c r="F109" s="42" t="s">
        <v>2659</v>
      </c>
      <c r="G109" s="6" t="s">
        <v>2635</v>
      </c>
      <c r="H109" s="6" t="s">
        <v>1760</v>
      </c>
      <c r="I109" s="30" t="str">
        <f>VLOOKUP(H109,[1]VLOOKUP!$A$2:$B$35,2,FALSE)</f>
        <v>华北</v>
      </c>
      <c r="J109" s="6" t="s">
        <v>2374</v>
      </c>
      <c r="K109" s="6" t="s">
        <v>1760</v>
      </c>
      <c r="L109" s="30" t="str">
        <f>VLOOKUP(K109,[1]VLOOKUP!$A$2:$B$35,2,FALSE)</f>
        <v>华北</v>
      </c>
      <c r="M109" s="6" t="s">
        <v>1964</v>
      </c>
      <c r="N109" s="6" t="s">
        <v>1758</v>
      </c>
      <c r="O109" s="30" t="str">
        <f>VLOOKUP(N109,[1]VLOOKUP!$A$2:$B$35,2,FALSE)</f>
        <v>华南</v>
      </c>
      <c r="P109" s="6"/>
      <c r="Q109" s="6"/>
      <c r="R109" s="6"/>
      <c r="S109" s="6"/>
      <c r="T109" s="6"/>
      <c r="U109" s="6"/>
      <c r="V109" s="6">
        <v>1</v>
      </c>
      <c r="W109" s="8" t="s">
        <v>54</v>
      </c>
      <c r="X109" s="6"/>
      <c r="Y109" s="6"/>
      <c r="Z109" s="7">
        <v>45144</v>
      </c>
      <c r="AA109" s="7">
        <v>45261</v>
      </c>
      <c r="AB109" s="7" t="s">
        <v>2376</v>
      </c>
    </row>
    <row r="110" spans="1:28" ht="24.95" customHeight="1" x14ac:dyDescent="0.3">
      <c r="D110" s="6">
        <f t="shared" si="1"/>
        <v>109</v>
      </c>
      <c r="E110" s="42" t="s">
        <v>2660</v>
      </c>
      <c r="F110" s="42" t="s">
        <v>2661</v>
      </c>
      <c r="G110" s="6" t="s">
        <v>2213</v>
      </c>
      <c r="H110" s="6" t="s">
        <v>1880</v>
      </c>
      <c r="I110" s="30" t="str">
        <f>VLOOKUP(H110,[1]VLOOKUP!$A$2:$B$35,2,FALSE)</f>
        <v>华中</v>
      </c>
      <c r="J110" s="6" t="s">
        <v>2214</v>
      </c>
      <c r="K110" s="6" t="s">
        <v>1880</v>
      </c>
      <c r="L110" s="30" t="str">
        <f>VLOOKUP(K110,[1]VLOOKUP!$A$2:$B$35,2,FALSE)</f>
        <v>华中</v>
      </c>
      <c r="M110" s="6" t="s">
        <v>13</v>
      </c>
      <c r="N110" s="6" t="s">
        <v>1760</v>
      </c>
      <c r="O110" s="30" t="str">
        <f>VLOOKUP(N110,[1]VLOOKUP!$A$2:$B$35,2,FALSE)</f>
        <v>华北</v>
      </c>
      <c r="P110" s="6"/>
      <c r="Q110" s="6"/>
      <c r="R110" s="6"/>
      <c r="S110" s="6"/>
      <c r="T110" s="6">
        <v>1</v>
      </c>
      <c r="U110" s="8" t="s">
        <v>48</v>
      </c>
      <c r="V110" s="6"/>
      <c r="W110" s="6"/>
      <c r="X110" s="6"/>
      <c r="Y110" s="6"/>
      <c r="Z110" s="7">
        <v>45069</v>
      </c>
      <c r="AA110" s="7">
        <v>45444</v>
      </c>
      <c r="AB110" s="7" t="s">
        <v>2573</v>
      </c>
    </row>
    <row r="111" spans="1:28" ht="24.95" customHeight="1" x14ac:dyDescent="0.3">
      <c r="D111" s="6">
        <f t="shared" si="1"/>
        <v>110</v>
      </c>
      <c r="E111" s="42" t="s">
        <v>2662</v>
      </c>
      <c r="F111" s="42" t="s">
        <v>2663</v>
      </c>
      <c r="G111" s="6" t="s">
        <v>2182</v>
      </c>
      <c r="H111" s="6" t="s">
        <v>1760</v>
      </c>
      <c r="I111" s="30" t="str">
        <f>VLOOKUP(H111,[1]VLOOKUP!$A$2:$B$35,2,FALSE)</f>
        <v>华北</v>
      </c>
      <c r="J111" s="6" t="s">
        <v>1825</v>
      </c>
      <c r="K111" s="6" t="s">
        <v>1826</v>
      </c>
      <c r="L111" s="30" t="str">
        <f>VLOOKUP(K111,[1]VLOOKUP!$A$2:$B$35,2,FALSE)</f>
        <v>东北</v>
      </c>
      <c r="M111" s="6" t="s">
        <v>2429</v>
      </c>
      <c r="N111" s="6" t="s">
        <v>2094</v>
      </c>
      <c r="O111" s="30" t="str">
        <f>VLOOKUP(N111,[1]VLOOKUP!$A$2:$B$35,2,FALSE)</f>
        <v>华东</v>
      </c>
      <c r="P111" s="6"/>
      <c r="Q111" s="6"/>
      <c r="R111" s="6"/>
      <c r="S111" s="6"/>
      <c r="T111" s="6">
        <v>1</v>
      </c>
      <c r="U111" s="8" t="s">
        <v>48</v>
      </c>
      <c r="V111" s="6"/>
      <c r="W111" s="6"/>
      <c r="X111" s="6"/>
      <c r="Y111" s="6"/>
      <c r="Z111" s="7">
        <v>45069</v>
      </c>
      <c r="AA111" s="7">
        <v>45444</v>
      </c>
      <c r="AB111" s="7" t="s">
        <v>2573</v>
      </c>
    </row>
    <row r="112" spans="1:28" ht="24.95" customHeight="1" x14ac:dyDescent="0.3">
      <c r="D112" s="6">
        <f t="shared" si="1"/>
        <v>111</v>
      </c>
      <c r="E112" s="42" t="s">
        <v>2664</v>
      </c>
      <c r="F112" s="42" t="s">
        <v>2665</v>
      </c>
      <c r="G112" s="6" t="s">
        <v>2666</v>
      </c>
      <c r="H112" s="6" t="s">
        <v>1989</v>
      </c>
      <c r="I112" s="30" t="str">
        <f>VLOOKUP(H112,[1]VLOOKUP!$A$2:$B$35,2,FALSE)</f>
        <v>西南</v>
      </c>
      <c r="J112" s="6" t="s">
        <v>2667</v>
      </c>
      <c r="K112" s="6" t="s">
        <v>1809</v>
      </c>
      <c r="L112" s="30" t="str">
        <f>VLOOKUP(K112,[1]VLOOKUP!$A$2:$B$35,2,FALSE)</f>
        <v>华东</v>
      </c>
      <c r="M112" s="6" t="s">
        <v>2382</v>
      </c>
      <c r="N112" s="6" t="s">
        <v>1989</v>
      </c>
      <c r="O112" s="30" t="str">
        <f>VLOOKUP(N112,[1]VLOOKUP!$A$2:$B$35,2,FALSE)</f>
        <v>西南</v>
      </c>
      <c r="P112" s="6">
        <v>1</v>
      </c>
      <c r="Q112" s="8" t="s">
        <v>21</v>
      </c>
      <c r="R112" s="6"/>
      <c r="S112" s="6"/>
      <c r="T112" s="6"/>
      <c r="U112" s="6"/>
      <c r="V112" s="6"/>
      <c r="W112" s="6"/>
      <c r="X112" s="6"/>
      <c r="Y112" s="6"/>
      <c r="Z112" s="7">
        <v>45257</v>
      </c>
      <c r="AA112" s="7">
        <v>45444</v>
      </c>
      <c r="AB112" s="7" t="s">
        <v>2386</v>
      </c>
    </row>
    <row r="113" spans="4:28" ht="24.95" customHeight="1" x14ac:dyDescent="0.3">
      <c r="D113" s="6">
        <f t="shared" si="1"/>
        <v>112</v>
      </c>
      <c r="E113" s="42" t="s">
        <v>2668</v>
      </c>
      <c r="F113" s="42" t="s">
        <v>2669</v>
      </c>
      <c r="G113" s="6" t="s">
        <v>2635</v>
      </c>
      <c r="H113" s="6" t="s">
        <v>1760</v>
      </c>
      <c r="I113" s="30" t="str">
        <f>VLOOKUP(H113,[1]VLOOKUP!$A$2:$B$35,2,FALSE)</f>
        <v>华北</v>
      </c>
      <c r="J113" s="6" t="s">
        <v>2374</v>
      </c>
      <c r="K113" s="6" t="s">
        <v>1760</v>
      </c>
      <c r="L113" s="30" t="str">
        <f>VLOOKUP(K113,[1]VLOOKUP!$A$2:$B$35,2,FALSE)</f>
        <v>华北</v>
      </c>
      <c r="M113" s="6" t="s">
        <v>1964</v>
      </c>
      <c r="N113" s="6" t="s">
        <v>1758</v>
      </c>
      <c r="O113" s="30" t="str">
        <f>VLOOKUP(N113,[1]VLOOKUP!$A$2:$B$35,2,FALSE)</f>
        <v>华南</v>
      </c>
      <c r="P113" s="6"/>
      <c r="Q113" s="6"/>
      <c r="R113" s="6"/>
      <c r="S113" s="6"/>
      <c r="T113" s="6"/>
      <c r="U113" s="6"/>
      <c r="V113" s="6">
        <v>1</v>
      </c>
      <c r="W113" s="8" t="s">
        <v>108</v>
      </c>
      <c r="X113" s="6"/>
      <c r="Y113" s="6"/>
      <c r="Z113" s="7">
        <v>45366</v>
      </c>
      <c r="AA113" s="7">
        <v>45566</v>
      </c>
      <c r="AB113" s="7" t="s">
        <v>2376</v>
      </c>
    </row>
    <row r="114" spans="4:28" ht="24.95" customHeight="1" x14ac:dyDescent="0.3">
      <c r="D114" s="6">
        <f t="shared" si="1"/>
        <v>113</v>
      </c>
      <c r="E114" s="42" t="s">
        <v>2670</v>
      </c>
      <c r="F114" s="42" t="s">
        <v>2671</v>
      </c>
      <c r="G114" s="6" t="s">
        <v>2486</v>
      </c>
      <c r="H114" s="6" t="s">
        <v>1826</v>
      </c>
      <c r="I114" s="30" t="str">
        <f>VLOOKUP(H114,[1]VLOOKUP!$A$2:$B$35,2,FALSE)</f>
        <v>东北</v>
      </c>
      <c r="J114" s="6" t="s">
        <v>2672</v>
      </c>
      <c r="K114" s="6" t="s">
        <v>1760</v>
      </c>
      <c r="L114" s="30" t="str">
        <f>VLOOKUP(K114,[1]VLOOKUP!$A$2:$B$35,2,FALSE)</f>
        <v>华北</v>
      </c>
      <c r="M114" s="6" t="s">
        <v>2673</v>
      </c>
      <c r="N114" s="6" t="s">
        <v>1760</v>
      </c>
      <c r="O114" s="30" t="str">
        <f>VLOOKUP(N114,[1]VLOOKUP!$A$2:$B$35,2,FALSE)</f>
        <v>华北</v>
      </c>
      <c r="P114" s="6"/>
      <c r="Q114" s="6"/>
      <c r="R114" s="6"/>
      <c r="S114" s="6"/>
      <c r="T114" s="6"/>
      <c r="U114" s="6"/>
      <c r="V114" s="6"/>
      <c r="W114" s="6"/>
      <c r="X114" s="6">
        <v>1</v>
      </c>
      <c r="Y114" s="8" t="s">
        <v>16</v>
      </c>
      <c r="Z114" s="7">
        <v>45366</v>
      </c>
      <c r="AA114" s="7">
        <v>45566</v>
      </c>
      <c r="AB114" s="7" t="s">
        <v>2401</v>
      </c>
    </row>
    <row r="115" spans="4:28" ht="24.95" customHeight="1" x14ac:dyDescent="0.3">
      <c r="D115" s="6">
        <f t="shared" si="1"/>
        <v>114</v>
      </c>
      <c r="E115" s="42" t="s">
        <v>2674</v>
      </c>
      <c r="F115" s="42" t="s">
        <v>2675</v>
      </c>
      <c r="G115" s="6" t="s">
        <v>2676</v>
      </c>
      <c r="H115" s="6" t="s">
        <v>1760</v>
      </c>
      <c r="I115" s="30" t="str">
        <f>VLOOKUP(H115,[1]VLOOKUP!$A$2:$B$35,2,FALSE)</f>
        <v>华北</v>
      </c>
      <c r="J115" s="6" t="s">
        <v>2677</v>
      </c>
      <c r="K115" s="6" t="s">
        <v>1760</v>
      </c>
      <c r="L115" s="30" t="str">
        <f>VLOOKUP(K115,[1]VLOOKUP!$A$2:$B$35,2,FALSE)</f>
        <v>华北</v>
      </c>
      <c r="M115" s="6" t="s">
        <v>2678</v>
      </c>
      <c r="N115" s="6" t="s">
        <v>2094</v>
      </c>
      <c r="O115" s="30" t="str">
        <f>VLOOKUP(N115,[1]VLOOKUP!$A$2:$B$35,2,FALSE)</f>
        <v>华东</v>
      </c>
      <c r="P115" s="6"/>
      <c r="Q115" s="6"/>
      <c r="R115" s="6"/>
      <c r="S115" s="6"/>
      <c r="T115" s="6">
        <v>1</v>
      </c>
      <c r="U115" s="8" t="s">
        <v>92</v>
      </c>
      <c r="V115" s="6"/>
      <c r="W115" s="6"/>
      <c r="X115" s="6"/>
      <c r="Y115" s="6"/>
      <c r="Z115" s="7">
        <v>45407</v>
      </c>
      <c r="AA115" s="7">
        <v>45505</v>
      </c>
      <c r="AB115" s="7" t="s">
        <v>2679</v>
      </c>
    </row>
    <row r="116" spans="4:28" s="32" customFormat="1" ht="24.95" customHeight="1" x14ac:dyDescent="0.3">
      <c r="D116" s="6">
        <f t="shared" si="1"/>
        <v>115</v>
      </c>
      <c r="E116" s="42" t="s">
        <v>2680</v>
      </c>
      <c r="F116" s="42" t="s">
        <v>2681</v>
      </c>
      <c r="G116" s="6" t="s">
        <v>2452</v>
      </c>
      <c r="H116" s="6" t="s">
        <v>1880</v>
      </c>
      <c r="I116" s="30" t="str">
        <f>VLOOKUP(H116,[1]VLOOKUP!$A$2:$B$35,2,FALSE)</f>
        <v>华中</v>
      </c>
      <c r="J116" s="6" t="s">
        <v>1796</v>
      </c>
      <c r="K116" s="6" t="s">
        <v>1797</v>
      </c>
      <c r="L116" s="30" t="str">
        <f>VLOOKUP(K116,[1]VLOOKUP!$A$2:$B$35,2,FALSE)</f>
        <v>华北</v>
      </c>
      <c r="M116" s="6" t="s">
        <v>2682</v>
      </c>
      <c r="N116" s="6" t="s">
        <v>1760</v>
      </c>
      <c r="O116" s="30" t="str">
        <f>VLOOKUP(N116,[1]VLOOKUP!$A$2:$B$35,2,FALSE)</f>
        <v>华北</v>
      </c>
      <c r="P116" s="6"/>
      <c r="Q116" s="6"/>
      <c r="R116" s="6"/>
      <c r="S116" s="6"/>
      <c r="T116" s="6"/>
      <c r="U116" s="6"/>
      <c r="V116" s="6"/>
      <c r="W116" s="6"/>
      <c r="X116" s="6">
        <v>1</v>
      </c>
      <c r="Y116" s="8" t="s">
        <v>16</v>
      </c>
      <c r="Z116" s="7">
        <v>45440</v>
      </c>
      <c r="AA116" s="7">
        <v>45440</v>
      </c>
      <c r="AB116" s="7" t="s">
        <v>2425</v>
      </c>
    </row>
    <row r="117" spans="4:28" s="32" customFormat="1" ht="24.95" customHeight="1" x14ac:dyDescent="0.3">
      <c r="D117" s="6">
        <f t="shared" si="1"/>
        <v>116</v>
      </c>
      <c r="E117" s="42" t="s">
        <v>2683</v>
      </c>
      <c r="F117" s="42" t="s">
        <v>2684</v>
      </c>
      <c r="G117" s="6" t="s">
        <v>2233</v>
      </c>
      <c r="H117" s="6" t="s">
        <v>1797</v>
      </c>
      <c r="I117" s="30" t="str">
        <f>VLOOKUP(H117,[1]VLOOKUP!$A$2:$B$35,2,FALSE)</f>
        <v>华北</v>
      </c>
      <c r="J117" s="6" t="s">
        <v>1796</v>
      </c>
      <c r="K117" s="6" t="s">
        <v>1797</v>
      </c>
      <c r="L117" s="30" t="str">
        <f>VLOOKUP(K117,[1]VLOOKUP!$A$2:$B$35,2,FALSE)</f>
        <v>华北</v>
      </c>
      <c r="M117" s="6" t="s">
        <v>2272</v>
      </c>
      <c r="N117" s="6" t="s">
        <v>1880</v>
      </c>
      <c r="O117" s="30" t="str">
        <f>VLOOKUP(N117,[1]VLOOKUP!$A$2:$B$35,2,FALSE)</f>
        <v>华中</v>
      </c>
      <c r="P117" s="6"/>
      <c r="Q117" s="6"/>
      <c r="R117" s="6"/>
      <c r="S117" s="6"/>
      <c r="T117" s="6"/>
      <c r="U117" s="6"/>
      <c r="V117" s="6"/>
      <c r="W117" s="6"/>
      <c r="X117" s="6">
        <v>1</v>
      </c>
      <c r="Y117" s="8" t="s">
        <v>16</v>
      </c>
      <c r="Z117" s="7">
        <v>45440</v>
      </c>
      <c r="AA117" s="7">
        <v>45440</v>
      </c>
      <c r="AB117" s="7" t="s">
        <v>2425</v>
      </c>
    </row>
    <row r="118" spans="4:28" s="32" customFormat="1" ht="24.95" customHeight="1" x14ac:dyDescent="0.3">
      <c r="D118" s="6">
        <f t="shared" si="1"/>
        <v>117</v>
      </c>
      <c r="E118" s="42" t="s">
        <v>2685</v>
      </c>
      <c r="F118" s="42" t="s">
        <v>2686</v>
      </c>
      <c r="G118" s="6" t="s">
        <v>2687</v>
      </c>
      <c r="H118" s="6" t="s">
        <v>1760</v>
      </c>
      <c r="I118" s="30" t="str">
        <f>VLOOKUP(H118,[1]VLOOKUP!$A$2:$B$35,2,FALSE)</f>
        <v>华北</v>
      </c>
      <c r="J118" s="6" t="s">
        <v>1845</v>
      </c>
      <c r="K118" s="6" t="s">
        <v>1758</v>
      </c>
      <c r="L118" s="30" t="str">
        <f>VLOOKUP(K118,[1]VLOOKUP!$A$2:$B$35,2,FALSE)</f>
        <v>华南</v>
      </c>
      <c r="M118" s="6" t="s">
        <v>2374</v>
      </c>
      <c r="N118" s="6" t="s">
        <v>1760</v>
      </c>
      <c r="O118" s="30" t="str">
        <f>VLOOKUP(N118,[1]VLOOKUP!$A$2:$B$35,2,FALSE)</f>
        <v>华北</v>
      </c>
      <c r="P118" s="6">
        <v>1</v>
      </c>
      <c r="Q118" s="8" t="s">
        <v>21</v>
      </c>
      <c r="R118" s="6"/>
      <c r="S118" s="6"/>
      <c r="T118" s="6"/>
      <c r="U118" s="6"/>
      <c r="V118" s="6"/>
      <c r="W118" s="6"/>
      <c r="X118" s="6"/>
      <c r="Y118" s="6"/>
      <c r="Z118" s="7">
        <v>45497</v>
      </c>
      <c r="AA118" s="7">
        <v>45597</v>
      </c>
      <c r="AB118" s="7" t="s">
        <v>2376</v>
      </c>
    </row>
    <row r="119" spans="4:28" s="32" customFormat="1" ht="24.95" customHeight="1" x14ac:dyDescent="0.3">
      <c r="D119" s="6">
        <f t="shared" si="1"/>
        <v>118</v>
      </c>
      <c r="E119" s="42" t="s">
        <v>2688</v>
      </c>
      <c r="F119" s="42" t="s">
        <v>2689</v>
      </c>
      <c r="G119" s="6" t="s">
        <v>2687</v>
      </c>
      <c r="H119" s="6" t="s">
        <v>1760</v>
      </c>
      <c r="I119" s="30" t="str">
        <f>VLOOKUP(H119,[1]VLOOKUP!$A$2:$B$35,2,FALSE)</f>
        <v>华北</v>
      </c>
      <c r="J119" s="6" t="s">
        <v>2374</v>
      </c>
      <c r="K119" s="6" t="s">
        <v>1760</v>
      </c>
      <c r="L119" s="30" t="str">
        <f>VLOOKUP(K119,[1]VLOOKUP!$A$2:$B$35,2,FALSE)</f>
        <v>华北</v>
      </c>
      <c r="M119" s="6" t="s">
        <v>2023</v>
      </c>
      <c r="N119" s="6" t="s">
        <v>2024</v>
      </c>
      <c r="O119" s="30" t="str">
        <f>VLOOKUP(N119,[1]VLOOKUP!$A$2:$B$35,2,FALSE)</f>
        <v>华北</v>
      </c>
      <c r="P119" s="6">
        <v>1</v>
      </c>
      <c r="Q119" s="8" t="s">
        <v>21</v>
      </c>
      <c r="R119" s="6"/>
      <c r="S119" s="6"/>
      <c r="T119" s="6"/>
      <c r="U119" s="6"/>
      <c r="V119" s="6"/>
      <c r="W119" s="6"/>
      <c r="X119" s="6"/>
      <c r="Y119" s="6"/>
      <c r="Z119" s="7">
        <v>45497</v>
      </c>
      <c r="AA119" s="7">
        <v>45597</v>
      </c>
      <c r="AB119" s="7" t="s">
        <v>2376</v>
      </c>
    </row>
    <row r="120" spans="4:28" ht="24.95" customHeight="1" x14ac:dyDescent="0.3">
      <c r="D120" s="6">
        <f t="shared" si="1"/>
        <v>119</v>
      </c>
      <c r="E120" s="42" t="s">
        <v>2690</v>
      </c>
      <c r="F120" s="42" t="s">
        <v>2691</v>
      </c>
      <c r="G120" s="6" t="s">
        <v>2687</v>
      </c>
      <c r="H120" s="6" t="s">
        <v>1760</v>
      </c>
      <c r="I120" s="30" t="str">
        <f>VLOOKUP(H120,[1]VLOOKUP!$A$2:$B$35,2,FALSE)</f>
        <v>华北</v>
      </c>
      <c r="J120" s="6" t="s">
        <v>2374</v>
      </c>
      <c r="K120" s="6" t="s">
        <v>1760</v>
      </c>
      <c r="L120" s="30" t="str">
        <f>VLOOKUP(K120,[1]VLOOKUP!$A$2:$B$35,2,FALSE)</f>
        <v>华北</v>
      </c>
      <c r="M120" s="6" t="s">
        <v>2071</v>
      </c>
      <c r="N120" s="6" t="s">
        <v>1989</v>
      </c>
      <c r="O120" s="30" t="str">
        <f>VLOOKUP(N120,[1]VLOOKUP!$A$2:$B$35,2,FALSE)</f>
        <v>西南</v>
      </c>
      <c r="P120" s="6">
        <v>1</v>
      </c>
      <c r="Q120" s="8" t="s">
        <v>21</v>
      </c>
      <c r="R120" s="6"/>
      <c r="S120" s="6"/>
      <c r="T120" s="6"/>
      <c r="U120" s="6"/>
      <c r="V120" s="6"/>
      <c r="W120" s="6"/>
      <c r="X120" s="6"/>
      <c r="Y120" s="6"/>
      <c r="Z120" s="7">
        <v>45497</v>
      </c>
      <c r="AA120" s="7">
        <v>45597</v>
      </c>
      <c r="AB120" s="7" t="s">
        <v>2376</v>
      </c>
    </row>
    <row r="121" spans="4:28" ht="24.95" customHeight="1" x14ac:dyDescent="0.3">
      <c r="D121" s="6">
        <f t="shared" si="1"/>
        <v>120</v>
      </c>
      <c r="E121" s="42" t="s">
        <v>2692</v>
      </c>
      <c r="F121" s="42" t="s">
        <v>2693</v>
      </c>
      <c r="G121" s="6" t="s">
        <v>2687</v>
      </c>
      <c r="H121" s="6" t="s">
        <v>1760</v>
      </c>
      <c r="I121" s="30" t="str">
        <f>VLOOKUP(H121,[1]VLOOKUP!$A$2:$B$35,2,FALSE)</f>
        <v>华北</v>
      </c>
      <c r="J121" s="6" t="s">
        <v>2374</v>
      </c>
      <c r="K121" s="6" t="s">
        <v>1760</v>
      </c>
      <c r="L121" s="30" t="str">
        <f>VLOOKUP(K121,[1]VLOOKUP!$A$2:$B$35,2,FALSE)</f>
        <v>华北</v>
      </c>
      <c r="M121" s="6" t="s">
        <v>2694</v>
      </c>
      <c r="N121" s="6" t="s">
        <v>1989</v>
      </c>
      <c r="O121" s="30" t="str">
        <f>VLOOKUP(N121,[1]VLOOKUP!$A$2:$B$35,2,FALSE)</f>
        <v>西南</v>
      </c>
      <c r="P121" s="6">
        <v>1</v>
      </c>
      <c r="Q121" s="8" t="s">
        <v>21</v>
      </c>
      <c r="R121" s="6"/>
      <c r="S121" s="6"/>
      <c r="T121" s="6"/>
      <c r="U121" s="6"/>
      <c r="V121" s="6"/>
      <c r="W121" s="6"/>
      <c r="X121" s="6"/>
      <c r="Y121" s="6"/>
      <c r="Z121" s="7">
        <v>45497</v>
      </c>
      <c r="AA121" s="7">
        <v>45597</v>
      </c>
      <c r="AB121" s="7" t="s">
        <v>2376</v>
      </c>
    </row>
    <row r="122" spans="4:28" ht="24.95" customHeight="1" x14ac:dyDescent="0.3">
      <c r="D122" s="6">
        <f t="shared" si="1"/>
        <v>121</v>
      </c>
      <c r="E122" s="42" t="s">
        <v>2695</v>
      </c>
      <c r="F122" s="42" t="s">
        <v>2696</v>
      </c>
      <c r="G122" s="6" t="s">
        <v>2687</v>
      </c>
      <c r="H122" s="6" t="s">
        <v>1760</v>
      </c>
      <c r="I122" s="30" t="str">
        <f>VLOOKUP(H122,[1]VLOOKUP!$A$2:$B$35,2,FALSE)</f>
        <v>华北</v>
      </c>
      <c r="J122" s="6" t="s">
        <v>2374</v>
      </c>
      <c r="K122" s="6" t="s">
        <v>1760</v>
      </c>
      <c r="L122" s="30" t="str">
        <f>VLOOKUP(K122,[1]VLOOKUP!$A$2:$B$35,2,FALSE)</f>
        <v>华北</v>
      </c>
      <c r="M122" s="6" t="s">
        <v>1845</v>
      </c>
      <c r="N122" s="6" t="s">
        <v>1758</v>
      </c>
      <c r="O122" s="30" t="str">
        <f>VLOOKUP(N122,[1]VLOOKUP!$A$2:$B$35,2,FALSE)</f>
        <v>华南</v>
      </c>
      <c r="P122" s="6">
        <v>1</v>
      </c>
      <c r="Q122" s="8" t="s">
        <v>21</v>
      </c>
      <c r="R122" s="6"/>
      <c r="S122" s="6"/>
      <c r="T122" s="6"/>
      <c r="U122" s="6"/>
      <c r="V122" s="6"/>
      <c r="W122" s="6"/>
      <c r="X122" s="6"/>
      <c r="Y122" s="6"/>
      <c r="Z122" s="7">
        <v>45497</v>
      </c>
      <c r="AA122" s="7">
        <v>45597</v>
      </c>
      <c r="AB122" s="7" t="s">
        <v>2376</v>
      </c>
    </row>
    <row r="123" spans="4:28" ht="24.95" customHeight="1" x14ac:dyDescent="0.3">
      <c r="D123" s="6">
        <f t="shared" si="1"/>
        <v>122</v>
      </c>
      <c r="E123" s="42" t="s">
        <v>2697</v>
      </c>
      <c r="F123" s="42" t="s">
        <v>2698</v>
      </c>
      <c r="G123" s="6" t="s">
        <v>2429</v>
      </c>
      <c r="H123" s="6" t="s">
        <v>2094</v>
      </c>
      <c r="I123" s="30" t="str">
        <f>VLOOKUP(H123,[1]VLOOKUP!$A$2:$B$35,2,FALSE)</f>
        <v>华东</v>
      </c>
      <c r="J123" s="6" t="s">
        <v>2182</v>
      </c>
      <c r="K123" s="6" t="s">
        <v>1760</v>
      </c>
      <c r="L123" s="30" t="str">
        <f>VLOOKUP(K123,[1]VLOOKUP!$A$2:$B$35,2,FALSE)</f>
        <v>华北</v>
      </c>
      <c r="M123" s="6" t="s">
        <v>2183</v>
      </c>
      <c r="N123" s="6" t="s">
        <v>1979</v>
      </c>
      <c r="O123" s="30" t="str">
        <f>VLOOKUP(N123,[1]VLOOKUP!$A$2:$B$35,2,FALSE)</f>
        <v>华东</v>
      </c>
      <c r="P123" s="6"/>
      <c r="Q123" s="6"/>
      <c r="R123" s="6"/>
      <c r="S123" s="6"/>
      <c r="T123" s="6"/>
      <c r="U123" s="6"/>
      <c r="V123" s="6">
        <v>1</v>
      </c>
      <c r="W123" s="8" t="s">
        <v>54</v>
      </c>
      <c r="X123" s="6"/>
      <c r="Y123" s="6"/>
      <c r="Z123" s="7">
        <v>45527</v>
      </c>
      <c r="AA123" s="7">
        <v>45717</v>
      </c>
      <c r="AB123" s="7" t="s">
        <v>2442</v>
      </c>
    </row>
    <row r="124" spans="4:28" s="32" customFormat="1" ht="24.95" customHeight="1" x14ac:dyDescent="0.3">
      <c r="D124" s="6">
        <f t="shared" si="1"/>
        <v>123</v>
      </c>
      <c r="E124" s="42" t="s">
        <v>2699</v>
      </c>
      <c r="F124" s="42" t="s">
        <v>2700</v>
      </c>
      <c r="G124" s="6" t="s">
        <v>2701</v>
      </c>
      <c r="H124" s="6" t="s">
        <v>1760</v>
      </c>
      <c r="I124" s="30" t="str">
        <f>VLOOKUP(H124,[1]VLOOKUP!$A$2:$B$35,2,FALSE)</f>
        <v>华北</v>
      </c>
      <c r="J124" s="6" t="s">
        <v>2702</v>
      </c>
      <c r="K124" s="6" t="s">
        <v>1758</v>
      </c>
      <c r="L124" s="30" t="str">
        <f>VLOOKUP(K124,[1]VLOOKUP!$A$2:$B$35,2,FALSE)</f>
        <v>华南</v>
      </c>
      <c r="M124" s="6" t="s">
        <v>2374</v>
      </c>
      <c r="N124" s="6" t="s">
        <v>1760</v>
      </c>
      <c r="O124" s="30" t="str">
        <f>VLOOKUP(N124,[1]VLOOKUP!$A$2:$B$35,2,FALSE)</f>
        <v>华北</v>
      </c>
      <c r="P124" s="6"/>
      <c r="Q124" s="6"/>
      <c r="R124" s="6"/>
      <c r="S124" s="6"/>
      <c r="T124" s="6">
        <v>1</v>
      </c>
      <c r="U124" s="8" t="s">
        <v>92</v>
      </c>
      <c r="V124" s="6"/>
      <c r="W124" s="6"/>
      <c r="X124" s="6"/>
      <c r="Y124" s="6"/>
      <c r="Z124" s="7">
        <v>45527</v>
      </c>
      <c r="AA124" s="7">
        <v>45627</v>
      </c>
      <c r="AB124" s="7" t="s">
        <v>2376</v>
      </c>
    </row>
    <row r="125" spans="4:28" s="32" customFormat="1" ht="24.95" customHeight="1" x14ac:dyDescent="0.3">
      <c r="D125" s="6">
        <f t="shared" si="1"/>
        <v>124</v>
      </c>
      <c r="E125" s="42" t="s">
        <v>2703</v>
      </c>
      <c r="F125" s="42" t="s">
        <v>2704</v>
      </c>
      <c r="G125" s="6" t="s">
        <v>2705</v>
      </c>
      <c r="H125" s="6" t="s">
        <v>2706</v>
      </c>
      <c r="I125" s="30" t="str">
        <f>VLOOKUP(H125,[1]VLOOKUP!$A$2:$B$35,2,FALSE)</f>
        <v>东北</v>
      </c>
      <c r="J125" s="6" t="s">
        <v>2707</v>
      </c>
      <c r="K125" s="6" t="s">
        <v>1760</v>
      </c>
      <c r="L125" s="30" t="str">
        <f>VLOOKUP(K125,[1]VLOOKUP!$A$2:$B$35,2,FALSE)</f>
        <v>华北</v>
      </c>
      <c r="M125" s="6" t="s">
        <v>1816</v>
      </c>
      <c r="N125" s="6" t="s">
        <v>1809</v>
      </c>
      <c r="O125" s="30" t="str">
        <f>VLOOKUP(N125,[1]VLOOKUP!$A$2:$B$35,2,FALSE)</f>
        <v>华东</v>
      </c>
      <c r="P125" s="6"/>
      <c r="Q125" s="6"/>
      <c r="R125" s="6"/>
      <c r="S125" s="6"/>
      <c r="T125" s="6"/>
      <c r="U125" s="6"/>
      <c r="V125" s="6"/>
      <c r="W125" s="6"/>
      <c r="X125" s="6">
        <v>1</v>
      </c>
      <c r="Y125" s="8" t="s">
        <v>58</v>
      </c>
      <c r="Z125" s="7">
        <v>45564</v>
      </c>
      <c r="AA125" s="7">
        <v>45748</v>
      </c>
      <c r="AB125" s="7" t="s">
        <v>2708</v>
      </c>
    </row>
    <row r="126" spans="4:28" s="32" customFormat="1" ht="24.95" customHeight="1" x14ac:dyDescent="0.3">
      <c r="D126" s="6">
        <f t="shared" si="1"/>
        <v>125</v>
      </c>
      <c r="E126" s="42" t="s">
        <v>2709</v>
      </c>
      <c r="F126" s="42" t="s">
        <v>2710</v>
      </c>
      <c r="G126" s="6" t="s">
        <v>2711</v>
      </c>
      <c r="H126" s="6" t="s">
        <v>1760</v>
      </c>
      <c r="I126" s="30" t="str">
        <f>VLOOKUP(H126,[1]VLOOKUP!$A$2:$B$35,2,FALSE)</f>
        <v>华北</v>
      </c>
      <c r="J126" s="6" t="s">
        <v>2712</v>
      </c>
      <c r="K126" s="6" t="s">
        <v>2046</v>
      </c>
      <c r="L126" s="30" t="str">
        <f>VLOOKUP(K126,[1]VLOOKUP!$A$2:$B$35,2,FALSE)</f>
        <v>华北</v>
      </c>
      <c r="M126" s="6" t="s">
        <v>2713</v>
      </c>
      <c r="N126" s="6" t="s">
        <v>2046</v>
      </c>
      <c r="O126" s="30" t="str">
        <f>VLOOKUP(N126,[1]VLOOKUP!$A$2:$B$35,2,FALSE)</f>
        <v>华北</v>
      </c>
      <c r="P126" s="6"/>
      <c r="Q126" s="6"/>
      <c r="R126" s="6"/>
      <c r="S126" s="6"/>
      <c r="T126" s="6">
        <v>1</v>
      </c>
      <c r="U126" s="8" t="s">
        <v>92</v>
      </c>
      <c r="V126" s="6"/>
      <c r="W126" s="6"/>
      <c r="X126" s="6"/>
      <c r="Y126" s="6"/>
      <c r="Z126" s="7">
        <v>45591</v>
      </c>
      <c r="AA126" s="7">
        <v>45778</v>
      </c>
      <c r="AB126" s="7" t="s">
        <v>2714</v>
      </c>
    </row>
    <row r="127" spans="4:28" s="32" customFormat="1" ht="24.95" customHeight="1" x14ac:dyDescent="0.3">
      <c r="D127" s="6">
        <f t="shared" si="1"/>
        <v>126</v>
      </c>
      <c r="E127" s="42" t="s">
        <v>2715</v>
      </c>
      <c r="F127" s="42" t="s">
        <v>2716</v>
      </c>
      <c r="G127" s="6" t="s">
        <v>2593</v>
      </c>
      <c r="H127" s="6" t="s">
        <v>1760</v>
      </c>
      <c r="I127" s="30" t="str">
        <f>VLOOKUP(H127,[1]VLOOKUP!$A$2:$B$35,2,FALSE)</f>
        <v>华北</v>
      </c>
      <c r="J127" s="6" t="s">
        <v>2374</v>
      </c>
      <c r="K127" s="6" t="s">
        <v>1760</v>
      </c>
      <c r="L127" s="30" t="str">
        <f>VLOOKUP(K127,[1]VLOOKUP!$A$2:$B$35,2,FALSE)</f>
        <v>华北</v>
      </c>
      <c r="M127" s="6" t="s">
        <v>2717</v>
      </c>
      <c r="N127" s="6" t="s">
        <v>1760</v>
      </c>
      <c r="O127" s="30" t="str">
        <f>VLOOKUP(N127,[1]VLOOKUP!$A$2:$B$35,2,FALSE)</f>
        <v>华北</v>
      </c>
      <c r="P127" s="6"/>
      <c r="Q127" s="6"/>
      <c r="R127" s="6">
        <v>1</v>
      </c>
      <c r="S127" s="8" t="s">
        <v>130</v>
      </c>
      <c r="T127" s="6"/>
      <c r="U127" s="6"/>
      <c r="V127" s="6"/>
      <c r="W127" s="6"/>
      <c r="X127" s="6"/>
      <c r="Y127" s="6"/>
      <c r="Z127" s="7">
        <v>45624</v>
      </c>
      <c r="AA127" s="7">
        <v>45717</v>
      </c>
      <c r="AB127" s="7" t="s">
        <v>2376</v>
      </c>
    </row>
    <row r="128" spans="4:28" s="43" customFormat="1" ht="24.95" customHeight="1" x14ac:dyDescent="0.3">
      <c r="D128" s="6">
        <f t="shared" si="1"/>
        <v>127</v>
      </c>
      <c r="E128" s="42" t="s">
        <v>2718</v>
      </c>
      <c r="F128" s="42" t="s">
        <v>2719</v>
      </c>
      <c r="G128" s="6" t="s">
        <v>2720</v>
      </c>
      <c r="H128" s="6" t="s">
        <v>1760</v>
      </c>
      <c r="I128" s="30" t="str">
        <f>VLOOKUP(H128,[1]VLOOKUP!$A$2:$B$35,2,FALSE)</f>
        <v>华北</v>
      </c>
      <c r="J128" s="6" t="s">
        <v>2721</v>
      </c>
      <c r="K128" s="6" t="s">
        <v>1760</v>
      </c>
      <c r="L128" s="30" t="str">
        <f>VLOOKUP(K128,[1]VLOOKUP!$A$2:$B$35,2,FALSE)</f>
        <v>华北</v>
      </c>
      <c r="M128" s="6" t="s">
        <v>2722</v>
      </c>
      <c r="N128" s="6" t="s">
        <v>1760</v>
      </c>
      <c r="O128" s="30" t="str">
        <f>VLOOKUP(N128,[1]VLOOKUP!$A$2:$B$35,2,FALSE)</f>
        <v>华北</v>
      </c>
      <c r="P128" s="6"/>
      <c r="Q128" s="6"/>
      <c r="R128" s="6"/>
      <c r="S128" s="6"/>
      <c r="T128" s="6">
        <v>1</v>
      </c>
      <c r="U128" s="8" t="s">
        <v>48</v>
      </c>
      <c r="V128" s="6"/>
      <c r="W128" s="6"/>
      <c r="X128" s="6"/>
      <c r="Y128" s="6"/>
      <c r="Z128" s="7">
        <v>45657</v>
      </c>
      <c r="AA128" s="7">
        <v>45748</v>
      </c>
      <c r="AB128" s="7" t="s">
        <v>2376</v>
      </c>
    </row>
    <row r="129" spans="1:28" s="43" customFormat="1" ht="24.95" customHeight="1" x14ac:dyDescent="0.3">
      <c r="A129" s="13"/>
      <c r="B129" s="13"/>
      <c r="D129" s="6">
        <f t="shared" si="1"/>
        <v>128</v>
      </c>
      <c r="E129" s="42" t="s">
        <v>2723</v>
      </c>
      <c r="F129" s="42" t="s">
        <v>2724</v>
      </c>
      <c r="G129" s="6" t="s">
        <v>2720</v>
      </c>
      <c r="H129" s="6" t="s">
        <v>1760</v>
      </c>
      <c r="I129" s="30" t="str">
        <f>VLOOKUP(H129,[1]VLOOKUP!$A$2:$B$35,2,FALSE)</f>
        <v>华北</v>
      </c>
      <c r="J129" s="6" t="s">
        <v>2183</v>
      </c>
      <c r="K129" s="6" t="s">
        <v>1979</v>
      </c>
      <c r="L129" s="30" t="str">
        <f>VLOOKUP(K129,[1]VLOOKUP!$A$2:$B$35,2,FALSE)</f>
        <v>华东</v>
      </c>
      <c r="M129" s="6" t="s">
        <v>2725</v>
      </c>
      <c r="N129" s="6" t="s">
        <v>1979</v>
      </c>
      <c r="O129" s="30" t="str">
        <f>VLOOKUP(N129,[1]VLOOKUP!$A$2:$B$35,2,FALSE)</f>
        <v>华东</v>
      </c>
      <c r="P129" s="6"/>
      <c r="Q129" s="6"/>
      <c r="R129" s="6"/>
      <c r="S129" s="6"/>
      <c r="T129" s="6">
        <v>1</v>
      </c>
      <c r="U129" s="8" t="s">
        <v>48</v>
      </c>
      <c r="V129" s="6"/>
      <c r="W129" s="6"/>
      <c r="X129" s="6"/>
      <c r="Y129" s="6"/>
      <c r="Z129" s="7">
        <v>45657</v>
      </c>
      <c r="AA129" s="7">
        <v>45839</v>
      </c>
      <c r="AB129" s="7" t="s">
        <v>2726</v>
      </c>
    </row>
    <row r="130" spans="1:28" s="15" customFormat="1" ht="24.95" customHeight="1" x14ac:dyDescent="0.3">
      <c r="A130" s="14"/>
      <c r="B130" s="14"/>
      <c r="D130" s="6">
        <f t="shared" si="1"/>
        <v>129</v>
      </c>
      <c r="E130" s="42" t="s">
        <v>2727</v>
      </c>
      <c r="F130" s="42" t="s">
        <v>2728</v>
      </c>
      <c r="G130" s="6" t="s">
        <v>2622</v>
      </c>
      <c r="H130" s="6" t="s">
        <v>1773</v>
      </c>
      <c r="I130" s="30" t="str">
        <f>VLOOKUP(H130,[1]VLOOKUP!$A$2:$B$35,2,FALSE)</f>
        <v>华东</v>
      </c>
      <c r="J130" s="6" t="s">
        <v>2729</v>
      </c>
      <c r="K130" s="6" t="s">
        <v>1809</v>
      </c>
      <c r="L130" s="30" t="str">
        <f>VLOOKUP(K130,[1]VLOOKUP!$A$2:$B$35,2,FALSE)</f>
        <v>华东</v>
      </c>
      <c r="M130" s="6" t="s">
        <v>1870</v>
      </c>
      <c r="N130" s="6" t="s">
        <v>1767</v>
      </c>
      <c r="O130" s="30" t="str">
        <f>VLOOKUP(N130,[1]VLOOKUP!$A$2:$B$35,2,FALSE)</f>
        <v>华北</v>
      </c>
      <c r="P130" s="6"/>
      <c r="Q130" s="6"/>
      <c r="R130" s="6">
        <v>1</v>
      </c>
      <c r="S130" s="8" t="s">
        <v>130</v>
      </c>
      <c r="T130" s="6"/>
      <c r="U130" s="6"/>
      <c r="V130" s="6"/>
      <c r="W130" s="6"/>
      <c r="X130" s="6"/>
      <c r="Y130" s="6"/>
      <c r="Z130" s="7">
        <v>45716</v>
      </c>
      <c r="AA130" s="7">
        <v>45901</v>
      </c>
      <c r="AB130" s="7" t="s">
        <v>2730</v>
      </c>
    </row>
    <row r="131" spans="1:28" s="15" customFormat="1" ht="24.95" customHeight="1" x14ac:dyDescent="0.3">
      <c r="A131" s="14"/>
      <c r="B131" s="14"/>
      <c r="D131" s="6">
        <f t="shared" ref="D131:D146" si="2">ROW()-1</f>
        <v>130</v>
      </c>
      <c r="E131" s="42" t="s">
        <v>2731</v>
      </c>
      <c r="F131" s="42" t="s">
        <v>2496</v>
      </c>
      <c r="G131" s="6" t="s">
        <v>1904</v>
      </c>
      <c r="H131" s="6" t="s">
        <v>1809</v>
      </c>
      <c r="I131" s="30" t="str">
        <f>VLOOKUP(H131,[1]VLOOKUP!$A$2:$B$35,2,FALSE)</f>
        <v>华东</v>
      </c>
      <c r="J131" s="6" t="s">
        <v>1938</v>
      </c>
      <c r="K131" s="6" t="s">
        <v>1809</v>
      </c>
      <c r="L131" s="30" t="str">
        <f>VLOOKUP(K131,[1]VLOOKUP!$A$2:$B$35,2,FALSE)</f>
        <v>华东</v>
      </c>
      <c r="M131" s="6" t="s">
        <v>2390</v>
      </c>
      <c r="N131" s="6" t="s">
        <v>1826</v>
      </c>
      <c r="O131" s="30" t="str">
        <f>VLOOKUP(N131,[1]VLOOKUP!$A$2:$B$35,2,FALSE)</f>
        <v>东北</v>
      </c>
      <c r="P131" s="6">
        <v>1</v>
      </c>
      <c r="Q131" s="8" t="s">
        <v>609</v>
      </c>
      <c r="R131" s="6"/>
      <c r="S131" s="6"/>
      <c r="T131" s="6"/>
      <c r="U131" s="6"/>
      <c r="V131" s="6"/>
      <c r="W131" s="6"/>
      <c r="X131" s="6"/>
      <c r="Y131" s="6"/>
      <c r="Z131" s="7">
        <v>45716</v>
      </c>
      <c r="AA131" s="7">
        <v>45901</v>
      </c>
      <c r="AB131" s="7" t="s">
        <v>2401</v>
      </c>
    </row>
    <row r="132" spans="1:28" s="15" customFormat="1" ht="24.95" customHeight="1" x14ac:dyDescent="0.3">
      <c r="A132" s="14"/>
      <c r="B132" s="14"/>
      <c r="D132" s="6">
        <f t="shared" si="2"/>
        <v>131</v>
      </c>
      <c r="E132" s="42" t="s">
        <v>2732</v>
      </c>
      <c r="F132" s="42" t="s">
        <v>2733</v>
      </c>
      <c r="G132" s="6" t="s">
        <v>2622</v>
      </c>
      <c r="H132" s="6" t="s">
        <v>1773</v>
      </c>
      <c r="I132" s="30" t="str">
        <f>VLOOKUP(H132,[1]VLOOKUP!$A$2:$B$35,2,FALSE)</f>
        <v>华东</v>
      </c>
      <c r="J132" s="6" t="s">
        <v>2734</v>
      </c>
      <c r="K132" s="6" t="s">
        <v>2094</v>
      </c>
      <c r="L132" s="30" t="str">
        <f>VLOOKUP(K132,[1]VLOOKUP!$A$2:$B$35,2,FALSE)</f>
        <v>华东</v>
      </c>
      <c r="M132" s="6" t="s">
        <v>2735</v>
      </c>
      <c r="N132" s="6" t="s">
        <v>1773</v>
      </c>
      <c r="O132" s="30" t="str">
        <f>VLOOKUP(N132,[1]VLOOKUP!$A$2:$B$35,2,FALSE)</f>
        <v>华东</v>
      </c>
      <c r="P132" s="6"/>
      <c r="Q132" s="6"/>
      <c r="R132" s="6">
        <v>1</v>
      </c>
      <c r="S132" s="8" t="s">
        <v>130</v>
      </c>
      <c r="T132" s="6"/>
      <c r="U132" s="6"/>
      <c r="V132" s="6"/>
      <c r="W132" s="6"/>
      <c r="X132" s="6"/>
      <c r="Y132" s="6"/>
      <c r="Z132" s="7">
        <v>45716</v>
      </c>
      <c r="AA132" s="7">
        <v>45901</v>
      </c>
      <c r="AB132" s="7" t="s">
        <v>2730</v>
      </c>
    </row>
    <row r="133" spans="1:28" s="15" customFormat="1" ht="24.95" customHeight="1" x14ac:dyDescent="0.3">
      <c r="A133" s="14"/>
      <c r="B133" s="14"/>
      <c r="D133" s="6">
        <f t="shared" si="2"/>
        <v>132</v>
      </c>
      <c r="E133" s="42" t="s">
        <v>2736</v>
      </c>
      <c r="F133" s="42" t="s">
        <v>2737</v>
      </c>
      <c r="G133" s="6" t="s">
        <v>2374</v>
      </c>
      <c r="H133" s="6" t="s">
        <v>1760</v>
      </c>
      <c r="I133" s="30" t="str">
        <f>VLOOKUP(H133,[1]VLOOKUP!$A$2:$B$35,2,FALSE)</f>
        <v>华北</v>
      </c>
      <c r="J133" s="6" t="s">
        <v>2390</v>
      </c>
      <c r="K133" s="6" t="s">
        <v>1826</v>
      </c>
      <c r="L133" s="30" t="str">
        <f>VLOOKUP(K133,[1]VLOOKUP!$A$2:$B$35,2,FALSE)</f>
        <v>东北</v>
      </c>
      <c r="M133" s="6" t="s">
        <v>2738</v>
      </c>
      <c r="N133" s="6" t="s">
        <v>1760</v>
      </c>
      <c r="O133" s="30" t="str">
        <f>VLOOKUP(N133,[1]VLOOKUP!$A$2:$B$35,2,FALSE)</f>
        <v>华北</v>
      </c>
      <c r="P133" s="6"/>
      <c r="Q133" s="6"/>
      <c r="R133" s="6">
        <v>1</v>
      </c>
      <c r="S133" s="8" t="s">
        <v>130</v>
      </c>
      <c r="T133" s="6"/>
      <c r="U133" s="6"/>
      <c r="V133" s="6"/>
      <c r="W133" s="6"/>
      <c r="X133" s="6"/>
      <c r="Y133" s="6"/>
      <c r="Z133" s="7">
        <v>45744</v>
      </c>
      <c r="AA133" s="7">
        <v>45839</v>
      </c>
      <c r="AB133" s="7" t="s">
        <v>2376</v>
      </c>
    </row>
    <row r="134" spans="1:28" s="15" customFormat="1" ht="24.95" customHeight="1" x14ac:dyDescent="0.3">
      <c r="A134" s="14"/>
      <c r="B134" s="14"/>
      <c r="D134" s="6">
        <f t="shared" si="2"/>
        <v>133</v>
      </c>
      <c r="E134" s="42" t="s">
        <v>2739</v>
      </c>
      <c r="F134" s="42" t="s">
        <v>2740</v>
      </c>
      <c r="G134" s="6" t="s">
        <v>2390</v>
      </c>
      <c r="H134" s="6" t="s">
        <v>1826</v>
      </c>
      <c r="I134" s="30" t="str">
        <f>VLOOKUP(H134,[1]VLOOKUP!$A$2:$B$35,2,FALSE)</f>
        <v>东北</v>
      </c>
      <c r="J134" s="6" t="s">
        <v>2374</v>
      </c>
      <c r="K134" s="6" t="s">
        <v>1760</v>
      </c>
      <c r="L134" s="30" t="str">
        <f>VLOOKUP(K134,[1]VLOOKUP!$A$2:$B$35,2,FALSE)</f>
        <v>华北</v>
      </c>
      <c r="M134" s="6" t="s">
        <v>2687</v>
      </c>
      <c r="N134" s="6" t="s">
        <v>1760</v>
      </c>
      <c r="O134" s="30" t="str">
        <f>VLOOKUP(N134,[1]VLOOKUP!$A$2:$B$35,2,FALSE)</f>
        <v>华北</v>
      </c>
      <c r="P134" s="6"/>
      <c r="Q134" s="6"/>
      <c r="R134" s="6">
        <v>1</v>
      </c>
      <c r="S134" s="8" t="s">
        <v>130</v>
      </c>
      <c r="T134" s="6"/>
      <c r="U134" s="6"/>
      <c r="V134" s="6"/>
      <c r="W134" s="6"/>
      <c r="X134" s="6"/>
      <c r="Y134" s="6"/>
      <c r="Z134" s="7">
        <v>45744</v>
      </c>
      <c r="AA134" s="7">
        <v>45839</v>
      </c>
      <c r="AB134" s="7" t="s">
        <v>2376</v>
      </c>
    </row>
    <row r="135" spans="1:28" s="15" customFormat="1" ht="24.95" customHeight="1" x14ac:dyDescent="0.3">
      <c r="A135" s="14"/>
      <c r="B135" s="14"/>
      <c r="D135" s="6">
        <f t="shared" si="2"/>
        <v>134</v>
      </c>
      <c r="E135" s="42" t="s">
        <v>2741</v>
      </c>
      <c r="F135" s="42" t="s">
        <v>2742</v>
      </c>
      <c r="G135" s="6" t="s">
        <v>2720</v>
      </c>
      <c r="H135" s="6" t="s">
        <v>1760</v>
      </c>
      <c r="I135" s="30" t="str">
        <f>VLOOKUP(H135,[1]VLOOKUP!$A$2:$B$35,2,FALSE)</f>
        <v>华北</v>
      </c>
      <c r="J135" s="6" t="s">
        <v>2183</v>
      </c>
      <c r="K135" s="6" t="s">
        <v>1979</v>
      </c>
      <c r="L135" s="30" t="str">
        <f>VLOOKUP(K135,[1]VLOOKUP!$A$2:$B$35,2,FALSE)</f>
        <v>华东</v>
      </c>
      <c r="M135" s="6" t="s">
        <v>2743</v>
      </c>
      <c r="N135" s="6" t="s">
        <v>1979</v>
      </c>
      <c r="O135" s="30" t="str">
        <f>VLOOKUP(N135,[1]VLOOKUP!$A$2:$B$35,2,FALSE)</f>
        <v>华东</v>
      </c>
      <c r="P135" s="6"/>
      <c r="Q135" s="6"/>
      <c r="R135" s="6"/>
      <c r="S135" s="6"/>
      <c r="T135" s="6"/>
      <c r="U135" s="6"/>
      <c r="V135" s="6">
        <v>1</v>
      </c>
      <c r="W135" s="8" t="s">
        <v>54</v>
      </c>
      <c r="X135" s="6"/>
      <c r="Y135" s="6"/>
      <c r="Z135" s="7">
        <v>45807</v>
      </c>
      <c r="AA135" s="7">
        <v>45901</v>
      </c>
      <c r="AB135" s="7" t="s">
        <v>2744</v>
      </c>
    </row>
    <row r="136" spans="1:28" s="15" customFormat="1" ht="24.95" customHeight="1" x14ac:dyDescent="0.3">
      <c r="A136" s="14"/>
      <c r="B136" s="14"/>
      <c r="D136" s="6">
        <f t="shared" si="2"/>
        <v>135</v>
      </c>
      <c r="E136" s="42" t="s">
        <v>2745</v>
      </c>
      <c r="F136" s="42" t="s">
        <v>2746</v>
      </c>
      <c r="G136" s="6" t="s">
        <v>1796</v>
      </c>
      <c r="H136" s="6" t="s">
        <v>1797</v>
      </c>
      <c r="I136" s="30" t="str">
        <f>VLOOKUP(H136,[1]VLOOKUP!$A$2:$B$35,2,FALSE)</f>
        <v>华北</v>
      </c>
      <c r="J136" s="6" t="s">
        <v>2747</v>
      </c>
      <c r="K136" s="6" t="s">
        <v>1760</v>
      </c>
      <c r="L136" s="30" t="str">
        <f>VLOOKUP(K136,[1]VLOOKUP!$A$2:$B$35,2,FALSE)</f>
        <v>华北</v>
      </c>
      <c r="M136" s="6" t="s">
        <v>1938</v>
      </c>
      <c r="N136" s="6" t="s">
        <v>1809</v>
      </c>
      <c r="O136" s="30" t="str">
        <f>VLOOKUP(N136,[1]VLOOKUP!$A$2:$B$35,2,FALSE)</f>
        <v>华东</v>
      </c>
      <c r="P136" s="6"/>
      <c r="Q136" s="6"/>
      <c r="R136" s="6"/>
      <c r="S136" s="6"/>
      <c r="T136" s="6"/>
      <c r="U136" s="6"/>
      <c r="V136" s="6"/>
      <c r="W136" s="6"/>
      <c r="X136" s="6">
        <v>1</v>
      </c>
      <c r="Y136" s="8" t="s">
        <v>16</v>
      </c>
      <c r="Z136" s="7">
        <v>45870</v>
      </c>
      <c r="AA136" s="7">
        <v>46054</v>
      </c>
      <c r="AB136" s="7" t="s">
        <v>2425</v>
      </c>
    </row>
    <row r="137" spans="1:28" s="15" customFormat="1" ht="24.95" customHeight="1" x14ac:dyDescent="0.3">
      <c r="A137" s="14"/>
      <c r="B137" s="14"/>
      <c r="D137" s="6">
        <f t="shared" si="2"/>
        <v>136</v>
      </c>
      <c r="E137" s="42" t="s">
        <v>2748</v>
      </c>
      <c r="F137" s="42" t="s">
        <v>2749</v>
      </c>
      <c r="G137" s="6" t="s">
        <v>1825</v>
      </c>
      <c r="H137" s="6" t="s">
        <v>1826</v>
      </c>
      <c r="I137" s="30" t="str">
        <f>VLOOKUP(H137,[1]VLOOKUP!$A$2:$B$35,2,FALSE)</f>
        <v>东北</v>
      </c>
      <c r="J137" s="6" t="s">
        <v>2238</v>
      </c>
      <c r="K137" s="6" t="s">
        <v>1767</v>
      </c>
      <c r="L137" s="30" t="str">
        <f>VLOOKUP(K137,[1]VLOOKUP!$A$2:$B$35,2,FALSE)</f>
        <v>华北</v>
      </c>
      <c r="M137" s="6" t="s">
        <v>2750</v>
      </c>
      <c r="N137" s="6" t="s">
        <v>1826</v>
      </c>
      <c r="O137" s="30" t="str">
        <f>VLOOKUP(N137,[1]VLOOKUP!$A$2:$B$35,2,FALSE)</f>
        <v>东北</v>
      </c>
      <c r="P137" s="6"/>
      <c r="Q137" s="6"/>
      <c r="R137" s="6"/>
      <c r="S137" s="6"/>
      <c r="T137" s="6">
        <v>1</v>
      </c>
      <c r="U137" s="8" t="s">
        <v>48</v>
      </c>
      <c r="V137" s="6"/>
      <c r="W137" s="6"/>
      <c r="X137" s="6"/>
      <c r="Y137" s="6"/>
      <c r="Z137" s="7">
        <v>45898</v>
      </c>
      <c r="AA137" s="7">
        <v>46082</v>
      </c>
      <c r="AB137" s="7" t="s">
        <v>2573</v>
      </c>
    </row>
    <row r="138" spans="1:28" s="15" customFormat="1" ht="24.95" customHeight="1" x14ac:dyDescent="0.3">
      <c r="A138" s="14"/>
      <c r="B138" s="14"/>
      <c r="D138" s="6">
        <f t="shared" si="2"/>
        <v>137</v>
      </c>
      <c r="E138" s="42" t="s">
        <v>2751</v>
      </c>
      <c r="F138" s="42" t="s">
        <v>2571</v>
      </c>
      <c r="G138" s="6" t="s">
        <v>2429</v>
      </c>
      <c r="H138" s="6" t="s">
        <v>2094</v>
      </c>
      <c r="I138" s="30" t="str">
        <f>VLOOKUP(H138,[1]VLOOKUP!$A$2:$B$35,2,FALSE)</f>
        <v>华东</v>
      </c>
      <c r="J138" s="6" t="s">
        <v>1825</v>
      </c>
      <c r="K138" s="6" t="s">
        <v>1826</v>
      </c>
      <c r="L138" s="30" t="str">
        <f>VLOOKUP(K138,[1]VLOOKUP!$A$2:$B$35,2,FALSE)</f>
        <v>东北</v>
      </c>
      <c r="M138" s="6" t="s">
        <v>2647</v>
      </c>
      <c r="N138" s="6" t="s">
        <v>1760</v>
      </c>
      <c r="O138" s="30" t="str">
        <f>VLOOKUP(N138,[1]VLOOKUP!$A$2:$B$35,2,FALSE)</f>
        <v>华北</v>
      </c>
      <c r="P138" s="6"/>
      <c r="Q138" s="6"/>
      <c r="R138" s="6"/>
      <c r="S138" s="6"/>
      <c r="T138" s="6">
        <v>1</v>
      </c>
      <c r="U138" s="8" t="s">
        <v>48</v>
      </c>
      <c r="V138" s="6"/>
      <c r="W138" s="6"/>
      <c r="X138" s="6"/>
      <c r="Y138" s="6"/>
      <c r="Z138" s="7">
        <v>45898</v>
      </c>
      <c r="AA138" s="7">
        <v>45992</v>
      </c>
      <c r="AB138" s="7" t="s">
        <v>2573</v>
      </c>
    </row>
    <row r="139" spans="1:28" s="15" customFormat="1" ht="24.95" customHeight="1" x14ac:dyDescent="0.3">
      <c r="A139" s="14"/>
      <c r="B139" s="14"/>
      <c r="D139" s="6">
        <f t="shared" si="2"/>
        <v>138</v>
      </c>
      <c r="E139" s="42" t="s">
        <v>2752</v>
      </c>
      <c r="F139" s="42" t="s">
        <v>2753</v>
      </c>
      <c r="G139" s="6" t="s">
        <v>1938</v>
      </c>
      <c r="H139" s="6" t="s">
        <v>1809</v>
      </c>
      <c r="I139" s="30" t="str">
        <f>VLOOKUP(H139,[1]VLOOKUP!$A$2:$B$35,2,FALSE)</f>
        <v>华东</v>
      </c>
      <c r="J139" s="6" t="s">
        <v>2374</v>
      </c>
      <c r="K139" s="6" t="s">
        <v>1760</v>
      </c>
      <c r="L139" s="30" t="str">
        <f>VLOOKUP(K139,[1]VLOOKUP!$A$2:$B$35,2,FALSE)</f>
        <v>华北</v>
      </c>
      <c r="M139" s="6" t="s">
        <v>2187</v>
      </c>
      <c r="N139" s="6" t="s">
        <v>1989</v>
      </c>
      <c r="O139" s="30" t="str">
        <f>VLOOKUP(N139,[1]VLOOKUP!$A$2:$B$35,2,FALSE)</f>
        <v>西南</v>
      </c>
      <c r="P139" s="6"/>
      <c r="Q139" s="6"/>
      <c r="R139" s="6">
        <v>1</v>
      </c>
      <c r="S139" s="8" t="s">
        <v>130</v>
      </c>
      <c r="T139" s="6"/>
      <c r="U139" s="6"/>
      <c r="V139" s="6"/>
      <c r="W139" s="6"/>
      <c r="X139" s="6"/>
      <c r="Y139" s="6"/>
      <c r="Z139" s="7">
        <v>45898</v>
      </c>
      <c r="AA139" s="7">
        <v>45992</v>
      </c>
      <c r="AB139" s="7" t="s">
        <v>2376</v>
      </c>
    </row>
    <row r="140" spans="1:28" s="15" customFormat="1" ht="24.95" customHeight="1" x14ac:dyDescent="0.3">
      <c r="A140" s="14"/>
      <c r="B140" s="14"/>
      <c r="D140" s="6">
        <f t="shared" si="2"/>
        <v>139</v>
      </c>
      <c r="E140" s="42" t="s">
        <v>2754</v>
      </c>
      <c r="F140" s="42" t="s">
        <v>2755</v>
      </c>
      <c r="G140" s="6" t="s">
        <v>1796</v>
      </c>
      <c r="H140" s="6" t="s">
        <v>1797</v>
      </c>
      <c r="I140" s="30" t="str">
        <f>VLOOKUP(H140,[1]VLOOKUP!$A$2:$B$35,2,FALSE)</f>
        <v>华北</v>
      </c>
      <c r="J140" s="6" t="s">
        <v>1938</v>
      </c>
      <c r="K140" s="6" t="s">
        <v>1809</v>
      </c>
      <c r="L140" s="30" t="str">
        <f>VLOOKUP(K140,[1]VLOOKUP!$A$2:$B$35,2,FALSE)</f>
        <v>华东</v>
      </c>
      <c r="M140" s="6" t="s">
        <v>2747</v>
      </c>
      <c r="N140" s="6" t="s">
        <v>1760</v>
      </c>
      <c r="O140" s="30" t="str">
        <f>VLOOKUP(N140,[1]VLOOKUP!$A$2:$B$35,2,FALSE)</f>
        <v>华北</v>
      </c>
      <c r="P140" s="6"/>
      <c r="Q140" s="6"/>
      <c r="R140" s="6"/>
      <c r="S140" s="6"/>
      <c r="T140" s="6"/>
      <c r="U140" s="6"/>
      <c r="V140" s="6"/>
      <c r="W140" s="6"/>
      <c r="X140" s="6">
        <v>1</v>
      </c>
      <c r="Y140" s="8" t="s">
        <v>16</v>
      </c>
      <c r="Z140" s="7">
        <v>45898</v>
      </c>
      <c r="AA140" s="7">
        <v>46082</v>
      </c>
      <c r="AB140" s="7" t="s">
        <v>2425</v>
      </c>
    </row>
    <row r="141" spans="1:28" s="15" customFormat="1" ht="24.95" customHeight="1" x14ac:dyDescent="0.3">
      <c r="A141" s="14"/>
      <c r="B141" s="14"/>
      <c r="D141" s="6">
        <f t="shared" si="2"/>
        <v>140</v>
      </c>
      <c r="E141" s="42" t="s">
        <v>2756</v>
      </c>
      <c r="F141" s="42" t="s">
        <v>2757</v>
      </c>
      <c r="G141" s="6" t="s">
        <v>2298</v>
      </c>
      <c r="H141" s="6" t="s">
        <v>1760</v>
      </c>
      <c r="I141" s="30" t="str">
        <f>VLOOKUP(H141,[1]VLOOKUP!$A$2:$B$35,2,FALSE)</f>
        <v>华北</v>
      </c>
      <c r="J141" s="6" t="s">
        <v>1772</v>
      </c>
      <c r="K141" s="6" t="s">
        <v>1773</v>
      </c>
      <c r="L141" s="30" t="str">
        <f>VLOOKUP(K141,[1]VLOOKUP!$A$2:$B$35,2,FALSE)</f>
        <v>华东</v>
      </c>
      <c r="M141" s="6" t="s">
        <v>1775</v>
      </c>
      <c r="N141" s="6" t="s">
        <v>1773</v>
      </c>
      <c r="O141" s="30" t="str">
        <f>VLOOKUP(N141,[1]VLOOKUP!$A$2:$B$35,2,FALSE)</f>
        <v>华东</v>
      </c>
      <c r="P141" s="6"/>
      <c r="Q141" s="6"/>
      <c r="R141" s="6"/>
      <c r="S141" s="6"/>
      <c r="T141" s="6"/>
      <c r="U141" s="6"/>
      <c r="V141" s="6"/>
      <c r="W141" s="6"/>
      <c r="X141" s="6">
        <v>1</v>
      </c>
      <c r="Y141" s="8" t="s">
        <v>16</v>
      </c>
      <c r="Z141" s="7">
        <v>45898</v>
      </c>
      <c r="AA141" s="7">
        <v>46082</v>
      </c>
      <c r="AB141" s="7" t="s">
        <v>2758</v>
      </c>
    </row>
    <row r="142" spans="1:28" s="15" customFormat="1" ht="24.95" customHeight="1" x14ac:dyDescent="0.3">
      <c r="D142" s="6">
        <f t="shared" si="2"/>
        <v>141</v>
      </c>
      <c r="E142" s="42" t="s">
        <v>2759</v>
      </c>
      <c r="F142" s="42" t="s">
        <v>2760</v>
      </c>
      <c r="G142" s="6" t="s">
        <v>2390</v>
      </c>
      <c r="H142" s="6" t="s">
        <v>1826</v>
      </c>
      <c r="I142" s="30" t="str">
        <f>VLOOKUP(H142,[1]VLOOKUP!$A$2:$B$35,2,FALSE)</f>
        <v>东北</v>
      </c>
      <c r="J142" s="6" t="s">
        <v>1828</v>
      </c>
      <c r="K142" s="6" t="s">
        <v>1826</v>
      </c>
      <c r="L142" s="30" t="str">
        <f>VLOOKUP(K142,[1]VLOOKUP!$A$2:$B$35,2,FALSE)</f>
        <v>东北</v>
      </c>
      <c r="M142" s="6" t="s">
        <v>2391</v>
      </c>
      <c r="N142" s="6" t="s">
        <v>1760</v>
      </c>
      <c r="O142" s="30" t="str">
        <f>VLOOKUP(N142,[1]VLOOKUP!$A$2:$B$35,2,FALSE)</f>
        <v>华北</v>
      </c>
      <c r="P142" s="6"/>
      <c r="Q142" s="6"/>
      <c r="R142" s="6"/>
      <c r="S142" s="6"/>
      <c r="T142" s="6"/>
      <c r="U142" s="6"/>
      <c r="V142" s="6"/>
      <c r="W142" s="6"/>
      <c r="X142" s="6">
        <v>1</v>
      </c>
      <c r="Y142" s="8" t="s">
        <v>16</v>
      </c>
      <c r="Z142" s="7">
        <v>45898</v>
      </c>
      <c r="AA142" s="7">
        <v>46082</v>
      </c>
      <c r="AB142" s="7" t="s">
        <v>2401</v>
      </c>
    </row>
    <row r="143" spans="1:28" s="15" customFormat="1" ht="24.95" customHeight="1" x14ac:dyDescent="0.3">
      <c r="D143" s="6">
        <f t="shared" si="2"/>
        <v>142</v>
      </c>
      <c r="E143" s="42" t="s">
        <v>2761</v>
      </c>
      <c r="F143" s="42" t="s">
        <v>2762</v>
      </c>
      <c r="G143" s="6" t="s">
        <v>2763</v>
      </c>
      <c r="H143" s="6" t="s">
        <v>1809</v>
      </c>
      <c r="I143" s="30" t="str">
        <f>VLOOKUP(H143,[1]VLOOKUP!$A$2:$B$35,2,FALSE)</f>
        <v>华东</v>
      </c>
      <c r="J143" s="6" t="s">
        <v>2764</v>
      </c>
      <c r="K143" s="6" t="s">
        <v>1760</v>
      </c>
      <c r="L143" s="30" t="str">
        <f>VLOOKUP(K143,[1]VLOOKUP!$A$2:$B$35,2,FALSE)</f>
        <v>华北</v>
      </c>
      <c r="M143" s="6" t="s">
        <v>1944</v>
      </c>
      <c r="N143" s="6" t="s">
        <v>1797</v>
      </c>
      <c r="O143" s="30" t="str">
        <f>VLOOKUP(N143,[1]VLOOKUP!$A$2:$B$35,2,FALSE)</f>
        <v>华北</v>
      </c>
      <c r="P143" s="6"/>
      <c r="Q143" s="6"/>
      <c r="R143" s="6"/>
      <c r="S143" s="6"/>
      <c r="T143" s="6">
        <v>1</v>
      </c>
      <c r="U143" s="8" t="s">
        <v>48</v>
      </c>
      <c r="V143" s="6"/>
      <c r="W143" s="6"/>
      <c r="X143" s="6"/>
      <c r="Y143" s="6"/>
      <c r="Z143" s="7">
        <v>45961</v>
      </c>
      <c r="AA143" s="7">
        <v>46143</v>
      </c>
      <c r="AB143" s="7" t="s">
        <v>2442</v>
      </c>
    </row>
    <row r="144" spans="1:28" ht="24.95" customHeight="1" x14ac:dyDescent="0.3">
      <c r="D144" s="6">
        <f t="shared" si="2"/>
        <v>143</v>
      </c>
      <c r="E144" s="42" t="s">
        <v>2765</v>
      </c>
      <c r="F144" s="42" t="s">
        <v>2766</v>
      </c>
      <c r="G144" s="6" t="s">
        <v>2767</v>
      </c>
      <c r="H144" s="6" t="s">
        <v>1797</v>
      </c>
      <c r="I144" s="30" t="str">
        <f>VLOOKUP(H144,[1]VLOOKUP!$A$2:$B$35,2,FALSE)</f>
        <v>华北</v>
      </c>
      <c r="J144" s="6" t="s">
        <v>2131</v>
      </c>
      <c r="K144" s="6" t="s">
        <v>1760</v>
      </c>
      <c r="L144" s="30" t="str">
        <f>VLOOKUP(K144,[1]VLOOKUP!$A$2:$B$35,2,FALSE)</f>
        <v>华北</v>
      </c>
      <c r="M144" s="6" t="s">
        <v>2768</v>
      </c>
      <c r="N144" s="6" t="s">
        <v>1767</v>
      </c>
      <c r="O144" s="30" t="str">
        <f>VLOOKUP(N144,[1]VLOOKUP!$A$2:$B$35,2,FALSE)</f>
        <v>华北</v>
      </c>
      <c r="P144" s="6"/>
      <c r="Q144" s="6"/>
      <c r="R144" s="6"/>
      <c r="S144" s="6"/>
      <c r="T144" s="6">
        <v>1</v>
      </c>
      <c r="U144" s="8" t="s">
        <v>48</v>
      </c>
      <c r="V144" s="6"/>
      <c r="W144" s="6"/>
      <c r="X144" s="6"/>
      <c r="Y144" s="6"/>
      <c r="Z144" s="7">
        <v>45961</v>
      </c>
      <c r="AA144" s="7">
        <v>46143</v>
      </c>
      <c r="AB144" s="7" t="s">
        <v>2415</v>
      </c>
    </row>
    <row r="145" spans="4:28" ht="24.95" customHeight="1" x14ac:dyDescent="0.3">
      <c r="D145" s="6">
        <f t="shared" si="2"/>
        <v>144</v>
      </c>
      <c r="E145" s="42" t="s">
        <v>2769</v>
      </c>
      <c r="F145" s="42" t="s">
        <v>2770</v>
      </c>
      <c r="G145" s="6" t="s">
        <v>2771</v>
      </c>
      <c r="H145" s="6" t="s">
        <v>1760</v>
      </c>
      <c r="I145" s="30" t="str">
        <f>VLOOKUP(H145,[1]VLOOKUP!$A$2:$B$35,2,FALSE)</f>
        <v>华北</v>
      </c>
      <c r="J145" s="6" t="s">
        <v>2772</v>
      </c>
      <c r="K145" s="6" t="s">
        <v>1760</v>
      </c>
      <c r="L145" s="30" t="str">
        <f>VLOOKUP(K145,[1]VLOOKUP!$A$2:$B$35,2,FALSE)</f>
        <v>华北</v>
      </c>
      <c r="M145" s="6" t="s">
        <v>2773</v>
      </c>
      <c r="N145" s="6" t="s">
        <v>1902</v>
      </c>
      <c r="O145" s="30" t="str">
        <f>VLOOKUP(N145,[1]VLOOKUP!$A$2:$B$35,2,FALSE)</f>
        <v>华东</v>
      </c>
      <c r="P145" s="6"/>
      <c r="Q145" s="6"/>
      <c r="R145" s="6"/>
      <c r="S145" s="6"/>
      <c r="T145" s="6">
        <v>1</v>
      </c>
      <c r="U145" s="8" t="s">
        <v>48</v>
      </c>
      <c r="V145" s="6"/>
      <c r="W145" s="6"/>
      <c r="X145" s="6"/>
      <c r="Y145" s="6"/>
      <c r="Z145" s="7">
        <v>45961</v>
      </c>
      <c r="AA145" s="7">
        <v>46143</v>
      </c>
      <c r="AB145" s="7" t="s">
        <v>2415</v>
      </c>
    </row>
    <row r="146" spans="4:28" ht="24.95" customHeight="1" x14ac:dyDescent="0.3">
      <c r="D146" s="6">
        <f t="shared" si="2"/>
        <v>145</v>
      </c>
      <c r="E146" s="42" t="s">
        <v>2774</v>
      </c>
      <c r="F146" s="42" t="s">
        <v>321</v>
      </c>
      <c r="G146" s="6" t="s">
        <v>2775</v>
      </c>
      <c r="H146" s="6" t="s">
        <v>1979</v>
      </c>
      <c r="I146" s="30" t="str">
        <f>VLOOKUP(H146,[1]VLOOKUP!$A$2:$B$35,2,FALSE)</f>
        <v>华东</v>
      </c>
      <c r="J146" s="6" t="s">
        <v>2776</v>
      </c>
      <c r="K146" s="6" t="s">
        <v>2094</v>
      </c>
      <c r="L146" s="30" t="str">
        <f>VLOOKUP(K146,[1]VLOOKUP!$A$2:$B$35,2,FALSE)</f>
        <v>华东</v>
      </c>
      <c r="M146" s="6" t="s">
        <v>2777</v>
      </c>
      <c r="N146" s="6" t="s">
        <v>2094</v>
      </c>
      <c r="O146" s="30" t="str">
        <f>VLOOKUP(N146,[1]VLOOKUP!$A$2:$B$35,2,FALSE)</f>
        <v>华东</v>
      </c>
      <c r="P146" s="6"/>
      <c r="Q146" s="6"/>
      <c r="R146" s="6"/>
      <c r="S146" s="6"/>
      <c r="T146" s="6">
        <v>1</v>
      </c>
      <c r="U146" s="8" t="s">
        <v>48</v>
      </c>
      <c r="V146" s="6"/>
      <c r="W146" s="6"/>
      <c r="X146" s="6"/>
      <c r="Y146" s="6"/>
      <c r="Z146" s="7">
        <v>45961</v>
      </c>
      <c r="AA146" s="7">
        <v>46143</v>
      </c>
      <c r="AB146" s="7" t="s">
        <v>2415</v>
      </c>
    </row>
    <row r="147" spans="4:28" ht="24.95" customHeight="1" x14ac:dyDescent="0.3">
      <c r="D147" s="16"/>
      <c r="E147" s="44" t="s">
        <v>2778</v>
      </c>
      <c r="F147" s="44" t="s">
        <v>2779</v>
      </c>
      <c r="G147" s="16" t="s">
        <v>2780</v>
      </c>
      <c r="H147" s="16" t="s">
        <v>1809</v>
      </c>
      <c r="I147" s="39" t="str">
        <f>VLOOKUP(H147,[1]VLOOKUP!$A$2:$B$35,2,FALSE)</f>
        <v>华东</v>
      </c>
      <c r="J147" s="16" t="s">
        <v>2781</v>
      </c>
      <c r="K147" s="16" t="s">
        <v>1767</v>
      </c>
      <c r="L147" s="39" t="str">
        <f>VLOOKUP(K147,[1]VLOOKUP!$A$2:$B$35,2,FALSE)</f>
        <v>华北</v>
      </c>
      <c r="M147" s="16" t="s">
        <v>1938</v>
      </c>
      <c r="N147" s="16" t="s">
        <v>1809</v>
      </c>
      <c r="O147" s="39" t="str">
        <f>VLOOKUP(N147,[1]VLOOKUP!$A$2:$B$35,2,FALSE)</f>
        <v>华东</v>
      </c>
      <c r="P147" s="16"/>
      <c r="Q147" s="16"/>
      <c r="R147" s="16"/>
      <c r="S147" s="16"/>
      <c r="T147" s="16"/>
      <c r="U147" s="16"/>
      <c r="V147" s="16"/>
      <c r="W147" s="16"/>
      <c r="X147" s="16">
        <v>1</v>
      </c>
      <c r="Y147" s="18" t="s">
        <v>272</v>
      </c>
      <c r="Z147" s="17">
        <v>46050</v>
      </c>
      <c r="AA147" s="17">
        <v>46143</v>
      </c>
      <c r="AB147" s="17" t="s">
        <v>2376</v>
      </c>
    </row>
    <row r="148" spans="4:28" ht="24.95" customHeight="1" x14ac:dyDescent="0.3">
      <c r="D148" s="16"/>
      <c r="E148" s="44" t="s">
        <v>2782</v>
      </c>
      <c r="F148" s="44" t="s">
        <v>2783</v>
      </c>
      <c r="G148" s="16" t="s">
        <v>2784</v>
      </c>
      <c r="H148" s="16" t="s">
        <v>1809</v>
      </c>
      <c r="I148" s="39" t="str">
        <f>VLOOKUP(H148,[1]VLOOKUP!$A$2:$B$35,2,FALSE)</f>
        <v>华东</v>
      </c>
      <c r="J148" s="16" t="s">
        <v>2785</v>
      </c>
      <c r="K148" s="16" t="s">
        <v>1758</v>
      </c>
      <c r="L148" s="39" t="str">
        <f>VLOOKUP(K148,[1]VLOOKUP!$A$2:$B$35,2,FALSE)</f>
        <v>华南</v>
      </c>
      <c r="M148" s="16" t="s">
        <v>2786</v>
      </c>
      <c r="N148" s="16" t="s">
        <v>2787</v>
      </c>
      <c r="O148" s="39" t="str">
        <f>VLOOKUP(N148,[1]VLOOKUP!$A$2:$B$35,2,FALSE)</f>
        <v>西南</v>
      </c>
      <c r="P148" s="16"/>
      <c r="Q148" s="16"/>
      <c r="R148" s="16"/>
      <c r="S148" s="16"/>
      <c r="T148" s="16"/>
      <c r="U148" s="16"/>
      <c r="V148" s="16"/>
      <c r="W148" s="16"/>
      <c r="X148" s="16">
        <v>1</v>
      </c>
      <c r="Y148" s="18" t="s">
        <v>16</v>
      </c>
      <c r="Z148" s="17">
        <v>46050</v>
      </c>
      <c r="AA148" s="17">
        <v>46235</v>
      </c>
      <c r="AB148" s="17" t="s">
        <v>2411</v>
      </c>
    </row>
    <row r="149" spans="4:28" ht="24.95" customHeight="1" x14ac:dyDescent="0.3">
      <c r="D149" s="16"/>
      <c r="E149" s="44" t="s">
        <v>2788</v>
      </c>
      <c r="F149" s="44" t="s">
        <v>2789</v>
      </c>
      <c r="G149" s="16" t="s">
        <v>2183</v>
      </c>
      <c r="H149" s="16" t="s">
        <v>1979</v>
      </c>
      <c r="I149" s="39" t="str">
        <f>VLOOKUP(H149,[1]VLOOKUP!$A$2:$B$35,2,FALSE)</f>
        <v>华东</v>
      </c>
      <c r="J149" s="16" t="s">
        <v>2429</v>
      </c>
      <c r="K149" s="16" t="s">
        <v>2094</v>
      </c>
      <c r="L149" s="39" t="str">
        <f>VLOOKUP(K149,[1]VLOOKUP!$A$2:$B$35,2,FALSE)</f>
        <v>华东</v>
      </c>
      <c r="M149" s="16" t="s">
        <v>2182</v>
      </c>
      <c r="N149" s="16" t="s">
        <v>1760</v>
      </c>
      <c r="O149" s="39" t="str">
        <f>VLOOKUP(N149,[1]VLOOKUP!$A$2:$B$35,2,FALSE)</f>
        <v>华北</v>
      </c>
      <c r="P149" s="16"/>
      <c r="Q149" s="16"/>
      <c r="R149" s="16"/>
      <c r="S149" s="16"/>
      <c r="T149" s="16">
        <v>1</v>
      </c>
      <c r="U149" s="18" t="s">
        <v>48</v>
      </c>
      <c r="V149" s="16"/>
      <c r="W149" s="16"/>
      <c r="X149" s="16"/>
      <c r="Y149" s="16"/>
      <c r="Z149" s="17">
        <v>46080</v>
      </c>
      <c r="AA149" s="17">
        <v>46080</v>
      </c>
      <c r="AB149" s="17" t="s">
        <v>2573</v>
      </c>
    </row>
    <row r="150" spans="4:28" ht="24.95" customHeight="1" x14ac:dyDescent="0.3">
      <c r="D150" s="6"/>
      <c r="E150" s="44" t="s">
        <v>2790</v>
      </c>
      <c r="F150" s="44" t="s">
        <v>2791</v>
      </c>
      <c r="G150" s="16" t="s">
        <v>2792</v>
      </c>
      <c r="H150" s="16" t="s">
        <v>1760</v>
      </c>
      <c r="I150" s="39" t="str">
        <f>VLOOKUP(H150,[1]VLOOKUP!$A$2:$B$35,2,FALSE)</f>
        <v>华北</v>
      </c>
      <c r="J150" s="16" t="s">
        <v>2793</v>
      </c>
      <c r="K150" s="16" t="s">
        <v>1809</v>
      </c>
      <c r="L150" s="39" t="str">
        <f>VLOOKUP(K150,[1]VLOOKUP!$A$2:$B$35,2,FALSE)</f>
        <v>华东</v>
      </c>
      <c r="M150" s="16" t="s">
        <v>2794</v>
      </c>
      <c r="N150" s="16" t="s">
        <v>1773</v>
      </c>
      <c r="O150" s="39" t="str">
        <f>VLOOKUP(N150,[1]VLOOKUP!$A$2:$B$35,2,FALSE)</f>
        <v>华东</v>
      </c>
      <c r="P150" s="16"/>
      <c r="Q150" s="16"/>
      <c r="R150" s="16"/>
      <c r="S150" s="16"/>
      <c r="T150" s="16"/>
      <c r="U150" s="16"/>
      <c r="V150" s="16"/>
      <c r="W150" s="16"/>
      <c r="X150" s="16">
        <v>1</v>
      </c>
      <c r="Y150" s="18" t="s">
        <v>16</v>
      </c>
      <c r="Z150" s="17">
        <v>46112</v>
      </c>
      <c r="AA150" s="17">
        <v>46204</v>
      </c>
      <c r="AB150" s="17" t="s">
        <v>2795</v>
      </c>
    </row>
    <row r="151" spans="4:28" ht="24.95" customHeight="1" x14ac:dyDescent="0.3">
      <c r="D151" s="6"/>
      <c r="E151" s="44" t="s">
        <v>2796</v>
      </c>
      <c r="F151" s="44" t="s">
        <v>2797</v>
      </c>
      <c r="G151" s="16" t="s">
        <v>2798</v>
      </c>
      <c r="H151" s="16" t="s">
        <v>1809</v>
      </c>
      <c r="I151" s="39" t="str">
        <f>VLOOKUP(H151,[1]VLOOKUP!$A$2:$B$35,2,FALSE)</f>
        <v>华东</v>
      </c>
      <c r="J151" s="16" t="s">
        <v>2799</v>
      </c>
      <c r="K151" s="16" t="s">
        <v>1880</v>
      </c>
      <c r="L151" s="39" t="str">
        <f>VLOOKUP(K151,[1]VLOOKUP!$A$2:$B$35,2,FALSE)</f>
        <v>华中</v>
      </c>
      <c r="M151" s="16" t="s">
        <v>2800</v>
      </c>
      <c r="N151" s="16" t="s">
        <v>1902</v>
      </c>
      <c r="O151" s="39" t="str">
        <f>VLOOKUP(N151,[1]VLOOKUP!$A$2:$B$35,2,FALSE)</f>
        <v>华东</v>
      </c>
      <c r="P151" s="16"/>
      <c r="Q151" s="16"/>
      <c r="R151" s="16"/>
      <c r="S151" s="16"/>
      <c r="T151" s="16"/>
      <c r="U151" s="16"/>
      <c r="V151" s="16"/>
      <c r="W151" s="16"/>
      <c r="X151" s="16">
        <v>1</v>
      </c>
      <c r="Y151" s="18" t="s">
        <v>16</v>
      </c>
      <c r="Z151" s="17">
        <v>46142</v>
      </c>
      <c r="AA151" s="17">
        <v>46327</v>
      </c>
      <c r="AB151" s="17" t="s">
        <v>2425</v>
      </c>
    </row>
    <row r="152" spans="4:28" ht="24.95" customHeight="1" x14ac:dyDescent="0.3">
      <c r="D152" s="6"/>
      <c r="E152" s="44" t="s">
        <v>2801</v>
      </c>
      <c r="F152" s="44" t="s">
        <v>2802</v>
      </c>
      <c r="G152" s="16" t="s">
        <v>2013</v>
      </c>
      <c r="H152" s="16" t="s">
        <v>1773</v>
      </c>
      <c r="I152" s="39" t="str">
        <f>VLOOKUP(H152,[1]VLOOKUP!$A$2:$B$35,2,FALSE)</f>
        <v>华东</v>
      </c>
      <c r="J152" s="16" t="s">
        <v>2391</v>
      </c>
      <c r="K152" s="16" t="s">
        <v>1760</v>
      </c>
      <c r="L152" s="39" t="str">
        <f>VLOOKUP(K152,[1]VLOOKUP!$A$2:$B$35,2,FALSE)</f>
        <v>华北</v>
      </c>
      <c r="M152" s="16" t="s">
        <v>1772</v>
      </c>
      <c r="N152" s="16" t="s">
        <v>1773</v>
      </c>
      <c r="O152" s="39" t="str">
        <f>VLOOKUP(N152,[1]VLOOKUP!$A$2:$B$35,2,FALSE)</f>
        <v>华东</v>
      </c>
      <c r="P152" s="16"/>
      <c r="Q152" s="16"/>
      <c r="R152" s="16"/>
      <c r="S152" s="16"/>
      <c r="T152" s="16"/>
      <c r="U152" s="16"/>
      <c r="V152" s="16"/>
      <c r="W152" s="16"/>
      <c r="X152" s="16">
        <v>1</v>
      </c>
      <c r="Y152" s="18" t="s">
        <v>16</v>
      </c>
      <c r="Z152" s="17">
        <v>46142</v>
      </c>
      <c r="AA152" s="17">
        <v>46327</v>
      </c>
      <c r="AB152" s="17" t="s">
        <v>2401</v>
      </c>
    </row>
    <row r="153" spans="4:28" ht="24.95" customHeight="1" x14ac:dyDescent="0.3">
      <c r="D153" s="6"/>
      <c r="E153" s="44" t="s">
        <v>2803</v>
      </c>
      <c r="F153" s="44" t="s">
        <v>2804</v>
      </c>
      <c r="G153" s="16" t="s">
        <v>1816</v>
      </c>
      <c r="H153" s="16" t="s">
        <v>1809</v>
      </c>
      <c r="I153" s="39" t="str">
        <f>VLOOKUP(H153,[1]VLOOKUP!$A$2:$B$35,2,FALSE)</f>
        <v>华东</v>
      </c>
      <c r="J153" s="16" t="s">
        <v>1904</v>
      </c>
      <c r="K153" s="16" t="s">
        <v>1809</v>
      </c>
      <c r="L153" s="39" t="str">
        <f>VLOOKUP(K153,[1]VLOOKUP!$A$2:$B$35,2,FALSE)</f>
        <v>华东</v>
      </c>
      <c r="M153" s="16" t="s">
        <v>2805</v>
      </c>
      <c r="N153" s="16" t="s">
        <v>1894</v>
      </c>
      <c r="O153" s="39" t="str">
        <f>VLOOKUP(N153,[1]VLOOKUP!$A$2:$B$35,2,FALSE)</f>
        <v>西南</v>
      </c>
      <c r="P153" s="16"/>
      <c r="Q153" s="16"/>
      <c r="R153" s="16"/>
      <c r="S153" s="16"/>
      <c r="T153" s="16"/>
      <c r="U153" s="16"/>
      <c r="V153" s="16"/>
      <c r="W153" s="16"/>
      <c r="X153" s="16">
        <v>1</v>
      </c>
      <c r="Y153" s="18" t="s">
        <v>16</v>
      </c>
      <c r="Z153" s="17">
        <v>46142</v>
      </c>
      <c r="AA153" s="17">
        <v>46142</v>
      </c>
      <c r="AB153" s="17" t="s">
        <v>2425</v>
      </c>
    </row>
    <row r="154" spans="4:28" ht="24.95" customHeight="1" x14ac:dyDescent="0.3">
      <c r="D154" s="6"/>
      <c r="E154" s="44" t="s">
        <v>2806</v>
      </c>
      <c r="F154" s="44" t="s">
        <v>2807</v>
      </c>
      <c r="G154" s="16" t="s">
        <v>1816</v>
      </c>
      <c r="H154" s="16" t="s">
        <v>1809</v>
      </c>
      <c r="I154" s="39" t="str">
        <f>VLOOKUP(H154,[1]VLOOKUP!$A$2:$B$35,2,FALSE)</f>
        <v>华东</v>
      </c>
      <c r="J154" s="16" t="s">
        <v>1938</v>
      </c>
      <c r="K154" s="16" t="s">
        <v>1809</v>
      </c>
      <c r="L154" s="39" t="str">
        <f>VLOOKUP(K154,[1]VLOOKUP!$A$2:$B$35,2,FALSE)</f>
        <v>华东</v>
      </c>
      <c r="M154" s="16" t="s">
        <v>1903</v>
      </c>
      <c r="N154" s="16" t="s">
        <v>1902</v>
      </c>
      <c r="O154" s="39" t="str">
        <f>VLOOKUP(N154,[1]VLOOKUP!$A$2:$B$35,2,FALSE)</f>
        <v>华东</v>
      </c>
      <c r="P154" s="16"/>
      <c r="Q154" s="16"/>
      <c r="R154" s="16"/>
      <c r="S154" s="16"/>
      <c r="T154" s="16"/>
      <c r="U154" s="16"/>
      <c r="V154" s="16"/>
      <c r="W154" s="16"/>
      <c r="X154" s="16">
        <v>1</v>
      </c>
      <c r="Y154" s="18" t="s">
        <v>16</v>
      </c>
      <c r="Z154" s="17">
        <v>46142</v>
      </c>
      <c r="AA154" s="17">
        <v>46142</v>
      </c>
      <c r="AB154" s="17" t="s">
        <v>2425</v>
      </c>
    </row>
    <row r="155" spans="4:28" ht="24.95" customHeight="1" x14ac:dyDescent="0.3">
      <c r="D155" s="6"/>
      <c r="E155" s="42"/>
      <c r="F155" s="42"/>
      <c r="G155" s="6"/>
      <c r="H155" s="6"/>
      <c r="I155" s="30"/>
      <c r="J155" s="6"/>
      <c r="K155" s="6"/>
      <c r="L155" s="30"/>
      <c r="M155" s="6"/>
      <c r="N155" s="6"/>
      <c r="O155" s="30"/>
      <c r="P155" s="6"/>
      <c r="Q155" s="42"/>
      <c r="R155" s="42"/>
      <c r="S155" s="6"/>
      <c r="T155" s="6"/>
      <c r="U155" s="6"/>
      <c r="V155" s="6"/>
      <c r="W155" s="6"/>
      <c r="X155" s="6"/>
      <c r="Y155" s="6"/>
      <c r="Z155" s="7"/>
      <c r="AA155" s="7"/>
      <c r="AB155" s="7"/>
    </row>
    <row r="156" spans="4:28" ht="24.95" customHeight="1" x14ac:dyDescent="0.3">
      <c r="D156" s="6"/>
      <c r="E156" s="42"/>
      <c r="F156" s="42"/>
      <c r="G156" s="6"/>
      <c r="H156" s="6"/>
      <c r="I156" s="30"/>
      <c r="J156" s="6"/>
      <c r="K156" s="6"/>
      <c r="L156" s="30"/>
      <c r="M156" s="6"/>
      <c r="N156" s="6"/>
      <c r="O156" s="30"/>
      <c r="P156" s="6"/>
      <c r="Q156" s="42"/>
      <c r="R156" s="42"/>
      <c r="S156" s="6"/>
      <c r="T156" s="6"/>
      <c r="U156" s="6"/>
      <c r="V156" s="6"/>
      <c r="W156" s="6"/>
      <c r="X156" s="6"/>
      <c r="Y156" s="6"/>
      <c r="Z156" s="7"/>
      <c r="AA156" s="7"/>
      <c r="AB156" s="7"/>
    </row>
    <row r="157" spans="4:28" ht="24.95" customHeight="1" x14ac:dyDescent="0.3">
      <c r="D157" s="6"/>
      <c r="E157" s="42"/>
      <c r="F157" s="42"/>
      <c r="G157" s="6"/>
      <c r="H157" s="6"/>
      <c r="I157" s="30"/>
      <c r="J157" s="6"/>
      <c r="K157" s="6"/>
      <c r="L157" s="30"/>
      <c r="M157" s="6"/>
      <c r="N157" s="6"/>
      <c r="O157" s="30"/>
      <c r="P157" s="6"/>
      <c r="Q157" s="42"/>
      <c r="R157" s="42"/>
      <c r="S157" s="6"/>
      <c r="T157" s="6"/>
      <c r="U157" s="6"/>
      <c r="V157" s="6"/>
      <c r="W157" s="6"/>
      <c r="X157" s="6"/>
      <c r="Y157" s="6"/>
      <c r="Z157" s="7"/>
      <c r="AA157" s="7"/>
      <c r="AB157" s="7"/>
    </row>
    <row r="158" spans="4:28" ht="24.95" customHeight="1" x14ac:dyDescent="0.3">
      <c r="D158" s="6"/>
      <c r="E158" s="42"/>
      <c r="F158" s="42"/>
      <c r="G158" s="6"/>
      <c r="H158" s="6"/>
      <c r="I158" s="30"/>
      <c r="J158" s="6"/>
      <c r="K158" s="6"/>
      <c r="L158" s="30"/>
      <c r="M158" s="6"/>
      <c r="N158" s="6"/>
      <c r="O158" s="30"/>
      <c r="P158" s="6"/>
      <c r="Q158" s="42"/>
      <c r="R158" s="42"/>
      <c r="S158" s="6"/>
      <c r="T158" s="6"/>
      <c r="U158" s="6"/>
      <c r="V158" s="6"/>
      <c r="W158" s="6"/>
      <c r="X158" s="6"/>
      <c r="Y158" s="6"/>
      <c r="Z158" s="7"/>
      <c r="AA158" s="7"/>
      <c r="AB158" s="7"/>
    </row>
    <row r="159" spans="4:28" ht="24.95" customHeight="1" x14ac:dyDescent="0.3">
      <c r="D159" s="6"/>
      <c r="E159" s="42"/>
      <c r="F159" s="42"/>
      <c r="G159" s="6"/>
      <c r="H159" s="6"/>
      <c r="I159" s="30"/>
      <c r="J159" s="6"/>
      <c r="K159" s="6"/>
      <c r="L159" s="30"/>
      <c r="M159" s="6"/>
      <c r="N159" s="6"/>
      <c r="O159" s="30"/>
      <c r="P159" s="6"/>
      <c r="Q159" s="42"/>
      <c r="R159" s="42"/>
      <c r="S159" s="6"/>
      <c r="T159" s="6"/>
      <c r="U159" s="6"/>
      <c r="V159" s="6"/>
      <c r="W159" s="6"/>
      <c r="X159" s="6"/>
      <c r="Y159" s="6"/>
      <c r="Z159" s="7"/>
      <c r="AA159" s="7"/>
      <c r="AB159" s="7"/>
    </row>
    <row r="160" spans="4:28" ht="24.95" customHeight="1" x14ac:dyDescent="0.3">
      <c r="D160" s="6"/>
      <c r="E160" s="42"/>
      <c r="F160" s="42"/>
      <c r="G160" s="6"/>
      <c r="H160" s="6"/>
      <c r="I160" s="30"/>
      <c r="J160" s="6"/>
      <c r="K160" s="6"/>
      <c r="L160" s="30"/>
      <c r="M160" s="6"/>
      <c r="N160" s="6"/>
      <c r="O160" s="30"/>
      <c r="P160" s="6"/>
      <c r="Q160" s="42"/>
      <c r="R160" s="42"/>
      <c r="S160" s="6"/>
      <c r="T160" s="6"/>
      <c r="U160" s="6"/>
      <c r="V160" s="6"/>
      <c r="W160" s="6"/>
      <c r="X160" s="6"/>
      <c r="Y160" s="6"/>
      <c r="Z160" s="7"/>
      <c r="AA160" s="7"/>
      <c r="AB160" s="7"/>
    </row>
    <row r="161" spans="1:28" ht="24.95" customHeight="1" x14ac:dyDescent="0.3">
      <c r="D161" s="6"/>
      <c r="E161" s="42"/>
      <c r="F161" s="42"/>
      <c r="G161" s="6"/>
      <c r="H161" s="6"/>
      <c r="I161" s="30"/>
      <c r="J161" s="6"/>
      <c r="K161" s="6"/>
      <c r="L161" s="30"/>
      <c r="M161" s="6"/>
      <c r="N161" s="6"/>
      <c r="O161" s="30"/>
      <c r="P161" s="6"/>
      <c r="Q161" s="42"/>
      <c r="R161" s="42"/>
      <c r="S161" s="6"/>
      <c r="T161" s="6"/>
      <c r="U161" s="6"/>
      <c r="V161" s="6"/>
      <c r="W161" s="6"/>
      <c r="X161" s="6"/>
      <c r="Y161" s="6"/>
      <c r="Z161" s="7"/>
      <c r="AA161" s="7"/>
      <c r="AB161" s="7"/>
    </row>
    <row r="162" spans="1:28" ht="24.95" customHeight="1" x14ac:dyDescent="0.3">
      <c r="D162" s="6"/>
      <c r="E162" s="42"/>
      <c r="F162" s="42"/>
      <c r="G162" s="6"/>
      <c r="H162" s="6"/>
      <c r="I162" s="30"/>
      <c r="J162" s="6"/>
      <c r="K162" s="6"/>
      <c r="L162" s="30"/>
      <c r="M162" s="6"/>
      <c r="N162" s="6"/>
      <c r="O162" s="30"/>
      <c r="P162" s="6"/>
      <c r="Q162" s="42"/>
      <c r="R162" s="42"/>
      <c r="S162" s="6"/>
      <c r="T162" s="6"/>
      <c r="U162" s="6"/>
      <c r="V162" s="6"/>
      <c r="W162" s="6"/>
      <c r="X162" s="6"/>
      <c r="Y162" s="6"/>
      <c r="Z162" s="7"/>
      <c r="AA162" s="7"/>
      <c r="AB162" s="7"/>
    </row>
    <row r="163" spans="1:28" ht="24.95" customHeight="1" x14ac:dyDescent="0.3">
      <c r="A163" s="27" t="s">
        <v>0</v>
      </c>
      <c r="B163" s="28"/>
      <c r="D163" s="6"/>
      <c r="E163" s="42"/>
      <c r="F163" s="42"/>
      <c r="G163" s="6"/>
      <c r="H163" s="6"/>
      <c r="I163" s="30"/>
      <c r="J163" s="6"/>
      <c r="K163" s="6"/>
      <c r="L163" s="30"/>
      <c r="M163" s="6"/>
      <c r="N163" s="6"/>
      <c r="O163" s="30"/>
      <c r="P163" s="6"/>
      <c r="Q163" s="42"/>
      <c r="R163" s="42"/>
      <c r="S163" s="6"/>
      <c r="T163" s="6"/>
      <c r="U163" s="6"/>
      <c r="V163" s="6"/>
      <c r="W163" s="6"/>
      <c r="X163" s="6"/>
      <c r="Y163" s="6"/>
      <c r="Z163" s="7"/>
      <c r="AA163" s="7"/>
      <c r="AB163" s="7"/>
    </row>
    <row r="164" spans="1:28" ht="24.95" customHeight="1" x14ac:dyDescent="0.3">
      <c r="A164" s="45" t="s">
        <v>5</v>
      </c>
      <c r="B164" s="8" t="s">
        <v>1667</v>
      </c>
      <c r="D164" s="6"/>
      <c r="E164" s="42"/>
      <c r="F164" s="42"/>
      <c r="G164" s="6"/>
      <c r="H164" s="6"/>
      <c r="I164" s="30"/>
      <c r="J164" s="6"/>
      <c r="K164" s="6"/>
      <c r="L164" s="30"/>
      <c r="M164" s="6"/>
      <c r="N164" s="6"/>
      <c r="O164" s="30"/>
      <c r="P164" s="6"/>
      <c r="Q164" s="42"/>
      <c r="R164" s="42"/>
      <c r="S164" s="6"/>
      <c r="T164" s="6"/>
      <c r="U164" s="6"/>
      <c r="V164" s="6"/>
      <c r="W164" s="6"/>
      <c r="X164" s="6"/>
      <c r="Y164" s="6"/>
      <c r="Z164" s="7"/>
      <c r="AA164" s="7"/>
      <c r="AB164" s="7"/>
    </row>
    <row r="165" spans="1:28" ht="24.95" customHeight="1" x14ac:dyDescent="0.3">
      <c r="A165" s="46"/>
      <c r="B165" s="8" t="s">
        <v>1670</v>
      </c>
      <c r="D165" s="6"/>
      <c r="E165" s="42"/>
      <c r="F165" s="42"/>
      <c r="G165" s="6"/>
      <c r="H165" s="6"/>
      <c r="I165" s="30"/>
      <c r="J165" s="6"/>
      <c r="K165" s="6"/>
      <c r="L165" s="30"/>
      <c r="M165" s="6"/>
      <c r="N165" s="6"/>
      <c r="O165" s="30"/>
      <c r="P165" s="6"/>
      <c r="Q165" s="42"/>
      <c r="R165" s="42"/>
      <c r="S165" s="6"/>
      <c r="T165" s="6"/>
      <c r="U165" s="6"/>
      <c r="V165" s="6"/>
      <c r="W165" s="6"/>
      <c r="X165" s="6"/>
      <c r="Y165" s="6"/>
      <c r="Z165" s="7"/>
      <c r="AA165" s="7"/>
      <c r="AB165" s="7"/>
    </row>
    <row r="166" spans="1:28" ht="24.95" customHeight="1" x14ac:dyDescent="0.3">
      <c r="A166" s="46"/>
      <c r="B166" s="8" t="s">
        <v>277</v>
      </c>
      <c r="D166" s="6"/>
      <c r="E166" s="42"/>
      <c r="F166" s="42"/>
      <c r="G166" s="6"/>
      <c r="H166" s="6"/>
      <c r="I166" s="30"/>
      <c r="J166" s="6"/>
      <c r="K166" s="6"/>
      <c r="L166" s="30"/>
      <c r="M166" s="6"/>
      <c r="N166" s="6"/>
      <c r="O166" s="30"/>
      <c r="P166" s="6"/>
      <c r="Q166" s="42"/>
      <c r="R166" s="42"/>
      <c r="S166" s="6"/>
      <c r="T166" s="6"/>
      <c r="U166" s="6"/>
      <c r="V166" s="6"/>
      <c r="W166" s="6"/>
      <c r="X166" s="6"/>
      <c r="Y166" s="6"/>
      <c r="Z166" s="7"/>
      <c r="AA166" s="7"/>
      <c r="AB166" s="7"/>
    </row>
    <row r="167" spans="1:28" ht="24.95" customHeight="1" x14ac:dyDescent="0.3">
      <c r="A167" s="46"/>
      <c r="B167" s="8" t="s">
        <v>21</v>
      </c>
      <c r="D167" s="6"/>
      <c r="E167" s="42"/>
      <c r="F167" s="42"/>
      <c r="G167" s="6"/>
      <c r="H167" s="6"/>
      <c r="I167" s="30"/>
      <c r="J167" s="6"/>
      <c r="K167" s="6"/>
      <c r="L167" s="30"/>
      <c r="M167" s="6"/>
      <c r="N167" s="6"/>
      <c r="O167" s="30"/>
      <c r="P167" s="6"/>
      <c r="Q167" s="42"/>
      <c r="R167" s="42"/>
      <c r="S167" s="6"/>
      <c r="T167" s="6"/>
      <c r="U167" s="6"/>
      <c r="V167" s="6"/>
      <c r="W167" s="6"/>
      <c r="X167" s="6"/>
      <c r="Y167" s="6"/>
      <c r="Z167" s="7"/>
      <c r="AA167" s="7"/>
      <c r="AB167" s="7"/>
    </row>
    <row r="168" spans="1:28" ht="24.95" customHeight="1" x14ac:dyDescent="0.3">
      <c r="A168" s="46"/>
      <c r="B168" s="8" t="s">
        <v>281</v>
      </c>
      <c r="D168" s="6"/>
      <c r="E168" s="42"/>
      <c r="F168" s="42"/>
      <c r="G168" s="6"/>
      <c r="H168" s="6"/>
      <c r="I168" s="30"/>
      <c r="J168" s="6"/>
      <c r="K168" s="6"/>
      <c r="L168" s="30"/>
      <c r="M168" s="6"/>
      <c r="N168" s="6"/>
      <c r="O168" s="30"/>
      <c r="P168" s="6"/>
      <c r="Q168" s="42"/>
      <c r="R168" s="42"/>
      <c r="S168" s="6"/>
      <c r="T168" s="6"/>
      <c r="U168" s="6"/>
      <c r="V168" s="6"/>
      <c r="W168" s="6"/>
      <c r="X168" s="6"/>
      <c r="Y168" s="6"/>
      <c r="Z168" s="7"/>
      <c r="AA168" s="7"/>
      <c r="AB168" s="7"/>
    </row>
    <row r="169" spans="1:28" ht="24.95" customHeight="1" x14ac:dyDescent="0.3">
      <c r="A169" s="47"/>
      <c r="B169" s="8" t="s">
        <v>609</v>
      </c>
      <c r="D169" s="6"/>
      <c r="E169" s="42"/>
      <c r="F169" s="42"/>
      <c r="G169" s="6"/>
      <c r="H169" s="6"/>
      <c r="I169" s="30"/>
      <c r="J169" s="6"/>
      <c r="K169" s="6"/>
      <c r="L169" s="30"/>
      <c r="M169" s="6"/>
      <c r="N169" s="6"/>
      <c r="O169" s="30"/>
      <c r="P169" s="6"/>
      <c r="Q169" s="42"/>
      <c r="R169" s="42"/>
      <c r="S169" s="6"/>
      <c r="T169" s="6"/>
      <c r="U169" s="6"/>
      <c r="V169" s="6"/>
      <c r="W169" s="6"/>
      <c r="X169" s="6"/>
      <c r="Y169" s="6"/>
      <c r="Z169" s="7"/>
      <c r="AA169" s="7"/>
      <c r="AB169" s="7"/>
    </row>
    <row r="170" spans="1:28" ht="24.95" customHeight="1" x14ac:dyDescent="0.3">
      <c r="A170" s="45" t="s">
        <v>6</v>
      </c>
      <c r="B170" s="8" t="s">
        <v>80</v>
      </c>
      <c r="D170" s="6"/>
      <c r="E170" s="42"/>
      <c r="F170" s="42"/>
      <c r="G170" s="6"/>
      <c r="H170" s="6"/>
      <c r="I170" s="30"/>
      <c r="J170" s="6"/>
      <c r="K170" s="6"/>
      <c r="L170" s="30"/>
      <c r="M170" s="6"/>
      <c r="N170" s="6"/>
      <c r="O170" s="30"/>
      <c r="P170" s="6"/>
      <c r="Q170" s="42"/>
      <c r="R170" s="42"/>
      <c r="S170" s="6"/>
      <c r="T170" s="6"/>
      <c r="U170" s="6"/>
      <c r="V170" s="6"/>
      <c r="W170" s="6"/>
      <c r="X170" s="6"/>
      <c r="Y170" s="6"/>
      <c r="Z170" s="7"/>
      <c r="AA170" s="7"/>
      <c r="AB170" s="7"/>
    </row>
    <row r="171" spans="1:28" ht="24.95" customHeight="1" x14ac:dyDescent="0.3">
      <c r="A171" s="46"/>
      <c r="B171" s="8" t="s">
        <v>130</v>
      </c>
      <c r="D171" s="6"/>
      <c r="E171" s="42"/>
      <c r="F171" s="42"/>
      <c r="G171" s="6"/>
      <c r="H171" s="6"/>
      <c r="I171" s="30"/>
      <c r="J171" s="6"/>
      <c r="K171" s="6"/>
      <c r="L171" s="30"/>
      <c r="M171" s="6"/>
      <c r="N171" s="6"/>
      <c r="O171" s="30"/>
      <c r="P171" s="6"/>
      <c r="Q171" s="42"/>
      <c r="R171" s="42"/>
      <c r="S171" s="6"/>
      <c r="T171" s="6"/>
      <c r="U171" s="6"/>
      <c r="V171" s="6"/>
      <c r="W171" s="6"/>
      <c r="X171" s="6"/>
      <c r="Y171" s="6"/>
      <c r="Z171" s="7"/>
      <c r="AA171" s="7"/>
      <c r="AB171" s="7"/>
    </row>
    <row r="172" spans="1:28" ht="24.95" customHeight="1" x14ac:dyDescent="0.3">
      <c r="A172" s="47"/>
      <c r="B172" s="8" t="s">
        <v>1021</v>
      </c>
      <c r="D172" s="6"/>
      <c r="E172" s="42"/>
      <c r="F172" s="42"/>
      <c r="G172" s="6"/>
      <c r="H172" s="6"/>
      <c r="I172" s="30"/>
      <c r="J172" s="6"/>
      <c r="K172" s="6"/>
      <c r="L172" s="30"/>
      <c r="M172" s="6"/>
      <c r="N172" s="6"/>
      <c r="O172" s="30"/>
      <c r="P172" s="6"/>
      <c r="Q172" s="42"/>
      <c r="R172" s="42"/>
      <c r="S172" s="6"/>
      <c r="T172" s="6"/>
      <c r="U172" s="6"/>
      <c r="V172" s="6"/>
      <c r="W172" s="6"/>
      <c r="X172" s="6"/>
      <c r="Y172" s="6"/>
      <c r="Z172" s="7"/>
      <c r="AA172" s="7"/>
      <c r="AB172" s="7"/>
    </row>
    <row r="173" spans="1:28" ht="24.95" customHeight="1" x14ac:dyDescent="0.3">
      <c r="A173" s="45" t="s">
        <v>7</v>
      </c>
      <c r="B173" s="8" t="s">
        <v>64</v>
      </c>
      <c r="D173" s="6"/>
      <c r="E173" s="42"/>
      <c r="F173" s="42"/>
      <c r="G173" s="6"/>
      <c r="H173" s="6"/>
      <c r="I173" s="30"/>
      <c r="J173" s="6"/>
      <c r="K173" s="6"/>
      <c r="L173" s="30"/>
      <c r="M173" s="6"/>
      <c r="N173" s="6"/>
      <c r="O173" s="30"/>
      <c r="P173" s="6"/>
      <c r="Q173" s="42"/>
      <c r="R173" s="42"/>
      <c r="S173" s="6"/>
      <c r="T173" s="6"/>
      <c r="U173" s="6"/>
      <c r="V173" s="6"/>
      <c r="W173" s="6"/>
      <c r="X173" s="6"/>
      <c r="Y173" s="6"/>
      <c r="Z173" s="7"/>
      <c r="AA173" s="7"/>
      <c r="AB173" s="7"/>
    </row>
    <row r="174" spans="1:28" ht="24.95" customHeight="1" x14ac:dyDescent="0.3">
      <c r="A174" s="46"/>
      <c r="B174" s="8" t="s">
        <v>48</v>
      </c>
      <c r="D174" s="6"/>
      <c r="E174" s="42"/>
      <c r="F174" s="42"/>
      <c r="G174" s="6"/>
      <c r="H174" s="6"/>
      <c r="I174" s="30"/>
      <c r="J174" s="6"/>
      <c r="K174" s="6"/>
      <c r="L174" s="30"/>
      <c r="M174" s="6"/>
      <c r="N174" s="6"/>
      <c r="O174" s="30"/>
      <c r="P174" s="6"/>
      <c r="Q174" s="42"/>
      <c r="R174" s="42"/>
      <c r="S174" s="6"/>
      <c r="T174" s="6"/>
      <c r="U174" s="6"/>
      <c r="V174" s="6"/>
      <c r="W174" s="6"/>
      <c r="X174" s="6"/>
      <c r="Y174" s="6"/>
      <c r="Z174" s="7"/>
      <c r="AA174" s="7"/>
      <c r="AB174" s="7"/>
    </row>
    <row r="175" spans="1:28" ht="24.95" customHeight="1" x14ac:dyDescent="0.3">
      <c r="A175" s="47"/>
      <c r="B175" s="8" t="s">
        <v>92</v>
      </c>
      <c r="D175" s="6"/>
      <c r="E175" s="42"/>
      <c r="F175" s="42"/>
      <c r="G175" s="6"/>
      <c r="H175" s="6"/>
      <c r="I175" s="30"/>
      <c r="J175" s="6"/>
      <c r="K175" s="6"/>
      <c r="L175" s="30"/>
      <c r="M175" s="6"/>
      <c r="N175" s="6"/>
      <c r="O175" s="30"/>
      <c r="P175" s="6"/>
      <c r="Q175" s="42"/>
      <c r="R175" s="42"/>
      <c r="S175" s="6"/>
      <c r="T175" s="6"/>
      <c r="U175" s="6"/>
      <c r="V175" s="6"/>
      <c r="W175" s="6"/>
      <c r="X175" s="6"/>
      <c r="Y175" s="6"/>
      <c r="Z175" s="7"/>
      <c r="AA175" s="7"/>
      <c r="AB175" s="7"/>
    </row>
    <row r="176" spans="1:28" ht="24.95" customHeight="1" x14ac:dyDescent="0.3">
      <c r="A176" s="45" t="s">
        <v>8</v>
      </c>
      <c r="B176" s="8" t="s">
        <v>54</v>
      </c>
      <c r="D176" s="6"/>
      <c r="E176" s="42"/>
      <c r="F176" s="42"/>
      <c r="G176" s="6"/>
      <c r="H176" s="6"/>
      <c r="I176" s="30"/>
      <c r="J176" s="6"/>
      <c r="K176" s="6"/>
      <c r="L176" s="30"/>
      <c r="M176" s="6"/>
      <c r="N176" s="6"/>
      <c r="O176" s="30"/>
      <c r="P176" s="6"/>
      <c r="Q176" s="42"/>
      <c r="R176" s="42"/>
      <c r="S176" s="6"/>
      <c r="T176" s="6"/>
      <c r="U176" s="6"/>
      <c r="V176" s="6"/>
      <c r="W176" s="6"/>
      <c r="X176" s="6"/>
      <c r="Y176" s="6"/>
      <c r="Z176" s="7"/>
      <c r="AA176" s="7"/>
      <c r="AB176" s="7"/>
    </row>
    <row r="177" spans="1:28" ht="24.95" customHeight="1" x14ac:dyDescent="0.3">
      <c r="A177" s="46"/>
      <c r="B177" s="8" t="s">
        <v>108</v>
      </c>
      <c r="D177" s="6"/>
      <c r="E177" s="42"/>
      <c r="F177" s="42"/>
      <c r="G177" s="6"/>
      <c r="H177" s="6"/>
      <c r="I177" s="30"/>
      <c r="J177" s="6"/>
      <c r="K177" s="6"/>
      <c r="L177" s="30"/>
      <c r="M177" s="6"/>
      <c r="N177" s="6"/>
      <c r="O177" s="30"/>
      <c r="P177" s="6"/>
      <c r="Q177" s="42"/>
      <c r="R177" s="42"/>
      <c r="S177" s="6"/>
      <c r="T177" s="6"/>
      <c r="U177" s="6"/>
      <c r="V177" s="6"/>
      <c r="W177" s="6"/>
      <c r="X177" s="6"/>
      <c r="Y177" s="6"/>
      <c r="Z177" s="7"/>
      <c r="AA177" s="7"/>
      <c r="AB177" s="7"/>
    </row>
    <row r="178" spans="1:28" ht="24.95" customHeight="1" x14ac:dyDescent="0.3">
      <c r="A178" s="47"/>
      <c r="B178" s="8" t="s">
        <v>77</v>
      </c>
      <c r="D178" s="6"/>
      <c r="E178" s="42"/>
      <c r="F178" s="42"/>
      <c r="G178" s="6"/>
      <c r="H178" s="6"/>
      <c r="I178" s="30"/>
      <c r="J178" s="6"/>
      <c r="K178" s="6"/>
      <c r="L178" s="30"/>
      <c r="M178" s="6"/>
      <c r="N178" s="6"/>
      <c r="O178" s="30"/>
      <c r="P178" s="6"/>
      <c r="Q178" s="42"/>
      <c r="R178" s="42"/>
      <c r="S178" s="6"/>
      <c r="T178" s="6"/>
      <c r="U178" s="6"/>
      <c r="V178" s="6"/>
      <c r="W178" s="6"/>
      <c r="X178" s="6"/>
      <c r="Y178" s="6"/>
      <c r="Z178" s="7"/>
      <c r="AA178" s="7"/>
      <c r="AB178" s="7"/>
    </row>
    <row r="179" spans="1:28" ht="24.95" customHeight="1" x14ac:dyDescent="0.3">
      <c r="A179" s="45" t="s">
        <v>9</v>
      </c>
      <c r="B179" s="8" t="s">
        <v>58</v>
      </c>
      <c r="D179" s="6"/>
      <c r="E179" s="42"/>
      <c r="F179" s="42"/>
      <c r="G179" s="6"/>
      <c r="H179" s="6"/>
      <c r="I179" s="30"/>
      <c r="J179" s="6"/>
      <c r="K179" s="6"/>
      <c r="L179" s="30"/>
      <c r="M179" s="6"/>
      <c r="N179" s="6"/>
      <c r="O179" s="30"/>
      <c r="P179" s="6"/>
      <c r="Q179" s="42"/>
      <c r="R179" s="42"/>
      <c r="S179" s="6"/>
      <c r="T179" s="6"/>
      <c r="U179" s="6"/>
      <c r="V179" s="6"/>
      <c r="W179" s="6"/>
      <c r="X179" s="6"/>
      <c r="Y179" s="6"/>
      <c r="Z179" s="7"/>
      <c r="AA179" s="7"/>
      <c r="AB179" s="7"/>
    </row>
    <row r="180" spans="1:28" ht="24.95" customHeight="1" x14ac:dyDescent="0.3">
      <c r="A180" s="46"/>
      <c r="B180" s="8" t="s">
        <v>16</v>
      </c>
      <c r="D180" s="6"/>
      <c r="E180" s="42"/>
      <c r="F180" s="42"/>
      <c r="G180" s="6"/>
      <c r="H180" s="6"/>
      <c r="I180" s="30"/>
      <c r="J180" s="6"/>
      <c r="K180" s="6"/>
      <c r="L180" s="30"/>
      <c r="M180" s="6"/>
      <c r="N180" s="6"/>
      <c r="O180" s="30"/>
      <c r="P180" s="6"/>
      <c r="Q180" s="42"/>
      <c r="R180" s="42"/>
      <c r="S180" s="6"/>
      <c r="T180" s="6"/>
      <c r="U180" s="6"/>
      <c r="V180" s="6"/>
      <c r="W180" s="6"/>
      <c r="X180" s="6"/>
      <c r="Y180" s="6"/>
      <c r="Z180" s="7"/>
      <c r="AA180" s="7"/>
      <c r="AB180" s="7"/>
    </row>
    <row r="181" spans="1:28" ht="24.95" customHeight="1" x14ac:dyDescent="0.3">
      <c r="A181" s="46"/>
      <c r="B181" s="8" t="s">
        <v>759</v>
      </c>
      <c r="D181" s="6"/>
      <c r="E181" s="42"/>
      <c r="F181" s="42"/>
      <c r="G181" s="6"/>
      <c r="H181" s="6"/>
      <c r="I181" s="30"/>
      <c r="J181" s="6"/>
      <c r="K181" s="6"/>
      <c r="L181" s="30"/>
      <c r="M181" s="6"/>
      <c r="N181" s="6"/>
      <c r="O181" s="30"/>
      <c r="P181" s="6"/>
      <c r="Q181" s="42"/>
      <c r="R181" s="42"/>
      <c r="S181" s="6"/>
      <c r="T181" s="6"/>
      <c r="U181" s="6"/>
      <c r="V181" s="6"/>
      <c r="W181" s="6"/>
      <c r="X181" s="6"/>
      <c r="Y181" s="6"/>
      <c r="Z181" s="7"/>
      <c r="AA181" s="7"/>
      <c r="AB181" s="7"/>
    </row>
    <row r="182" spans="1:28" ht="24.95" customHeight="1" x14ac:dyDescent="0.3">
      <c r="A182" s="46"/>
      <c r="B182" s="8" t="s">
        <v>25</v>
      </c>
      <c r="D182" s="6"/>
      <c r="E182" s="42"/>
      <c r="F182" s="42"/>
      <c r="G182" s="6"/>
      <c r="H182" s="6"/>
      <c r="I182" s="30"/>
      <c r="J182" s="6"/>
      <c r="K182" s="6"/>
      <c r="L182" s="30"/>
      <c r="M182" s="6"/>
      <c r="N182" s="6"/>
      <c r="O182" s="30"/>
      <c r="P182" s="6"/>
      <c r="Q182" s="42"/>
      <c r="R182" s="42"/>
      <c r="S182" s="6"/>
      <c r="T182" s="6"/>
      <c r="U182" s="6"/>
      <c r="V182" s="6"/>
      <c r="W182" s="6"/>
      <c r="X182" s="6"/>
      <c r="Y182" s="6"/>
      <c r="Z182" s="7"/>
      <c r="AA182" s="7"/>
      <c r="AB182" s="7"/>
    </row>
    <row r="183" spans="1:28" ht="24.95" customHeight="1" x14ac:dyDescent="0.3">
      <c r="A183" s="46"/>
      <c r="B183" s="8" t="s">
        <v>272</v>
      </c>
      <c r="D183" s="6"/>
      <c r="E183" s="42"/>
      <c r="F183" s="42"/>
      <c r="G183" s="6"/>
      <c r="H183" s="6"/>
      <c r="I183" s="30"/>
      <c r="J183" s="6"/>
      <c r="K183" s="6"/>
      <c r="L183" s="30"/>
      <c r="M183" s="6"/>
      <c r="N183" s="6"/>
      <c r="O183" s="30"/>
      <c r="P183" s="6"/>
      <c r="Q183" s="42"/>
      <c r="R183" s="42"/>
      <c r="S183" s="6"/>
      <c r="T183" s="6"/>
      <c r="U183" s="6"/>
      <c r="V183" s="6"/>
      <c r="W183" s="6"/>
      <c r="X183" s="6"/>
      <c r="Y183" s="6"/>
      <c r="Z183" s="7"/>
      <c r="AA183" s="7"/>
      <c r="AB183" s="7"/>
    </row>
    <row r="184" spans="1:28" ht="24.95" customHeight="1" x14ac:dyDescent="0.3">
      <c r="D184" s="6"/>
      <c r="E184" s="42"/>
      <c r="F184" s="42"/>
      <c r="G184" s="6"/>
      <c r="H184" s="6"/>
      <c r="I184" s="30"/>
      <c r="J184" s="6"/>
      <c r="K184" s="6"/>
      <c r="L184" s="30"/>
      <c r="M184" s="6"/>
      <c r="N184" s="6"/>
      <c r="O184" s="30"/>
      <c r="P184" s="6"/>
      <c r="Q184" s="42"/>
      <c r="R184" s="42"/>
      <c r="S184" s="6"/>
      <c r="T184" s="6"/>
      <c r="U184" s="6"/>
      <c r="V184" s="6"/>
      <c r="W184" s="6"/>
      <c r="X184" s="6"/>
      <c r="Y184" s="6"/>
      <c r="Z184" s="7"/>
      <c r="AA184" s="7"/>
      <c r="AB184" s="7"/>
    </row>
    <row r="185" spans="1:28" ht="24.95" customHeight="1" x14ac:dyDescent="0.3">
      <c r="D185" s="6"/>
      <c r="E185" s="42"/>
      <c r="F185" s="42"/>
      <c r="G185" s="6"/>
      <c r="H185" s="6"/>
      <c r="I185" s="30"/>
      <c r="J185" s="6"/>
      <c r="K185" s="6"/>
      <c r="L185" s="30"/>
      <c r="M185" s="6"/>
      <c r="N185" s="6"/>
      <c r="O185" s="30"/>
      <c r="P185" s="6"/>
      <c r="Q185" s="42"/>
      <c r="R185" s="42"/>
      <c r="S185" s="6"/>
      <c r="T185" s="6"/>
      <c r="U185" s="6"/>
      <c r="V185" s="6"/>
      <c r="W185" s="6"/>
      <c r="X185" s="6"/>
      <c r="Y185" s="6"/>
      <c r="Z185" s="7"/>
      <c r="AA185" s="7"/>
      <c r="AB185" s="7"/>
    </row>
    <row r="186" spans="1:28" ht="24.95" customHeight="1" x14ac:dyDescent="0.3">
      <c r="D186" s="6"/>
      <c r="E186" s="42"/>
      <c r="F186" s="42"/>
      <c r="G186" s="6"/>
      <c r="H186" s="6"/>
      <c r="I186" s="30"/>
      <c r="J186" s="6"/>
      <c r="K186" s="6"/>
      <c r="L186" s="30"/>
      <c r="M186" s="6"/>
      <c r="N186" s="6"/>
      <c r="O186" s="30"/>
      <c r="P186" s="6"/>
      <c r="Q186" s="42"/>
      <c r="R186" s="42"/>
      <c r="S186" s="6"/>
      <c r="T186" s="6"/>
      <c r="U186" s="6"/>
      <c r="V186" s="6"/>
      <c r="W186" s="6"/>
      <c r="X186" s="6"/>
      <c r="Y186" s="6"/>
      <c r="Z186" s="7"/>
      <c r="AA186" s="7"/>
      <c r="AB186" s="7"/>
    </row>
    <row r="187" spans="1:28" ht="24.95" customHeight="1" x14ac:dyDescent="0.3">
      <c r="D187" s="6"/>
      <c r="E187" s="42"/>
      <c r="F187" s="42"/>
      <c r="G187" s="6"/>
      <c r="H187" s="6"/>
      <c r="I187" s="30"/>
      <c r="J187" s="6"/>
      <c r="K187" s="6"/>
      <c r="L187" s="30"/>
      <c r="M187" s="6"/>
      <c r="N187" s="6"/>
      <c r="O187" s="30"/>
      <c r="P187" s="6"/>
      <c r="Q187" s="42"/>
      <c r="R187" s="42"/>
      <c r="S187" s="6"/>
      <c r="T187" s="6"/>
      <c r="U187" s="6"/>
      <c r="V187" s="6"/>
      <c r="W187" s="6"/>
      <c r="X187" s="6"/>
      <c r="Y187" s="6"/>
      <c r="Z187" s="7"/>
      <c r="AA187" s="7"/>
      <c r="AB187" s="7"/>
    </row>
    <row r="188" spans="1:28" ht="24.95" customHeight="1" x14ac:dyDescent="0.3">
      <c r="D188" s="6"/>
      <c r="E188" s="42"/>
      <c r="F188" s="42"/>
      <c r="G188" s="6"/>
      <c r="H188" s="6"/>
      <c r="I188" s="30"/>
      <c r="J188" s="6"/>
      <c r="K188" s="6"/>
      <c r="L188" s="30"/>
      <c r="M188" s="6"/>
      <c r="N188" s="6"/>
      <c r="O188" s="30"/>
      <c r="P188" s="6"/>
      <c r="Q188" s="42"/>
      <c r="R188" s="42"/>
      <c r="S188" s="6"/>
      <c r="T188" s="6"/>
      <c r="U188" s="6"/>
      <c r="V188" s="6"/>
      <c r="W188" s="6"/>
      <c r="X188" s="6"/>
      <c r="Y188" s="6"/>
      <c r="Z188" s="7"/>
      <c r="AA188" s="7"/>
      <c r="AB188" s="7"/>
    </row>
    <row r="189" spans="1:28" ht="24.95" customHeight="1" x14ac:dyDescent="0.3">
      <c r="D189" s="6"/>
      <c r="E189" s="42"/>
      <c r="F189" s="42"/>
      <c r="G189" s="6"/>
      <c r="H189" s="6"/>
      <c r="I189" s="30"/>
      <c r="J189" s="6"/>
      <c r="K189" s="6"/>
      <c r="L189" s="30"/>
      <c r="M189" s="6"/>
      <c r="N189" s="6"/>
      <c r="O189" s="30"/>
      <c r="P189" s="6"/>
      <c r="Q189" s="42"/>
      <c r="R189" s="42"/>
      <c r="S189" s="6"/>
      <c r="T189" s="6"/>
      <c r="U189" s="6"/>
      <c r="V189" s="6"/>
      <c r="W189" s="6"/>
      <c r="X189" s="6"/>
      <c r="Y189" s="6"/>
      <c r="Z189" s="7"/>
      <c r="AA189" s="7"/>
      <c r="AB189" s="7"/>
    </row>
    <row r="190" spans="1:28" ht="24.95" customHeight="1" x14ac:dyDescent="0.3">
      <c r="D190" s="6"/>
      <c r="E190" s="42"/>
      <c r="F190" s="42"/>
      <c r="G190" s="6"/>
      <c r="H190" s="6"/>
      <c r="I190" s="30"/>
      <c r="J190" s="6"/>
      <c r="K190" s="6"/>
      <c r="L190" s="30"/>
      <c r="M190" s="6"/>
      <c r="N190" s="6"/>
      <c r="O190" s="30"/>
      <c r="P190" s="6"/>
      <c r="Q190" s="42"/>
      <c r="R190" s="42"/>
      <c r="S190" s="6"/>
      <c r="T190" s="6"/>
      <c r="U190" s="6"/>
      <c r="V190" s="6"/>
      <c r="W190" s="6"/>
      <c r="X190" s="6"/>
      <c r="Y190" s="6"/>
      <c r="Z190" s="7"/>
      <c r="AA190" s="7"/>
      <c r="AB190" s="7"/>
    </row>
    <row r="191" spans="1:28" ht="24.95" customHeight="1" x14ac:dyDescent="0.3">
      <c r="D191" s="6"/>
      <c r="E191" s="42"/>
      <c r="F191" s="42"/>
      <c r="G191" s="6"/>
      <c r="H191" s="6"/>
      <c r="I191" s="30"/>
      <c r="J191" s="6"/>
      <c r="K191" s="6"/>
      <c r="L191" s="30"/>
      <c r="M191" s="6"/>
      <c r="N191" s="6"/>
      <c r="O191" s="30"/>
      <c r="P191" s="6"/>
      <c r="Q191" s="42"/>
      <c r="R191" s="42"/>
      <c r="S191" s="6"/>
      <c r="T191" s="6"/>
      <c r="U191" s="6"/>
      <c r="V191" s="6"/>
      <c r="W191" s="6"/>
      <c r="X191" s="6"/>
      <c r="Y191" s="6"/>
      <c r="Z191" s="7"/>
      <c r="AA191" s="7"/>
      <c r="AB191" s="7"/>
    </row>
    <row r="192" spans="1:28" ht="24.95" customHeight="1" x14ac:dyDescent="0.3">
      <c r="D192" s="6"/>
      <c r="E192" s="42"/>
      <c r="F192" s="42"/>
      <c r="G192" s="6"/>
      <c r="H192" s="6"/>
      <c r="I192" s="30"/>
      <c r="J192" s="6"/>
      <c r="K192" s="6"/>
      <c r="L192" s="30"/>
      <c r="M192" s="6"/>
      <c r="N192" s="6"/>
      <c r="O192" s="30"/>
      <c r="P192" s="6"/>
      <c r="Q192" s="42"/>
      <c r="R192" s="42"/>
      <c r="S192" s="6"/>
      <c r="T192" s="6"/>
      <c r="U192" s="6"/>
      <c r="V192" s="6"/>
      <c r="W192" s="6"/>
      <c r="X192" s="6"/>
      <c r="Y192" s="6"/>
      <c r="Z192" s="7"/>
      <c r="AA192" s="7"/>
      <c r="AB192" s="7"/>
    </row>
    <row r="193" spans="4:28" ht="24.95" customHeight="1" x14ac:dyDescent="0.3">
      <c r="D193" s="6"/>
      <c r="E193" s="42"/>
      <c r="F193" s="42"/>
      <c r="G193" s="6"/>
      <c r="H193" s="6"/>
      <c r="I193" s="30"/>
      <c r="J193" s="6"/>
      <c r="K193" s="6"/>
      <c r="L193" s="30"/>
      <c r="M193" s="6"/>
      <c r="N193" s="6"/>
      <c r="O193" s="30"/>
      <c r="P193" s="6"/>
      <c r="Q193" s="42"/>
      <c r="R193" s="42"/>
      <c r="S193" s="6"/>
      <c r="T193" s="6"/>
      <c r="U193" s="6"/>
      <c r="V193" s="6"/>
      <c r="W193" s="6"/>
      <c r="X193" s="6"/>
      <c r="Y193" s="6"/>
      <c r="Z193" s="7"/>
      <c r="AA193" s="7"/>
      <c r="AB193" s="7"/>
    </row>
    <row r="194" spans="4:28" ht="24.95" customHeight="1" x14ac:dyDescent="0.3">
      <c r="D194" s="6"/>
      <c r="E194" s="42"/>
      <c r="F194" s="42"/>
      <c r="G194" s="6"/>
      <c r="H194" s="6"/>
      <c r="I194" s="30"/>
      <c r="J194" s="6"/>
      <c r="K194" s="6"/>
      <c r="L194" s="30"/>
      <c r="M194" s="6"/>
      <c r="N194" s="6"/>
      <c r="O194" s="30"/>
      <c r="P194" s="6"/>
      <c r="Q194" s="42"/>
      <c r="R194" s="42"/>
      <c r="S194" s="6"/>
      <c r="T194" s="6"/>
      <c r="U194" s="6"/>
      <c r="V194" s="6"/>
      <c r="W194" s="6"/>
      <c r="X194" s="6"/>
      <c r="Y194" s="6"/>
      <c r="Z194" s="7"/>
      <c r="AA194" s="7"/>
      <c r="AB194" s="7"/>
    </row>
    <row r="195" spans="4:28" ht="24.95" customHeight="1" x14ac:dyDescent="0.3">
      <c r="D195" s="6"/>
      <c r="E195" s="42"/>
      <c r="F195" s="42"/>
      <c r="G195" s="6"/>
      <c r="H195" s="6"/>
      <c r="I195" s="30"/>
      <c r="J195" s="6"/>
      <c r="K195" s="6"/>
      <c r="L195" s="30"/>
      <c r="M195" s="6"/>
      <c r="N195" s="6"/>
      <c r="O195" s="30"/>
      <c r="P195" s="6"/>
      <c r="Q195" s="42"/>
      <c r="R195" s="42"/>
      <c r="S195" s="6"/>
      <c r="T195" s="6"/>
      <c r="U195" s="6"/>
      <c r="V195" s="6"/>
      <c r="W195" s="6"/>
      <c r="X195" s="6"/>
      <c r="Y195" s="6"/>
      <c r="Z195" s="7"/>
      <c r="AA195" s="7"/>
      <c r="AB195" s="7"/>
    </row>
    <row r="196" spans="4:28" ht="24.95" customHeight="1" x14ac:dyDescent="0.3">
      <c r="D196" s="6"/>
      <c r="E196" s="42"/>
      <c r="F196" s="42"/>
      <c r="G196" s="6"/>
      <c r="H196" s="6"/>
      <c r="I196" s="30"/>
      <c r="J196" s="6"/>
      <c r="K196" s="6"/>
      <c r="L196" s="30"/>
      <c r="M196" s="6"/>
      <c r="N196" s="6"/>
      <c r="O196" s="30"/>
      <c r="P196" s="6"/>
      <c r="Q196" s="42"/>
      <c r="R196" s="42"/>
      <c r="S196" s="6"/>
      <c r="T196" s="6"/>
      <c r="U196" s="6"/>
      <c r="V196" s="6"/>
      <c r="W196" s="6"/>
      <c r="X196" s="6"/>
      <c r="Y196" s="6"/>
      <c r="Z196" s="7"/>
      <c r="AA196" s="7"/>
      <c r="AB196" s="7"/>
    </row>
    <row r="197" spans="4:28" ht="24.95" customHeight="1" x14ac:dyDescent="0.3">
      <c r="D197" s="6"/>
      <c r="E197" s="42"/>
      <c r="F197" s="42"/>
      <c r="G197" s="6"/>
      <c r="H197" s="6"/>
      <c r="I197" s="30"/>
      <c r="J197" s="6"/>
      <c r="K197" s="6"/>
      <c r="L197" s="30"/>
      <c r="M197" s="6"/>
      <c r="N197" s="6"/>
      <c r="O197" s="30"/>
      <c r="P197" s="6"/>
      <c r="Q197" s="42"/>
      <c r="R197" s="42"/>
      <c r="S197" s="6"/>
      <c r="T197" s="6"/>
      <c r="U197" s="6"/>
      <c r="V197" s="6"/>
      <c r="W197" s="6"/>
      <c r="X197" s="6"/>
      <c r="Y197" s="6"/>
      <c r="Z197" s="7"/>
      <c r="AA197" s="7"/>
      <c r="AB197" s="7"/>
    </row>
    <row r="198" spans="4:28" ht="24.95" customHeight="1" x14ac:dyDescent="0.3">
      <c r="D198" s="6"/>
      <c r="E198" s="42"/>
      <c r="F198" s="42"/>
      <c r="G198" s="6"/>
      <c r="H198" s="6"/>
      <c r="I198" s="30"/>
      <c r="J198" s="6"/>
      <c r="K198" s="6"/>
      <c r="L198" s="30"/>
      <c r="M198" s="6"/>
      <c r="N198" s="6"/>
      <c r="O198" s="30"/>
      <c r="P198" s="6"/>
      <c r="Q198" s="42"/>
      <c r="R198" s="42"/>
      <c r="S198" s="6"/>
      <c r="T198" s="6"/>
      <c r="U198" s="6"/>
      <c r="V198" s="6"/>
      <c r="W198" s="6"/>
      <c r="X198" s="6"/>
      <c r="Y198" s="6"/>
      <c r="Z198" s="7"/>
      <c r="AA198" s="7"/>
      <c r="AB198" s="7"/>
    </row>
  </sheetData>
  <autoFilter ref="A1:AB183" xr:uid="{00000000-0009-0000-0000-00000C000000}"/>
  <mergeCells count="12">
    <mergeCell ref="A163:B163"/>
    <mergeCell ref="A164:A169"/>
    <mergeCell ref="A170:A172"/>
    <mergeCell ref="A173:A175"/>
    <mergeCell ref="A176:A178"/>
    <mergeCell ref="A179:A183"/>
    <mergeCell ref="A1:B1"/>
    <mergeCell ref="P1:Q1"/>
    <mergeCell ref="R1:S1"/>
    <mergeCell ref="T1:U1"/>
    <mergeCell ref="V1:W1"/>
    <mergeCell ref="X1:Y1"/>
  </mergeCells>
  <phoneticPr fontId="2" type="noConversion"/>
  <conditionalFormatting sqref="F199:F65561 G199:J65563 M199:M65563">
    <cfRule type="duplicateValues" dxfId="2" priority="3"/>
  </conditionalFormatting>
  <conditionalFormatting sqref="K199:L65563">
    <cfRule type="duplicateValues" dxfId="1" priority="2"/>
  </conditionalFormatting>
  <conditionalFormatting sqref="N199:O65563">
    <cfRule type="duplicateValues" dxfId="0" priority="1"/>
  </conditionalFormatting>
  <hyperlinks>
    <hyperlink ref="E16" r:id="rId1" tooltip="http://std.samr.gov.cn/gb/search/gbDetailed?id=71F772D7D326D3A7E05397BE0A0AB82A" xr:uid="{898A41D1-0C4B-4F95-967B-BA9A6972243F}"/>
    <hyperlink ref="E52" r:id="rId2" tooltip="http://std.samr.gov.cn/gb/search/gbDetailed?id=71F772D81DD9D3A7E05397BE0A0AB82A" xr:uid="{AE4E7B8E-30BD-4F00-B6B7-C28378668E2D}"/>
    <hyperlink ref="E18" r:id="rId3" tooltip="http://std.samr.gov.cn/gb/search/gbDetailed?id=71F772D7F7CDD3A7E05397BE0A0AB82A" xr:uid="{BB24136D-458B-4E8F-8993-6EA038F3EFDE}"/>
    <hyperlink ref="E83" r:id="rId4" tooltip="http://std.samr.gov.cn/gb/search/gbDetailed?id=A73D6262FE2A72E3E05397BE0A0A6CEB" xr:uid="{D7E6491E-BFA3-4A61-9B6D-69F279BF9271}"/>
    <hyperlink ref="E17" r:id="rId5" tooltip="http://std.samr.gov.cn/gb/search/gbDetailed?id=71F772D7D22AD3A7E05397BE0A0AB82A" xr:uid="{1E43D073-AE93-40B5-B5F9-845F02EE11B6}"/>
    <hyperlink ref="E62" r:id="rId6" tooltip="http://std.samr.gov.cn/gb/search/gbDetailed?id=71F772D82186D3A7E05397BE0A0AB82A" xr:uid="{46CD346C-93AE-4BBE-852D-5C53F3E060D4}"/>
    <hyperlink ref="E79" r:id="rId7" tooltip="http://std.samr.gov.cn/gb/search/gbDetailed?id=7E2903B0D56F5A63E05397BE0A0AF660" xr:uid="{E4FD45AA-8202-4427-AE46-26BFE1471E5C}"/>
    <hyperlink ref="E90" r:id="rId8" tooltip="http://std.samr.gov.cn/gb/search/gbDetailed?id=C1A814733AED7A48E05397BE0A0A1C8D" xr:uid="{97CB34A5-A8A6-4A66-96A8-EFC183E1F57E}"/>
    <hyperlink ref="E9" r:id="rId9" tooltip="http://std.samr.gov.cn/gb/search/gbDetailed?id=71F772D76022D3A7E05397BE0A0AB82A" xr:uid="{5A4FE37E-A10C-4066-A058-1C8337F3DE75}"/>
    <hyperlink ref="E32" r:id="rId10" tooltip="http://std.samr.gov.cn/gb/search/gbDetailed?id=71F772D7E71FD3A7E05397BE0A0AB82A" xr:uid="{9450A644-C06F-4E4C-8E97-E842B91F4C4B}"/>
    <hyperlink ref="E33" r:id="rId11" tooltip="http://std.samr.gov.cn/gb/search/gbDetailed?id=71F772D7E4EAD3A7E05397BE0A0AB82A" xr:uid="{0BAE7B0C-FD88-4F3E-9D30-D499423E2E4B}"/>
    <hyperlink ref="E10" r:id="rId12" tooltip="http://std.samr.gov.cn/gb/search/gbDetailed?id=71F772D7D028D3A7E05397BE0A0AB82A" xr:uid="{1E438E99-481C-4A83-BCAC-3700801A4554}"/>
    <hyperlink ref="E86" r:id="rId13" tooltip="http://std.samr.gov.cn/gb/search/gbDetailed?id=B13990C15C425DDAE05397BE0A0A0D35" xr:uid="{47B4FC83-EFE2-4040-8D9D-715262110484}"/>
    <hyperlink ref="E53" r:id="rId14" tooltip="http://std.samr.gov.cn/gb/search/gbDetailed?id=71F772D81AB2D3A7E05397BE0A0AB82A" xr:uid="{1BEF6123-8769-483F-8F08-71D149D00176}"/>
    <hyperlink ref="E100" r:id="rId15" tooltip="http://std.samr.gov.cn/gb/search/gbDetailed?id=71F772D7E80CD3A7E05397BE0A0AB82A" xr:uid="{27EECF34-8AC5-45E2-8D9E-1BD3BA205845}"/>
    <hyperlink ref="E38" r:id="rId16" tooltip="http://std.samr.gov.cn/gb/search/gbDetailed?id=71F772D7FF23D3A7E05397BE0A0AB82A" xr:uid="{803693DC-C3F0-469C-B6D7-0759B4B5E1E8}"/>
    <hyperlink ref="E42" r:id="rId17" tooltip="http://std.samr.gov.cn/gb/search/gbDetailed?id=71F772D7F15DD3A7E05397BE0A0AB82A" xr:uid="{01A5BAA4-CDE2-491A-8612-53158057A904}"/>
    <hyperlink ref="E43" r:id="rId18" tooltip="http://std.samr.gov.cn/gb/search/gbDetailed?id=71F772D806DDD3A7E05397BE0A0AB82A" xr:uid="{FDA91184-7D2B-4C30-A65A-7941BED719EF}"/>
    <hyperlink ref="E41" r:id="rId19" tooltip="http://std.samr.gov.cn/gb/search/gbDetailed?id=71F772D7ED1BD3A7E05397BE0A0AB82A" xr:uid="{A4D24688-08F8-4D0B-B70C-198347E80503}"/>
    <hyperlink ref="E54" r:id="rId20" tooltip="http://std.samr.gov.cn/gb/search/gbDetailed?id=71F772D81A4ED3A7E05397BE0A0AB82A" xr:uid="{98613B05-1832-4835-B4BA-324955F33397}"/>
    <hyperlink ref="E63" r:id="rId21" tooltip="http://std.samr.gov.cn/gb/search/gbDetailed?id=71F772D81F6AD3A7E05397BE0A0AB82A" xr:uid="{F9C88170-6658-41A5-9AA9-6E9DD8527B5D}"/>
    <hyperlink ref="E64" r:id="rId22" tooltip="http://std.samr.gov.cn/gb/search/gbDetailed?id=71F772D81F68D3A7E05397BE0A0AB82A" xr:uid="{C5274730-8F72-4900-B45A-9989B22006D2}"/>
    <hyperlink ref="E65" r:id="rId23" tooltip="http://std.samr.gov.cn/gb/search/gbDetailed?id=71F772D82056D3A7E05397BE0A0AB82A" xr:uid="{8FEE6359-FA6E-4AB4-BCC8-1930A74D4214}"/>
    <hyperlink ref="E66" r:id="rId24" tooltip="http://std.samr.gov.cn/gb/search/gbDetailed?id=71F772D82057D3A7E05397BE0A0AB82A" xr:uid="{38E1DCEC-6513-4BE6-8C9E-B3E246ABCFB4}"/>
    <hyperlink ref="E77" r:id="rId25" tooltip="http://std.samr.gov.cn/gb/search/gbDetailed?id=71F772D82DE7D3A7E05397BE0A0AB82A" xr:uid="{F2C5C7FF-2F88-4CB4-8F98-B42CE1A98F9D}"/>
    <hyperlink ref="E81" r:id="rId26" tooltip="http://std.samr.gov.cn/gb/search/gbDetailed?id=8AA1F5D36E66A8DBE05397BE0A0AB19B" xr:uid="{0703DC6F-5674-499D-BC41-05D4BDEF7670}"/>
    <hyperlink ref="E5" r:id="rId27" tooltip="http://std.samr.gov.cn/gb/search/gbDetailed?id=71F772D7C086D3A7E05397BE0A0AB82A" xr:uid="{2D8401B4-D2BD-47A9-B8EB-47C99ED7B914}"/>
    <hyperlink ref="E6" r:id="rId28" tooltip="http://std.samr.gov.cn/gb/search/gbDetailed?id=71F772D7F0CED3A7E05397BE0A0AB82A" xr:uid="{75F872A4-13D8-4885-BFBB-B1A19F419187}"/>
    <hyperlink ref="E23" r:id="rId29" tooltip="http://std.samr.gov.cn/gb/search/gbDetailed?id=71F772D7DA43D3A7E05397BE0A0AB82A" xr:uid="{D8961E27-1F15-481E-B29D-0E1107953C42}"/>
    <hyperlink ref="E34" r:id="rId30" tooltip="http://std.samr.gov.cn/gb/search/gbDetailed?id=71F772D7EA97D3A7E05397BE0A0AB82A" xr:uid="{35C6CC49-D027-4B84-9C28-11E7A7962AC9}"/>
    <hyperlink ref="E35" r:id="rId31" tooltip="http://std.samr.gov.cn/gb/search/gbDetailed?id=71F772D7EC3CD3A7E05397BE0A0AB82A" xr:uid="{BA32BA51-4E31-469E-B2F7-CEA9A0114E7C}"/>
    <hyperlink ref="E67" r:id="rId32" tooltip="http://std.samr.gov.cn/gb/search/gbDetailed?id=71F772D81F50D3A7E05397BE0A0AB82A" xr:uid="{FEBDA697-FDE3-4E4B-8FC5-07E8413CF506}"/>
    <hyperlink ref="E82" r:id="rId33" tooltip="http://std.samr.gov.cn/gb/search/gbDetailed?id=8AA1F5D36E67A8DBE05397BE0A0AB19B" xr:uid="{6D997D98-099F-41A7-A764-F8E088720898}"/>
    <hyperlink ref="E91" r:id="rId34" tooltip="http://std.samr.gov.cn/gb/search/gbDetailed?id=C1A814733B217A48E05397BE0A0A1C8D" xr:uid="{5CD2FB86-E3CC-438A-909A-7BC984779578}"/>
    <hyperlink ref="E22" r:id="rId35" tooltip="http://std.samr.gov.cn/gb/search/gbDetailed?id=71F772D7D985D3A7E05397BE0A0AB82A" xr:uid="{AE489747-4FCA-4BE2-97E9-B1F40BDDC772}"/>
    <hyperlink ref="E89" r:id="rId36" tooltip="http://std.samr.gov.cn/gb/search/gbDetailed?id=BD89DE8E07BD3D08E05397BE0A0A4FAD" xr:uid="{4F11B7E7-84D6-4AB6-9426-55B3BAC86244}"/>
    <hyperlink ref="E39" r:id="rId37" tooltip="http://std.samr.gov.cn/gb/search/gbDetailed?id=71F772D7EAB1D3A7E05397BE0A0AB82A" xr:uid="{86C0B292-4BF1-43E7-8B11-0A72C1A2D25A}"/>
    <hyperlink ref="E40" r:id="rId38" tooltip="http://std.samr.gov.cn/gb/search/gbDetailed?id=71F772D7EB56D3A7E05397BE0A0AB82A" xr:uid="{628B3426-F309-4929-942D-FA8B0E614284}"/>
    <hyperlink ref="E99" r:id="rId39" tooltip="http://std.samr.gov.cn/gb/search/gbDetailed?id=71F772D7F44CD3A7E05397BE0A0AB82A" xr:uid="{3E79C2B7-71F1-4483-89F9-B07B31AA3B51}"/>
    <hyperlink ref="E50" r:id="rId40" tooltip="http://std.samr.gov.cn/gb/search/gbDetailed?id=71F772D815F1D3A7E05397BE0A0AB82A" xr:uid="{AA5E885B-04B7-4EF9-A673-D726EA8382B3}"/>
    <hyperlink ref="E68" r:id="rId41" tooltip="http://std.samr.gov.cn/gb/search/gbDetailed?id=71F772D820B1D3A7E05397BE0A0AB82A" xr:uid="{C0346131-F5FB-4BD6-82C1-D36A498F4784}"/>
    <hyperlink ref="E69" r:id="rId42" tooltip="http://std.samr.gov.cn/gb/search/gbDetailed?id=71F772D81F6BD3A7E05397BE0A0AB82A" xr:uid="{FF672BE7-D388-40E8-A81D-55B90D39958C}"/>
    <hyperlink ref="E73" r:id="rId43" tooltip="http://std.samr.gov.cn/gb/search/gbDetailed?id=71F772D82923D3A7E05397BE0A0AB82A" xr:uid="{1C3D7B59-8E55-472C-AEDF-A07BF11A8675}"/>
    <hyperlink ref="E92" r:id="rId44" tooltip="http://std.samr.gov.cn/gb/search/gbDetailed?id=C1A814733B207A48E05397BE0A0A1C8D" xr:uid="{3E0046FE-7359-4640-8D99-402C8C0C784E}"/>
    <hyperlink ref="E36" r:id="rId45" tooltip="http://std.samr.gov.cn/gb/search/gbDetailed?id=71F772D7EB25D3A7E05397BE0A0AB82A" xr:uid="{E477259F-E83D-405B-BDAF-A26A600439B8}"/>
    <hyperlink ref="E20" r:id="rId46" tooltip="http://std.samr.gov.cn/gb/search/gbDetailed?id=71F772D803B1D3A7E05397BE0A0AB82A" xr:uid="{0C4C1327-84A5-4AA1-A70B-1DA5F065136D}"/>
    <hyperlink ref="E105" r:id="rId47" tooltip="http://std.samr.gov.cn/gb/search/gbDetailed?id=71F772D7E351D3A7E05397BE0A0AB82A" xr:uid="{155EDDDF-376A-4E5E-8A17-F19EE4B55A3E}"/>
    <hyperlink ref="E60" r:id="rId48" tooltip="http://std.samr.gov.cn/gb/search/gbDetailed?id=71F772D81C7CD3A7E05397BE0A0AB82A" xr:uid="{18EC20FF-4F7A-4141-BD75-FDBBC2A514FC}"/>
    <hyperlink ref="E30" r:id="rId49" tooltip="http://std.samr.gov.cn/gb/search/gbDetailed?id=71F772D7E6BBD3A7E05397BE0A0AB82A" xr:uid="{C5FDD5AC-799F-4B85-A2C3-0034659CA3F8}"/>
    <hyperlink ref="E31" r:id="rId50" tooltip="http://std.samr.gov.cn/gb/search/gbDetailed?id=71F772D7E64CD3A7E05397BE0A0AB82A" xr:uid="{73D13E6B-3C23-4220-B678-38937F04AB17}"/>
    <hyperlink ref="E37" r:id="rId51" tooltip="http://std.samr.gov.cn/gb/search/gbDetailed?id=71F772D7EEF6D3A7E05397BE0A0AB82A" xr:uid="{7826553F-4BA9-40ED-8180-1664CF17E7CA}"/>
    <hyperlink ref="E44" r:id="rId52" tooltip="http://std.samr.gov.cn/gb/search/gbDetailed?id=71F772D7F103D3A7E05397BE0A0AB82A" xr:uid="{A788B7B4-F967-4934-84F3-0FA7C861B1FE}"/>
    <hyperlink ref="E55" r:id="rId53" tooltip="http://std.samr.gov.cn/gb/search/gbDetailed?id=71F772D8184AD3A7E05397BE0A0AB82A" xr:uid="{FA218BD7-773E-4664-B942-5A0FFE1FB73B}"/>
    <hyperlink ref="E70" r:id="rId54" tooltip="http://std.samr.gov.cn/gb/search/gbDetailed?id=71F772D82244D3A7E05397BE0A0AB82A" xr:uid="{D08A890D-DDC1-4563-820F-C164E931DC18}"/>
    <hyperlink ref="E78" r:id="rId55" tooltip="http://std.samr.gov.cn/gb/search/gbDetailed?id=71F772D82DDED3A7E05397BE0A0AB82A" xr:uid="{DDA2FFA8-37B4-4046-8E00-E2DEFAF24AC1}"/>
    <hyperlink ref="E84" r:id="rId56" tooltip="http://std.samr.gov.cn/gb/search/gbDetailed?id=A73D6262FE8972E3E05397BE0A0A6CEB" xr:uid="{46337917-A021-400C-A7FC-9B72BE907F01}"/>
    <hyperlink ref="E94" r:id="rId57" tooltip="http://std.samr.gov.cn/gb/search/gbDetailed?id=71F772D7CA87D3A7E05397BE0A0AB82A" xr:uid="{69DBE34B-7CB4-4F91-AC39-173CEF649FC4}"/>
    <hyperlink ref="E11" r:id="rId58" tooltip="http://std.samr.gov.cn/gb/search/gbDetailed?id=71F772D7CA6DD3A7E05397BE0A0AB82A" xr:uid="{36AC2037-328B-4A06-B2E7-F6B8FDF2894A}"/>
    <hyperlink ref="E26" r:id="rId59" tooltip="http://std.samr.gov.cn/gb/search/gbDetailed?id=71F772D7E4D0D3A7E05397BE0A0AB82A" xr:uid="{53244087-0F01-49E8-A37F-CF1D32882E86}"/>
    <hyperlink ref="E14" r:id="rId60" tooltip="http://std.samr.gov.cn/gb/search/gbDetailed?id=71F772D7CA9DD3A7E05397BE0A0AB82A" xr:uid="{D15C30FE-DBA9-44A1-A0A1-ABC55C64388D}"/>
    <hyperlink ref="E13" r:id="rId61" tooltip="http://std.samr.gov.cn/gb/search/gbDetailed?id=71F772D7FC4CD3A7E05397BE0A0AB82A" xr:uid="{60BCA4C9-B07D-4568-B422-DF2C6C980EC1}"/>
    <hyperlink ref="E56" r:id="rId62" tooltip="http://std.samr.gov.cn/gb/search/gbDetailed?id=71F772D81848D3A7E05397BE0A0AB82A" xr:uid="{D80CEBEA-D07E-4735-A5ED-B84E8BD0D6BF}"/>
    <hyperlink ref="E15" r:id="rId63" tooltip="http://std.samr.gov.cn/gb/search/gbDetailed?id=71F772D7D2D8D3A7E05397BE0A0AB82A" xr:uid="{31C51E8C-CF6D-4B75-AF0C-D6904CBAC30C}"/>
    <hyperlink ref="E102" r:id="rId64" tooltip="http://std.samr.gov.cn/gb/search/gbDetailed?id=71F772D7F773D3A7E05397BE0A0AB82A" xr:uid="{2DD1B402-337E-4928-B86E-C86508E2BBD0}"/>
    <hyperlink ref="E21" r:id="rId65" tooltip="http://std.samr.gov.cn/gb/search/gbDetailed?id=71F772D7DC13D3A7E05397BE0A0AB82A" xr:uid="{8FF8AA2A-420F-4A1F-8539-1CB8DD17CC47}"/>
    <hyperlink ref="E24" r:id="rId66" tooltip="http://std.samr.gov.cn/gb/search/gbDetailed?id=71F772D7DAA4D3A7E05397BE0A0AB82A" xr:uid="{18A79715-B6F6-4C4A-BC50-AA8A0A612AD7}"/>
    <hyperlink ref="E25" r:id="rId67" tooltip="http://std.samr.gov.cn/gb/search/gbDetailed?id=71F772D7E36CD3A7E05397BE0A0AB82A" xr:uid="{CF8ABABB-50CD-48FE-BE30-AD3F1AF54DED}"/>
    <hyperlink ref="E95" r:id="rId68" tooltip="http://std.samr.gov.cn/gb/search/gbDetailed?id=71F772D7EEDDD3A7E05397BE0A0AB82A" xr:uid="{512DC303-2F30-49E9-A35E-C5A14ADD20FE}"/>
    <hyperlink ref="E57" r:id="rId69" tooltip="http://std.samr.gov.cn/gb/search/gbDetailed?id=71F772D81851D3A7E05397BE0A0AB82A" xr:uid="{1E150C42-98E9-4436-A96C-F41656EDF6D0}"/>
    <hyperlink ref="E27" r:id="rId70" tooltip="http://std.samr.gov.cn/gb/search/gbDetailed?id=71F772D7E014D3A7E05397BE0A0AB82A" xr:uid="{F7C3B9EB-3DCD-4271-BD5B-7796DCDDC066}"/>
    <hyperlink ref="E28" r:id="rId71" tooltip="http://std.samr.gov.cn/gb/search/gbDetailed?id=71F772D8035BD3A7E05397BE0A0AB82A" xr:uid="{1E393296-EFB4-43EF-BCB0-DD78B807AA27}"/>
    <hyperlink ref="E96" r:id="rId72" tooltip="http://std.samr.gov.cn/gb/search/gbDetailed?id=71F772D7E270D3A7E05397BE0A0AB82A" xr:uid="{940B9921-87D3-4EA7-840D-D1D64BE74652}"/>
    <hyperlink ref="E46" r:id="rId73" tooltip="http://std.samr.gov.cn/gb/search/gbDetailed?id=71F772D7F3A6D3A7E05397BE0A0AB82A" xr:uid="{977867DF-AD4A-4931-B5D0-D0F9BB066DE1}"/>
    <hyperlink ref="E47" r:id="rId74" tooltip="http://std.samr.gov.cn/gb/search/gbDetailed?id=71F772D809DCD3A7E05397BE0A0AB82A" xr:uid="{9C949076-29F7-4A6B-9F21-68C60929611A}"/>
    <hyperlink ref="E48" r:id="rId75" tooltip="http://std.samr.gov.cn/gb/search/gbDetailed?id=71F772D809DDD3A7E05397BE0A0AB82A" xr:uid="{11150394-EF4F-49C0-AAE9-D5BEB03EAA2E}"/>
    <hyperlink ref="E51" r:id="rId76" tooltip="http://std.samr.gov.cn/gb/search/gbDetailed?id=71F772D81598D3A7E05397BE0A0AB82A" xr:uid="{795A5B11-7BB8-4673-B297-7B1DBB07D831}"/>
    <hyperlink ref="E58" r:id="rId77" tooltip="http://std.samr.gov.cn/gb/search/gbDetailed?id=71F772D81849D3A7E05397BE0A0AB82A" xr:uid="{AF4F9781-7BBE-4C4C-8197-456A71C853FE}"/>
    <hyperlink ref="E59" r:id="rId78" tooltip="http://std.samr.gov.cn/gb/search/gbDetailed?id=71F772D818B3D3A7E05397BE0A0AB82A" xr:uid="{217602F5-9E8D-4B45-80B6-45AD453B2EC8}"/>
    <hyperlink ref="E75" r:id="rId79" tooltip="http://std.samr.gov.cn/gb/search/gbDetailed?id=71F772D82A55D3A7E05397BE0A0AB82A" xr:uid="{39D2FFF6-DB80-4D65-81DA-0E3ECB2A6119}"/>
    <hyperlink ref="E76" r:id="rId80" tooltip="http://std.samr.gov.cn/gb/search/gbDetailed?id=71F772D82AC7D3A7E05397BE0A0AB82A" xr:uid="{88585EB5-088B-4CD3-8702-C9B7B978AC7D}"/>
    <hyperlink ref="E71" r:id="rId81" tooltip="http://std.samr.gov.cn/gb/search/gbDetailed?id=71F772D81FDFD3A7E05397BE0A0AB82A" xr:uid="{541096B8-4C35-4EB7-826D-F831ED6D78D6}"/>
    <hyperlink ref="E61" r:id="rId82" tooltip="http://std.samr.gov.cn/gb/search/gbDetailed?id=71F772D81D26D3A7E05397BE0A0AB82A" xr:uid="{96A8EA0F-CB09-48FB-9664-4539A3BFF361}"/>
    <hyperlink ref="E72" r:id="rId83" tooltip="http://std.samr.gov.cn/gb/search/gbDetailed?id=71F772D81F7AD3A7E05397BE0A0AB82A" xr:uid="{EB6D6752-2651-4EC8-B05E-A5BE378AF108}"/>
    <hyperlink ref="E80" r:id="rId84" tooltip="http://std.samr.gov.cn/gb/search/gbDetailed?id=7E2903B0D5035A63E05397BE0A0AF660" xr:uid="{B276C4DD-6B8B-4DAB-B38E-8E69D81AABD4}"/>
    <hyperlink ref="E74" r:id="rId85" tooltip="http://std.samr.gov.cn/gb/search/gbDetailed?id=71F772D822E9D3A7E05397BE0A0AB82A" xr:uid="{831CEEA7-D4B4-4E38-8DCC-D80DD246C4C3}"/>
    <hyperlink ref="E85" r:id="rId86" tooltip="http://std.samr.gov.cn/gb/search/gbDetailed?id=A73D6262FE7172E3E05397BE0A0A6CEB" xr:uid="{EC2EBC4B-97FA-4E53-9959-F3A7F03CC5C9}"/>
    <hyperlink ref="E87" r:id="rId87" tooltip="http://std.samr.gov.cn/gb/search/gbDetailed?id=B187EEDE6BC616D1E05397BE0A0A3342" xr:uid="{F0F03C3F-EB59-44B3-AC91-649D6BD7E86C}"/>
    <hyperlink ref="E108" r:id="rId88" xr:uid="{A3D41D59-DB5A-4943-862E-07CC7EA8947B}"/>
    <hyperlink ref="E109" r:id="rId89" xr:uid="{C713C304-7F4F-4EC5-8596-F344667EC402}"/>
    <hyperlink ref="E106" r:id="rId90" xr:uid="{C189BA52-EF6C-44CD-8804-8DED65222B92}"/>
    <hyperlink ref="E107" r:id="rId91" xr:uid="{156DBB87-5B65-47E6-9AD8-0B983BE1FE2A}"/>
    <hyperlink ref="E112" r:id="rId92" xr:uid="{F4B6844A-9E98-4320-A2A3-F1557A0953E0}"/>
    <hyperlink ref="E113" r:id="rId93" tooltip="https://std.samr.gov.cn/gb/search/gbDetailed?id=14156507D22C0337E06397BE0A0AE656" xr:uid="{5F68160C-F01A-47B9-A258-C0736DE5C1C3}"/>
    <hyperlink ref="E118" r:id="rId94" xr:uid="{4E78B151-9D01-4DEE-BC8E-DC2AB5C8E75D}"/>
    <hyperlink ref="E119" r:id="rId95" xr:uid="{3A7D6662-BDA4-47B9-A3E2-D303DA6CAB76}"/>
    <hyperlink ref="E120" r:id="rId96" xr:uid="{A58A711F-B3B9-4327-9581-7A52BC2C6C53}"/>
    <hyperlink ref="E121" r:id="rId97" xr:uid="{94844967-39FC-4D0A-87D0-02BF5756FDD7}"/>
    <hyperlink ref="E122" r:id="rId98" xr:uid="{16BECDB6-496B-48CB-B043-C66912089465}"/>
    <hyperlink ref="E114" r:id="rId99" xr:uid="{E6A1B8A7-36FE-4580-9AD7-542C9AB61287}"/>
    <hyperlink ref="E116" r:id="rId100" xr:uid="{AF6D140E-59A1-4DD4-9DFA-9F5B2AC40B93}"/>
    <hyperlink ref="E117" r:id="rId101" xr:uid="{CDA46D11-D2C4-4C04-B892-799FCB04B291}"/>
    <hyperlink ref="E115" r:id="rId102" xr:uid="{C665DBB7-3272-4E89-8CA2-82B042A5E5A1}"/>
    <hyperlink ref="E123" r:id="rId103" tooltip="https://std.samr.gov.cn/gb/search/gbDetailed?id=208E903AB5F979F3E06397BE0A0AB2B9" xr:uid="{744DA27A-90F7-4A33-90B4-6E9F3BB69898}"/>
    <hyperlink ref="E124" r:id="rId104" tooltip="https://std.samr.gov.cn/gb/search/gbDetailed?id=208E903AB72279F3E06397BE0A0AB2B9" xr:uid="{8DC2BB3C-756F-4CCA-8058-434F828D3F3A}"/>
    <hyperlink ref="E98" r:id="rId105" tooltip="https://std.samr.gov.cn/gb/search/gbDetailed?id=053404E3EF3B8F91E06397BE0A0A9209" xr:uid="{39A689BC-9230-457F-923D-C33107976CEC}"/>
    <hyperlink ref="E97" r:id="rId106" tooltip="https://std.samr.gov.cn/gb/search/gbDetailed?id=027A6096AF99643EE06397BE0A0A0867" xr:uid="{5B7B9F04-B3D1-4D81-B437-1C8C8F355A41}"/>
    <hyperlink ref="E125" r:id="rId107" tooltip="https://std.samr.gov.cn/gb/search/gbDetailed?id=234D7936AA19E194E06397BE0A0AA0A9" xr:uid="{CEB3BB24-1EF0-49D1-A746-4FC16EA1C525}"/>
    <hyperlink ref="E126" r:id="rId108" tooltip="https://std.samr.gov.cn/gb/search/gbDetailed?id=25940C3CEF5F8A9AE06397BE0A0A525A" xr:uid="{A1DF9607-603C-468E-89FB-728C92DF104D}"/>
    <hyperlink ref="E127" r:id="rId109" xr:uid="{81B36E3B-653D-4D2A-8E63-81BF0AA8F3C1}"/>
    <hyperlink ref="E128" r:id="rId110" xr:uid="{928919B3-87D5-46DE-9FCE-CD7D0F422A01}"/>
    <hyperlink ref="E129" r:id="rId111" tooltip="https://std.samr.gov.cn/gb/search/gbDetailed?id=2AD02706391C091BE06397BE0A0A2D62" xr:uid="{9F0590BD-16EB-4322-998C-4BD5CEFD261D}"/>
    <hyperlink ref="E12" r:id="rId112" tooltip="https://std.samr.gov.cn/gb/search/gbDetailed?id=2AD027063983091BE06397BE0A0A2D62" xr:uid="{F15CB035-D441-4A41-8C49-15461C5682B6}"/>
    <hyperlink ref="E45" r:id="rId113" tooltip="https://std.samr.gov.cn/gb/search/gbDetailed?id=2AD02706398E091BE06397BE0A0A2D62" xr:uid="{979665D7-F062-408B-8DD0-AEE668730AA1}"/>
    <hyperlink ref="E2" r:id="rId114" tooltip="http://std.samr.gov.cn/gb/search/gbDetailed?id=71F772D7696AD3A7E05397BE0A0AB82A" xr:uid="{1BB960E5-9ED8-4364-9682-1CF4A9C0E6F8}"/>
    <hyperlink ref="E88" r:id="rId115" xr:uid="{7A531557-8F58-4B3D-9B96-5F2DC0B19E55}"/>
    <hyperlink ref="E132" r:id="rId116" tooltip="https://std.samr.gov.cn/gb/search/gbDetailed?id=2FF37940EAB0D753E06397BE0A0A413F" xr:uid="{F6190D01-7B14-4648-8D19-C1788EC26007}"/>
    <hyperlink ref="E133" r:id="rId117" xr:uid="{696A5B97-73E4-4D03-A782-B4DB2A7142DC}"/>
    <hyperlink ref="E134" r:id="rId118" xr:uid="{0E2672E8-8E44-4F4C-8034-6AE96ADC7A96}"/>
    <hyperlink ref="E135" r:id="rId119" xr:uid="{5AC9DE99-DD3B-44C4-A5CB-5496396DD2A3}"/>
    <hyperlink ref="E136" r:id="rId120" tooltip="https://std.samr.gov.cn/gb/search/gbDetailed?id=3B46A026CBA8469CE06397BE0A0AEEB8" xr:uid="{029FA008-410F-4B36-AB8B-14CD7F2ADD96}"/>
    <hyperlink ref="E137" r:id="rId121" tooltip="https://std.samr.gov.cn/gb/search/gbDetailed?id=3DBA213284D00D16E06397BE0A0A8119" xr:uid="{E7C5A607-D737-4049-98FD-042BC7EE1B87}"/>
    <hyperlink ref="E138" r:id="rId122" tooltip="https://std.samr.gov.cn/gb/search/gbDetailed?id=3DBA213286DA0D16E06397BE0A0A8119" xr:uid="{74D30A6F-0073-48A3-9D1E-6E3963CECBE7}"/>
    <hyperlink ref="E139" r:id="rId123" tooltip="https://std.samr.gov.cn/gb/search/gbDetailed?id=3DBA213287120D16E06397BE0A0A8119" xr:uid="{A0B01F4B-8ACD-4CAB-A3EE-ECCD764AAE72}"/>
    <hyperlink ref="E140" r:id="rId124" tooltip="https://std.samr.gov.cn/gb/search/gbDetailed?id=3DBA213285AD0D16E06397BE0A0A8119" xr:uid="{77AF35D6-2522-4D09-9A02-468B455186BC}"/>
    <hyperlink ref="E141" r:id="rId125" tooltip="https://std.samr.gov.cn/gb/search/gbDetailed?id=3DBBB9791C7F5DDDE06397BE0A0ADF46" xr:uid="{16EA9F46-C98A-426B-8417-EEED1C82663F}"/>
    <hyperlink ref="E142" r:id="rId126" tooltip="https://std.samr.gov.cn/gb/search/gbDetailed?id=3DBA213285790D16E06397BE0A0A8119" xr:uid="{EEDF28F3-4430-41C8-B700-8729F44F3210}"/>
    <hyperlink ref="E143" r:id="rId127" tooltip="https://std.samr.gov.cn/gb/search/gbDetailed?id=42BA7D06A207E936E06397BE0A0ACDC9" xr:uid="{7039EF13-6A34-4CA6-9B48-14520D926992}"/>
    <hyperlink ref="E7" r:id="rId128" tooltip="https://std.samr.gov.cn/gb/search/gbDetailed?id=42BA7D06A3E8E936E06397BE0A0ACDC9" xr:uid="{DB4F3D02-F007-4360-BBF0-555F0E9A2FF1}"/>
    <hyperlink ref="E29" r:id="rId129" tooltip="https://std.samr.gov.cn/gb/search/gbDetailed?id=42BA7D06A3E7E936E06397BE0A0ACDC9" xr:uid="{4CD3B412-62D9-4583-B704-9F52E30FE8FD}"/>
    <hyperlink ref="E144" r:id="rId130" tooltip="https://std.samr.gov.cn/gb/search/gbDetailed?id=42BA7D06A416E936E06397BE0A0ACDC9" xr:uid="{3A118F04-44F0-48C8-8CC7-E117D2DF6841}"/>
    <hyperlink ref="E145" r:id="rId131" tooltip="https://std.samr.gov.cn/gb/search/gbDetailed?id=42BA7D06A418E936E06397BE0A0ACDC9" xr:uid="{0AFC241A-845E-405C-A5A3-F3BE60831C99}"/>
    <hyperlink ref="E146" r:id="rId132" tooltip="https://std.samr.gov.cn/gb/search/gbDetailed?id=42BA7D06A3F4E936E06397BE0A0ACDC9" xr:uid="{F2AD0328-19CC-49A0-A54C-1F28BAB5515D}"/>
    <hyperlink ref="E147" r:id="rId133" tooltip="https://std.samr.gov.cn/gb/search/gbDetailed?id=49FD1852CAC9C31FE06397BE0A0A1304" xr:uid="{E8D527D9-7572-410F-98E3-B3611875F62C}"/>
    <hyperlink ref="E148" r:id="rId134" tooltip="https://std.samr.gov.cn/gb/search/gbDetailed?id=49FD1852CAE5C31FE06397BE0A0A1304" xr:uid="{FD6292FC-69CC-4D3C-A4B4-630EEF8E133C}"/>
    <hyperlink ref="E149" r:id="rId135" tooltip="https://std.samr.gov.cn/gb/search/gbDetailed?id=4C1C3627869B92B0E06397BE0A0A32A4" xr:uid="{42C07906-4539-4B32-9A57-13D5215C7020}"/>
    <hyperlink ref="E150" r:id="rId136" tooltip="https://openstd.samr.gov.cn/bzgk/std/javascript:void(0)" xr:uid="{0AAA790C-4F8F-450F-8186-E94F968BBC7C}"/>
    <hyperlink ref="E151" r:id="rId137" tooltip="https://std.samr.gov.cn/gb/search/gbDetailed?id=511EBC5967B09318E06397BE0A0AFBD5" xr:uid="{16E03535-385A-4F40-AE5A-51C35AD43768}"/>
    <hyperlink ref="E152" r:id="rId138" tooltip="https://std.samr.gov.cn/gb/search/gbDetailed?id=511EBC5967E59318E06397BE0A0AFBD5" xr:uid="{2B331B8C-5AA1-41BC-8D4E-3339882A78D2}"/>
    <hyperlink ref="E153" r:id="rId139" tooltip="https://std.samr.gov.cn/gb/search/gbDetailed?id=5120BF83ED7534D9E06397BE0A0AEE77" xr:uid="{BB332572-E0B5-427E-95E7-AB7E7FFB68C3}"/>
    <hyperlink ref="E154" r:id="rId140" tooltip="https://std.samr.gov.cn/gb/search/gbDetailed?id=5120BF83ED7634D9E06397BE0A0AEE77" xr:uid="{9BDA3B96-4C25-42A8-9159-4AD2CF969F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标准-团体标准</vt:lpstr>
      <vt:lpstr>标准-地方标准</vt:lpstr>
      <vt:lpstr>标准-行业标准</vt:lpstr>
      <vt:lpstr>标准-国家标准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2026-05-25T08:07:51Z</dcterms:created>
  <dcterms:modified xsi:type="dcterms:W3CDTF">2026-05-25T08:14:09Z</dcterms:modified>
</cp:coreProperties>
</file>