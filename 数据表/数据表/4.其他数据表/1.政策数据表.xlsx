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 氢能研究院\数智化工作\企业库\数据表-给博英\4.其他数据表\"/>
    </mc:Choice>
  </mc:AlternateContent>
  <xr:revisionPtr revIDLastSave="0" documentId="13_ncr:1_{4FE5898B-712E-4CB2-8C31-1C4F07BF2D8E}" xr6:coauthVersionLast="47" xr6:coauthVersionMax="47" xr10:uidLastSave="{00000000-0000-0000-0000-000000000000}"/>
  <bookViews>
    <workbookView xWindow="29890" yWindow="-110" windowWidth="38620" windowHeight="21100" xr2:uid="{DBAC0AB0-1E47-4FA0-B2C5-C8F4209FFDB3}"/>
  </bookViews>
  <sheets>
    <sheet name="国际-国家级氢能政策" sheetId="8" r:id="rId1"/>
    <sheet name="政策-政府工作报告" sheetId="1" r:id="rId2"/>
    <sheet name="政策-示范城市群补贴" sheetId="2" r:id="rId3"/>
    <sheet name="政策-制氢加氢一体站放开" sheetId="3" r:id="rId4"/>
    <sheet name="政策-氢能高速" sheetId="4" r:id="rId5"/>
    <sheet name="政策-加氢站主管部门" sheetId="5" r:id="rId6"/>
    <sheet name="政策-各地方政府规划" sheetId="6" r:id="rId7"/>
    <sheet name="政府-各省级政府规划目标" sheetId="7" r:id="rId8"/>
  </sheets>
  <externalReferences>
    <externalReference r:id="rId9"/>
  </externalReferences>
  <definedNames>
    <definedName name="_xlnm._FilterDatabase" localSheetId="0" hidden="1">'国际-国家级氢能政策'!$A$1:$M$99</definedName>
    <definedName name="_xlnm._FilterDatabase" localSheetId="6" hidden="1">'政策-各地方政府规划'!$A$1:$T$1116</definedName>
    <definedName name="_xlnm._FilterDatabase" localSheetId="5" hidden="1">'政策-加氢站主管部门'!$A$2:$I$62</definedName>
    <definedName name="_xlnm._FilterDatabase" localSheetId="1" hidden="1">'政策-政府工作报告'!$A$1:$P$34</definedName>
    <definedName name="_xlnm._FilterDatabase" localSheetId="3" hidden="1">'政策-制氢加氢一体站放开'!$A$1:$F$35</definedName>
    <definedName name="_xlnm._FilterDatabase" localSheetId="7" hidden="1">'政府-各省级政府规划目标'!$A$2:$T$2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69" i="7" l="1"/>
  <c r="S69" i="7"/>
  <c r="R69" i="7"/>
  <c r="Q69" i="7"/>
  <c r="P69" i="7"/>
  <c r="O69" i="7"/>
  <c r="N69" i="7"/>
  <c r="M69" i="7"/>
  <c r="L69" i="7"/>
  <c r="K69" i="7"/>
  <c r="J69" i="7"/>
  <c r="I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T34" i="7"/>
  <c r="S34" i="7"/>
  <c r="R34" i="7"/>
  <c r="Q34" i="7"/>
  <c r="P34" i="7"/>
  <c r="O34" i="7"/>
  <c r="N34" i="7"/>
  <c r="M34" i="7"/>
  <c r="L34" i="7"/>
  <c r="K34" i="7"/>
  <c r="J34" i="7"/>
  <c r="I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C910" i="6"/>
  <c r="C909" i="6"/>
  <c r="C907" i="6"/>
  <c r="C906" i="6"/>
  <c r="C905" i="6"/>
  <c r="C902" i="6"/>
  <c r="C901" i="6"/>
  <c r="C900" i="6"/>
  <c r="C897" i="6"/>
  <c r="C896" i="6"/>
  <c r="C895" i="6"/>
  <c r="C893" i="6"/>
  <c r="C892" i="6"/>
  <c r="C890" i="6"/>
  <c r="C889" i="6"/>
  <c r="C888" i="6"/>
  <c r="C887" i="6"/>
  <c r="C881" i="6"/>
  <c r="C880" i="6"/>
  <c r="C877" i="6"/>
  <c r="C875" i="6"/>
  <c r="C873" i="6"/>
  <c r="C872" i="6"/>
  <c r="C871" i="6"/>
  <c r="C868" i="6"/>
  <c r="C867" i="6"/>
  <c r="C866" i="6"/>
  <c r="C863" i="6"/>
  <c r="C862" i="6"/>
  <c r="C861" i="6"/>
  <c r="C860" i="6"/>
  <c r="C858" i="6"/>
  <c r="C856" i="6"/>
  <c r="C855" i="6"/>
  <c r="C854" i="6"/>
  <c r="C853" i="6"/>
  <c r="C850" i="6"/>
  <c r="C849" i="6"/>
  <c r="C848" i="6"/>
  <c r="C847" i="6"/>
  <c r="C843" i="6"/>
  <c r="C842" i="6"/>
  <c r="C839" i="6"/>
  <c r="C838" i="6"/>
  <c r="C837" i="6"/>
  <c r="C836" i="6"/>
  <c r="C834" i="6"/>
  <c r="C833" i="6"/>
  <c r="C831" i="6"/>
  <c r="C829" i="6"/>
  <c r="C825" i="6"/>
  <c r="C824" i="6"/>
  <c r="C822" i="6"/>
  <c r="C821" i="6"/>
  <c r="C820" i="6"/>
  <c r="C819" i="6"/>
  <c r="C818" i="6"/>
  <c r="C809" i="6"/>
  <c r="C808" i="6"/>
  <c r="C807" i="6"/>
  <c r="C806" i="6"/>
  <c r="C805" i="6"/>
  <c r="C804" i="6"/>
  <c r="C803" i="6"/>
  <c r="C802" i="6"/>
  <c r="C800" i="6"/>
  <c r="C799" i="6"/>
  <c r="C798" i="6"/>
  <c r="C797" i="6"/>
  <c r="C796" i="6"/>
  <c r="C793" i="6"/>
  <c r="C792" i="6"/>
  <c r="C791" i="6"/>
  <c r="C790" i="6"/>
  <c r="C789" i="6"/>
  <c r="C788" i="6"/>
  <c r="C787" i="6"/>
  <c r="C786" i="6"/>
  <c r="C785" i="6"/>
  <c r="C784" i="6"/>
  <c r="C783" i="6"/>
  <c r="C782" i="6"/>
  <c r="C781" i="6"/>
  <c r="C780" i="6"/>
  <c r="C779" i="6"/>
  <c r="C778" i="6"/>
  <c r="C777" i="6"/>
  <c r="C774" i="6"/>
  <c r="C773" i="6"/>
  <c r="C772" i="6"/>
  <c r="C771" i="6"/>
  <c r="C770" i="6"/>
  <c r="C769" i="6"/>
  <c r="C768" i="6"/>
  <c r="C767" i="6"/>
  <c r="C766" i="6"/>
  <c r="C765" i="6"/>
  <c r="C764" i="6"/>
  <c r="C763" i="6"/>
  <c r="C762" i="6"/>
  <c r="C759" i="6"/>
  <c r="C758" i="6"/>
  <c r="C756" i="6"/>
  <c r="C755" i="6"/>
  <c r="C754" i="6"/>
  <c r="C753" i="6"/>
  <c r="C752" i="6"/>
  <c r="C751" i="6"/>
  <c r="C750" i="6"/>
  <c r="C749" i="6"/>
  <c r="C748" i="6"/>
  <c r="C747" i="6"/>
  <c r="C746" i="6"/>
  <c r="C745" i="6"/>
  <c r="C744" i="6"/>
  <c r="C742" i="6"/>
  <c r="C741" i="6"/>
  <c r="C740" i="6"/>
  <c r="C739" i="6"/>
  <c r="C738" i="6"/>
  <c r="C736" i="6"/>
  <c r="C735" i="6"/>
  <c r="C733" i="6"/>
  <c r="C732" i="6"/>
  <c r="C731" i="6"/>
  <c r="C726" i="6"/>
  <c r="C724" i="6"/>
  <c r="C723" i="6"/>
  <c r="C722" i="6"/>
  <c r="C721" i="6"/>
  <c r="C719" i="6"/>
  <c r="C718" i="6"/>
  <c r="C716" i="6"/>
  <c r="C715" i="6"/>
  <c r="C714" i="6"/>
  <c r="C713" i="6"/>
  <c r="C711" i="6"/>
  <c r="C709" i="6"/>
  <c r="C708" i="6"/>
  <c r="C707" i="6"/>
  <c r="C706" i="6"/>
  <c r="C705" i="6"/>
  <c r="C704" i="6"/>
  <c r="C703" i="6"/>
  <c r="C702" i="6"/>
  <c r="C701" i="6"/>
  <c r="C700" i="6"/>
  <c r="C699" i="6"/>
  <c r="C698" i="6"/>
  <c r="C697" i="6"/>
  <c r="C696" i="6"/>
  <c r="C693" i="6"/>
  <c r="C692" i="6"/>
  <c r="C685" i="6"/>
  <c r="C683" i="6"/>
  <c r="C682" i="6"/>
  <c r="C681" i="6"/>
  <c r="C680" i="6"/>
  <c r="C679" i="6"/>
  <c r="C678" i="6"/>
  <c r="C676" i="6"/>
  <c r="C675" i="6"/>
  <c r="C671"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4" i="6"/>
  <c r="C632" i="6"/>
  <c r="C631" i="6"/>
  <c r="C630" i="6"/>
  <c r="C629" i="6"/>
  <c r="C628" i="6"/>
  <c r="C627" i="6"/>
  <c r="C626" i="6"/>
  <c r="C625" i="6"/>
  <c r="C623" i="6"/>
  <c r="C622" i="6"/>
  <c r="C621" i="6"/>
  <c r="C620" i="6"/>
  <c r="C618" i="6"/>
  <c r="C617" i="6"/>
  <c r="C616" i="6"/>
  <c r="C615" i="6"/>
  <c r="C612" i="6"/>
  <c r="C611" i="6"/>
  <c r="C610" i="6"/>
  <c r="C609" i="6"/>
  <c r="C608" i="6"/>
  <c r="C606" i="6"/>
  <c r="C605" i="6"/>
  <c r="C604" i="6"/>
  <c r="C603" i="6"/>
  <c r="C602" i="6"/>
  <c r="C601" i="6"/>
  <c r="C600" i="6"/>
  <c r="C599" i="6"/>
  <c r="C598" i="6"/>
  <c r="C597" i="6"/>
  <c r="C596" i="6"/>
  <c r="C592" i="6"/>
  <c r="C590" i="6"/>
  <c r="C589" i="6"/>
  <c r="C588" i="6"/>
  <c r="C587" i="6"/>
  <c r="C586" i="6"/>
  <c r="C585" i="6"/>
  <c r="C584" i="6"/>
  <c r="C583" i="6"/>
  <c r="C582" i="6"/>
  <c r="C581" i="6"/>
  <c r="C578" i="6"/>
  <c r="C577" i="6"/>
  <c r="C576" i="6"/>
  <c r="C575" i="6"/>
  <c r="C574" i="6"/>
  <c r="C573" i="6"/>
  <c r="C571" i="6"/>
  <c r="C570" i="6"/>
  <c r="C569" i="6"/>
  <c r="C568" i="6"/>
  <c r="C567" i="6"/>
  <c r="C566" i="6"/>
  <c r="C565" i="6"/>
  <c r="C564" i="6"/>
  <c r="C563" i="6"/>
  <c r="C562" i="6"/>
  <c r="C559" i="6"/>
  <c r="C557" i="6"/>
  <c r="C556" i="6"/>
  <c r="C555" i="6"/>
  <c r="C554" i="6"/>
  <c r="C550" i="6"/>
  <c r="C549" i="6"/>
  <c r="C548" i="6"/>
  <c r="C547" i="6"/>
  <c r="C544" i="6"/>
  <c r="C543" i="6"/>
  <c r="C542" i="6"/>
  <c r="C541" i="6"/>
  <c r="C540" i="6"/>
  <c r="C538" i="6"/>
  <c r="C537" i="6"/>
  <c r="C535" i="6"/>
  <c r="C534" i="6"/>
  <c r="C533" i="6"/>
  <c r="C532" i="6"/>
  <c r="C531" i="6"/>
  <c r="C530" i="6"/>
  <c r="C529" i="6"/>
  <c r="C527" i="6"/>
  <c r="C526" i="6"/>
  <c r="C525" i="6"/>
  <c r="C524" i="6"/>
  <c r="C523" i="6"/>
  <c r="C521" i="6"/>
  <c r="C520" i="6"/>
  <c r="C519" i="6"/>
  <c r="C515" i="6"/>
  <c r="C514" i="6"/>
  <c r="C513" i="6"/>
  <c r="C512" i="6"/>
  <c r="C511" i="6"/>
  <c r="C507" i="6"/>
  <c r="C506" i="6"/>
  <c r="C505" i="6"/>
  <c r="C504" i="6"/>
  <c r="C501" i="6"/>
  <c r="C500" i="6"/>
  <c r="C498" i="6"/>
  <c r="C497" i="6"/>
  <c r="C496" i="6"/>
  <c r="C495" i="6"/>
  <c r="C494" i="6"/>
  <c r="C493" i="6"/>
  <c r="C491" i="6"/>
  <c r="C490" i="6"/>
  <c r="C488" i="6"/>
  <c r="C487" i="6"/>
  <c r="C486" i="6"/>
  <c r="C485" i="6"/>
  <c r="C483" i="6"/>
  <c r="C482" i="6"/>
  <c r="C481" i="6"/>
  <c r="C480" i="6"/>
  <c r="C479" i="6"/>
  <c r="C478" i="6"/>
  <c r="C477" i="6"/>
  <c r="C476" i="6"/>
  <c r="C475" i="6"/>
  <c r="C474" i="6"/>
  <c r="C473" i="6"/>
  <c r="C472" i="6"/>
  <c r="C471" i="6"/>
  <c r="C470" i="6"/>
  <c r="C469" i="6"/>
  <c r="C468" i="6"/>
  <c r="C467" i="6"/>
  <c r="C466" i="6"/>
  <c r="C465" i="6"/>
  <c r="C464" i="6"/>
  <c r="C463" i="6"/>
  <c r="C462" i="6"/>
  <c r="C459" i="6"/>
  <c r="C457" i="6"/>
  <c r="C456" i="6"/>
  <c r="C453" i="6"/>
  <c r="C452" i="6"/>
  <c r="C451" i="6"/>
  <c r="C450" i="6"/>
  <c r="C449" i="6"/>
  <c r="C448" i="6"/>
  <c r="C446" i="6"/>
  <c r="C444" i="6"/>
  <c r="C443" i="6"/>
  <c r="C442" i="6"/>
  <c r="C441" i="6"/>
  <c r="C440" i="6"/>
  <c r="C437" i="6"/>
  <c r="C431" i="6"/>
  <c r="C430" i="6"/>
  <c r="C427" i="6"/>
  <c r="C426" i="6"/>
  <c r="C425" i="6"/>
  <c r="C424" i="6"/>
  <c r="C423" i="6"/>
  <c r="C422" i="6"/>
  <c r="C421" i="6"/>
  <c r="C418" i="6"/>
  <c r="C417" i="6"/>
  <c r="C416" i="6"/>
  <c r="C414" i="6"/>
  <c r="C413" i="6"/>
  <c r="C412" i="6"/>
  <c r="C411" i="6"/>
  <c r="C410" i="6"/>
  <c r="C408" i="6"/>
  <c r="C407" i="6"/>
  <c r="C406" i="6"/>
  <c r="C405" i="6"/>
  <c r="C404" i="6"/>
  <c r="C403" i="6"/>
  <c r="C402" i="6"/>
  <c r="C400" i="6"/>
  <c r="C399" i="6"/>
  <c r="C395" i="6"/>
  <c r="C394" i="6"/>
  <c r="C393" i="6"/>
  <c r="C392" i="6"/>
  <c r="C391" i="6"/>
  <c r="C390" i="6"/>
  <c r="C388" i="6"/>
  <c r="C387" i="6"/>
  <c r="C386" i="6"/>
  <c r="C385" i="6"/>
  <c r="C384" i="6"/>
  <c r="C383" i="6"/>
  <c r="C382" i="6"/>
  <c r="C380" i="6"/>
  <c r="C379" i="6"/>
  <c r="C376" i="6"/>
  <c r="C375" i="6"/>
  <c r="C374" i="6"/>
  <c r="C371" i="6"/>
  <c r="C370" i="6"/>
  <c r="C369" i="6"/>
  <c r="C368" i="6"/>
  <c r="C367" i="6"/>
  <c r="C366" i="6"/>
  <c r="C365" i="6"/>
  <c r="C364" i="6"/>
  <c r="C363" i="6"/>
  <c r="C361" i="6"/>
  <c r="C360" i="6"/>
  <c r="C359" i="6"/>
  <c r="C358" i="6"/>
  <c r="C355" i="6"/>
  <c r="C354" i="6"/>
  <c r="C352" i="6"/>
  <c r="C351" i="6"/>
  <c r="C350" i="6"/>
  <c r="C344" i="6"/>
  <c r="C340" i="6"/>
  <c r="C339" i="6"/>
  <c r="C338" i="6"/>
  <c r="C337" i="6"/>
  <c r="C336" i="6"/>
  <c r="C335" i="6"/>
  <c r="C334" i="6"/>
  <c r="C333" i="6"/>
  <c r="C332" i="6"/>
  <c r="C331" i="6"/>
  <c r="C330" i="6"/>
  <c r="C329" i="6"/>
  <c r="C328" i="6"/>
  <c r="C325" i="6"/>
  <c r="C324" i="6"/>
  <c r="C323" i="6"/>
  <c r="C322" i="6"/>
  <c r="C321" i="6"/>
  <c r="C320" i="6"/>
  <c r="C319" i="6"/>
  <c r="C318" i="6"/>
  <c r="C317" i="6"/>
  <c r="C316" i="6"/>
  <c r="C315" i="6"/>
  <c r="C312" i="6"/>
  <c r="C311" i="6"/>
  <c r="C310" i="6"/>
  <c r="C309" i="6"/>
  <c r="C308" i="6"/>
  <c r="C306" i="6"/>
  <c r="C305" i="6"/>
  <c r="C304" i="6"/>
  <c r="C303" i="6"/>
  <c r="C302" i="6"/>
  <c r="C301" i="6"/>
  <c r="C300" i="6"/>
  <c r="C299" i="6"/>
  <c r="C298" i="6"/>
  <c r="C297" i="6"/>
  <c r="C296" i="6"/>
  <c r="C295" i="6"/>
  <c r="C294" i="6"/>
  <c r="C293" i="6"/>
  <c r="C292" i="6"/>
  <c r="C291" i="6"/>
  <c r="C290" i="6"/>
  <c r="C288" i="6"/>
  <c r="C287" i="6"/>
  <c r="C285" i="6"/>
  <c r="C284" i="6"/>
  <c r="C283" i="6"/>
  <c r="C282" i="6"/>
  <c r="C281" i="6"/>
  <c r="C280" i="6"/>
  <c r="C279" i="6"/>
  <c r="C278" i="6"/>
  <c r="C277" i="6"/>
  <c r="C276" i="6"/>
  <c r="C275" i="6"/>
  <c r="C274" i="6"/>
  <c r="C273" i="6"/>
  <c r="C272" i="6"/>
  <c r="C270" i="6"/>
  <c r="C269" i="6"/>
  <c r="C268" i="6"/>
  <c r="C267" i="6"/>
  <c r="C262" i="6"/>
  <c r="C261" i="6"/>
  <c r="C260" i="6"/>
  <c r="C258" i="6"/>
  <c r="C257" i="6"/>
  <c r="C256" i="6"/>
  <c r="C255" i="6"/>
  <c r="C254" i="6"/>
  <c r="C253" i="6"/>
  <c r="C252" i="6"/>
  <c r="C251" i="6"/>
  <c r="C250" i="6"/>
  <c r="C249" i="6"/>
  <c r="C248" i="6"/>
  <c r="C247" i="6"/>
  <c r="C244" i="6"/>
  <c r="C243" i="6"/>
  <c r="C242" i="6"/>
  <c r="C241" i="6"/>
  <c r="C240" i="6"/>
  <c r="C236" i="6"/>
  <c r="C235" i="6"/>
  <c r="C231" i="6"/>
  <c r="C230" i="6"/>
  <c r="C229" i="6"/>
  <c r="C227" i="6"/>
  <c r="C226" i="6"/>
  <c r="C225" i="6"/>
  <c r="C224" i="6"/>
  <c r="C223" i="6"/>
  <c r="C222" i="6"/>
  <c r="C221" i="6"/>
  <c r="C220" i="6"/>
  <c r="C219" i="6"/>
  <c r="C218" i="6"/>
  <c r="C217" i="6"/>
  <c r="C216" i="6"/>
  <c r="C215" i="6"/>
  <c r="C214" i="6"/>
  <c r="C213" i="6"/>
  <c r="C212" i="6"/>
  <c r="C210" i="6"/>
  <c r="C209" i="6"/>
  <c r="C206" i="6"/>
  <c r="C204" i="6"/>
  <c r="C203" i="6"/>
  <c r="C202" i="6"/>
  <c r="C201" i="6"/>
  <c r="C200" i="6"/>
  <c r="C199" i="6"/>
  <c r="C198" i="6"/>
  <c r="C197" i="6"/>
  <c r="C196" i="6"/>
  <c r="C194" i="6"/>
  <c r="C193" i="6"/>
  <c r="C192" i="6"/>
  <c r="C190" i="6"/>
  <c r="C189" i="6"/>
  <c r="C187" i="6"/>
  <c r="C185" i="6"/>
  <c r="C183" i="6"/>
  <c r="C182" i="6"/>
  <c r="C181" i="6"/>
  <c r="C180" i="6"/>
  <c r="C178" i="6"/>
  <c r="C177" i="6"/>
  <c r="C175" i="6"/>
  <c r="C174" i="6"/>
  <c r="C173" i="6"/>
  <c r="C172" i="6"/>
  <c r="C171" i="6"/>
  <c r="C170" i="6"/>
  <c r="C168" i="6"/>
  <c r="C167" i="6"/>
  <c r="C166" i="6"/>
  <c r="C164" i="6"/>
  <c r="C163" i="6"/>
  <c r="C162" i="6"/>
  <c r="C161" i="6"/>
  <c r="C160" i="6"/>
  <c r="C159" i="6"/>
  <c r="C158" i="6"/>
  <c r="C157" i="6"/>
  <c r="C155" i="6"/>
  <c r="C154" i="6"/>
  <c r="C153" i="6"/>
  <c r="C152" i="6"/>
  <c r="C151" i="6"/>
  <c r="C150" i="6"/>
  <c r="C149" i="6"/>
  <c r="C148" i="6"/>
  <c r="C147" i="6"/>
  <c r="C145" i="6"/>
  <c r="C144" i="6"/>
  <c r="C143" i="6"/>
  <c r="C140" i="6"/>
  <c r="C139" i="6"/>
  <c r="C133" i="6"/>
  <c r="C132" i="6"/>
  <c r="C123" i="6"/>
  <c r="C121" i="6"/>
  <c r="C120" i="6"/>
  <c r="C119" i="6"/>
  <c r="C118" i="6"/>
  <c r="C117" i="6"/>
  <c r="C113" i="6"/>
  <c r="C102" i="6"/>
  <c r="C101" i="6"/>
  <c r="C99" i="6"/>
  <c r="C98" i="6"/>
  <c r="C96" i="6"/>
  <c r="C94" i="6"/>
  <c r="C93" i="6"/>
  <c r="C90" i="6"/>
  <c r="C89" i="6"/>
  <c r="C88" i="6"/>
  <c r="C85" i="6"/>
  <c r="C84" i="6"/>
  <c r="C83" i="6"/>
  <c r="C82" i="6"/>
  <c r="C81" i="6"/>
  <c r="C77" i="6"/>
  <c r="C76" i="6"/>
  <c r="C75" i="6"/>
  <c r="C74" i="6"/>
  <c r="C73" i="6"/>
  <c r="C72" i="6"/>
  <c r="C70" i="6"/>
  <c r="C69"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18" i="6"/>
  <c r="C17" i="6"/>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<sst xmlns="http://schemas.openxmlformats.org/spreadsheetml/2006/main" count="10854" uniqueCount="3651">
  <si>
    <t>序号</t>
  </si>
  <si>
    <t>省/直辖市</t>
  </si>
  <si>
    <t>2019年相关论述</t>
  </si>
  <si>
    <t>2020年相关论述</t>
  </si>
  <si>
    <t>2021年相关论述</t>
  </si>
  <si>
    <t>2022年相关论述</t>
  </si>
  <si>
    <t>2023年相关论述</t>
  </si>
  <si>
    <t>2024年相关论述</t>
  </si>
  <si>
    <t>2025年相关论述</t>
  </si>
  <si>
    <t>2026年相关表述</t>
  </si>
  <si>
    <t>全国</t>
  </si>
  <si>
    <t>3月5日：稳定汽车消费，继续执行新能源汽车购置优惠政策，推动充电、加氢等设施建设</t>
  </si>
  <si>
    <t>5月22日：未提及</t>
  </si>
  <si>
    <t>3月5日：未提及</t>
  </si>
  <si>
    <t>3月5日：加快前沿新兴氢能……等产业发展</t>
  </si>
  <si>
    <t>3月5日：设立国家低碳转型基金，培育氢能、绿色燃料等新增长点</t>
  </si>
  <si>
    <t>北京市</t>
  </si>
  <si>
    <t>1月14日：未提及</t>
  </si>
  <si>
    <t>1月12日：支持发展燃料电池汽车产业（2019年工作回顾：……丰田氢燃料电池研发中心等272个项目在京落地）</t>
  </si>
  <si>
    <t>1月23日：未提及</t>
  </si>
  <si>
    <t>1月6日：推动燃料电池汽车示范城市群建设</t>
  </si>
  <si>
    <t>1月15日：在……氢能等新兴领域拓展布局，加快新能源汽车优质项目建设</t>
  </si>
  <si>
    <t>1月21日：着力打造京冀曹妃甸协同发展示范区、京张体育文化旅游带，推动燃料电池汽车示范城市群建设</t>
  </si>
  <si>
    <t>1月14日：加强电力、交通等重点行业绿色转型，推进……战略性基础性绿色产业发展，加快国际氢能示范区、能源谷建设</t>
  </si>
  <si>
    <t>1月25日：加快建设国际绿色经济标杆城市，做强氢能……等一批绿色产业，运用先进低碳技术推动传统产业绿色转型，推进国家级零碳园区建设</t>
  </si>
  <si>
    <t>天津市</t>
  </si>
  <si>
    <t>1月21日：积极培育新能源汽车、锂离子电池、氢能源燃料电池等产业，打造石墨烯、动力电池新材料、电子信息材料产业化基地</t>
  </si>
  <si>
    <t>1月25日：加快氢能产业布局</t>
  </si>
  <si>
    <t>2月12日：未提及</t>
  </si>
  <si>
    <t>1月11日：未提及</t>
  </si>
  <si>
    <t>1月26日：未提及</t>
  </si>
  <si>
    <t>河北省</t>
  </si>
  <si>
    <t>1月14日：加快实施邯郸格力智能装备、城市钢厂退城搬迁等一批重大转型升级项目，推动长城汽车氢能产业等一批重大科技成果产业化，引进一批体量大、质量高、带动强的战略性新兴产业项目</t>
  </si>
  <si>
    <t>1月7日：建设……氢能等省级产业创新中心（2019年工作回顾：氢能……等未来产业加紧布局）</t>
  </si>
  <si>
    <t>2月19日：（“十三五”工作回顾：……氢能等产业加快壮大）</t>
  </si>
  <si>
    <t>1月17日：建设张家口可再生能源示范区、氢能产业示范城市
积极发展风电、光电、氢能，新增可再生能源装机800万千瓦</t>
  </si>
  <si>
    <t>1月11日：形成“风、光、水、火、核、储、氢”多能互补的能源格局</t>
  </si>
  <si>
    <t>1月21日：回顾：与京津共同组织开展基础研究，加强氢能、钒钛等领域技术攻关，全省吸纳京津技术合同成交额增长101.1%
河钢氢冶金项目投产</t>
  </si>
  <si>
    <t>1月13日：抓好抽水蓄能项目，协同布局新型储能项目，推动氢能全产业链发展，新增风电光伏并网装机1300万千瓦以上</t>
  </si>
  <si>
    <t>山西省</t>
  </si>
  <si>
    <t>1月26日：围绕转型发展需求，大力实施“卡脖子”关键核心技术“攻尖”行动和重大技术“迭代创新”，在能源颠覆性技术和新兴产业前沿技术领域，组织实施“不对称创新”超前布局，谋划布局一批重点科技攻关项目，力争在碳纤维储氢气瓶、氢燃料电池、自主安全计算机、杂交小麦等关键技术领域取得突破，增强产业核心竞争力
大力推进风能、太阳能、生物质能、地热能等新能源开发，加大氢能开发和利用力度，加快千万千瓦级光伏风电基地建设，提升新能源可持续发展能力（2018年工作回顾：加快发展煤层气、光伏、风电、氢能等清洁能源和新能源，全省煤层气地面抽采量占到全国90%以上,新能源发电装机占全省电力装机比重突破30%，光伏领跑者发电规模位居全国第一，氢能产业加快布局，能源革命排头兵建设迈出坚实步伐）</t>
  </si>
  <si>
    <t>1月13日：新能源产业重点推进“氢都”大同新能源产业城、孝义氢能等项目建设，推动光伏、风电平价竞价上网
开展……大规模储能、智能电网、氢能……等领域技术攻关（2019年工作回顾：稳妥布局氢能产业）</t>
  </si>
  <si>
    <t>1月20日：智能网联新能源汽车产业围绕……氢燃料等方向，构建“零部件-系统总成-整车”产业链，加快新能源汽车规模化量产</t>
  </si>
  <si>
    <t>1月20日：布局……氢能与储能等未来产业</t>
  </si>
  <si>
    <t>1月12日：回顾：风光发电装机容量位居全国前列，氢能……等加快发展，新能源和清洁能源装机达到4900万千瓦、占比40.25%
2023年：建设风电光伏五大基地，推进氢能……等开发利用</t>
  </si>
  <si>
    <t>1月23日：瞄准科技前沿，挖掘优势潜力，布局发展绿色氢能……等未来产业，支持发展氢能制储运加用全产业链，加快形成新质生产力</t>
  </si>
  <si>
    <t>1月17日：加快风电光伏项目建设，推动氢能、氨能、甲醇全产业链发展，高效开发利用地热能，新能源和清洁能源装机占比达到50%以上
建设清洁运输先行引领区，开展醇氢重卡示范应用</t>
  </si>
  <si>
    <t>2月2日：高效开发利用……氢能、绿氨绿醇</t>
  </si>
  <si>
    <t>内蒙古自治区</t>
  </si>
  <si>
    <t>1月12日：未提及（2019年工作回顾：乌海赛思普非高炉冶炼项目开工建设，冶炼工艺由“碳冶金”向“氢冶金”转变）</t>
  </si>
  <si>
    <t>1月26日：发展氢能经济，建设鄂尔多斯、乌海燃料电池汽车示范城市
系统布局5G基站、充电桩、加氢站等新型基础设施
（2020年工作回顾：……储氢等新材料产值位居全国前列，乌海氢基熔融还原铁项目进入调试阶段
国内首座民用液氢工厂在乌海投运
超纯稀土金属绿色化制备技术、高容量储氢合金材料性能达到国际先进水平</t>
  </si>
  <si>
    <t>1月21日：壮大风光氢储产业集群，建设安全、灵活、高效的新型电力系统，新增新能源并网规模2000万千瓦以上，可再生能源装机比重提高到40%以上
集中建设千亿级新能源装备制造产业集群和氢能装备、储能设备产业基地</t>
  </si>
  <si>
    <t>1月12日：回顾：风光氢储产业集群和呼包鄂通装备制造基地开始起步
2023年：推进新能源大基地集疏外送工程和绿电、绿氢进京新通道建设，布局一批充电桩、加氢站
加快大型风光基地和源网荷储、风光制氢等场景项目建设，力争并网装机2500万千瓦以上，建成拓展场景应用规模1000万千瓦以上。集中打造风光氢储产业集群和呼包鄂通装备制造基地，努力在新能源领域再造一个“工业内蒙古”
“风光氢储车”一体化推进；氢能主攻制氢环节电解槽和储运环节压缩机、循环泵，力争今年制氢设备产能达到250台套。大力发展……储氢等稀土新材料及终端应用产业</t>
  </si>
  <si>
    <t>1月12日：回顾：建成……世界首条固态低压储氢生产线；风光氢储装备制造业产值达到2762亿元。……开工建设全球最大绿氢耦合煤制烯烃项目
2024年：聚焦氢能……，积极引进全国乃至世界顶级专家团队，建立与国家战略科技力量联动机制，竭尽全力在新技术、新模式等方面取得突破
未来产业要聚焦……氢能等八大方向，前瞻谋划、卡准点位、务求突破。集中力量打造……氢能制造等9个自治区级集群
赤峰、通辽作为国家承接产业转移示范区，要珍惜机遇、主动作为，聚焦优势特色产业加大招商引资力度，着力发展壮大绿氢、绿氨、绿醇等产业，通过“双子星”的快速发展，带动蒙东地区跑出全面振兴发展加速度</t>
  </si>
  <si>
    <t>1月14日：回顾：科技“突围”起步成势，5个点位36项重点任务全面推进，在……氢……等领域取得一批填补行业空白的技术突破
宝丰全球单厂规模最大煤制烯烃绿氢耦合……等产业项目投产
2025年：……推动煤化工与绿电、绿氢等耦合发展
加快推进绿电变绿氢绿氨绿醇，打造氢能产业先行区，建设乌兰察布至燕山石化输氢管道、赤峰至锦州港至上海绿氢走廊，开展锡林郭勒至曹妃甸输氢管道前期工作，支持盟市建设绿色氢氨醇、氢能应用基地。
坚持风光氢储全链条发展……重点实施113个延链补链项目，力争新能源装备制造业产值突破2700亿元</t>
  </si>
  <si>
    <t>2月4日：回顾：绿氢产量突破1万吨，全国首条大规模长距离输氢管道贯通
……氢能等领域催生一批标志性科技成果
2026年：实施碳排放总量和强度双控制度，编制“十五五”碳达峰行动方案，开展工业重点行业能效对标提升和……绿氢……替代行动
……建设包头氢能装备制造产业园、鄂尔多斯制氢装备检验检测实证平台，培育……氢能制造业集群
优化拓展绿色氢氨醇供给布局和应用场景，大力推动绿色燃料出区达海，加强绿氢与冶金、化工、合成生物等行业耦合应用
要聚焦……绿色氢氨醇……等优势特色领域关键核心技术攻关，在……风光氢储……等新兴领域布局一批先导性项目</t>
  </si>
  <si>
    <t>辽宁省</t>
  </si>
  <si>
    <t>1月16日：未提及</t>
  </si>
  <si>
    <t>1月28日：大力发展风电、光伏等可再生能源，支持氢能规模化应用和装备发展</t>
  </si>
  <si>
    <t>1月20日：大力发展氢能等新能源，加快新型电力系统建设</t>
  </si>
  <si>
    <t>1月12日：稳步发展氢能产业，建设北方重要氢能产业基地</t>
  </si>
  <si>
    <t>1月23日：前瞻性布局未来产业，在……氢能储能等方面，加快推动技术产品化、产品产业化
全力推进风电、光伏规模化开发利用，发展壮大氢能产业集群</t>
  </si>
  <si>
    <t>1月16日：坚持源网荷储协调发展，有序开发风、光等清洁能源，加快推进……华电铁岭绿色氨醇等重点能源项目建设，大力发展新型储能技术，支持氢能产业加快发展，加快打造清洁能源强省</t>
  </si>
  <si>
    <t>1月27日：回顾：鞍钢全球首套氢冶金中试线全流程贯通
“十五五”与2026：促进绿氢氨醇全链条发展，推进醇氢新能源汽车整车项目，规划建设赤峰至锦州输氢氨醇管道，打造东北亚绿色船燃储运加注中心，争创国家绿色氢能及氢基能源基地</t>
  </si>
  <si>
    <t>吉林省</t>
  </si>
  <si>
    <t>1月26日：推进白城国家级数据灾备中心、北方云计算中心数据企业群建设，大力发展“氢能经济”，力争取得突破性进展</t>
  </si>
  <si>
    <t>1月12日：抓好白城北方氢谷、北方云谷、高载能产业绿色发展基地和新能源产业示范基地，打造“白城—长春”吉林西部氢能走廊</t>
  </si>
  <si>
    <t>1月12日：未提及</t>
  </si>
  <si>
    <t>1月24日：加快风电、光伏等新能源设备全产业链项目建设，谋划氢能制备、存储等项目（2021年工作回顾：风机和叶片制造、制氢、储能等新能源装备制造项目在我省加快集聚）</t>
  </si>
  <si>
    <t>1月15日：回顾：启动实施“氢动吉林”行动，大安风光制绿氢合成氨一体化示范项目开工建设
2023年：“氢动吉林”行动重点建设大安风光制绿氢合成氨一体化示范项目，推进中韩（长春）国际合作示范区国电投氢能产研基地建设，布局加氢站等基础设施，推广城市公交、环卫等氢能车应用
筹建省氢能产业综合研究院</t>
  </si>
  <si>
    <t>1月24日：回顾：一批百亿级氢基绿能项目签约落地建设
2024年：推动……氢能产业综合研究院提档升级
积极推广氢燃料汽车
开展“氢动吉林”“醇行天下”行动，落地一批十亿级、百亿级“绿电＋绿氢＋绿氨＋绿醇＋绿色航煤”项目和氢能装备制造项目，推动“吉氢入海”</t>
  </si>
  <si>
    <t>1月14日：回顾：氢基绿能产业园配套新能源80%实现自发自用，开启全国首创新能源直供模式；长客自主研发首列氢能源市域列车试运行
2025年：组织……省氢能产业综合研究院高效运行
启动建设氢冶金新材料项目，促进新材料、新能源、新装备集群化融合发展。装备制造产业突出高端化发展，加快氢能驱动时速250公里城际市域列车和氢能驱动有轨电车新产品研制应用
推动绿氢产业项目投产达效形成集群优势，开工建设东方电气氢燃料电池等5个以上装备制造项目，吉电股份大安一期、上海电气绿色甲醇等项目如期竣工投产
要全方位拓展京蒙合作，持续开展“六个倍增计划”和“四项行动”，在新型储能、绿氢绿氨……等方面形成一批新成果</t>
  </si>
  <si>
    <t>1月27日：回顾：国电投大安、上海电气洮南、中能建松原等一批“绿电氢氨醇”标志性项目建成投产，总产能全国领先。长春、松原、白城入选国家能源领域首批氢能区域试点。全国首列氢能文旅列车成功投运
加快培育氢燃料轻量化汽车产业
……做强……绿氢、绿色化工和装备制造全产业链，扩大“绿电直连”“以绿制绿”规模，推动“绿氢+”产业发展
提升省氢能产业研究院能级
“十五五”：聚力氢能全产业链攻坚，构建新型能源体系</t>
  </si>
  <si>
    <t>黑龙江省</t>
  </si>
  <si>
    <t>2月19日：未提及</t>
  </si>
  <si>
    <t>1月24日：未提及</t>
  </si>
  <si>
    <t>1月13日：2024年回顾：生物制绿色甲醇及绿色航煤一体化等项目落地
2025年：推动明阳电氢醇一体化等项目开工</t>
  </si>
  <si>
    <t>1月31日：实施未来产业孵化加速计划，打造氢能、脑机接口、具身智能、第六代移动通信等新经济增长点
有序发展绿色液体燃料产业，推进氢基能源项目建设，拓展利用场景</t>
  </si>
  <si>
    <t>上海市</t>
  </si>
  <si>
    <t>1月27日：未提及</t>
  </si>
  <si>
    <t>1月29日：未提及</t>
  </si>
  <si>
    <t>1月20日：推进……燃料电池汽车示范应用</t>
  </si>
  <si>
    <t>1月11日：推动更多优质项目向……国际氢能谷等特色产业园集聚</t>
  </si>
  <si>
    <t>1月15日：回顾：完成国内首次绿色甲醇燃料“船到船”同步加注
2025年：完善液化天然气、绿色甲醇等航运绿色燃料供应体系，推动内河船舶电动化，推进上海港-洛杉矶港、上海港-汉堡港等绿色航运走廊建设。</t>
  </si>
  <si>
    <t>2月3日：回顾：加快建设航运绿色燃料供应体系
十五五：打造国际航运绿色燃料加注中心和交易中心
2026：推进国际绿色航运走廊建设</t>
  </si>
  <si>
    <t>江苏省</t>
  </si>
  <si>
    <t>1月15日：未提及</t>
  </si>
  <si>
    <t>1月20日：先立后破推动能源、产业、交通运输、空间结构优化调整，推进风电、光伏发电等可再生能源和氢能、核能等清洁能源发展</t>
  </si>
  <si>
    <t>1月15日：大力发展风电、光伏发电等可再生能源和氢能、核能等清洁能源</t>
  </si>
  <si>
    <t>1月23日：坚持以未来产业开创产业未来，……，开辟氢能和新型储能……产业新赛道</t>
  </si>
  <si>
    <t>1月19日：未提及</t>
  </si>
  <si>
    <t>2月3日：支持……氢能……等前沿性未来产业，争创国家未来产业先导区</t>
  </si>
  <si>
    <t>浙江省</t>
  </si>
  <si>
    <t>1月27日：建成300家综合供能服务站，实现供油、供电、供气、供氢、供水一体化，加快补齐能源基础设施短板，便利群众生产生活</t>
  </si>
  <si>
    <t>1月12日：创建氢能产业创新研究院，大力发展氢能产业</t>
  </si>
  <si>
    <t>1月17日：未提及</t>
  </si>
  <si>
    <t>安徽省</t>
  </si>
  <si>
    <t>1月28日：未提及</t>
  </si>
  <si>
    <t>1月13日：回顾：推进能源综合改革创新试点，国内首座兆瓦级氢能综合利用示范站投入运行，新增可再生能源发电装机647万千瓦
2023年：推进风光装机倍增工程，加快氢能“制储输用”全链条发展，新增可再生能源发电装机400万千瓦以上</t>
  </si>
  <si>
    <t>1月23日：实施氢能产业高质量发展三年行动计划</t>
  </si>
  <si>
    <t>1月20日：未提及</t>
  </si>
  <si>
    <t>2月5日：十五五：加速布局……氢能……等十大未来产业</t>
  </si>
  <si>
    <t>福建省</t>
  </si>
  <si>
    <t>1月22日：突出绿色转型，加快产业结构调整，优化能源结构，完善碳达峰、碳中和“1+N”政策体系，深化低碳城市、低碳园区、低碳社区试点示范，发展抽水蓄能，推动电化学、氢能等新型储能设施建设</t>
  </si>
  <si>
    <t>1月23日：回顾：突破海水直接电解制氢等关键技术
2024年：前瞻布局……氢能等未来产业</t>
  </si>
  <si>
    <t>1月13日：回顾：绿氢中试基地加快建设
强化科创平台建设，新建氢能产业联合研究院
2025年：积极培育氢能……等产业，促进水风光氢天然气等多能互补发展，加快建设新型能源体系，尽快实现制造业企业100％使用清洁和绿色电力</t>
  </si>
  <si>
    <t>1月27日：回顾：绿氢中试基地建成投用
2026：大力发展……绿色氢能……等
提升“风光储氢核”比重</t>
  </si>
  <si>
    <t>江西省</t>
  </si>
  <si>
    <t>1月17日：推进绿色技术创新企业培育，发展绿色低碳循环经济和节能环保产业，……发展……氢能等产业</t>
  </si>
  <si>
    <t>1月17日：回顾：国内首艘商用氢燃料电池动力游览船交付使用
2025年：积极培育……氢能、新型储能……等产业</t>
  </si>
  <si>
    <t>1月27日：加快打造“赣鄱氢走廊”……</t>
  </si>
  <si>
    <t>山东省</t>
  </si>
  <si>
    <t>2月14日：未提及</t>
  </si>
  <si>
    <t>1月18日：加快氢能及燃料电池……产业布局建设</t>
  </si>
  <si>
    <t>2月2日：支持国家高速列车技术创新中心、燃料电池技术创新中心、先进印染技术制造业创新中心建设，整合相关科技资源，推动形成创新合力
加大新一代信息技术项目支持力度，推进中国算谷、青岛中德氢能产业园、烟台东方航天港等建设
“十四五”：打造山东半岛“氢动走廊”，大力发展绿色建筑</t>
  </si>
  <si>
    <t>1月23日：（2021年工作回顾：我省自主设计、研发、制造的国内首台智能雪蜡车交付国家队。创新平台建设提速，国家燃料电池技术创新中心……落户）</t>
  </si>
  <si>
    <t>1月13日：发展节能环保产业，实施“氢进万家”科技示范工程。积极稳妥推进碳达峰碳中和
加快氢燃料电池汽车推广力度，整合锂电、动力系统、整车制造等资源，尽快在新能源汽车领域形成竞争优势。发展壮大节能环保产业
新旧动能转换起步区方面，集中优势资源建设示范片区，高水平推进标志性项目，加快国家电投氢能产业基地建设</t>
  </si>
  <si>
    <t>1月22日：推进……临沂光储氢一体化等项目建设</t>
  </si>
  <si>
    <t>1月27日：加快风光核氢等重点项目建设……</t>
  </si>
  <si>
    <t>河南省</t>
  </si>
  <si>
    <t>1月16日：实施“十百千”转型升级创新专项，抓好生物育种、通信技术、超级电容、工业CT等项目，加快实施盾构、燃料电池客车、高铁轴承、光互连芯片、铜合金新材料创新引领专项</t>
  </si>
  <si>
    <t>1月10日：未提及</t>
  </si>
  <si>
    <t>1月18日：（2020年工作回顾：汽车产业升级态势明显，新能源、运动型车辆占比提高，氢燃料电池公交汽车示范应用）</t>
  </si>
  <si>
    <t>1月6日：聚焦氢能与新型储能……等6个重点领域，开辟未来产业发展新赛道，争创国家未来产业先导试验区
规划建设郑汴洛濮氢能走廊，加快氢能全产业链研发和一体化布局</t>
  </si>
  <si>
    <t>1月14日：回顾：郑州市获批建设国家区块链发展先导区，郑汴洛濮氢走廊建设加快
2023年：推动氢能与储能、生命健康、量子信息等产业尽快成规模，争创国家未来产业先导示范区</t>
  </si>
  <si>
    <t>1月28日：拓展……氢能储能等领域</t>
  </si>
  <si>
    <t>1月18日：瞄准新型储能、氢能等，加快建设郑汴洛濮氢走廊、郑洛新焦锂电池产业带，培育壮大未来能源产业</t>
  </si>
  <si>
    <t>湖北省</t>
  </si>
  <si>
    <t>1月20日：前瞻氢能……等未来产业</t>
  </si>
  <si>
    <t>1月13日：未提及</t>
  </si>
  <si>
    <t>1月30日：扎实推进华中氢能产业基地……等76个重点能源项目</t>
  </si>
  <si>
    <t>1月16日：回顾：全球首款续航超千公里氢能重卡试产</t>
  </si>
  <si>
    <t>1月27日：前瞻布局……氢能……等未来产业</t>
  </si>
  <si>
    <t>湖南省</t>
  </si>
  <si>
    <t>1月25日：未提及</t>
  </si>
  <si>
    <t>1月14日：力争在……氢燃料动力工程机械整车工程化等方面，突破一批原创性引领性技术</t>
  </si>
  <si>
    <t>1月24日：密切跟踪氢能……产业发展趋势，促进新能源产业链上下游融合，力争在新赛道上取得新优势</t>
  </si>
  <si>
    <t>1月14日：大力推进……三一集团氢能重卡……等十大技术攻关项目，着力攻克卡脖子难题，填补国内技术空白，开辟产业发展新赛道</t>
  </si>
  <si>
    <t>2月3日：未提及</t>
  </si>
  <si>
    <t>广东省</t>
  </si>
  <si>
    <t>1月28日：加快布局氢能产业，促进新能源汽车产业发展</t>
  </si>
  <si>
    <t>1月14日：加快建设……现代汽车氢燃料电池系统等重大项目前期工作
推进新能源汽车产业发展壮大，积极布局发展氢能产业（2019年工作回顾：……茂名丙烷脱氢等项目加快推进）</t>
  </si>
  <si>
    <t>1月24日：加快……现代汽车氢燃料电池等项目建设
推进……云浮氢能产业基地等建设</t>
  </si>
  <si>
    <t>1月20日：（2021年工作回顾：现代汽车氢燃料电池等外资大项目正式落地）</t>
  </si>
  <si>
    <t>1月23日：回顾：传统产业绿色转型步伐加快，国内首套百万吨级氢基竖炉项目在湛江宝钢点火投产，同等规模铁水产量每年可减少二氧化碳排放50万吨以上，标志着钢铁行业绿色低碳发展取得新突破
2024年：推进燃料电池汽车示范应用城市群建设</t>
  </si>
  <si>
    <t>1月26日：进一步加强未来产业布局，大力发展……氢能……等重点细分产业</t>
  </si>
  <si>
    <t>广西壮族自治区</t>
  </si>
  <si>
    <t>1月21日：未提及</t>
  </si>
  <si>
    <t>1月12日：回顾：……玉柴商用车燃氢发动机填补国内空白
2023年：加强……加氢站等建设</t>
  </si>
  <si>
    <t>1月22日：未提及</t>
  </si>
  <si>
    <t>2月2日：回顾：渝黔桂“氢走廊”贯通运营
十五五：培育壮大……氢能……等战略性新兴产业和未来产业</t>
  </si>
  <si>
    <t>海南省</t>
  </si>
  <si>
    <t>1月23日：启动海上风电制氢和氢能综合利用示范项目</t>
  </si>
  <si>
    <t>1月14日：率先开展海上风电制氢工程示范</t>
  </si>
  <si>
    <t>1月27日：加强创新场景培育建设，推动生物制造、氢能、脑机接口、具身智能等未来产业落子布局、加快发展
台省级科技创新平台基地“白名单”，布局建设生物医药前沿技术、海洋生物制造、绿氢、脑机接口、具身智能等未来产业技术创新平台</t>
  </si>
  <si>
    <t>重庆市</t>
  </si>
  <si>
    <t>1月21日：推动博世庆铃氢燃料发动机……等项目建设</t>
  </si>
  <si>
    <t>1月17日：推进……国家氢能动力质量监督检验中心等平台建设（2021年工作回顾：博世庆铃氢燃料电池发动机等项目开工）</t>
  </si>
  <si>
    <t>1月13日：前瞻布局未来产业，……共建成渝国家氢燃料电池汽车示范城市群</t>
  </si>
  <si>
    <t>1月21日：回顾：庆铃博世氢动力系统……等项目建成投产
2024年：争创国家级燃料电池汽车示范城市群，……，加快建设成渝“氢走廊”
加快氢燃料电池商用车推广应用</t>
  </si>
  <si>
    <t>1月19日：回顾：成渝“氢走廊”……扩容提质</t>
  </si>
  <si>
    <t>1月28日：扩容提质成渝“氢走廊”……</t>
  </si>
  <si>
    <t>四川省</t>
  </si>
  <si>
    <t>1月14日：以电力体制改革为重点深化要素市场化改革，建设水电消纳产业示范区，发展大数据、电解氢等绿色载能产业</t>
  </si>
  <si>
    <t>5月9日：未提及</t>
  </si>
  <si>
    <t>1月30日：未提及</t>
  </si>
  <si>
    <t>1月18日：聚焦清洁能源产业，加快水风光气氢多能互补一体化发展……，支持发展氢能源
发展氢燃料电池汽车，构建成渝氢走廊</t>
  </si>
  <si>
    <t>1月11日：打造成渝氢走廊……
发展……氢能等战略性新兴产业</t>
  </si>
  <si>
    <t>1月22日：高水平、大力度推进成渝“氢走廊”建设
加快规划建设新型能源体系，促进水风光氢天然气等多能互补发展</t>
  </si>
  <si>
    <t>1月20日：培育氢能“制储运加用”全产业链
打造川渝“氢走廊”“电走廊”“智行走廊”等应用场景</t>
  </si>
  <si>
    <t>2月3日：前瞻布局……氢能……等产业</t>
  </si>
  <si>
    <t>贵州省</t>
  </si>
  <si>
    <t>云南省</t>
  </si>
  <si>
    <t>1月27日：推动新能源汽车在建项目如期建成投产、签约项目尽快开工建设，引进电池、电控、电机企业，争取氢燃料电池项目落地</t>
  </si>
  <si>
    <t>5月10日：未提及</t>
  </si>
  <si>
    <t>1月26日：培育氢能和储能产业</t>
  </si>
  <si>
    <t>1月24日：大力培育……氢能及储能等未来产业，形成新质生产力</t>
  </si>
  <si>
    <t>1月18日：打造……氢能及储能等新增长引擎</t>
  </si>
  <si>
    <t>1月28日：发展绿色氢氨醇产业……</t>
  </si>
  <si>
    <t>西藏自治区</t>
  </si>
  <si>
    <t>1月7日：未提及</t>
  </si>
  <si>
    <t>1月4日：未提及</t>
  </si>
  <si>
    <t>1月19日：加快构建绿色发展方式。有序开展绿电制氢、“光伏治沙”试点</t>
  </si>
  <si>
    <t>1月31日：稳步推进绿电制氢制氧试点，积极探索氢氧产业发展路径</t>
  </si>
  <si>
    <t>陕西省</t>
  </si>
  <si>
    <t>1月26日：打造氢能应用示范工程</t>
  </si>
  <si>
    <t>1月19日：推进……氢能示范项目实施，增加新能源消纳能力，打造全国重要的清洁能源基地</t>
  </si>
  <si>
    <t>1月12日：前瞻布局……氢能与储能等未来产业</t>
  </si>
  <si>
    <t>1月26日：培育壮大战略性新兴产业，打造氢能……等新增长点</t>
  </si>
  <si>
    <t>1月16日：回顾：积极布局……氢能等未来产业，……陕汽氢燃料重卡销量全国第1</t>
  </si>
  <si>
    <t>1月27日：回顾：加力布局氢能产业，生产氢燃料汽车760辆
2026年：加快榆林、渭南等氢能产业集群……建设</t>
  </si>
  <si>
    <t>甘肃省</t>
  </si>
  <si>
    <t>1月25日：支持玉门油田发展清洁能源制氢</t>
  </si>
  <si>
    <t>1月15日：谋划布局氢能、新型储能、航空航天等未来产业</t>
  </si>
  <si>
    <t>1月20日：大力培育未来产业，聚焦氢能与新型储能……等前沿方向，谋划一批示范工程，打造未来产业集聚区
推进绿电制氢产业化发展，建设风光氢氨醇一体化产业基地</t>
  </si>
  <si>
    <t>1月27日：抓好……氢能装备……等项目建设，创设一批标志性应用场景
打造河西“绿氢走廊”</t>
  </si>
  <si>
    <t>青海省</t>
  </si>
  <si>
    <t>1月15日：研究规划氢能核能利用项目</t>
  </si>
  <si>
    <t>1月15日：实施氢能产业发展三年行动</t>
  </si>
  <si>
    <t>1月24日：回顾：首个绿电制氢项目投产
2024年：深化储能多元化打造行动，推进绿氢应用试点示范，加快天合光能全产业链等项目建设，光伏制造业产值力争突破千亿元</t>
  </si>
  <si>
    <t>1月19日：推动……绿电制氢等项目投产稳产</t>
  </si>
  <si>
    <t>1月27日：回顾：华电德令哈绿电制氢项目实现商业化交付
2026：……做强……绿氢等品牌</t>
  </si>
  <si>
    <t>宁夏回族自治区</t>
  </si>
  <si>
    <t>1月29月：未提及</t>
  </si>
  <si>
    <t>1月20日：（2021年工作回顾：全球最大的宝丰能源电解水制氢项目正式投产……一批大项目好项目成为稳增长的强大引擎）</t>
  </si>
  <si>
    <t>1月13日：加快推进绿能开发，构建新能源供给消纳体系，抓好10个大型风电水电基地、11个光伏园区建设，新增新能源装机300万千瓦，占比达到50%，绿氢产能达到2.5万吨</t>
  </si>
  <si>
    <t>1月23日：新建一批绿色园区、绿色工厂，建成宁东“绿氢产业示范基地”</t>
  </si>
  <si>
    <t>1月20日：回顾：……我区首个万吨级绿氢一体化……等高新技术项目开工建设
2025年：着力打造……“中国绿氢谷”等全国重要产业基地，加快培育……绿色氢能……等新兴和未来产业
统筹做好“水地煤油气风光电氢硅”十篇大文章
制定氢能产业发展计划，加快建设绿氢生产和应用基地，尽快把资源能源优势转化为竞争和发展优势</t>
  </si>
  <si>
    <t>2月3日：回顾：绿氢“制储输用”、氢氨谷“源网荷储”一体化项目成为国家绿色低碳先进技术示范
“十四五”：绿氢产能近3万吨</t>
  </si>
  <si>
    <t>新疆维吾尔自治区</t>
  </si>
  <si>
    <t>1月6日：未提及</t>
  </si>
  <si>
    <t>2月1日：实施战略性新兴产业发展推进工程，加快……氢能源、新能源汽车等产业</t>
  </si>
  <si>
    <t>1月23日：重点推动……中石化库车2万吨光伏制氢等一批重大项目建设</t>
  </si>
  <si>
    <t>1月19日：回顾：……全球单体规模最大的氢储能项目开工建设</t>
  </si>
  <si>
    <t>本年度提及次数（除国家）</t>
  </si>
  <si>
    <t>地区</t>
  </si>
  <si>
    <t>燃料电池汽车示范应用第一年度奖励资金（单位：万元）</t>
  </si>
  <si>
    <t>燃料电池汽车示范应用第二年度奖励资金（单位：万元）</t>
  </si>
  <si>
    <t>燃料电池汽车示范应用第三年度奖励资金（单位：万元）</t>
  </si>
  <si>
    <t>燃料电池汽车示范应用第四年度奖励资金（单位：万元）</t>
  </si>
  <si>
    <t>总计</t>
  </si>
  <si>
    <t>城市群</t>
  </si>
  <si>
    <t>牵头城市</t>
  </si>
  <si>
    <t>包含城市（地区）</t>
  </si>
  <si>
    <t>加氢站
/座</t>
  </si>
  <si>
    <t>燃料电池汽车
/辆</t>
  </si>
  <si>
    <t>氢气价格
/元/公斤</t>
  </si>
  <si>
    <t>北京城市群</t>
  </si>
  <si>
    <t>北京市大兴区</t>
  </si>
  <si>
    <t>北京市（大兴区、海淀区、经济开发区、房山区、延庆区、顺义区、昌平区），天津市滨海新区，河北省唐山市、保定市，山东省淄博市、滨州市</t>
  </si>
  <si>
    <t>北京</t>
  </si>
  <si>
    <t>合计</t>
  </si>
  <si>
    <t>上海城市群</t>
  </si>
  <si>
    <t>上海市，山东省淄博市，江苏省苏州市、南通市，宁夏回族自治区宁东化工基地，内蒙古自治区鄂尔多斯市，浙江省嘉兴市</t>
  </si>
  <si>
    <t>大兴区</t>
  </si>
  <si>
    <t>广东城市群</t>
  </si>
  <si>
    <t>广东省佛山市</t>
  </si>
  <si>
    <t>广东省佛山市、广州市、深圳市、珠海市、东莞市、中山市、阳江市、云浮市，福建省福州市，内蒙古自治区包头市，山东省淄博市，安徽省六安市</t>
  </si>
  <si>
    <t>海淀区</t>
  </si>
  <si>
    <t>河北城市群</t>
  </si>
  <si>
    <t>河北省张家口市</t>
  </si>
  <si>
    <t>河北省张家口市、雄安新区、保定市、定州市、辛集市、邯郸市、唐山市、秦皇岛市，上海市奉贤区，河南省郑州市，山东省淄博市、聊城市，内蒙古自治区乌海市，福建省厦门市</t>
  </si>
  <si>
    <t>房山区</t>
  </si>
  <si>
    <t>郑州城市群</t>
  </si>
  <si>
    <t>河南省郑州市</t>
  </si>
  <si>
    <t>河南省郑州市、新乡市、洛阳市、安阳市、开封市、焦作市，上海市嘉定区、奉贤区、临港新片区，山东省烟台市、淄博市、潍坊市，广东省佛山市，河北省张家口市、保定市、辛集市，宁夏回族自治区宁东化工基地</t>
  </si>
  <si>
    <t>昌平区</t>
  </si>
  <si>
    <t>延庆区</t>
  </si>
  <si>
    <t>经开区</t>
  </si>
  <si>
    <t>顺义区</t>
  </si>
  <si>
    <t>天津</t>
  </si>
  <si>
    <t>滨海新区</t>
  </si>
  <si>
    <t>河北</t>
  </si>
  <si>
    <r>
      <rPr>
        <b/>
        <sz val="9"/>
        <color rgb="FF0066CC"/>
        <rFont val="微软雅黑"/>
        <family val="2"/>
        <charset val="134"/>
      </rPr>
      <t>广东省佛山市、广州市、深圳市、</t>
    </r>
    <r>
      <rPr>
        <b/>
        <sz val="9"/>
        <rFont val="微软雅黑"/>
        <family val="2"/>
        <charset val="134"/>
      </rPr>
      <t>珠海市（退出）</t>
    </r>
    <r>
      <rPr>
        <b/>
        <sz val="9"/>
        <color rgb="FF0066CC"/>
        <rFont val="微软雅黑"/>
        <family val="2"/>
        <charset val="134"/>
      </rPr>
      <t>、中山市、</t>
    </r>
    <r>
      <rPr>
        <b/>
        <sz val="9"/>
        <rFont val="微软雅黑"/>
        <family val="2"/>
        <charset val="134"/>
      </rPr>
      <t>阳江市（退出）</t>
    </r>
    <r>
      <rPr>
        <b/>
        <sz val="9"/>
        <color rgb="FF0066CC"/>
        <rFont val="微软雅黑"/>
        <family val="2"/>
        <charset val="134"/>
      </rPr>
      <t>、云浮市，福建省福州市，内蒙古自治区包头市，</t>
    </r>
    <r>
      <rPr>
        <b/>
        <sz val="9"/>
        <rFont val="微软雅黑"/>
        <family val="2"/>
        <charset val="134"/>
      </rPr>
      <t>山东省淄博市（退出）</t>
    </r>
    <r>
      <rPr>
        <b/>
        <sz val="9"/>
        <color rgb="FF0066CC"/>
        <rFont val="微软雅黑"/>
        <family val="2"/>
        <charset val="134"/>
      </rPr>
      <t>，安徽省六安市，</t>
    </r>
    <r>
      <rPr>
        <b/>
        <sz val="9"/>
        <color rgb="FFFF0000"/>
        <rFont val="微软雅黑"/>
        <family val="2"/>
        <charset val="134"/>
      </rPr>
      <t>山西省吕梁市（新增）</t>
    </r>
    <r>
      <rPr>
        <b/>
        <sz val="9"/>
        <color rgb="FF0066CC"/>
        <rFont val="微软雅黑"/>
        <family val="2"/>
        <charset val="134"/>
      </rPr>
      <t>，</t>
    </r>
    <r>
      <rPr>
        <b/>
        <sz val="9"/>
        <color rgb="FFFF0000"/>
        <rFont val="微软雅黑"/>
        <family val="2"/>
        <charset val="134"/>
      </rPr>
      <t>新疆维吾尔自治区哈密市（新增）</t>
    </r>
    <r>
      <rPr>
        <b/>
        <sz val="9"/>
        <color rgb="FF0066CC"/>
        <rFont val="微软雅黑"/>
        <family val="2"/>
        <charset val="134"/>
      </rPr>
      <t>，</t>
    </r>
    <r>
      <rPr>
        <b/>
        <sz val="9"/>
        <color rgb="FFFF0000"/>
        <rFont val="微软雅黑"/>
        <family val="2"/>
        <charset val="134"/>
      </rPr>
      <t>辽宁省大连市（新增）</t>
    </r>
  </si>
  <si>
    <t>张家口</t>
  </si>
  <si>
    <r>
      <rPr>
        <b/>
        <sz val="9"/>
        <color rgb="FF0066CC"/>
        <rFont val="微软雅黑"/>
        <family val="2"/>
        <charset val="134"/>
      </rPr>
      <t>河北省张家口市、雄安新区、保定市、定州市、辛集市、邯郸市、唐山市、秦皇岛市、</t>
    </r>
    <r>
      <rPr>
        <b/>
        <sz val="9"/>
        <color rgb="FFFF0000"/>
        <rFont val="微软雅黑"/>
        <family val="2"/>
        <charset val="134"/>
      </rPr>
      <t>沧州市（新增）</t>
    </r>
    <r>
      <rPr>
        <b/>
        <sz val="9"/>
        <color rgb="FF0066CC"/>
        <rFont val="微软雅黑"/>
        <family val="2"/>
        <charset val="134"/>
      </rPr>
      <t>，上海市奉贤区，</t>
    </r>
    <r>
      <rPr>
        <b/>
        <sz val="9"/>
        <rFont val="微软雅黑"/>
        <family val="2"/>
        <charset val="134"/>
      </rPr>
      <t>河南省郑州市（退出）</t>
    </r>
    <r>
      <rPr>
        <b/>
        <sz val="9"/>
        <color rgb="FF0066CC"/>
        <rFont val="微软雅黑"/>
        <family val="2"/>
        <charset val="134"/>
      </rPr>
      <t>，山东省淄博市、聊城市，内蒙古自治区乌海市，福建省厦门市</t>
    </r>
  </si>
  <si>
    <t>唐山</t>
  </si>
  <si>
    <r>
      <rPr>
        <b/>
        <sz val="9"/>
        <color rgb="FF0066CC"/>
        <rFont val="微软雅黑"/>
        <family val="2"/>
        <charset val="134"/>
      </rPr>
      <t>河南省郑州市、新乡市、洛阳市、安阳市、开封市、焦作市、</t>
    </r>
    <r>
      <rPr>
        <b/>
        <sz val="9"/>
        <color rgb="FFFF0000"/>
        <rFont val="微软雅黑"/>
        <family val="2"/>
        <charset val="134"/>
      </rPr>
      <t>濮阳市（新增）</t>
    </r>
    <r>
      <rPr>
        <b/>
        <sz val="9"/>
        <color rgb="FF0066CC"/>
        <rFont val="微软雅黑"/>
        <family val="2"/>
        <charset val="134"/>
      </rPr>
      <t>、</t>
    </r>
    <r>
      <rPr>
        <b/>
        <sz val="9"/>
        <color rgb="FFFF0000"/>
        <rFont val="微软雅黑"/>
        <family val="2"/>
        <charset val="134"/>
      </rPr>
      <t>济源市（新增）</t>
    </r>
    <r>
      <rPr>
        <b/>
        <sz val="9"/>
        <color rgb="FF0066CC"/>
        <rFont val="微软雅黑"/>
        <family val="2"/>
        <charset val="134"/>
      </rPr>
      <t>，上海市嘉定区、奉贤区、临港新片区，山东省烟台市、淄博市、</t>
    </r>
    <r>
      <rPr>
        <b/>
        <sz val="9"/>
        <rFont val="微软雅黑"/>
        <family val="2"/>
        <charset val="134"/>
      </rPr>
      <t>潍坊市（退出）</t>
    </r>
    <r>
      <rPr>
        <b/>
        <sz val="9"/>
        <color rgb="FF0066CC"/>
        <rFont val="微软雅黑"/>
        <family val="2"/>
        <charset val="134"/>
      </rPr>
      <t>，</t>
    </r>
    <r>
      <rPr>
        <b/>
        <sz val="9"/>
        <rFont val="微软雅黑"/>
        <family val="2"/>
        <charset val="134"/>
      </rPr>
      <t>广东省佛山市（退出）</t>
    </r>
    <r>
      <rPr>
        <b/>
        <sz val="9"/>
        <color rgb="FF0066CC"/>
        <rFont val="微软雅黑"/>
        <family val="2"/>
        <charset val="134"/>
      </rPr>
      <t>，</t>
    </r>
    <r>
      <rPr>
        <b/>
        <sz val="9"/>
        <rFont val="微软雅黑"/>
        <family val="2"/>
        <charset val="134"/>
      </rPr>
      <t>河北省张家口市（退出）</t>
    </r>
    <r>
      <rPr>
        <b/>
        <sz val="9"/>
        <color rgb="FF0066CC"/>
        <rFont val="微软雅黑"/>
        <family val="2"/>
        <charset val="134"/>
      </rPr>
      <t>、保定市、辛集市，宁夏回族自治区宁东化工基地，</t>
    </r>
    <r>
      <rPr>
        <b/>
        <sz val="9"/>
        <color rgb="FFFF0000"/>
        <rFont val="微软雅黑"/>
        <family val="2"/>
        <charset val="134"/>
      </rPr>
      <t>新疆维吾尔自治区哈密市（新增）</t>
    </r>
  </si>
  <si>
    <t>保定</t>
  </si>
  <si>
    <t>邯郸</t>
  </si>
  <si>
    <t>辛集</t>
  </si>
  <si>
    <t>定州</t>
  </si>
  <si>
    <t>雄安新区</t>
  </si>
  <si>
    <t>沧州</t>
  </si>
  <si>
    <t>/</t>
  </si>
  <si>
    <t>山西</t>
  </si>
  <si>
    <t>吕梁</t>
  </si>
  <si>
    <t>内蒙古</t>
  </si>
  <si>
    <t>乌海</t>
  </si>
  <si>
    <t>鄂尔多斯</t>
  </si>
  <si>
    <t>包头</t>
  </si>
  <si>
    <t>辽宁</t>
  </si>
  <si>
    <t>大连</t>
  </si>
  <si>
    <t>上海</t>
  </si>
  <si>
    <t>江苏</t>
  </si>
  <si>
    <t>苏州</t>
  </si>
  <si>
    <t>浙江</t>
  </si>
  <si>
    <t>嘉兴</t>
  </si>
  <si>
    <t>安徽</t>
  </si>
  <si>
    <t>六安</t>
  </si>
  <si>
    <t>山东</t>
  </si>
  <si>
    <t>淄博</t>
  </si>
  <si>
    <t>滨州</t>
  </si>
  <si>
    <t>河南</t>
  </si>
  <si>
    <t>郑州</t>
  </si>
  <si>
    <t>洛阳</t>
  </si>
  <si>
    <t>安阳</t>
  </si>
  <si>
    <t>焦作</t>
  </si>
  <si>
    <t>新乡</t>
  </si>
  <si>
    <t>开封</t>
  </si>
  <si>
    <t>济源</t>
  </si>
  <si>
    <t>濮阳</t>
  </si>
  <si>
    <t>广东</t>
  </si>
  <si>
    <t>广州</t>
  </si>
  <si>
    <t>佛山</t>
  </si>
  <si>
    <t>中山</t>
  </si>
  <si>
    <t>深圳</t>
  </si>
  <si>
    <t>宁夏</t>
  </si>
  <si>
    <t>宁东能源化工基地</t>
  </si>
  <si>
    <t>新疆</t>
  </si>
  <si>
    <t>哈密</t>
  </si>
  <si>
    <t>地点</t>
  </si>
  <si>
    <t>规划名称</t>
  </si>
  <si>
    <t>发布时间</t>
  </si>
  <si>
    <t>相关表述</t>
  </si>
  <si>
    <t>《2022年：“稳中求进”高质量发展政策清单（第二批）的通知》</t>
  </si>
  <si>
    <t>探索可再生能源制氢、制氢加氢一体站试点项目不在化工园区发展</t>
  </si>
  <si>
    <t>湖北省武汉市</t>
  </si>
  <si>
    <t>《关于支持氢能产业发展的意见》</t>
  </si>
  <si>
    <t>探索在非化工园区满足安全生产条件的区域开展能源型氢气制氢项目；对站内制氢设备投资额外给予设备购置成本50%、不超过200万元资金补贴</t>
  </si>
  <si>
    <t>河北省唐山市</t>
  </si>
  <si>
    <t>《唐山市燃料电池汽车加氢站建设管理暂行办法》</t>
  </si>
  <si>
    <t>支持在非化工园区建立光伏制氢、海水提溴等不适合入园项目外，园区外不得新建、扩建化工项目</t>
  </si>
  <si>
    <t>上海临港新片区</t>
  </si>
  <si>
    <t>《中国（上海）自由贸易试验区临港新片区关于加快氢能和燃料电池汽车产业发展及示范应用的若干措施》</t>
  </si>
  <si>
    <t>探索在非化工园区现场制氢、制储加一体化加氢站及非固定式加氢站建设等领域改革创新</t>
  </si>
  <si>
    <t>《广东省燃料电池汽车加氢站管理暂行办法》</t>
  </si>
  <si>
    <t>制氢加氢一体站制氢规模不得超过3,000公斤/天，储氢容器总容量不得超过3,000公斤；允许在非化工园区建设制氢加氢一体站</t>
  </si>
  <si>
    <t>上海市崇明区</t>
  </si>
  <si>
    <t>崇明</t>
  </si>
  <si>
    <t>《崇明区加快氢能产业发展与应用三年行动计划（2023-2025年）》</t>
  </si>
  <si>
    <t>支持崇明在符合条件的特定区域或在非化工园区布局建设制氢、加氢母站和油氢电综合能源站等基础设施项目，开展一定规模的光伏发电制氢、风电制氢等“绿氢”示范</t>
  </si>
  <si>
    <t>《河北省氢能产业安全管理办法（试行）》</t>
  </si>
  <si>
    <t>允许在化工园区外建设电解水制氢（太阳能、风能等可再生能源）等绿氢生产项目和制氢加氢一体站。</t>
  </si>
  <si>
    <t>山东省烟台市</t>
  </si>
  <si>
    <t>《烟台市氢能产业中长期发展规划（2022—2030年）》</t>
  </si>
  <si>
    <t>支持站内制氢加氢一体化加氢站建设</t>
  </si>
  <si>
    <t>吉林</t>
  </si>
  <si>
    <t>《吉林省氢能产业安全管理办法（试行）》</t>
  </si>
  <si>
    <t>电解水制氢（太阳能、风能等可再生能源）等绿氢生产项目及其制氢加氢一体站不需在化工园区内建设</t>
  </si>
  <si>
    <t>新疆维吾尔自治区布尔津县</t>
  </si>
  <si>
    <t>布尔津</t>
  </si>
  <si>
    <t>《布尔津县加氢站管理办法（暂行）（征求意见稿）》</t>
  </si>
  <si>
    <t>允许在非化工园区建设制氢加氢一体站。制氢加氢一体站规模不得超过3,000公斤/天，储氢容器总容量不得超过3,000公斤</t>
  </si>
  <si>
    <t>辽宁省沈阳市大东区</t>
  </si>
  <si>
    <t>沈阳</t>
  </si>
  <si>
    <t>《大东区支持氢能暨氢燃料电池汽车产业 高质量发展的若干政策措施》</t>
  </si>
  <si>
    <t>鼓励企业在非化工园区建设分布式可再生能源制氢加氢一体站</t>
  </si>
  <si>
    <t>海南</t>
  </si>
  <si>
    <t>《海南省氢能产业发展中长期规划（2023—2035年）》</t>
  </si>
  <si>
    <t>探索在绿氢产业示范园区开展可再生能源制氢直供电试点、可再生能源发电制氢支持性电价政策，允许在化工园区外建设可再生能源电解水制绿氢生产项目和制氢加氢一体站等</t>
  </si>
  <si>
    <t>《关于加快推进氢能产业发展的通知》</t>
  </si>
  <si>
    <t>允许在化工园区外建设太阳能、风能等可再生能源电解水制氢项目和制氢加氢站；太阳能、风能等可再生能源电解水制氢项目不需取得危险化学品安全生产许可</t>
  </si>
  <si>
    <t>海南省海口市</t>
  </si>
  <si>
    <t>海口</t>
  </si>
  <si>
    <t>《海口市氢能产业发展规划（2023-2025年）》</t>
  </si>
  <si>
    <t>在满足安全条件下，推进分布式光伏水电解制氢、小型撬装天然气制氢、生物质制氢等在非化工园区的本地分布式现场制氢，降低氢能储运成本</t>
  </si>
  <si>
    <t>《郑州市氢能产业发展中长期规划（2024—2035）》</t>
  </si>
  <si>
    <t>鼓励在非化工园区开展制氢项目先行先试，支持郑州市及周边可再生能源项目探索绿电制氢示范。合理规划制氢站布局与建设，保障氢能供应。探索和推动制氢储氢加氢一体化母站建设，结合新能源产业优势，在重点工业园区打造电解水制氢示范应用；结合生物质和地热资源优势，探索垃圾、生物质制氢等新型制氢技术应用</t>
  </si>
  <si>
    <t>安徽省六安市</t>
  </si>
  <si>
    <t>《六安市氢能产业高质量发展三年行动计划》</t>
  </si>
  <si>
    <t>支持利用光伏、风电等可再生能源、低谷电力电解水制氢。可再生能源制氢、制氢加氢一体站在满足安全生产条件的区域可不在化工园区建设，不需办理危险化学品安全生产许可（应在化工园区建设的项目除外）</t>
  </si>
  <si>
    <t>江西</t>
  </si>
  <si>
    <t>《关于推动氢能产业高质量发展的若干措施》（征求意见稿）</t>
  </si>
  <si>
    <t>根据现行有关法律法规和政策要求，综合氢能项目的资源条件、市场需求等因素，支持加氢站、制氢加氢一体站、加氢站30公里内配套电解水制氢站、太阳能和风能等可再生能源制氢项目以及“风—光—氢一体化项目”在合规园区内建设，在确保安全的前提下可不在化工园区及重点化工监测点内，不需取得危险化学品安全生产许可证</t>
  </si>
  <si>
    <t>山西省吕梁市</t>
  </si>
  <si>
    <t>《吕梁市推动氢能产业发展若干政策措施（试行）》</t>
  </si>
  <si>
    <t>允许在化工园区外建设太阳能、风能等可再生能源制加氢一体站</t>
  </si>
  <si>
    <t>浙江省嘉兴市</t>
  </si>
  <si>
    <t>《关于进一步推动氢能产业高质量发展的若干意见》</t>
  </si>
  <si>
    <t>鼓励在化工园区开展甲醇制氢试点示范。支持电解水制氢加氢一体站示范项目建设，对电解水制氢设备谷电期间用电量超过50%的，在按要求享受加氢站投资政策基础上，再给予200万元一次性补助。可再生能源发电制氢项目可不进入化工园区。电解水制氢加氢站可使用非化工园区土地</t>
  </si>
  <si>
    <t>《关于支持氢能产业发展的若干政策措施》</t>
  </si>
  <si>
    <t>允许在化工园区外建设灰氢提纯制氢、电解水制氢（太阳能、风能等可再生能源，含电网富余电力）等项目（含相关试验设施）和制氢加氢一体站</t>
  </si>
  <si>
    <t>西藏自治区山南市</t>
  </si>
  <si>
    <t>西藏</t>
  </si>
  <si>
    <t>山南</t>
  </si>
  <si>
    <t>《山南市关于加快推进氢氧产业试点工作的若干措施》</t>
  </si>
  <si>
    <t>允许在化工园区外建设太阳能、风能等可再生能源电解水制氢氧项目和制氢加氢站</t>
  </si>
  <si>
    <t>湖北</t>
  </si>
  <si>
    <t>《湖北省加快发展氢能产业行动方案（2024—2027年）》</t>
  </si>
  <si>
    <t>探索站内制加氢一体化、移动式加氢等加氢站新模式，支持在化工园区外建设制加绿氢一体站</t>
  </si>
  <si>
    <t>青海</t>
  </si>
  <si>
    <t>《青海省加快推动氢能产业高质量发展的若干政策措施》</t>
  </si>
  <si>
    <t>鼓励建设油气电氢综合站，制氢加氢一体站不再限制于化工园区</t>
  </si>
  <si>
    <t>内蒙古鄂尔多斯市</t>
  </si>
  <si>
    <t>《鄂尔多斯市危险化学品安全管理条例》</t>
  </si>
  <si>
    <t>新建、扩建危险化学品生产建设项目应当进入化工园区，电解制氢等可再生能源类和为其他行业配套的危险化学品建设项目除外</t>
  </si>
  <si>
    <t>广西</t>
  </si>
  <si>
    <t>《加快推动广西氢能产业高质量发展行动计划（2024—2027年）》</t>
  </si>
  <si>
    <t>制氢加氢一体站不再限制于化工园区。对于符合自治区氢能产业发展规划布局、具有显著带动力和试点效应的氢能重点项目，积极协调其用地需求。落实国家关于可再生能源发电制氢支持性电价政策，研究制定电力市场规则。引导电网企业对符合条件的可再生能源制氢项目余电上网电量予以优先上网</t>
  </si>
  <si>
    <t>《安徽省加氢站管理办法（暂行）》</t>
  </si>
  <si>
    <t>允许在满足安全生产条件的非化工园区建设可再生能源制氢加氢一体站、氢电融合清洁能源综合能源供给站，在依法依规的前提下，不需办理危险化学品安全生产许可（应在化工园区建设的项目除外）</t>
  </si>
  <si>
    <t>《江苏省推动氢能产业高质量发展行动方案（2025—2030年）》</t>
  </si>
  <si>
    <t>允许在化工园区外建设制氢加氢一体站，允许在化工园区外满足安全生产条件前提下开展为其他行业配套的可再生能源制氢及核能制氢</t>
  </si>
  <si>
    <t>四川</t>
  </si>
  <si>
    <t>《四川省氢燃料电池汽车车用加氢站建设运营管理暂行办法》（征求意见稿）</t>
  </si>
  <si>
    <t>在符合相关规划、标准规范和安全条件的前提下，允许在非化工园区规划建设制氢加氢一体站，制氢加氢一体站制氢质量原则上不得超过3000kg/d，储氢容器总质量原则上不得超过3000kg</t>
  </si>
  <si>
    <t>辽宁省铁岭市</t>
  </si>
  <si>
    <t>铁岭</t>
  </si>
  <si>
    <t>《关于印发铁岭市进一步明确氢能领域安全管理职责的通知》</t>
  </si>
  <si>
    <t>允许在化工园区外建设太阳能、风能等可再生能源电解水制氢等绿氢生产项目及其制氢加氢一体站</t>
  </si>
  <si>
    <t>福建厦门市</t>
  </si>
  <si>
    <t>福建</t>
  </si>
  <si>
    <t>厦门</t>
  </si>
  <si>
    <t>《厦门市氢能产业高质量发展行动计划（2025—2027年）》</t>
  </si>
  <si>
    <t>在机场、港口、高速、产业园等氢能应用场景丰富区域，建设制氢加氢一体站</t>
  </si>
  <si>
    <t>湖北武汉市</t>
  </si>
  <si>
    <t>武汉</t>
  </si>
  <si>
    <t>《武汉市氢能产业发展三年行动方案（2025—2027年）》</t>
  </si>
  <si>
    <t>支持有条件的区在化工园区外建设制加绿氢一体化试点项目</t>
  </si>
  <si>
    <t>广西壮族自治区南宁市</t>
  </si>
  <si>
    <t>南宁</t>
  </si>
  <si>
    <t>《南宁市燃料电池汽车加氢站建设运营管理暂行办法（征求意见稿）》</t>
  </si>
  <si>
    <t>制氢加氢一体站制氢规模不得超过3000kg/d，储氢容器总容量不得超过3000kg。允许在非化工园区建设制氢加氢一体站</t>
  </si>
  <si>
    <t>四川省成都市</t>
  </si>
  <si>
    <t>成都</t>
  </si>
  <si>
    <t>《关于开展进一步推动氢能全产业链发展及推广应用相关激励政策兑现申报工作的通知》</t>
  </si>
  <si>
    <t>支持在化工园区外建设制氢加氢一体站</t>
  </si>
  <si>
    <t>起止时间</t>
  </si>
  <si>
    <t>《关于对氢能车辆暂免收取高速公路通行费的通知》</t>
  </si>
  <si>
    <t>为积极推进“氢进万家”科技示范工程，山东省鼓励氢能车辆开展跨区运营，自2024年3月1日起，对行驶山东省高速公路安装ETC套装设备的氢能车辆暂免收取高速公路通行费。政策试行期2年，到期后依据执行情况适时调整</t>
  </si>
  <si>
    <t>2024.3.1-2026.3.1</t>
  </si>
  <si>
    <t>内蒙古自治区鄂尔多斯市</t>
  </si>
  <si>
    <t>《鄂尔多斯市交通运输局关于印发氢能源车辆奖补通行费实施方案的通知》</t>
  </si>
  <si>
    <t>内蒙古自治区首个氢能源车辆通行费全额奖补政策正式实施，对在鄂尔多斯市境内行驶通过收费站的氢能车辆，在收取收费金额后，次月审核后返还全部通行费。奖补时间：2024年6月1日起至2026年6月1日止，试行期2年</t>
  </si>
  <si>
    <t>2024.6.1-2026.6.1</t>
  </si>
  <si>
    <t>《成都市推动氢燃料电池商用车产业发展及推广应用行动方案（2024—2026年）》</t>
  </si>
  <si>
    <t>氢燃料电池商用车不受成都市货车相关交通管理措施规定限制和尾号限行限制。联动省级部门对通行市管高速（成温邛、双流机场、成彭、成灌和城北出口高速）且安装使用ETC设备的氢燃料电池商用车，免除通行费</t>
  </si>
  <si>
    <t>《关于对氢能车辆行驶吉林省高速公路实施优惠的通知》</t>
  </si>
  <si>
    <t>安装ETC套装设备的吉林省籍氢能车辆，在吉林省各高速公路收费站间点对点免费通行，相应的高速公路通行费由省财政统一支付</t>
  </si>
  <si>
    <t>2024.9.1-2026.8.31</t>
  </si>
  <si>
    <t>《关于支持开展高速公路分布式光伏、加氢站建设及氢能汽车通行有关事项的通知》</t>
  </si>
  <si>
    <t>对安装使用ETC装备的氢能车辆，在我省全额免除高速公路通行费</t>
  </si>
  <si>
    <t>2024.9.1-2027.9.1</t>
  </si>
  <si>
    <t>减免氢能车辆过路费用。对氢能车辆吕梁市范围内高速及收费公路通行费用通过补贴方式予以减免</t>
  </si>
  <si>
    <t>2024.7.14-2026.7.14</t>
  </si>
  <si>
    <t>对省内高速公路行驶的安装使用楚道ETC装备的氢能车辆，省级财政给予为期3年的高速公路通行费全返补贴支持</t>
  </si>
  <si>
    <t>《四川省进一步推动氢能全产业链发展及推广应用行动方案（2024—2027年）》</t>
  </si>
  <si>
    <t>对行驶我省高速公路且安装使用电子不停车收费（ETC）设备的氢能车辆免收高速公路通行费，专项优惠部分资金由省级财政承担</t>
  </si>
  <si>
    <t>《青海省促进氢能产业发展的若干政策措施》</t>
  </si>
  <si>
    <t>设立氢燃料电池汽车运输车辆专用号段，对安装ETC的专用号牌、绿氢储运车辆省内高速公路通行（仅通行我省境内路段，且出入口均在我省境内）实施差异化收费，并对实施效果进行阶段性分析评估，截止日期到2025年底。</t>
  </si>
  <si>
    <t>2025.1.1-2025.12.31</t>
  </si>
  <si>
    <t>内蒙古包头市</t>
  </si>
  <si>
    <t>《包头市支持氢能产业高质量发展若干措施（试行）》</t>
  </si>
  <si>
    <t>通过政府补贴方式，减免氢能车辆市内过路费；积极争取自治区对通过辖区内的高速公路、国省干线收费站的氢能车辆减免过路费。</t>
  </si>
  <si>
    <t>可能不算</t>
  </si>
  <si>
    <t>《关于对通行河南省收费公路的氢能货车和电动货车减免通行费政策的实施细则》</t>
  </si>
  <si>
    <t>2025年1月25日至2025年12月31日，对通行我省收费公路的氢能货车免收通行费</t>
  </si>
  <si>
    <t>2025.1.25-2025.12.31</t>
  </si>
  <si>
    <t>《辽宁省推广高速公路差异化收费对氢燃料电池货车免收车辆通行费的实施方案》</t>
  </si>
  <si>
    <t>对行驶我省高速公路且正常使用ETC的氢燃料电池货车采取预约制，通过“辽宁高速通”微信小程序，预约登记并审核通过后，通过差异化方式免收车辆通行费。政策执行期为3年，自2025年5月16日起实施</t>
  </si>
  <si>
    <t>2025.5.16-2028.5.16</t>
  </si>
  <si>
    <t>《关于对通行山西省高速公路的氢能货车实施通行费补贴的通知（试行）》</t>
  </si>
  <si>
    <t>实施范围：在山西省综合交通管理服务平台运政系统等级，且安装并使用ETC设备的氢能货车；行驶路段为山西省境内高速公路，且上下站记录和站间行驶路径均在山西省境内；符合上述条件的货车，通行山西省境内高速公路，通行费由省财政予以补贴、统一支付
实施时间：自2025年6月1日0时至2027年5月31日24时，试行期暂定2年，到期后根据执行情况优化调整</t>
  </si>
  <si>
    <t>2025.6.1-2027.5.31</t>
  </si>
  <si>
    <t>《湖南省氢能产业发展三年行动方案》</t>
  </si>
  <si>
    <t>建立完善氢能车辆高速通行优惠机制、氢能车辆新能源牌照发放机制、可再生能源发电就近消纳价格机制</t>
  </si>
  <si>
    <t>贵州省六盘水市</t>
  </si>
  <si>
    <t>《六盘水市支持氢能产业发展若干措施（试行）》</t>
  </si>
  <si>
    <t>对氢能车辆在我市范围内高速公路通行费用，按照发票面额10%予以补助，单车每年不超过0.5万元；积极争取省级对通过省内高速公路的氢能车辆减免通行费</t>
  </si>
  <si>
    <t>《关于对通行湖北省高速公路氢能车辆实施通行费补贴政策的通知》</t>
  </si>
  <si>
    <t>对通行湖北省境内高速公路（入、出口记录和站间行驶路径均在湖北省境内）的合法运输装载、安装并正常使用ETC的氢能车辆（以氢燃料电池为单一动力来源），免收高速公路通行费。各相关高速公路经营管理单位免收的通行费，安排省级财政资金予以全额补贴</t>
  </si>
  <si>
    <t>2026.05.18-2027.12.31</t>
  </si>
  <si>
    <t>加氢站管理规范</t>
  </si>
  <si>
    <t>文件出台地方</t>
  </si>
  <si>
    <t>文件名称</t>
  </si>
  <si>
    <t>文件出台时间</t>
  </si>
  <si>
    <t>主管部门</t>
  </si>
  <si>
    <t>关于加快推进加氢站建设审批有关问题的通知</t>
  </si>
  <si>
    <t>住建部门</t>
  </si>
  <si>
    <t>汉南区</t>
  </si>
  <si>
    <t>加氢站审批及管理暂行办法</t>
  </si>
  <si>
    <t>城管部门</t>
  </si>
  <si>
    <t>潍坊</t>
  </si>
  <si>
    <t>关于做好全市汽车加氢站规划建设运营管理工作的意见</t>
  </si>
  <si>
    <t>城管局</t>
  </si>
  <si>
    <t>老河口</t>
  </si>
  <si>
    <t>加氢站管理办法（试行）</t>
  </si>
  <si>
    <t>住建局</t>
  </si>
  <si>
    <t>济宁</t>
  </si>
  <si>
    <t>加氢站建设管理暂行办法</t>
  </si>
  <si>
    <t>燃气管理部门（住建）</t>
  </si>
  <si>
    <t>加氢站管理办法（试行）（2019-2022）</t>
  </si>
  <si>
    <t>保定市做好加氢站项目审批管理工作的意见</t>
  </si>
  <si>
    <t>省级</t>
  </si>
  <si>
    <t>车用加氢站运营管理规范</t>
  </si>
  <si>
    <t>工信厅</t>
  </si>
  <si>
    <t>工信部门</t>
  </si>
  <si>
    <t>长春</t>
  </si>
  <si>
    <t>汽车加氢站管理暂行办法</t>
  </si>
  <si>
    <t>建设主管部门</t>
  </si>
  <si>
    <t>定州市加氢（合建）站管理实施意见(试行）</t>
  </si>
  <si>
    <t>呼和浩特</t>
  </si>
  <si>
    <t>呼和浩特市燃料电池加氢站建设管理指导意见（试行）（征求意见稿）</t>
  </si>
  <si>
    <t>福州</t>
  </si>
  <si>
    <t>加氢站建设及经营管理暂行办法</t>
  </si>
  <si>
    <t>应急管理局</t>
  </si>
  <si>
    <t>应急管理部门</t>
  </si>
  <si>
    <t>芜湖</t>
  </si>
  <si>
    <t>加氢站管理办法（征求意见稿）</t>
  </si>
  <si>
    <t>加氢站建设审批流程（试行）</t>
  </si>
  <si>
    <t>政府指定</t>
  </si>
  <si>
    <t>加氢站建设运营管理办法（暂行）</t>
  </si>
  <si>
    <t>经信局</t>
  </si>
  <si>
    <t>经信部门</t>
  </si>
  <si>
    <t>长治</t>
  </si>
  <si>
    <t>加氢站建设运营管理实施意见（试行）</t>
  </si>
  <si>
    <t>加氢站安全管理暂行规定</t>
  </si>
  <si>
    <t>应急管理部门（待定）</t>
  </si>
  <si>
    <t>贵州</t>
  </si>
  <si>
    <t>贵阳</t>
  </si>
  <si>
    <t>汽车加氢站建设运营管理办法（试行）</t>
  </si>
  <si>
    <t>商务局</t>
  </si>
  <si>
    <t>商务部门</t>
  </si>
  <si>
    <t>无锡</t>
  </si>
  <si>
    <t>氢能产业链安全管理暂行规定（征求意见稿）</t>
  </si>
  <si>
    <t>大同</t>
  </si>
  <si>
    <t>加氢站审批和管理实施意见（试行）</t>
  </si>
  <si>
    <t>浦东</t>
  </si>
  <si>
    <t>临港</t>
  </si>
  <si>
    <t>燃料电池汽车加氢站建设运营若干规定（试行）</t>
  </si>
  <si>
    <t>管委会发改处</t>
  </si>
  <si>
    <t>管委会</t>
  </si>
  <si>
    <t>上海市燃料电池汽车加氢站建设运营管理办法</t>
  </si>
  <si>
    <t>建设管理部门</t>
  </si>
  <si>
    <t>濮阳市加氢站管理办法（试行）（征求意见稿）</t>
  </si>
  <si>
    <t>新乡市加氢站运营管理办法（试行）</t>
  </si>
  <si>
    <t>加氢站管理暂行办法</t>
  </si>
  <si>
    <t>吕梁市加氢站建设管理办法（试行）</t>
  </si>
  <si>
    <t>工信</t>
  </si>
  <si>
    <t>南京</t>
  </si>
  <si>
    <t>南京市加氢站安全管理暂行规定</t>
  </si>
  <si>
    <t>11部门</t>
  </si>
  <si>
    <t>全部（11部门）</t>
  </si>
  <si>
    <t>郑州市汽车加氢站管理暂行办法</t>
  </si>
  <si>
    <t>燃气主管部门（应该是住建）</t>
  </si>
  <si>
    <t>燃气管理部门</t>
  </si>
  <si>
    <t>攀枝花</t>
  </si>
  <si>
    <t>攀枝花市燃料电池汽车加氢站建设运营管理办法（试行）（征求意见稿）</t>
  </si>
  <si>
    <t>唐山市燃料电池汽车加氢站建设管理暂行办法</t>
  </si>
  <si>
    <t>淄博市加氢站建设管理暂行办法</t>
  </si>
  <si>
    <t>住建部</t>
  </si>
  <si>
    <t>全市汽车加氢站规划建设运营管理工作意见</t>
  </si>
  <si>
    <t>白城</t>
  </si>
  <si>
    <t>关于白城市加氢站管理的实施意见</t>
  </si>
  <si>
    <t>内蒙古自治区加氢站管理暂行办法</t>
  </si>
  <si>
    <t>能源投资主管部门</t>
  </si>
  <si>
    <t>能源部门</t>
  </si>
  <si>
    <t>安阳市汽车加氢站管理暂行办法</t>
  </si>
  <si>
    <t>济南</t>
  </si>
  <si>
    <t>关于推进我市汽车加氢站规划建设运营管理工作的实施意见</t>
  </si>
  <si>
    <t>广东省燃料电池汽车加氢站建设管理暂行办法</t>
  </si>
  <si>
    <t>青岛</t>
  </si>
  <si>
    <t>青岛市汽车加氢站运营管理暂行规定（征求意见稿）</t>
  </si>
  <si>
    <t>焦作市汽车加氢站建设审批管理暂行办法</t>
  </si>
  <si>
    <t>嘉兴市燃料电池汽车加氢站规划建设运营管理实施意见</t>
  </si>
  <si>
    <t>哈密市加氢站管理办法（暂行）</t>
  </si>
  <si>
    <t>河北省加氢站管理办法（试行）（征求意见稿）</t>
  </si>
  <si>
    <t>阿勒泰</t>
  </si>
  <si>
    <t>布尔津县</t>
  </si>
  <si>
    <t>布尔津县加氢站管理办法（暂行）（征求意见稿）</t>
  </si>
  <si>
    <t>关于规范汽车加氢站建设运营管理工作的通知</t>
  </si>
  <si>
    <t>吉林省氢能产业安全管理办法（试行）</t>
  </si>
  <si>
    <t>大连市加氢站管理办法</t>
  </si>
  <si>
    <t>烟台</t>
  </si>
  <si>
    <t>关于做好烟台市汽车加氢站规划建设运营管理工作的意见</t>
  </si>
  <si>
    <t>乐山</t>
  </si>
  <si>
    <t>乐山市燃料电池汽车加氢站建设 运营管理办法（试行）</t>
  </si>
  <si>
    <t>沧州市加氢站管理办法（试行）</t>
  </si>
  <si>
    <t>北京市氢燃料电池汽车车用加氢站建设审批暂行办法</t>
  </si>
  <si>
    <t>城市管理部门</t>
  </si>
  <si>
    <t>六安市燃料电池汽车加氢站建设管理暂行办法</t>
  </si>
  <si>
    <t>安徽省加氢站管理办法（暂行）</t>
  </si>
  <si>
    <t>发展改革部门</t>
  </si>
  <si>
    <t>发改部门</t>
  </si>
  <si>
    <t>四川省氢燃料电池汽车车用加氢站建设运营管理暂行办法（征求意见稿）</t>
  </si>
  <si>
    <t>陕西</t>
  </si>
  <si>
    <t>榆林</t>
  </si>
  <si>
    <t>修订后的榆林市加氢站管理暂行办法</t>
  </si>
  <si>
    <t>湖州</t>
  </si>
  <si>
    <t>湖州市汽车加氢站建设运营管理实施意见（试行）</t>
  </si>
  <si>
    <t>南宁市燃料电池汽车加氢站建设运营管理暂行办法（征求意见稿）</t>
  </si>
  <si>
    <t>重庆</t>
  </si>
  <si>
    <t>重庆市燃料电池汽车加氢站管理暂行办法（征求意见稿）</t>
  </si>
  <si>
    <t>经济信息部门</t>
  </si>
  <si>
    <t>厦门市燃料电池汽车加氢站建设管理暂行办法（征求意见稿）</t>
  </si>
  <si>
    <t>湖南</t>
  </si>
  <si>
    <t>湖南省燃料电池汽车加氢站建设管理暂行办法（征求意见稿）</t>
  </si>
  <si>
    <t>柳州</t>
  </si>
  <si>
    <t>柳州市燃料电池汽车加氢站经营许可管理暂行办法（征求意见稿）</t>
  </si>
  <si>
    <t>未提及</t>
  </si>
  <si>
    <t>政策名称</t>
  </si>
  <si>
    <t>省（自治区、直辖市）</t>
  </si>
  <si>
    <t>市（州）</t>
  </si>
  <si>
    <t>区（县、旗）</t>
  </si>
  <si>
    <t>级别</t>
  </si>
  <si>
    <t>所属省份</t>
  </si>
  <si>
    <t>政策类型</t>
  </si>
  <si>
    <t>文件状态</t>
  </si>
  <si>
    <t>成文时间</t>
  </si>
  <si>
    <t>有效期</t>
  </si>
  <si>
    <t>发文单位</t>
  </si>
  <si>
    <t>部门类别</t>
  </si>
  <si>
    <t>文件号</t>
  </si>
  <si>
    <t>链接</t>
  </si>
  <si>
    <t>其他</t>
  </si>
  <si>
    <t>关于开展燃料电池汽车示范应用的通知</t>
  </si>
  <si>
    <t>国家</t>
  </si>
  <si>
    <t>国家级</t>
  </si>
  <si>
    <t>项目支持</t>
  </si>
  <si>
    <t>现行</t>
  </si>
  <si>
    <t>财政部 工业和信息化部 科技部 发展改革委 国家能源局</t>
  </si>
  <si>
    <t>财建〔2020〕394号</t>
  </si>
  <si>
    <t>https://www.gov.cn/zhengce/zhengceku/2020-10/22/content_5553246.htm</t>
  </si>
  <si>
    <t>关于启动燃料电池汽车示范应用工作的通知</t>
  </si>
  <si>
    <t>财政支持</t>
  </si>
  <si>
    <t>非公开</t>
  </si>
  <si>
    <t>财建〔2021〕266号</t>
  </si>
  <si>
    <t>关于启动新一批燃料电池汽车示范应用工作的通知</t>
  </si>
  <si>
    <t>财建〔2021〕437号</t>
  </si>
  <si>
    <t>氢能产业发展中长期规划（2021-2035年）</t>
  </si>
  <si>
    <t>发展规划</t>
  </si>
  <si>
    <t>国家发展改革委 国家能源局</t>
  </si>
  <si>
    <t>http://zfxxgk.nea.gov.cn/2022-03/23/c_1310525630.htm</t>
  </si>
  <si>
    <t>氢能产业标准体系建设指南（2023版）</t>
  </si>
  <si>
    <t>标准体系</t>
  </si>
  <si>
    <t>国家标准委 国家发展改革委 工业和信息化部 生态环境部 应急管理部 国家能源局</t>
  </si>
  <si>
    <t>国标委联〔2023〕34号</t>
  </si>
  <si>
    <t>https://www.gov.cn/zhengce/zhengceku/202308/content_6897986.htm</t>
  </si>
  <si>
    <t>关于加快推动氢能产业高质量发展的若干政策措施</t>
  </si>
  <si>
    <t>国家发展改革委 工业和信息化部 国家能源局</t>
  </si>
  <si>
    <t>发改高技〔2024〕494号</t>
  </si>
  <si>
    <t>加快工业领域清洁低碳氢应用实施方案</t>
  </si>
  <si>
    <t>工业和信息化部办公厅 国家发展改革委办公厅 国家能源局综合司</t>
  </si>
  <si>
    <t>工信厅联节函﹝2024﹞499号</t>
  </si>
  <si>
    <t>https://www.miit.gov.cn/jgsj/jns/wjfb/art/2024/art_94d97ac212a3495b82f2a0a352ce2ddd.html</t>
  </si>
  <si>
    <t>关于组织开展绿色液体燃料技术攻关和产业化试点的通知</t>
  </si>
  <si>
    <t>国家能源局</t>
  </si>
  <si>
    <t>国能发科技〔2025〕43号</t>
  </si>
  <si>
    <t>关于组织开展能源领域氢能试点工作的通知</t>
  </si>
  <si>
    <t>国家能源局综合司</t>
  </si>
  <si>
    <t>国能综通科技〔2025〕91 号</t>
  </si>
  <si>
    <t>https://www.nea.gov.cn/20250610/472b12c43f534aab9a95de81034dcd92/c.html</t>
  </si>
  <si>
    <t>关于开展绿色液体燃料技术攻关和产业化试点工作（第一批）的通知</t>
  </si>
  <si>
    <t>国能综通科技〔2025〕134号</t>
  </si>
  <si>
    <t>https://www.nea.gov.cn/20250905/f149cae889684f6db56df6614fb68c48/c.html</t>
  </si>
  <si>
    <t>国家能源局公告 2025年第6号（能源领域氢能试点（第一批））</t>
  </si>
  <si>
    <t>https://www.nea.gov.cn/20251205/8b311a8f290c4573aa9af6eb1537be80/c.html</t>
  </si>
  <si>
    <t>关于开展氢能综合应用试点工作的通知</t>
  </si>
  <si>
    <t>线性</t>
  </si>
  <si>
    <t>工业和信息化部 财政部 国家发展改革委</t>
  </si>
  <si>
    <t>工信部联节〔2026〕59号</t>
  </si>
  <si>
    <t>https://www.miit.gov.cn/jgsj/jns/wjfb/art/2026/art_ba44a11611c74802ac37288704fbed54.html</t>
  </si>
  <si>
    <t>北京市氢燃料电池汽车产业发展规划（2020-2025年）</t>
  </si>
  <si>
    <t>北京市经信局</t>
  </si>
  <si>
    <t>经信</t>
  </si>
  <si>
    <t>http://jxj.beijing.gov.cn/jxdt/tzgg/202010/t20201030_2125115.html</t>
  </si>
  <si>
    <t>北京市氢能产业发展实施方案（2021-2025年）</t>
  </si>
  <si>
    <t>京经信发〔2021〕79号</t>
  </si>
  <si>
    <t>http://jxj.beijing.gov.cn/jxdt/tzgg/202108/t20210816_2469059.html</t>
  </si>
  <si>
    <t>关于支持燃料电池汽车技术创新的意见</t>
  </si>
  <si>
    <t>京科发〔2020〕14号</t>
  </si>
  <si>
    <t>北京市氢燃料电池汽车车用加氢站建设和运营补贴实施细则的通知</t>
  </si>
  <si>
    <t>北京市城市管理委员会</t>
  </si>
  <si>
    <t>城管</t>
  </si>
  <si>
    <t>京管办发〔2020〕257号</t>
  </si>
  <si>
    <t>关于印发京津冀燃料电池汽车示范城市群第一年度北京市燃料电池汽车车用加氢站建设和运营财政补贴申报指南的通知</t>
  </si>
  <si>
    <t>京管办发〔2022〕360号</t>
  </si>
  <si>
    <t>关于加快推进加氢站项目建设工作的通知</t>
  </si>
  <si>
    <t>京管办发〔2020〕227号</t>
  </si>
  <si>
    <t>关于加快办理第一批加氢站建设审批手续的函</t>
  </si>
  <si>
    <t>京管办发〔2020〕525号</t>
  </si>
  <si>
    <t>关于征集氢能技术应用试点示范项目方案的通知</t>
  </si>
  <si>
    <t>废止</t>
  </si>
  <si>
    <t>http://jxj.beijing.gov.cn/jxdt/tzgg/202108/t20210809_2459548.html</t>
  </si>
  <si>
    <t>关于开展2021-2022年度北京市燃料电池汽车示范应用项目申报的通知</t>
  </si>
  <si>
    <t>京经信发〔2022〕29号</t>
  </si>
  <si>
    <t>http://jxj.beijing.gov.cn/jxdt/tzgg/202204/t20220408_2669896.html</t>
  </si>
  <si>
    <t>关于开展2022-2023年度北京市燃料电池汽车示范应用项目申报的通知</t>
  </si>
  <si>
    <t>京经信发〔2023〕9号</t>
  </si>
  <si>
    <t>http://jxj.beijing.gov.cn/jxdt/tzgg/202304/t20230412_3025781.html</t>
  </si>
  <si>
    <t>关于开展2023-2025年度北京市燃料电池汽车示范应用项目申报的通知</t>
  </si>
  <si>
    <t>京经信发〔2024〕21号</t>
  </si>
  <si>
    <t>https://jxj.beijing.gov.cn/jxdt/tzgg/202404/t20240416_3619890.html</t>
  </si>
  <si>
    <t>2021-2022年度北京市燃料电池汽车示范应用项目拟承担“示范应用联合体”牵头企业公示</t>
  </si>
  <si>
    <t>http://jxj.beijing.gov.cn/jxdt/tzgg/202205/t20220506_2702208.html</t>
  </si>
  <si>
    <t>2022-2023年度北京市燃料电池汽车示范应用项目拟承担“示范应用联合体”牵头企业公示</t>
  </si>
  <si>
    <t>https://www.beijing.gov.cn/fuwu/lqfw/gggs/202305/t20230511_3093310.html</t>
  </si>
  <si>
    <t>2023-2025年度北京市燃料电池汽车示范应用项目拟承担“示范应用联合体” 牵头企业公示</t>
  </si>
  <si>
    <t>https://jxj.beijing.gov.cn/jxdt/tzgg/202406/t20240607_3707547.html</t>
  </si>
  <si>
    <t>2025年度北京市燃料电池汽车 示范应用项目拟承担“示范应用联合体” 牵头企业公示</t>
  </si>
  <si>
    <t>https://jxj.beijing.gov.cn/jxdt/tzgg/202510/t20251024_4237902.html</t>
  </si>
  <si>
    <t>管理办法</t>
  </si>
  <si>
    <t>北京市城市管理委员会、市发改委、市规划和自然资源委、市交通委、市市监局、市气象局、市住建委、市应急管理局、市公安局</t>
  </si>
  <si>
    <t>城管、发改、自然资源、市监、气象、住建、应急、公安</t>
  </si>
  <si>
    <t>京管发〔2024〕3号</t>
  </si>
  <si>
    <t>https://csglw.beijing.gov.cn/zwxx/2024zcwj/202408/t20240808_3769370.html</t>
  </si>
  <si>
    <t>北京市氢能技术应用试点示范项目清单（第一批）</t>
  </si>
  <si>
    <t>http://jxj.beijing.gov.cn/jxdt/tzgg/202207/t20220727_2780551.html</t>
  </si>
  <si>
    <t>北京市关于支持氢能产业发展的若干政策措施</t>
  </si>
  <si>
    <t>京经信发〔2022〕62号</t>
  </si>
  <si>
    <t>http://jxj.beijing.gov.cn/zwgk/zcwj/bjszc/202208/t20220811_2790933.html</t>
  </si>
  <si>
    <t>北京市关于支持氢能产业发展的若干政策措施（修订版）</t>
  </si>
  <si>
    <t>京经信发〔2024〕69号</t>
  </si>
  <si>
    <t>https://jxj.beijing.gov.cn/zwgk/2024zcwj/202412/t20241217_3968075.html</t>
  </si>
  <si>
    <t>北京市氢燃料电池汽车车用加氢站发展规划（2021-2025年）</t>
  </si>
  <si>
    <t>京管发〔2022〕27号</t>
  </si>
  <si>
    <t>http://csglw.beijing.gov.cn/zwxx/zcwj/qtwj/202211/t20221122_2864006.html</t>
  </si>
  <si>
    <t>北京市燃料电池汽车标准体系</t>
  </si>
  <si>
    <t>北京市经信局、市监局</t>
  </si>
  <si>
    <t>经信、监督</t>
  </si>
  <si>
    <t>京经信发〔2022〕76号</t>
  </si>
  <si>
    <t>http://jxj.beijing.gov.cn/jxdt/tzgg/202211/t20221130_2869211.html</t>
  </si>
  <si>
    <t>北京市氢能产业标准体系</t>
  </si>
  <si>
    <t>京经信发〔2025〕41号</t>
  </si>
  <si>
    <t>https://jxj.beijing.gov.cn/zwgk/2024zcwj/202509/t20250903_4190116.html</t>
  </si>
  <si>
    <t>关于开展2025年度北京市燃料电池汽车示范应用项目申报的通知</t>
  </si>
  <si>
    <t>https://jxj.beijing.gov.cn/zwgk/2024zcwj/202509/t20250917_4204166.html</t>
  </si>
  <si>
    <t>关于2025年度北京市燃料电池汽车示范应用项目申报的补充通知</t>
  </si>
  <si>
    <t>https://jxj.beijing.gov.cn/zwgk/2024zcwj/202509/t20250930_4214616.html</t>
  </si>
  <si>
    <t>2021-2022年度北京市燃料电池汽车车用加氢站建设和运营财政补贴情况公示</t>
  </si>
  <si>
    <t>http://csglw.beijing.gov.cn/zwxx/zwtzgg/202307/t20230724_3205990.html</t>
  </si>
  <si>
    <t>2022-2023年度北京市燃料电池汽车车用加氢站建设和运营财政补贴情况公示</t>
  </si>
  <si>
    <t>https://csglw.beijing.gov.cn/zwxx/zwtzgg/202410/t20241015_3920992.html</t>
  </si>
  <si>
    <t>北京市关于组织开展能源领域氢能试点申报工作的通知</t>
  </si>
  <si>
    <t>北京市发改委</t>
  </si>
  <si>
    <t>发改</t>
  </si>
  <si>
    <t>京发改〔2025〕937号</t>
  </si>
  <si>
    <t>https://fgw.beijing.gov.cn/gzdt/tztg/202506/t20250616_4114322.htm</t>
  </si>
  <si>
    <t>房山区氢能产业发展规划（2021-2030）</t>
  </si>
  <si>
    <t>市县级</t>
  </si>
  <si>
    <t>房山区经信局</t>
  </si>
  <si>
    <t>大兴区促进氢能产业发展暂行办法</t>
  </si>
  <si>
    <t>大兴区人民政府</t>
  </si>
  <si>
    <t>人民政府</t>
  </si>
  <si>
    <t>京兴政发〔2020〕23号</t>
  </si>
  <si>
    <t>http://www.bjdx.gov.cn/bjsdxqrmzf/zwfw/zfwj67/zfwj/1453806/index.html</t>
  </si>
  <si>
    <t>大兴区促进氢能产业发展暂行办法（2022年修订版）</t>
  </si>
  <si>
    <t>京兴政发〔2022〕6号</t>
  </si>
  <si>
    <t>http://www.bjdx.gov.cn/bjsdxqrmzf/zwfw/zfwj67/zfwj/1933672/index.html</t>
  </si>
  <si>
    <t>大兴区氢能产业发展行动计划（2022－2025年）</t>
  </si>
  <si>
    <t>大兴区经信局</t>
  </si>
  <si>
    <t>京兴政发〔2022〕17号</t>
  </si>
  <si>
    <t>http://www.bjdx.gov.cn/bjsdxqrmzf/zwfw/zfwj67/zfwj/1991631/index.html</t>
  </si>
  <si>
    <t>2021年度《大兴区促进氢能产业发展暂行办法》拟支持企业名单公示</t>
  </si>
  <si>
    <t>https://www.bjdx.gov.cn/bjsdxqrmzf/zwfw/tzgg/2002632/index.html</t>
  </si>
  <si>
    <t>关于申报《大兴区促进氢能产业发展暂行办法 （2022年修订版）》项目的通知</t>
  </si>
  <si>
    <t>https://www.bjdx.gov.cn/bjsdxqrmzf/zwfw/tzgg/2138848/index.html</t>
  </si>
  <si>
    <t>关于2022年度《大兴区促进氢能产业发展暂行办法（2022年修订版）》拟兑现企业名单公示的通知</t>
  </si>
  <si>
    <t>https://www.bjdx.gov.cn/bjsdxqrmzf/zwfw/tzgg/2112447/index.html</t>
  </si>
  <si>
    <t>《大兴区促进氢能产业发展暂行办法（2022年修订版）》2023年度及2022年度“支持车辆高效运营”拟支持企业名单</t>
  </si>
  <si>
    <t>https://www.bjdx.gov.cn/bjsdxqrmzf/zwfw/tzgg/2164929/index.html</t>
  </si>
  <si>
    <t>关于开展2024年度《大兴区促进氢能产业发展暂行办法（2022年修订版）》项目征集的通知</t>
  </si>
  <si>
    <t>https://www.bjdx.gov.cn/bjsdxqrmzf/zwfw/zfwj67/1380045/2275662/index.html</t>
  </si>
  <si>
    <t>北京经济技术开发区关于促进氢能产业高质量发展的若干措施</t>
  </si>
  <si>
    <t>经开区管委会</t>
  </si>
  <si>
    <t>京技管〔2022〕125号</t>
  </si>
  <si>
    <t>http://kfqgw.beijing.gov.cn/zwgkkfq/zcfg/zcwj/bqzc/202210/t20221014_2835594.html</t>
  </si>
  <si>
    <t>关于开展2022年氢能产业政策相关事项申报的通知</t>
  </si>
  <si>
    <t>经开区营商合作局</t>
  </si>
  <si>
    <t>营商合作局</t>
  </si>
  <si>
    <t>http://kfqgw.beijing.gov.cn/zwgkkfq/tzgg/202306/t20230601_3119591.html</t>
  </si>
  <si>
    <t>关于开展2022年氢能产业企业贷款贴息申报的通知</t>
  </si>
  <si>
    <t>经开区商务金融局</t>
  </si>
  <si>
    <t>商务金融局</t>
  </si>
  <si>
    <t>http://kfqgw.beijing.gov.cn/zwgkkfq/tzgg/202306/t20230614_3133846.html</t>
  </si>
  <si>
    <t>关于开展经开区2023年氢能产业重大项目固定资产投资专项奖励申报的通知</t>
  </si>
  <si>
    <t>经开区经发局</t>
  </si>
  <si>
    <t>经发</t>
  </si>
  <si>
    <t>https://kfqgw.beijing.gov.cn/zwgkkfq/tzgg/202404/t20240410_3615343.html</t>
  </si>
  <si>
    <t>关于开展2023年氢能产业政策相关事项申报的通知</t>
  </si>
  <si>
    <t>经开区汽车和智能制造产业专班</t>
  </si>
  <si>
    <t>产业专班</t>
  </si>
  <si>
    <t>https://kfqgw.beijing.gov.cn/zwgkkfq/tzgg/202406/t20240604_3704471.html</t>
  </si>
  <si>
    <t>关于促进氢能产业高质量发展的若干措施</t>
  </si>
  <si>
    <t>京技管发〔2024〕25号</t>
  </si>
  <si>
    <t>https://kfqgw.beijing.gov.cn/zwgkkfq/2024zcwj/202411/t20241114_3941434.html</t>
  </si>
  <si>
    <t>昌平区氢能产业创新发展行动计划（2021-2025年）</t>
  </si>
  <si>
    <t>昌平区人民政府</t>
  </si>
  <si>
    <t>昌政办发〔2021〕14号</t>
  </si>
  <si>
    <t>http://www.bjchp.gov.cn/cpqzf/xxgkzl/fdzdgknr/lzyj/wbj55/qzfb59/cp5456161/index.html</t>
  </si>
  <si>
    <t>昌平区促进氢能产业创新发展支持措施</t>
  </si>
  <si>
    <t>昌平区经信局</t>
  </si>
  <si>
    <t>http://www.bjchp.gov.cn/cpqzf/315734/tzgg27/cp5464001/index.html</t>
  </si>
  <si>
    <t>昌平区促进氢能产业创新发展支持措施实施细则</t>
  </si>
  <si>
    <t>昌经信发〔2023〕3号</t>
  </si>
  <si>
    <t>http://www.bjchp.gov.cn/cpqzf/xxgk2671/zfwj/bmwj/cp5689574/index.html</t>
  </si>
  <si>
    <t>关于2023年度氢能产业资金支持项目拟兑现企业名单公示的通知</t>
  </si>
  <si>
    <t>http://www.bjchp.gov.cn/cpqzf/315734/tzgg27/cp5748783/index.html</t>
  </si>
  <si>
    <t>昌平区促进氢能产业创新发展支持措施实施细则（修订稿）</t>
  </si>
  <si>
    <t>征求意见</t>
  </si>
  <si>
    <t>https://www.bjchp.gov.cn/cpqzf/xxgk2671/zcxwjyjzj/zjgg35/2025032409042713901/index.html</t>
  </si>
  <si>
    <t>关于征集2024年度氢能产业资金支持项目的通知</t>
  </si>
  <si>
    <t>https://www.bjchp.gov.cn/cpqzf/315734/tzgg27/2024103114464284228/index.html</t>
  </si>
  <si>
    <t>关于2024年度氢能产业资金支持项目拟兑现企业名单公示的通知</t>
  </si>
  <si>
    <t>https://www.bjchp.gov.cn/cpqzf/315734/tzgg27/2025051315014925168/index.html</t>
  </si>
  <si>
    <t>海淀区氢燃料电池汽车第一示范年度车辆推广和高效运营项目奖励申报指南</t>
  </si>
  <si>
    <t>中关村科学城管理委员会</t>
  </si>
  <si>
    <t>https://www.bjhd.gov.cn/qyfw/bulletIndexDetail/1647794398929608704?type=test&amp;hasBack=false</t>
  </si>
  <si>
    <t>海淀区氢能关键核心技术“揭榜挂帅”专项申报指南</t>
  </si>
  <si>
    <t>https://www.bjhd.gov.cn/qyfw/bulletIndexDetail/1647788333647257600?type=test&amp;hasBack=false</t>
  </si>
  <si>
    <t>天津市氢能产业发展行动方案（2020-2022年）</t>
  </si>
  <si>
    <t>天津市人民政府</t>
  </si>
  <si>
    <t>津政办规〔2020〕2号</t>
  </si>
  <si>
    <t>http://www.tjrd.gov.cn/tjfq/system/2020/02/02/030015109.shtml</t>
  </si>
  <si>
    <t>天津市燃料电池汽车示范城市地方财政支持政策指导意见</t>
  </si>
  <si>
    <t>天津市财政局、市发改委、市工信局</t>
  </si>
  <si>
    <t>财政、发改、工信</t>
  </si>
  <si>
    <t>津财建一〔2022〕37号</t>
  </si>
  <si>
    <t>https://cz.tj.gov.cn/zwgk_53713/tzggx/202301/t20230111_6074872.html</t>
  </si>
  <si>
    <t>天津市燃料电池汽车示范应用实施方案</t>
  </si>
  <si>
    <t>关于我市第一批加氢站建设补贴资金项目清单的公示</t>
  </si>
  <si>
    <t>天津市发改委</t>
  </si>
  <si>
    <t>https://fzgg.tj.gov.cn/sy_47324/gabsycs/tzgggh/202406/t20240628_6663619.html</t>
  </si>
  <si>
    <t>天津市加氢站布局规划</t>
  </si>
  <si>
    <t>天津市城市管理委员会</t>
  </si>
  <si>
    <t>https://csgl.tj.gov.cn/zmhd_57/jcyjzj/202412/t20241218_6809093.html</t>
  </si>
  <si>
    <t>天津市关于组织开展能源领域氢能项目试点征集工作的通知</t>
  </si>
  <si>
    <t>https://fzgg.tj.gov.cn/xxfb/tzggx/202506/t20250619_6962427.html</t>
  </si>
  <si>
    <t>天津市氢能示范产业园实施方案</t>
  </si>
  <si>
    <t>保税区</t>
  </si>
  <si>
    <t>天津港保税区管委会</t>
  </si>
  <si>
    <t>津保管发〔2020〕26号</t>
  </si>
  <si>
    <t>https://www.tjftz.gov.cn/contents/6023/317538.html</t>
  </si>
  <si>
    <t>天津港保税区氢能产业发展行动方案（2020-2022年）</t>
  </si>
  <si>
    <t>津保管发〔2020〕27号</t>
  </si>
  <si>
    <t>https://www.tjftz.gov.cn/contents/6023/317534.html</t>
  </si>
  <si>
    <t>链接已经打不开了</t>
  </si>
  <si>
    <t>天津港保税区关于扶持氢能产业发展若干政策</t>
  </si>
  <si>
    <t>津保管发〔2020〕28号</t>
  </si>
  <si>
    <t>https://www.tjbh.gov.cn/ZT/contents/8179/437386.html</t>
  </si>
  <si>
    <t>天津港保税区加氢站审批管理暂行规定</t>
  </si>
  <si>
    <t>津保管发〔2020〕25号</t>
  </si>
  <si>
    <t>天津港保税区新能源（氢能）产业自主创新发展规划（2021-2025年）</t>
  </si>
  <si>
    <t>天津市滨海新区推动自主创新工作领导小组</t>
  </si>
  <si>
    <t>领导小组</t>
  </si>
  <si>
    <t>津滨自创〔2021〕5号</t>
  </si>
  <si>
    <t>河北省推进氢能产业发展实施意见</t>
  </si>
  <si>
    <t>河北省发改委、省工信厅、省科技厅、省财政厅、省自然资源厅、省生态环境厅、省住建厅、省交通运输厅、省应急管理厅、省市监局</t>
  </si>
  <si>
    <t>发改、工信、科技、财政、自然资源、生态环境、住建、交通、应急、监督</t>
  </si>
  <si>
    <t>冀发改能源〔2019〕1075号</t>
  </si>
  <si>
    <t>http://gxt.hebei.gov.cn/hbgyhxxht/zcfg30/snzc/657999/index.html</t>
  </si>
  <si>
    <t>河北省氢能产业链集群化发展三年行动计划（2020-2022年）</t>
  </si>
  <si>
    <t>河北省发改委</t>
  </si>
  <si>
    <t>冀发改能源〔2020〕1026号</t>
  </si>
  <si>
    <t>http://hbdrc.hebei.gov.cn/web/web/xxgkndjh/2c9473847338191901735692baf05ab8.htm</t>
  </si>
  <si>
    <t>河北省氢能产业发展“十四五”规划</t>
  </si>
  <si>
    <t>河北省能源局</t>
  </si>
  <si>
    <t>冀发改能源〔2021〕972号</t>
  </si>
  <si>
    <t>http://hbdrc.hebei.gov.cn/web/web/fzgh/2c9473847ab7b0ba017ac2fa17b60e3a.htm</t>
  </si>
  <si>
    <t>河北省2020年氢能产业重点项目清单（第一批）</t>
  </si>
  <si>
    <t>冀发改能源〔2020〕387号</t>
  </si>
  <si>
    <t>http://hbdrc.hebei.gov.cn/web/web/xxgkcyfz/2c94738471165626017133be78c8417e.htm</t>
  </si>
  <si>
    <t>河北省2021年氢能产业重点谋划推进项目清单（第二批）</t>
  </si>
  <si>
    <t>冀发改能源〔2021〕248号</t>
  </si>
  <si>
    <t>http://hbdrc.hebei.gov.cn/web/web/xxgkxmtz/2c947384780f55a6017824c00eaa4b6d.htm</t>
  </si>
  <si>
    <t>河北省氢能产业发展三年行动方案（2023-2025年）</t>
  </si>
  <si>
    <t>河北省人民政府</t>
  </si>
  <si>
    <t>冀政办字〔2023〕54号</t>
  </si>
  <si>
    <t>河北省加快建设燃料电池汽车示范应用城市群行动方案（2023—2025年）</t>
  </si>
  <si>
    <t>冀工信装〔2023〕83号</t>
  </si>
  <si>
    <t>河北省氢能产业安全管理办法（试行）</t>
  </si>
  <si>
    <t>氢能安全</t>
  </si>
  <si>
    <t>冀政办字〔2023〕85号</t>
  </si>
  <si>
    <t>http://info.hebei.gov.cn/hbszfxxgk/6898876/7026469/7026511/7026505/7066194/index.html</t>
  </si>
  <si>
    <t>河北省加氢站管理办法（试行）</t>
  </si>
  <si>
    <t>河北省住建厅</t>
  </si>
  <si>
    <t>住建</t>
  </si>
  <si>
    <t>http://zfcxjst.hebei.gov.cn/hbzjt/zcwj/gggs/101695026086590.html</t>
  </si>
  <si>
    <t>河北省关于组织申报国家能源领域氢能试点工作的通知</t>
  </si>
  <si>
    <t>https://hbdrc.hebei.gov.cn/gggs_980/202506/t20250618_122940.html</t>
  </si>
  <si>
    <t>石家庄市氢能产业发展“十四五”规划</t>
  </si>
  <si>
    <t>石家庄</t>
  </si>
  <si>
    <t>石家庄市发改委</t>
  </si>
  <si>
    <t>石家庄市氢能产业发展三年行动计划（2023-2025年）</t>
  </si>
  <si>
    <t>河北省石家庄市高新区关于组织申报国家能源领域氢能试点的通知</t>
  </si>
  <si>
    <t>高新区</t>
  </si>
  <si>
    <t>高新区管委会经济发展局</t>
  </si>
  <si>
    <t>https://www.shidz.gov.cn/columns/fc6b4309-d198-4db4-9c9a-8358ef6ba98c/202506/19/4d7e5265-94cc-4d92-ab87-3758c1e8398c.html</t>
  </si>
  <si>
    <t>邯郸市氢能产业发展规划（2024—2035年）</t>
  </si>
  <si>
    <t>邯郸市人民政府</t>
  </si>
  <si>
    <t>邯政字〔2024〕13号</t>
  </si>
  <si>
    <t>https://www.hd.gov.cn/hdzfxxgk/gszbm/auto23692/202410/t20241008_2069893.html</t>
  </si>
  <si>
    <t>关于邯郸市第二年度燃料电池汽车示范应用奖励资金分配计划的公示</t>
  </si>
  <si>
    <t>邯郸市工信局</t>
  </si>
  <si>
    <t>https://www.hd.gov.cn/hdzfxxgk/gszbm/auto23727/202506/t20250603_2126878.html</t>
  </si>
  <si>
    <t>邯郸经济技术开发区加快氢能产业发展实施方案（2020-2022年）</t>
  </si>
  <si>
    <t>邯郸经开区管委会</t>
  </si>
  <si>
    <t>关于促进氢能产业发展的实施办法</t>
  </si>
  <si>
    <t>保定市氢燃料电池汽车产业发展三年行动方案（2020-2022年）</t>
  </si>
  <si>
    <t>保定市人民政府</t>
  </si>
  <si>
    <t>http://www.baoding.gov.cn/zwgknr-888888712-240005.html</t>
  </si>
  <si>
    <t>http://www.baoding.gov.cn/content-888888712-240004.html</t>
  </si>
  <si>
    <t>关于保定市氢能产业发展的实施意见（试行）</t>
  </si>
  <si>
    <t>保政函〔2019〕39号</t>
  </si>
  <si>
    <t>保定市氢能产业发展“十四五”规划</t>
  </si>
  <si>
    <t>保定市发改委</t>
  </si>
  <si>
    <t>保发改氢能〔2021〕1430号</t>
  </si>
  <si>
    <t>http://fgw.baoding.gov.cn/content-1008-47687.html</t>
  </si>
  <si>
    <t>保定市氢燃料电池汽车产业安全监督和管理办法（试行）</t>
  </si>
  <si>
    <t>保政函〔2022〕39号</t>
  </si>
  <si>
    <t>http://www.baoding.gov.cn/zwgknr-888888711-382726.html</t>
  </si>
  <si>
    <t>氢能张家口建设规划（2019-2035年）</t>
  </si>
  <si>
    <t>张家口市人民政府</t>
  </si>
  <si>
    <t>张政字〔2019〕24号</t>
  </si>
  <si>
    <t>氢能张家口建设三年行动计划（2019-2021年）</t>
  </si>
  <si>
    <t>张政字〔2019〕25号</t>
  </si>
  <si>
    <t>张家口市支持氢能产业发展的十条措施</t>
  </si>
  <si>
    <t>张政函〔2019〕148号</t>
  </si>
  <si>
    <t>张家口氢能保障供应体系一期工程建设实施方案</t>
  </si>
  <si>
    <t>张政办字〔2020〕9号</t>
  </si>
  <si>
    <t>张家口市氢能产业安全监督和管理办法</t>
  </si>
  <si>
    <t>张家口市加氢、制氢企业投资项目核准和备案实施意见</t>
  </si>
  <si>
    <t>张政字〔2019〕26号</t>
  </si>
  <si>
    <t>张家口市主城区加氢站布局规划（2019-2035年）</t>
  </si>
  <si>
    <t>张家口市加氢站管理办法</t>
  </si>
  <si>
    <t>张家口市加氢站竣工验收与安全运营评价技术导则</t>
  </si>
  <si>
    <t>张家口“十四五”氢能产业发展实施方案</t>
  </si>
  <si>
    <t>张家口市支持建设燃料电池汽车示范城市的若干措施</t>
  </si>
  <si>
    <t>张政办函〔2022〕87号</t>
  </si>
  <si>
    <t>https://www.zjk.gov.cn/content/szfbgswj/174187.html</t>
  </si>
  <si>
    <t>张家口市氢能产业跨越行动方案</t>
  </si>
  <si>
    <t>张政函〔2023〕67号</t>
  </si>
  <si>
    <t>张家口市加快建设燃料电池汽车示范应用城市群行动方案（2023-2025年）</t>
  </si>
  <si>
    <t>张家口市桥东区支持氢能经济发展的十五条措施</t>
  </si>
  <si>
    <t>桥东区</t>
  </si>
  <si>
    <t>定州市氢能产业发展规划（2021-2023年）</t>
  </si>
  <si>
    <t>定州市人民政府</t>
  </si>
  <si>
    <t>http://dzs.gov.cn/col/1626943649198/2021/07/23/1627004109613.html</t>
  </si>
  <si>
    <t>定州市氢能产业发展三年行动方案（2023－2025年）</t>
  </si>
  <si>
    <t>定政办字〔2023〕37号</t>
  </si>
  <si>
    <t>http://www.dzs.gov.cn/col/1690167645535/2023/07/24/1690182485189.html</t>
  </si>
  <si>
    <t>定州市加氢（合建）站管理实施意见（试行）</t>
  </si>
  <si>
    <t>http://dzs.gov.cn/col/1624587864479/2021/06/29/1624950011571.html</t>
  </si>
  <si>
    <t>关于加快氢能产业创新发展的实施意见（试行）（2021-2025年）</t>
  </si>
  <si>
    <t>http://www.dzs.gov.cn/col/1635210292708/2021/10/26/1635211079814.html</t>
  </si>
  <si>
    <t>唐山市氢能产业发展规划（2021-2025）</t>
  </si>
  <si>
    <t>唐山市人民政府</t>
  </si>
  <si>
    <t>http://new.tangshan.gov.cn/zhengwu/jhgh/20211102/1373956.html</t>
  </si>
  <si>
    <t>关于唐山市2023年度建成加氢站补贴评审结果与资金分配方案的公示</t>
  </si>
  <si>
    <t>唐山市发改委</t>
  </si>
  <si>
    <t>唐政办字〔2022〕100号</t>
  </si>
  <si>
    <t>http://new.tangshan.gov.cn/zhengwu/szfjbgswj/20220708/1442812.html</t>
  </si>
  <si>
    <t>关于加快氢燃料电池汽车产业关键技术创新突破的实施意见</t>
  </si>
  <si>
    <t>唐山市科技局</t>
  </si>
  <si>
    <t>科技</t>
  </si>
  <si>
    <t>唐山市氢能产业发展三年行动方案（2023-2025年）</t>
  </si>
  <si>
    <t>唐山市燃料电池汽车示范应用城市群工作方案</t>
  </si>
  <si>
    <t>唐山市氢能产业安全管理实施方案</t>
  </si>
  <si>
    <t>关于加快氢燃料汽车产业关键技术创新突破的实施意见</t>
  </si>
  <si>
    <t>关于对氢燃料电池汽车在重污染天气应急响应期间实施差异化管控的通知</t>
  </si>
  <si>
    <t>关于支持燃料电池汽车示范城市建设的若干措施</t>
  </si>
  <si>
    <t>关于支持燃料电池汽车示范城市建设的若干意见</t>
  </si>
  <si>
    <t>唐山市氢能产业发展实施方案</t>
  </si>
  <si>
    <t>唐政办字〔2022〕86号</t>
  </si>
  <si>
    <t>http://new.tangshan.gov.cn/zhengwu/tssjhfa/20220607/1434235.html</t>
  </si>
  <si>
    <t>唐山市加氢站建设补贴实施细则</t>
  </si>
  <si>
    <t>唐山市发改委、市财政局</t>
  </si>
  <si>
    <t>发改、财政</t>
  </si>
  <si>
    <t>唐发改能源〔2023〕245号</t>
  </si>
  <si>
    <t>http://fagaiwei.tangshan.gov.cn//u/cms/tsfagaiwei/202310/171536405kf3.pdf</t>
  </si>
  <si>
    <t>关于唐山市第二年度燃料电池汽车示范应用奖补资金分配计划的公示</t>
  </si>
  <si>
    <t>唐山市工信局</t>
  </si>
  <si>
    <t>https://gongxinju.tangshan.gov.cn/tsgongxinju/zw_gongxinjutzfb/20251104/1640107.html</t>
  </si>
  <si>
    <t>？</t>
  </si>
  <si>
    <t>关于唐山市第二年度燃料电池汽车示范应用氢能奖补资金和第三年度燃料电池汽车示范应用奖补资金分配计划的公示</t>
  </si>
  <si>
    <t>https://gongxinju.tangshan.gov.cn/tsgongxinju/zw_gongxinjutzfb/20260421/1647935.html</t>
  </si>
  <si>
    <t>关于加快推进“十四五”期间氢能产业发展的实施意见</t>
  </si>
  <si>
    <t>曹妃甸区</t>
  </si>
  <si>
    <t>曹妃甸区人民政府</t>
  </si>
  <si>
    <t>迁安市氢能与燃料电池产业发展规划</t>
  </si>
  <si>
    <t>迁安</t>
  </si>
  <si>
    <t>迁安市人民政府</t>
  </si>
  <si>
    <t>迁安市引导和支持氢能产业发展若干措施</t>
  </si>
  <si>
    <t>迁政发〔2021〕20号</t>
  </si>
  <si>
    <t>http://www.qianan.gov.cn/content/85060.html</t>
  </si>
  <si>
    <t>沧州市人民政府</t>
  </si>
  <si>
    <t>沧政办规〔2024〕3号</t>
  </si>
  <si>
    <t>https://cangzhou.gov.cn/czsrmzfbgs/czbg/202407/e717d3dd6bef4654a51b9597003f8c96.shtml</t>
  </si>
  <si>
    <t>沧州市氢气补贴管理办法（试行）</t>
  </si>
  <si>
    <t>沧州市发改委</t>
  </si>
  <si>
    <t>沧发改能源〔2025〕128号</t>
  </si>
  <si>
    <t>https://fgw.cangzhou.gov.cn/fgw/c101688/202502/095722a35a124621b75d350818badf19.shtml</t>
  </si>
  <si>
    <t>沧州市加氢站布局规划（2024—2026年）</t>
  </si>
  <si>
    <t>山西省氢能产业发展中长期规划（2022-2035年）</t>
  </si>
  <si>
    <t>山西省发改委、工信厅、能源局</t>
  </si>
  <si>
    <t>发改、工信、能源</t>
  </si>
  <si>
    <t>晋发改高新发〔2022〕308号</t>
  </si>
  <si>
    <t>http://fgw.shanxi.gov.cn/tzgg/202208/t20220823_6989633.shtml</t>
  </si>
  <si>
    <t>山西省推进氢能产业发展工作方案</t>
  </si>
  <si>
    <t>山西省发改委、工信厅</t>
  </si>
  <si>
    <t>发改、工信</t>
  </si>
  <si>
    <t>晋发改高新发〔2022〕337号</t>
  </si>
  <si>
    <t>https://fgw.shanxi.gov.cn/sxfgwzwgk/sxsfgwxxgk/xxgkml/zfxxgkxgwj/202209/t20220908_7082271.shtml</t>
  </si>
  <si>
    <t>山西省氢能产业链2023年行动方案</t>
  </si>
  <si>
    <t>晋发改高新发〔2023〕130号</t>
  </si>
  <si>
    <t>https://fgw.shanxi.gov.cn/sxfgwzwgk/sxsfgwxxgk/xxgkml/zfxxgkxgwj/202304/t20230425_8429764.shtml</t>
  </si>
  <si>
    <t>山西省氢能产业链2024年行动方案</t>
  </si>
  <si>
    <t>山西省氢能产业链2025年行动方案</t>
  </si>
  <si>
    <t>晋发改高新发〔2025〕52号</t>
  </si>
  <si>
    <t>https://fgw.shanxi.gov.cn/sxfgwzwgk/sxsfgwxxgk/xxgkml/tz/202503/t20250320_9792699.shtml</t>
  </si>
  <si>
    <t>关于对通行山西省高速公路的氢能货车实施通行费补贴的通知</t>
  </si>
  <si>
    <t>山西省发改委、省财政厅、省交通运输厅、省行政审批服务管理局</t>
  </si>
  <si>
    <t>发改、财政、交通、行政</t>
  </si>
  <si>
    <t>晋发改收费发〔2025〕140号</t>
  </si>
  <si>
    <t>https://fgw.shanxi.gov.cn/sxfgwzwgk/sxsfgwxxgk/xxgkml/tz/202505/t20250521_9839834.shtml</t>
  </si>
  <si>
    <t>长治市氢能产业发展规划（2020年-2030年）和长治市氢能与燃料电池汽车产业发展行动计划（2020年-2023年）</t>
  </si>
  <si>
    <t>长治市人民政府</t>
  </si>
  <si>
    <t>长政发〔2020〕28号</t>
  </si>
  <si>
    <t>http://www.changzhi.gov.cn/xxgkml/czsrmzf/zfwj_3465/202012/t20201209_2201013.shtml</t>
  </si>
  <si>
    <t>长治市燃料电池汽车推广应用财政补助实施细则和长治市燃料电池汽车交通运输暂行管理办法</t>
  </si>
  <si>
    <t>长治市财政局</t>
  </si>
  <si>
    <t>财政</t>
  </si>
  <si>
    <t>长财建一〔2020〕156号</t>
  </si>
  <si>
    <t>长治市加氢站审批和管理暂行办法</t>
  </si>
  <si>
    <t>长治市行政审批服务管理局</t>
  </si>
  <si>
    <t>行政</t>
  </si>
  <si>
    <t>长审管发〔2020〕143号</t>
  </si>
  <si>
    <t>长治市加氢站建设运营管理实施意见（试行）</t>
  </si>
  <si>
    <t>长政办发〔2021〕42号</t>
  </si>
  <si>
    <t>http://www.changzhi.gov.cn/xxgkml/szfgzbm/srmzfbgt/zbwj/202107/t20210716_2356130.shtml</t>
  </si>
  <si>
    <t>长治市上党区氢能产业扶持办法（试行）</t>
  </si>
  <si>
    <t>上党区</t>
  </si>
  <si>
    <t>上党区人民政府</t>
  </si>
  <si>
    <t>长上政发〔2019〕7号</t>
  </si>
  <si>
    <t>http://www.shangdangqu.gov.cn/czxgk/zfxxgk/bmxxgk/zcbm/chnzfb/zfbgkml/chnl1999/201904/t20190409_1608107.html</t>
  </si>
  <si>
    <t>大同市氢能产业发展规划（2020-2030）</t>
  </si>
  <si>
    <t>大同市人民政府</t>
  </si>
  <si>
    <t>同政发〔2020〕63号</t>
  </si>
  <si>
    <t>http://www.dt.gov.cn/dtzww/szfwj1/202009/855ca69cf94b4d588a846f06d11af579.shtml</t>
  </si>
  <si>
    <t>大同市加氢站审批和管理实施意见（试行）</t>
  </si>
  <si>
    <t>同政办发〔2020〕65号</t>
  </si>
  <si>
    <t>https://kfq.dt.gov.cn/dtzww/guifanxingwenjian/202012/e4d82dd77cba4b82bfaca194a9b517a7.shtml</t>
  </si>
  <si>
    <t>大同市氢能产业安全监督和管理实施意见（试行）</t>
  </si>
  <si>
    <t>同政办发〔2020〕66号</t>
  </si>
  <si>
    <t>https://dt.gov.cn/dtszf/xzgfwj/202012/02242fe863974455bad1e1b1a67469c5.shtml</t>
  </si>
  <si>
    <t>吕梁市氢能产业发展2022年行动计划</t>
  </si>
  <si>
    <t>吕梁市人民政府</t>
  </si>
  <si>
    <t>吕政办发〔2022〕16号</t>
  </si>
  <si>
    <t>http://www.lvliang.gov.cn/llxxgk/zfxxgk/xxgkml/bgtwj/202204/t20220425_1644508.html</t>
  </si>
  <si>
    <t>吕梁市氢能产业中长期发展规划（2022－2035）</t>
  </si>
  <si>
    <t>吕政办发〔2022〕34号</t>
  </si>
  <si>
    <t>http://www.lvliang.gov.cn/llxxgk/zfxxgk/xxgkml/bgtwj/202206/t20220628_1666883.html</t>
  </si>
  <si>
    <t>吕政办发〔2022〕35号</t>
  </si>
  <si>
    <t>http://www.lvliang.gov.cn/llxxgk/zfxxgk/xxgkml/bgtwj/202207/t20220701_1668919.html</t>
  </si>
  <si>
    <t>吕梁市2022年氢能产业专项资金使用管理办法（暂行）</t>
  </si>
  <si>
    <t>吕政办发〔2022〕58号</t>
  </si>
  <si>
    <t>http://www.lvliang.gov.cn/llxxgk/zfxxgk/xxgkml/bgtwj/202212/t20221212_1718801.html</t>
  </si>
  <si>
    <t>吕梁市2022年氢能产业专项资金拟补贴名单公示</t>
  </si>
  <si>
    <t>吕梁市工信局</t>
  </si>
  <si>
    <t>http://www.lvliang.gov.cn/szdt/tzgg/202212/t20221228_1722511.html</t>
  </si>
  <si>
    <t>吕梁市推动氢能产业发展若干政策措施（试行）</t>
  </si>
  <si>
    <t>吕政规发〔2024〕7号</t>
  </si>
  <si>
    <t>http://www.lvliang.gov.cn/llxxgk/zfxxgk/xxgkml/zcwj_21555/202408/t20240819_1890090.html</t>
  </si>
  <si>
    <t>吕梁市综合能源站专项规划（2025-2030年）</t>
  </si>
  <si>
    <t>吕政办发〔2025〕21号</t>
  </si>
  <si>
    <t>http://www.lvliang.gov.cn/llxxgk/zfxxgk/xxgkml/bgtwj/202512/t20251203_2000389.html</t>
  </si>
  <si>
    <t>运城市氢能产业发展中长期规划（2024-2035年）</t>
  </si>
  <si>
    <t>运城</t>
  </si>
  <si>
    <t>运城市发改委、市工信局、市能源局</t>
  </si>
  <si>
    <t>运发改工业发〔2024〕132号</t>
  </si>
  <si>
    <t>https://www.yuncheng.gov.cn/uploadfiles/202407/29/2024072916223565359699.pdf</t>
  </si>
  <si>
    <t>内蒙古自治区“十四五”氢能发展规划</t>
  </si>
  <si>
    <t>内蒙古自治区能源局</t>
  </si>
  <si>
    <t>能源</t>
  </si>
  <si>
    <t>内能油气字〔2022〕218号</t>
  </si>
  <si>
    <t>http://nyj.nmg.gov.cn/zwgk/zfxxgkzl/fdzdgknr/tzgg_16482/tz_16483/202202/t20220228_2010712.html</t>
  </si>
  <si>
    <t>关于促进氢能产业高质量发展的意见</t>
  </si>
  <si>
    <t>内蒙古自治区人民政府</t>
  </si>
  <si>
    <t>内政办发〔2022〕15号</t>
  </si>
  <si>
    <t>https://www.nmg.gov.cn/zfbgt/zwgk/zzqwj/202203/t20220303_2012066.html</t>
  </si>
  <si>
    <t>内蒙古自治区促进燃料电池汽车产业发展若干措施（试行）</t>
  </si>
  <si>
    <t>https://nyj.nmg.gov.cn/zwgk/zfxxgkzl/fdzdgknr/tzgg_16482/gg_16484/202109/t20210927_1895435.html</t>
  </si>
  <si>
    <t>关于开展2021年度风光制氢一体化示范的通知</t>
  </si>
  <si>
    <t>内能油气字〔2021〕468号</t>
  </si>
  <si>
    <t>关于开展2022年风光制氢一体化示范项目申报工作的通知</t>
  </si>
  <si>
    <t>内能综规字〔2022〕873号</t>
  </si>
  <si>
    <t>https://nyj.nmg.gov.cn/zwgk/zfxxgkzl/fdzdgknr/tzgg_16482/tz_16483/202207/t20220727_2094346.html</t>
  </si>
  <si>
    <t>内蒙古自治区风光制氢一体化示范项目实施细则（2022年版）</t>
  </si>
  <si>
    <t>内能新能字〔2022〕831号</t>
  </si>
  <si>
    <t>http://nyj.nmg.gov.cn/zwgk/zfxxgkzl/fdzdgknr/tzgg_16482/tz_16483/202207/t20220727_2094339.html</t>
  </si>
  <si>
    <t>关于印发实施2022年度风光制氢一体化示范项目的通知</t>
  </si>
  <si>
    <t>内能综规字〔2022〕1150号</t>
  </si>
  <si>
    <t>http://nyj.nmg.gov.cn/zwgk/zfxxgkzl/fdzdgknr/tzgg_16482/tz_16483/202209/t20220929_2143302.html</t>
  </si>
  <si>
    <t>关于开展第三批风光制氢一体化示范项目申报工作的通知</t>
  </si>
  <si>
    <t>内能综规字〔2022〕1275号</t>
  </si>
  <si>
    <t>https://nyj.nmg.gov.cn/zwgk/zfxxgkzl/fdzdgknr/tzgg_16482/tz_16483/202211/t20221115_2172906.html</t>
  </si>
  <si>
    <t>关于实施鄂尔多斯市乌审旗风光融合绿氢化工示范项目二期和乌兰察布10万吨年风光制氢一体化示范项目的通知</t>
  </si>
  <si>
    <t>内能综规字〔2022〕1424号</t>
  </si>
  <si>
    <t>https://nyj.nmg.gov.cn/zwgk/zfxxgkzl/fdzdgknr/tzgg_16482/tz_16483/202212/t20221223_2192806.html</t>
  </si>
  <si>
    <t>关于实施兴安盟京能煤化工可再生能源绿氢替代示范项目等风光制氢一体化示范项目的通知</t>
  </si>
  <si>
    <t>内能综规字〔2023〕7号</t>
  </si>
  <si>
    <t>https://nyj.nmg.gov.cn/zwgk/zfxxgkzl/fdzdgknr/tzgg_16482/tz_16483/202301/t20230104_2197474.html</t>
  </si>
  <si>
    <t>关于实施宁城汐子风光制氢一体化示范项目和科左中旗风光储氢氨一体化产业园示范项目的通知</t>
  </si>
  <si>
    <t>内能综规字〔2023〕 848号</t>
  </si>
  <si>
    <t>内蒙古自治区能源局、自治区住建厅、自治区交通厅</t>
  </si>
  <si>
    <t>能源、住建、交通</t>
  </si>
  <si>
    <t>内能油气字〔2022〕1461号</t>
  </si>
  <si>
    <t>https://nyj.nmg.gov.cn/zwgk/zfxxgkzl/fdzdgknr/zcwj_16462/202301/t20230119_2217895.html</t>
  </si>
  <si>
    <t>内蒙古自治区风光制氢一体化项目实施细则2023年修订版（试行）</t>
  </si>
  <si>
    <t>内能新能字〔2023〕1071号</t>
  </si>
  <si>
    <t>https://nyj.nmg.gov.cn/zwgk/zfxxgkzl/fdzdgknr/zcwj_16462/202311/t20231117_2412591.html</t>
  </si>
  <si>
    <t>关于加快推进氢能产业发展的通知</t>
  </si>
  <si>
    <t>内蒙古自治区能源局、自治区应急管理厅、省工信厅</t>
  </si>
  <si>
    <t>能源、应急、工信</t>
  </si>
  <si>
    <t>内能源油气字〔2024〕126号</t>
  </si>
  <si>
    <t>内蒙古自治区可再生能源制氢产业安全管理办法（试行）</t>
  </si>
  <si>
    <t>内蒙古自治区能源局、自治区工信厅、自治区公安厅、自治区自然资源局、自治区生态环境厅、自治区住建厅、自治区交通运输厅、自治区应急管理厅、自治区市监管理局、自治区气象局、自治区消防救援总队</t>
  </si>
  <si>
    <t>能源、工信、公安、自然资源、生环、住建、交通、应急、市监、气象、消防</t>
  </si>
  <si>
    <t>内能源科技发〔2024〕1号</t>
  </si>
  <si>
    <t>https://nyj.nmg.gov.cn/zwgk/zfxxgkzl/fdzdgknr/tzgg_16482/tz_16483/202404/t20240416_2495423.html</t>
  </si>
  <si>
    <t>关于进一步加快推动氢能产业高质量发展的通知</t>
  </si>
  <si>
    <t>内政办发〔2024〕24号</t>
  </si>
  <si>
    <t>https://www.nmg.gov.cn/zwgk/zfxxgk/zfxxgkml/gzxzgfxwj/zrzyny/202406/t20240607_2520401.html</t>
  </si>
  <si>
    <t>关于发布2024年科技“突围”工程氢能领域 “揭榜挂帅”项目技术榜单的通知</t>
  </si>
  <si>
    <t>内蒙古自治区科技厅</t>
  </si>
  <si>
    <t>https://kjt.nmg.gov.cn/kjdt/tzgg/202407/t20240718_2544460.html</t>
  </si>
  <si>
    <t>内蒙古自治区绿氢管道建设发展规划</t>
  </si>
  <si>
    <t>内能源科技发〔2024〕30号</t>
  </si>
  <si>
    <t>https://nyj.nmg.gov.cn/zwgk/zfxxgkzl/fdzdgknr/tzgg_16482/tz_16483/202411/t20241126_2614726.html</t>
  </si>
  <si>
    <t>内蒙古自治区绿氢产业先行区行动方案</t>
  </si>
  <si>
    <t>关于进一步支持绿氢产业发展政策措施的通知</t>
  </si>
  <si>
    <t>内能源科技字〔2024〕842号</t>
  </si>
  <si>
    <t>内蒙古自治区能源局关于落实内政办发(2024]24号文件有关事宜的通知</t>
  </si>
  <si>
    <t>内能源科技字〔2024〕470号</t>
  </si>
  <si>
    <t>https://wind.imarine.cn/news/97003.html</t>
  </si>
  <si>
    <t>内蒙古自治区风光制氨醇项目实施细则（试行）</t>
  </si>
  <si>
    <t>https://nyj.nmg.gov.cn/zwgk/zfxxgkzl/fdzdgknr/tzgg_16482/gg_16484/202409/t20240903_2568246.html</t>
  </si>
  <si>
    <t>内蒙古自治区推动氢能装备制造产业高质量发展行动方案</t>
  </si>
  <si>
    <t>内蒙古自治区能源局、自治区工信厅</t>
  </si>
  <si>
    <t>能源、工信</t>
  </si>
  <si>
    <t>包头市氢能产业发展规划（2023—2030年）</t>
  </si>
  <si>
    <t>包头市人民政府</t>
  </si>
  <si>
    <t>包府发〔2023〕26号</t>
  </si>
  <si>
    <t>https://www.baotou.gov.cn/info/egovinfo/1001/zwgkbf/copy_2_xxgk_nry/011536003/2023-00135.htm</t>
  </si>
  <si>
    <t>包头市支持氢能产业高质量发展政策措施（试行）</t>
  </si>
  <si>
    <t>包府办发〔2024〕121号</t>
  </si>
  <si>
    <t>https://www.baotou.gov.cn/info/egovinfo/1001/zwgkbf/copy_2_xxgk_nry/011536003001/2024-00115.htm</t>
  </si>
  <si>
    <t>包头市加氢站安全管理办法（试行）</t>
  </si>
  <si>
    <t>包头市住建局、市发改委、市市监局、市交通局</t>
  </si>
  <si>
    <t>住建、发改、市监、交通</t>
  </si>
  <si>
    <t>包住建公〔2025〕45号</t>
  </si>
  <si>
    <t>https://www.baotou.gov.cn/zfxxgk/zc/zc_xzgfxwj/zfjqbm/szfhcxjsj/202601/t20260108_724248.html</t>
  </si>
  <si>
    <t>乌海市关于加快氢能产业创新发展的实施意见（试行）（2019-2022）</t>
  </si>
  <si>
    <t>乌海市发改委</t>
  </si>
  <si>
    <t>http://fgw.wuhai.gov.cn/fgw/507589/507595/790679/index.html</t>
  </si>
  <si>
    <t>乌海市氢能源汽车推广应用和配套基础设施建设财政补贴资金管理实施细则（试行）（2019-2022）</t>
  </si>
  <si>
    <t>乌海发改发〔2019〕273号</t>
  </si>
  <si>
    <t>http://fgw.wuhai.gov.cn/fgw/zfxxgk83/fdzdgknr47/840037/846868/index.html</t>
  </si>
  <si>
    <t>乌海市氢能产业发展规划（2020-2025）</t>
  </si>
  <si>
    <t>乌海市人民政府</t>
  </si>
  <si>
    <t>乌海政办发〔2020〕18号</t>
  </si>
  <si>
    <t>http://www.wuhai.gov.cn/wuhai/xxgk4/zfxxgk5572/fdzdgknr39/zcwj32/1022743/index.html</t>
  </si>
  <si>
    <t>乌海市氢能产业发展规划（2023修订版）</t>
  </si>
  <si>
    <t>乌海市能源局</t>
  </si>
  <si>
    <t>http://nyj.wuhai.gov.cn/nyj/537377/537390/1554932/index.html</t>
  </si>
  <si>
    <t>乌海市加氢站管理办法（试行)（2019-2022）</t>
  </si>
  <si>
    <t>http://fgw.wuhai.gov.cn/fgw/507668/507671/790672/index.html</t>
  </si>
  <si>
    <t>乌兰察布市关于推进氢能产业发展的实施意见</t>
  </si>
  <si>
    <t>乌兰察布</t>
  </si>
  <si>
    <t>乌兰察布市人民政府</t>
  </si>
  <si>
    <t>乌政办发〔2021〕21号</t>
  </si>
  <si>
    <t>https://www.wulanchabu.gov.cn/accb/zfwj/34235.html</t>
  </si>
  <si>
    <t>呼和浩特市人民政府关于推进氢能产业高质量发展的实施意见</t>
  </si>
  <si>
    <t>呼和浩特市工信局</t>
  </si>
  <si>
    <t>http://www.huhhot.gov.cn/2022_zmhd/myzj/index_6847.html?id=124&amp;status=1</t>
  </si>
  <si>
    <t>呼和浩特市燃料电池加氢站建设管理指导意见（试行）</t>
  </si>
  <si>
    <t>呼和浩特市住房和城乡建设局</t>
  </si>
  <si>
    <t>http://zfcxjsj.huhhot.gov.cn/zwgk_91/tzgg/202011/t20201123_811494.html</t>
  </si>
  <si>
    <t>鄂尔多斯市人民政府关于国有资本支持风光氢储产业的指导意见</t>
  </si>
  <si>
    <t>鄂尔多斯市人民政府</t>
  </si>
  <si>
    <t>鄂府发〔2022〕4号</t>
  </si>
  <si>
    <t>http://www.ordos.gov.cn/zt_127959/yhyshj/zcwj_yshj/202202/t20220208_3150645.html</t>
  </si>
  <si>
    <t>鄂尔多斯市支持上海城市群燃料电池汽车示范应用奖补政策的通知</t>
  </si>
  <si>
    <t>鄂府发〔2022〕34号</t>
  </si>
  <si>
    <t>http://gxj.ordos.gov.cn/xxgk_126422/fdzdgknr/zcfg_126431/202203/t20220328_3167777.html</t>
  </si>
  <si>
    <t>鄂尔多斯市氢能产业发展三年行动方案（2022年-2024年）</t>
  </si>
  <si>
    <t>鄂府发〔2022〕46号</t>
  </si>
  <si>
    <t>http://www.ordos.gov.cn/ordosml/ordoszf/202204/t20220418_3191604.html</t>
  </si>
  <si>
    <t>鄂尔多斯市氢能产业发展规划和鄂尔多斯市打造“北疆绿氢城”行动方案（伊金霍洛旗先行先试）</t>
  </si>
  <si>
    <t>鄂府发〔2022〕45号</t>
  </si>
  <si>
    <t>http://www.ordos.gov.cn/gk_128120/zfxxgkzl/rmzfgb_130195/2022_22/2022_05/zfwj_22_1/202206/t20220621_3232767.html</t>
  </si>
  <si>
    <t>支持氢能产业发展若干措施的通知</t>
  </si>
  <si>
    <t>鄂府办发〔2023〕78号</t>
  </si>
  <si>
    <t>http://www.nmgxny.com/policy/policy_202308221132.html</t>
  </si>
  <si>
    <t>氢能源车辆奖补通行费实施方案</t>
  </si>
  <si>
    <t>鄂尔多斯市交通运输局</t>
  </si>
  <si>
    <t>交通</t>
  </si>
  <si>
    <t>鄂尔多斯市关于进一步推动氢能产业高质量发展的若干措施</t>
  </si>
  <si>
    <t>鄂府办发〔2024〕105号</t>
  </si>
  <si>
    <t>http://www.ordos.gov.cn/ordosml/ordoszf/202411/t20241114_3715671.html</t>
  </si>
  <si>
    <t>关于2023年度燃料电池重卡和电动重卡奖补资金的通知</t>
  </si>
  <si>
    <t>鄂托克旗</t>
  </si>
  <si>
    <t>鄂托克旗工信和科技局、旗财政局</t>
  </si>
  <si>
    <t>工信、科技、财政</t>
  </si>
  <si>
    <t>辽宁省氢能产业发展规划（2021-2025年）</t>
  </si>
  <si>
    <t>辽宁省发改委</t>
  </si>
  <si>
    <t>http://fgw.ln.gov.cn/zc/zxzc/202208/P020220805803985630589.pdf</t>
  </si>
  <si>
    <t>辽宁省推广高速公路差异化收费对氢燃料电池货车免收车辆通行费的实施方案</t>
  </si>
  <si>
    <t>辽交财审发〔2025〕8号</t>
  </si>
  <si>
    <t>沈阳市氢燃料电池汽车产业发展三年行动方案（2023-2025）</t>
  </si>
  <si>
    <t>沈阳市氢能产业发展规划（2024-2030年）</t>
  </si>
  <si>
    <t>沈阳市发改委</t>
  </si>
  <si>
    <t>http://fgw.shenyang.gov.cn/zwgk/fdzdgknr/bmwj/202407/t20240731_4708973.html</t>
  </si>
  <si>
    <t>大东区支持氢能暨氢燃料电池汽车产业高质量发展的若干政策措施</t>
  </si>
  <si>
    <t>大东区</t>
  </si>
  <si>
    <t>大东区人民政府</t>
  </si>
  <si>
    <t>沈大东政发文件〔2023〕7号</t>
  </si>
  <si>
    <t>http://www.sydd.gov.cn/zwgk/fdzdgknr/zfwj/sddzfwj/202312/t20231229_4582805.html</t>
  </si>
  <si>
    <t>大东区关于支持氢能暨氢燃料电池汽车产业高质量发展若干政策措施的实施细则</t>
  </si>
  <si>
    <t>大东区工信局</t>
  </si>
  <si>
    <t>已正式印发，但是没查到</t>
  </si>
  <si>
    <t>大连市氢能产业发展规划（2020-2035年）</t>
  </si>
  <si>
    <t>大连市人民政府</t>
  </si>
  <si>
    <t>大政办发〔2020〕57号</t>
  </si>
  <si>
    <t>https://www.dl.gov.cn/art/2020/11/5/art_854_443290.html</t>
  </si>
  <si>
    <t>大连市氢能产业发展2020年度工作计划</t>
  </si>
  <si>
    <t>大连市发改委</t>
  </si>
  <si>
    <t>关于组织开展2020年大连市氢能产业发展专项资金项目申报工作的通知</t>
  </si>
  <si>
    <t>大发改〔2020〕2292号</t>
  </si>
  <si>
    <t>https://pc.dl.gov.cn/art/2020/12/31/art_2481_510598.html</t>
  </si>
  <si>
    <t>2020年“大连市氢能综合利用示范工程”项目公示</t>
  </si>
  <si>
    <t>https://pc.dl.gov.cn/art/2021/5/25/art_2480_655261.html</t>
  </si>
  <si>
    <t>关于对2020年度大连市氢能产业发展专项资金申报项目评审结果的公示</t>
  </si>
  <si>
    <t>https://pc.dl.gov.cn/art/2021/6/15/art_2480_701034.html</t>
  </si>
  <si>
    <t>关于组织开展2021年大连市氢能产业发展专项资金项目申报工作的通知</t>
  </si>
  <si>
    <t>大发改〔2021〕1778号</t>
  </si>
  <si>
    <t>https://pc.dl.gov.cn/art/2021/10/14/art_2481_1941623.html</t>
  </si>
  <si>
    <t>关于组织2022年大连市氢能产业发展专项资金申报工作的通知</t>
  </si>
  <si>
    <t>大发改〔2023〕1173号</t>
  </si>
  <si>
    <t>https://pc.dl.gov.cn/art/2023/7/26/art_2481_2092321.html</t>
  </si>
  <si>
    <t>关于组织开展大连市2022年度氢能源交通工具推广应用补助资金申报工作的通知</t>
  </si>
  <si>
    <t>大连市工信局</t>
  </si>
  <si>
    <t>https://gxj.dl.gov.cn/art/2023/9/21/art_1666_2196922.html</t>
  </si>
  <si>
    <t>大连市氢能产业发展专项资金项目评审实施细则</t>
  </si>
  <si>
    <t>大发改工业字〔2021〕216号</t>
  </si>
  <si>
    <t>https://pc.dl.gov.cn/art/2021/4/12/art_2481_554091.html</t>
  </si>
  <si>
    <t>大连市加快培育氢能产业发展的指导意见</t>
  </si>
  <si>
    <t>大委办发〔2020〕60号</t>
  </si>
  <si>
    <t>https://www.dl.gov.cn/art/2020/10/21/art_255_343132.html</t>
  </si>
  <si>
    <t>文件已删除</t>
  </si>
  <si>
    <t>大连市氢能产业发展专项资金管理办法</t>
  </si>
  <si>
    <t>大连市发改委、市工信局、市财政局</t>
  </si>
  <si>
    <t>发改、工信、财政</t>
  </si>
  <si>
    <t>大发改工业字〔2020〕608号</t>
  </si>
  <si>
    <t>https://pc.dl.gov.cn/art/2020/12/31/art_2481_510592.html</t>
  </si>
  <si>
    <t>大连市加快培育氢能产业发展专项资金管理办法</t>
  </si>
  <si>
    <t>大发改工业规字〔2024〕3号</t>
  </si>
  <si>
    <t>https://pc.dl.gov.cn/art/2024/9/24/art_2481_2350159.html</t>
  </si>
  <si>
    <t>大发改工业规字〔2025〕2号</t>
  </si>
  <si>
    <t>https://pc.dl.gov.cn/art/2025/8/20/art_2481_2457871.html</t>
  </si>
  <si>
    <t>大连市氢能产业发展专项资金管理实施细则</t>
  </si>
  <si>
    <t>大发改工业字〔2022〕434号</t>
  </si>
  <si>
    <t>大连市加氢站管理暂行办法</t>
  </si>
  <si>
    <t>大连市住建局、市发改委、市营商环境建设局、市公安局、市应急管理局、市交通运输局、市市监局、市自然资源局、市城管局、市生态环境局、市气象局、市建设工程质量与安全监督服务中心</t>
  </si>
  <si>
    <t>住建、发改、营商、公安、应急、交通、监督、自然资源、城管、生态环境、气象、建设工程质量与安全监督服务中心</t>
  </si>
  <si>
    <t>https://js.dl.gov.cn/art/2021/2/18/art_4985_1439724.html?xxgkhide=1</t>
  </si>
  <si>
    <t>大连市住建局、市发改委、市应急管理局、市交通运输局、市市场监管局、市自然资源局、市城管局、市公安局、市气象局、市生态环境局、市营商环境建设局、市消防救援支队</t>
  </si>
  <si>
    <t>住建、发改、应急、交通、监督、自然资源、城管、公安、气象、营商、消防</t>
  </si>
  <si>
    <t>大住建规发〔2023〕5号</t>
  </si>
  <si>
    <t>https://js.dl.gov.cn/art/2023/11/30/art_4985_2311202.html</t>
  </si>
  <si>
    <t>大连市氢能综合利用示范工程项目认定管理办法</t>
  </si>
  <si>
    <t>大发改工业字〔2020〕777号</t>
  </si>
  <si>
    <t>https://pc.dl.gov.cn/art/2021/11/24/art_6931_1983004.html</t>
  </si>
  <si>
    <t>2021年度“大连市氢能综合利用示范工程”项目公示</t>
  </si>
  <si>
    <t>https://pc.dl.gov.cn/art/2023/7/10/art_2480_2090154.html</t>
  </si>
  <si>
    <t>2022年度“大连市氢能综合利用示范工程”项目公示</t>
  </si>
  <si>
    <t>https://pc.dl.gov.cn/art/2024/7/31/art_2480_2342327.html</t>
  </si>
  <si>
    <t>关于组织2021年大连市氢能产业发展专项资金及2022年加氢站运营费用申报工作的通知</t>
  </si>
  <si>
    <t>大发改〔2023〕114号</t>
  </si>
  <si>
    <t>https://pc.dl.gov.cn/art/2023/1/29/art_2481_2063974.html</t>
  </si>
  <si>
    <t>关于组织2023年加氢站运营费用申报工作的通知</t>
  </si>
  <si>
    <t>大发改〔2024〕41号</t>
  </si>
  <si>
    <t>https://pc.dl.gov.cn/art/2024/1/8/art_2480_2311216.html</t>
  </si>
  <si>
    <t>关于2021年大连市氢能产业发展专项资金、2022年加氢站运营补贴计划支持项目名单和资金分配方案的公示</t>
  </si>
  <si>
    <t>https://pc.dl.gov.cn/art/2023/12/26/art_2480_2298149.html</t>
  </si>
  <si>
    <t>东北</t>
  </si>
  <si>
    <t>大连市氢能产业标准体系（2025年）</t>
  </si>
  <si>
    <t>大连市市场监督管理局</t>
  </si>
  <si>
    <t>市场</t>
  </si>
  <si>
    <t>https://scjg.dl.gov.cn/art/2025/8/19/art_4771_2457511.html</t>
  </si>
  <si>
    <t>大连市氢能产业发展规划（2024-2035年）</t>
  </si>
  <si>
    <t>关于2021年加氢站运营费用补贴计划支持项目名单及资金分配方案的公示</t>
  </si>
  <si>
    <t>https://pc.dl.gov.cn/art/2023/2/27/art_2480_2066561.html</t>
  </si>
  <si>
    <t>关于2023年加氢站运营费用补贴计划支持项目名单及资金分配方案的公示</t>
  </si>
  <si>
    <t>https://pc.dl.gov.cn/art/2024/12/11/art_2480_2389873.html</t>
  </si>
  <si>
    <t>关于组织2024年加氢站运营补贴资金申报工作的通知</t>
  </si>
  <si>
    <t>https://pc.dl.gov.cn/art/2025/9/24/art_2481_2463514.html</t>
  </si>
  <si>
    <t>支持地区氢能产业发展六大举措</t>
  </si>
  <si>
    <t>瓦房店</t>
  </si>
  <si>
    <t>https://www.dl.gov.cn/art/2023/9/6/art_1185_2178856.html</t>
  </si>
  <si>
    <t>阜新市推进氢能产业发展工作方案</t>
  </si>
  <si>
    <t>阜新</t>
  </si>
  <si>
    <t>阜新市科学技术局</t>
  </si>
  <si>
    <t>阜科发〔2019〕13号</t>
  </si>
  <si>
    <t>https://www.fuxin.gov.cn/content/2019/585652.html</t>
  </si>
  <si>
    <t>关于印发铁岭市进一步明确氢能领域安全管理职责的通知</t>
  </si>
  <si>
    <t>铁岭市人民政府</t>
  </si>
  <si>
    <t>http://www.tieling.gov.cn/tieling/gsgg/2025082015045012637/index.html</t>
  </si>
  <si>
    <t>鞍山市汽车加氢站管理暂行办法</t>
  </si>
  <si>
    <t>鞍山</t>
  </si>
  <si>
    <t>鞍山市住建局</t>
  </si>
  <si>
    <t>鞍住建发〔2021〕23号</t>
  </si>
  <si>
    <t>http://www.anshan.gov.cn/html/ASSZF/202108/0172301012141586.html</t>
  </si>
  <si>
    <t>“氢动吉林”中长期发展规划（2021-2035年）</t>
  </si>
  <si>
    <t>吉林省人民政府</t>
  </si>
  <si>
    <t>吉政办发〔2022〕36号</t>
  </si>
  <si>
    <t>http://xxgk.jl.gov.cn/szf/gkml/202210/t20221019_8601723.html</t>
  </si>
  <si>
    <t>支持氢能产业发展若干政策措施（试行）</t>
  </si>
  <si>
    <t>吉政发〔2022〕22号</t>
  </si>
  <si>
    <t>http://xxgk.jl.gov.cn/szf/gkml/202212/t20221205_8643380.html</t>
  </si>
  <si>
    <t>“氢动吉林”行动实施方案</t>
  </si>
  <si>
    <t>吉政发〔2022〕23号</t>
  </si>
  <si>
    <t>http://xxgk.jl.gov.cn/szf/gkml/202212/t20221206_8644112.html</t>
  </si>
  <si>
    <t>关于组织开展氢能产业园区申报工作的通知</t>
  </si>
  <si>
    <t>吉林省工信厅</t>
  </si>
  <si>
    <t>吉工信石化〔2023〕232号</t>
  </si>
  <si>
    <t>http://xxgk.jl.gov.cn/zcbm/fgw_97953/xxgkmlqy/202310/t20231025_8818282.html</t>
  </si>
  <si>
    <t>吉政办规〔2023〕1号</t>
  </si>
  <si>
    <t>http://xxgk.jl.gov.cn/szf/gkml/202311/t20231118_8839184.html</t>
  </si>
  <si>
    <t>抢先布局氢能产业新赛道实施方案</t>
  </si>
  <si>
    <t>吉政办发〔2023〕31号</t>
  </si>
  <si>
    <t>http://xxgk.jl.gov.cn/szf/gkml/202312/t20231204_8847198.html</t>
  </si>
  <si>
    <t>关于公开征集吉林省氢能产业重大科技专项项目建议的通知</t>
  </si>
  <si>
    <t>吉林省科技厅</t>
  </si>
  <si>
    <t>http://kjt.jl.gov.cn/xwzx/tztg/202407/t20240716_8934640.html</t>
  </si>
  <si>
    <t>吉林省氢能产业综合研究院科技专项2024年度项目申报指南</t>
  </si>
  <si>
    <t>http://kjt.jl.gov.cn/xwzx/tztg/202411/t20241112_8996220.html</t>
  </si>
  <si>
    <t>关于对氢能车辆行驶吉林省高速公路实施优惠的通知</t>
  </si>
  <si>
    <t>吉林省交通运输厅、省财政厅、省发改委</t>
  </si>
  <si>
    <t>交通、财政、发改</t>
  </si>
  <si>
    <t>吉交联发〔2024〕44号</t>
  </si>
  <si>
    <t>http://jtyst.jl.gov.cn/zw_133208/tzgg/202408/t20240814_8945532.html</t>
  </si>
  <si>
    <t>关于2025年聚力攻坚氢能制储及应用专项课题拟立项名单的公示</t>
  </si>
  <si>
    <t>吉林省能源局</t>
  </si>
  <si>
    <t>http://nyj.jl.gov.cn/zwgk/tzgg/202504/t20250425_3450937.html</t>
  </si>
  <si>
    <t>吉林省氢能产业综合研究院科技专项2025年度项目申报指南</t>
  </si>
  <si>
    <t>http://kjt.jl.gov.cn/xwzx/tztg/202505/t20250515_9228246.html</t>
  </si>
  <si>
    <t>长春市汽车加氢站管理暂行办法</t>
  </si>
  <si>
    <t>长春市人民政府</t>
  </si>
  <si>
    <t>长府规〔2020〕1号</t>
  </si>
  <si>
    <t>http://www.changchun.gov.cn/zw_33994/zfwj/szfwj_108293/202011/t20201109_2531294.html</t>
  </si>
  <si>
    <t>长春市氢能产业发展规划（2022-2025）</t>
  </si>
  <si>
    <t>长春市2026年绿氢产业攻坚突破行动方案</t>
  </si>
  <si>
    <t>长春市发改委</t>
  </si>
  <si>
    <t>http://drc.changchun.gov.cn/fzgg/nyfz/202604/t20260407_3478948.html</t>
  </si>
  <si>
    <t>白城市加氢站管理的实施意见</t>
  </si>
  <si>
    <t>白城市人民政府</t>
  </si>
  <si>
    <t>白政发〔2022〕15号</t>
  </si>
  <si>
    <t>http://xxgk.jlbc.gov.cn/bcsrmzf/szf/xxgkml/202211/t20221108_949314.html</t>
  </si>
  <si>
    <t>白城市新能源与氢能产业发展规划</t>
  </si>
  <si>
    <t>中国“北方氢谷”建设方案</t>
  </si>
  <si>
    <t>黑龙江</t>
  </si>
  <si>
    <t>黑龙江省推动氢能产业发展实施方案</t>
  </si>
  <si>
    <t>黑龙江省发改委</t>
  </si>
  <si>
    <t>黑发改高技〔2022〕407号</t>
  </si>
  <si>
    <t>上海市燃料电池汽车发展规划</t>
  </si>
  <si>
    <t>上海市科技委、市经信委、市发改委</t>
  </si>
  <si>
    <t>科技、经信、发改</t>
  </si>
  <si>
    <t>沪科合〔2017〕23号</t>
  </si>
  <si>
    <t>http://stcsm.sh.gov.cn/zwgk/ghjh/20170919/0016-20701.html</t>
  </si>
  <si>
    <t>上海市燃料电池汽车推广应用财政补助方案</t>
  </si>
  <si>
    <t>上海市科技委、市发改委、市经信委、市财政局</t>
  </si>
  <si>
    <t>科技、发改、经信、财政</t>
  </si>
  <si>
    <t>沪科规〔2018〕2号</t>
  </si>
  <si>
    <t>https://stcsm.sh.gov.cn/zwgk/kjzc/zcwj/kwzcxwj/20180521/0016-147896.html</t>
  </si>
  <si>
    <t>上海市燃料电池汽车产业创新发展实施计划</t>
  </si>
  <si>
    <t>上海市经信委、市发改委、市交通委、市科技委、市住建委、市财政局</t>
  </si>
  <si>
    <t>经信、发改、交通、科技、住建、财政</t>
  </si>
  <si>
    <t>沪经信制〔2020〕1007号</t>
  </si>
  <si>
    <t>http://www.sheitc.sh.gov.cn/jsjb/20201113/031ead03326b424e9bc9f83354b944ee.html</t>
  </si>
  <si>
    <t>上海市车用加氢站布局专项规划</t>
  </si>
  <si>
    <t>上海市住建委</t>
  </si>
  <si>
    <t>http://zjw.sh.gov.cn/gsgg/20210207/890ef123de244d399fdd921ebfbdcaf6.html</t>
  </si>
  <si>
    <t>上海市汽车加氢站临时经营许可暂行管理办法（征求意见稿）</t>
  </si>
  <si>
    <t>上海市住建委、市发改委、市经信委、市规划和自然资源局、市市监局、市应急管理局</t>
  </si>
  <si>
    <t>住建、发改、经信、规划、监督、应急</t>
  </si>
  <si>
    <t>沪住建规范联〔2021〕11号</t>
  </si>
  <si>
    <t>关于支持本市燃料电池汽车产业发展若干政策</t>
  </si>
  <si>
    <t>上海市发改委、市财政局、市经信委、市住建委、市交通委、市科技委</t>
  </si>
  <si>
    <t>发改、财政、经信、住建、交通、科技</t>
  </si>
  <si>
    <t>沪发改规范〔2021〕10号</t>
  </si>
  <si>
    <t>https://fgw.sh.gov.cn/fgw_gfxwj/20211123/f687a6f8dd604ac49f88655d90cbfc10.html</t>
  </si>
  <si>
    <t>关于开展2021年度上海市燃料电池汽车示范应用项目申报工作的通知</t>
  </si>
  <si>
    <t>上海市经信委、市财政局、市发改委、市科技委、市交通委、市住建委</t>
  </si>
  <si>
    <t>经信、财政、发改、科技、交通、住建</t>
  </si>
  <si>
    <t>沪经信制〔2021〕1098号</t>
  </si>
  <si>
    <t>http://sheitc.sh.gov.cn/cyfz/20211208/b78c3f9e2e6c4187b0294215b91823b7.html</t>
  </si>
  <si>
    <t>上海市氢能产业发展中长期规划 （2022-2035年）</t>
  </si>
  <si>
    <t>上海市发改委、市科技委、市经信委、市规划和自然资源局、市住建委、市交通委、市应急管理局、市市监局</t>
  </si>
  <si>
    <t>发改、科技、经信、规划、住建、交通、应急、监督</t>
  </si>
  <si>
    <t>沪发改高技〔2022〕54号</t>
  </si>
  <si>
    <t>https://fgw.sh.gov.cn/fgw_gjscy/20220617/f380fb95c7c54778a0ef1c4a4e67d0ea.html</t>
  </si>
  <si>
    <t>2021年度上海市燃料电池汽车示范应用拟支持单位公示</t>
  </si>
  <si>
    <t>上海市经信委</t>
  </si>
  <si>
    <t>http://www.sheitc.sh.gov.cn/gg/20220113/2b19cb8ae7f24f669376bf4a9e1c31f1.html</t>
  </si>
  <si>
    <t>关于支持中国（上海）自由贸易试验区临港新片区氢能产业高质量发展的若干政策</t>
  </si>
  <si>
    <t>上海市发改委、市经信委、市科技委、市规划和自然资源局、市住建委、市交通委、市应急管理局、市市监局、市绿化和市容局、临港新片区管委会</t>
  </si>
  <si>
    <t>发改、经信、科技、规划、住建、交通、应急、监督、绿化、管委会</t>
  </si>
  <si>
    <t>沪发改高技〔2022〕83号</t>
  </si>
  <si>
    <t>https://fgw.sh.gov.cn/fgw_gjscy/20220826/d752e3ae307d42f5984a81491a8fea42.html</t>
  </si>
  <si>
    <t>上海市燃料电池汽车示范应用专项资金实施细则</t>
  </si>
  <si>
    <t>上海市经信委、市财政局、市发改委、市交通委、市住建委、市科技委</t>
  </si>
  <si>
    <t>经信、财政、发改、交通、住建、科技</t>
  </si>
  <si>
    <t>沪经信规范〔2023〕2号</t>
  </si>
  <si>
    <t>https://www.shanghai.gov.cn/gwk/search/content/2fd977449082425ead67838e6fc86af4</t>
  </si>
  <si>
    <t>关于开展2022年度上海市燃料电池汽车示范应用项目申报工作的通知</t>
  </si>
  <si>
    <t>沪经信制〔2022〕879号</t>
  </si>
  <si>
    <t>http://www.sheitc.sh.gov.cn/jjyx/20221201/6738232253784b4287e1a6a16430f039.html</t>
  </si>
  <si>
    <t>2022年度上海市燃料电池汽车示范应用拟支持单位公示</t>
  </si>
  <si>
    <t>http://www.sheitc.sh.gov.cn/gg/20230113/0ec67c705a034a10a08825413cd4184a.html</t>
  </si>
  <si>
    <t>上海交通领域氢能推广应用方案（2023-2025年）</t>
  </si>
  <si>
    <t>上海市交通委、市发展改革委、市经济信息化委</t>
  </si>
  <si>
    <t>交通、发改、经信</t>
  </si>
  <si>
    <t>沪交科〔2023〕496 号</t>
  </si>
  <si>
    <t>https://jtw.sh.gov.cn/zxzfxx/20230719/607f7e7be6e34960b05fabb712edd7c8.html</t>
  </si>
  <si>
    <t>关于开展2023年度上海市燃料电池汽车示范应用项目申报工作的通知</t>
  </si>
  <si>
    <t>沪经信制〔2023〕1266号</t>
  </si>
  <si>
    <t>https://www.sheitc.sh.gov.cn/cyfz/20231229/b0ff1cb0fe9c4f8eb1d60d6a3191338a.html</t>
  </si>
  <si>
    <t>2023年度上海市燃料电池汽车示范应用拟支持单位公示</t>
  </si>
  <si>
    <t>https://www.sheitc.sh.gov.cn/gg/20240208/c565b204c65f46569713441432d0694e.html</t>
  </si>
  <si>
    <t>上海市燃料电池汽车示范应用专项资金实施细则及操作流程图、2023年分配结果</t>
  </si>
  <si>
    <t>https://sheitc.sh.gov.cn/gg/20240604/a9687c3e61984872bd933bc33a7ec7a4.html</t>
  </si>
  <si>
    <t>上海市推动国际航运燃料绿色转型工作方案</t>
  </si>
  <si>
    <t>上海市发改委、交通委、经信委</t>
  </si>
  <si>
    <t>发改、交通、经信</t>
  </si>
  <si>
    <t>沪发改能源〔2024〕225 号</t>
  </si>
  <si>
    <t>https://www.shanghai.gov.cn/gwk/search/content/4a0d56d427384947a4906d73c6562739</t>
  </si>
  <si>
    <t>华东</t>
  </si>
  <si>
    <t>关于开展上海市燃料电池汽车示范应用车辆运营奖励资金申报的通知</t>
  </si>
  <si>
    <t>沪经信车〔2026〕1号</t>
  </si>
  <si>
    <t>https://www.sheitc.sh.gov.cn/cyfz/20260106/f59d5620291340fc9676c635ca3247e7.html</t>
  </si>
  <si>
    <t>嘉定区鼓励氢燃料电池汽车产业发展的有关意见（试行）</t>
  </si>
  <si>
    <t>嘉定区</t>
  </si>
  <si>
    <t>嘉定区经信委、区发改委、区科技委、区财政局、区规划资源局、区建委</t>
  </si>
  <si>
    <t>经信、发改、科技、财政、规划、建设</t>
  </si>
  <si>
    <t>嘉经〔2019〕13号</t>
  </si>
  <si>
    <t>http://www.jiading.gov.cn/jingwei/publicity/fdzdgknr/zfwj/gbmwj/120010</t>
  </si>
  <si>
    <t>嘉定区鼓励氢燃料电池汽车产业发展的有关意见（试行）实施细则</t>
  </si>
  <si>
    <t>嘉定区经委</t>
  </si>
  <si>
    <t>嘉经〔2020〕21号</t>
  </si>
  <si>
    <t>http://www.jiading.gov.cn/jingwei/publicity/fdzdgknr/zfwj/gbmwj/130338</t>
  </si>
  <si>
    <t>嘉定区加氢站布局与选址专项规划（2019-2025）</t>
  </si>
  <si>
    <t>嘉定区规划和自然资源局</t>
  </si>
  <si>
    <t>规划</t>
  </si>
  <si>
    <t>嘉定区加快推动氢能与燃料电池汽车产业发展的行动方案（2021-2025）</t>
  </si>
  <si>
    <t>嘉定区经委、区发改委、区科技委、区公安局、区财政局、区人力资源社会保障局、区规划和自然资源局、区建委、区交通委、区应急局、区市监局、区绿化和市容管理局、区机关事务管理局</t>
  </si>
  <si>
    <t>经信、发改、科技、公安、财政、人力、规划、建设、交通、应急、监督、绿化、机关</t>
  </si>
  <si>
    <t>http://www.jiading.gov.cn/jingwei/publicity/fdzdgknr/gg/zwgg/148950</t>
  </si>
  <si>
    <t>青浦区氢能及燃料电池产业发展规划</t>
  </si>
  <si>
    <t>青浦区</t>
  </si>
  <si>
    <t>青浦区人民政府</t>
  </si>
  <si>
    <t>青府办发〔2020〕57号</t>
  </si>
  <si>
    <t>https://www.shqp.gov.cn/shqp/shqp/upload/202012/1231_152138_977.pdf</t>
  </si>
  <si>
    <t>青浦区支持氢能产业发展激发“青氢” 绿色动能实施办法</t>
  </si>
  <si>
    <t>青府办发〔2020〕56号</t>
  </si>
  <si>
    <t>https://www.shqp.gov.cn/shqp/zwgk/zfwj/qfb/20201203/807140.html</t>
  </si>
  <si>
    <t>关于组织申报2021年度氢能补贴扶持资金项目的通知</t>
  </si>
  <si>
    <t>青浦区经委</t>
  </si>
  <si>
    <t>https://www.shqp.gov.cn/econ/tzgg/20210625/880271.html</t>
  </si>
  <si>
    <t>关于下达2021年度氢能专项扶持资金的通知</t>
  </si>
  <si>
    <t>青经发〔2021〕58号</t>
  </si>
  <si>
    <t>https://www.shqp.gov.cn/shqp/zwgk/zxgk/20211202/902934.html</t>
  </si>
  <si>
    <t>关于组织申报2022年度氢能补贴扶持资金项目的通知</t>
  </si>
  <si>
    <t>https://www.shqp.gov.cn/econ/tzgg/20220217/913291.html</t>
  </si>
  <si>
    <t>关于下达2022年度氢能专项扶持资金的通知</t>
  </si>
  <si>
    <t>青经发〔2022〕58号</t>
  </si>
  <si>
    <t>https://www.shqp.gov.cn/shqp/zwgk/zxgk/20220824/958204.html</t>
  </si>
  <si>
    <t>关于组织申报2023年度氢能补贴扶持资金项目的通知</t>
  </si>
  <si>
    <t>https://www.shqp.gov.cn/econ/tzgg/20230420/1114003.html</t>
  </si>
  <si>
    <t>关于2023年度氢能专项补贴拟扶持资金项目的公示</t>
  </si>
  <si>
    <t>https://www.shqp.gov.cn/econ/tzgg/20231215/1152095.html</t>
  </si>
  <si>
    <t>关于拨付2023年度氢能专项扶持资金的通知</t>
  </si>
  <si>
    <t>青浦区经委、区财政局</t>
  </si>
  <si>
    <t>经信、财政</t>
  </si>
  <si>
    <t>青经发〔2024〕17号</t>
  </si>
  <si>
    <t>https://www.shqp.gov.cn/econ/jwzwgk/ml/yw/20240415/1167257.html</t>
  </si>
  <si>
    <t>临港新片区打造高质量氢能示范应用场景实施方案（2021-2025年）</t>
  </si>
  <si>
    <t>浦东新区</t>
  </si>
  <si>
    <t>临港新片区</t>
  </si>
  <si>
    <t>中国（上海）自由贸易试验区临港新片区管委会</t>
  </si>
  <si>
    <t>沪自贸临管委〔2021〕705号</t>
  </si>
  <si>
    <t>https://www.lgxc.gov.cn/contents/25/33464.html</t>
  </si>
  <si>
    <t>临港新片区氢燃料电池汽车产业发展“十四五”规划（2021-2025）</t>
  </si>
  <si>
    <t>沪自贸临管委〔2021〕721号</t>
  </si>
  <si>
    <t>https://www.lgxc.gov.cn/m/zdgkdetail.html?id=33952</t>
  </si>
  <si>
    <t>临港新片区关于加快氢能和燃料电池汽车产业发展及示范应用的若干措施</t>
  </si>
  <si>
    <t>沪自贸临管委〔2021〕729号</t>
  </si>
  <si>
    <t>https://www.lgxc.gov.cn/contents/25/34137.html</t>
  </si>
  <si>
    <t>临港新片区燃料电池汽车加氢站建设运营若干规定（试行）</t>
  </si>
  <si>
    <t>沪自贸临管委〔2021〕759号</t>
  </si>
  <si>
    <t>https://www.lgxc.gov.cn/contents/25/34971.html</t>
  </si>
  <si>
    <t>关于开展2023年临港新片区加氢设施建设扶持申报工作的通知</t>
  </si>
  <si>
    <t>沪自贸临管委〔2023〕154号</t>
  </si>
  <si>
    <t>https://www.lingang.gov.cn/html/website/lg/index/government/file/1715069133658361857.html</t>
  </si>
  <si>
    <t>关于开展2023年临港新片区燃料电池汽车应用场景建设奖励申报工作的通知</t>
  </si>
  <si>
    <t>沪自贸临管委〔2024〕122号</t>
  </si>
  <si>
    <t>https://www.lingang.gov.cn/html/website/lg/index/government/file/1848790197172523009.html</t>
  </si>
  <si>
    <t>崇明区加快氢能产业发展与应用三年行动计划（2023-2025年）</t>
  </si>
  <si>
    <t>崇明区</t>
  </si>
  <si>
    <t>崇明区经委</t>
  </si>
  <si>
    <t>沪崇经〔2023〕23号</t>
  </si>
  <si>
    <t>https://shcm.gov.cn/govxxgk/qjw/2023-06-02/20e61ef5-6e28-4376-9db2-654570534ee6.html</t>
  </si>
  <si>
    <t>江苏省氢能产业发展中长期规划（2024-2035年）</t>
  </si>
  <si>
    <t>江苏省发改委</t>
  </si>
  <si>
    <t>苏发改高技发〔2024〕483号</t>
  </si>
  <si>
    <t>https://fzggw.jiangsu.gov.cn/art/2024/5/10/art_50999_11242966.html</t>
  </si>
  <si>
    <t>江苏省氢燃料电池汽车产业发展行动规划</t>
  </si>
  <si>
    <t>江苏省工信厅、省发改委、省科技厅</t>
  </si>
  <si>
    <t>工信、发改、科技</t>
  </si>
  <si>
    <t>苏工信产业〔2019〕513号</t>
  </si>
  <si>
    <t>http://gxt.jiangsu.gov.cn/art/2019/8/29/art_6278_8695625.html</t>
  </si>
  <si>
    <t>江苏省推动氢能产业高质量发展行动方案（2025—2030年）</t>
  </si>
  <si>
    <t>江苏省发改委、工信厅</t>
  </si>
  <si>
    <t>苏发改能源发〔2025〕101号</t>
  </si>
  <si>
    <t>https://fzggw.jiangsu.gov.cn/art/2025/2/19/art_84097_11495748.html</t>
  </si>
  <si>
    <t>南京市应急管理局、市发改委、市工信局、市城建委、市规划和自然资源局、市公安局、市商务局、市生态环境局、市交通运输局、市市监局、市消防救援支队</t>
  </si>
  <si>
    <t>应急、发改、工信、建设、规划、公安、商务、生环、交通、监督、消防</t>
  </si>
  <si>
    <t>宁应急规〔2022〕1号</t>
  </si>
  <si>
    <t>http://safety.nanjing.gov.cn/njsaqscjdglj/202207/t20220704_3633947.html</t>
  </si>
  <si>
    <t>南京市加快发展储能与氢能产业行动计划（2023-2025年）</t>
  </si>
  <si>
    <t>南京市工信局</t>
  </si>
  <si>
    <t>关于规范推进加氢站建设管理的工作方案</t>
  </si>
  <si>
    <t>南京市建委</t>
  </si>
  <si>
    <t>建设</t>
  </si>
  <si>
    <t>溧水区氢能产业发展规划</t>
  </si>
  <si>
    <t>溧水区</t>
  </si>
  <si>
    <t>苏州市氢能产业发展指导意见（试行）</t>
  </si>
  <si>
    <t>苏州市发改委、市经信委、市科技局、市交通运输局</t>
  </si>
  <si>
    <t>发改、经信、科技、交通</t>
  </si>
  <si>
    <t>苏府办〔2018〕60 号</t>
  </si>
  <si>
    <t>http://fg.suzhou.gov.cn/szfgw/ggl/201803/82ff24d4aa8e4be4b3c5de60e7570cda.shtml</t>
  </si>
  <si>
    <t>苏州市氢能及燃料电池产业发展规划</t>
  </si>
  <si>
    <t>苏州市人民政府</t>
  </si>
  <si>
    <t>苏府办〔2020〕281号</t>
  </si>
  <si>
    <t>苏州市加氢站安全管理暂行规定</t>
  </si>
  <si>
    <t>苏州市应急管理局</t>
  </si>
  <si>
    <t>应急</t>
  </si>
  <si>
    <t>苏府规字〔2021〕8号</t>
  </si>
  <si>
    <t>http://www.suzhou.gov.cn/szsrmzf/zfwj/202108/2a0da9127d5b40e1a895e2d529392e6c.shtml</t>
  </si>
  <si>
    <t>苏州市加氢站和氢燃料汽车突发事故应急预案</t>
  </si>
  <si>
    <t>常熟氢燃料电池汽车产业发展行动计划（2019～2022年）</t>
  </si>
  <si>
    <t>常熟</t>
  </si>
  <si>
    <t>常熟市人民政府</t>
  </si>
  <si>
    <t>常政办发〔2019〕163 号</t>
  </si>
  <si>
    <t>http://www.changshu.gov.cn//zgcs/c108192/201912/0d100df76e86488983285175de483d67.shtml</t>
  </si>
  <si>
    <t>常熟市氢燃料电池汽车产业发展规划（2019～2030年）</t>
  </si>
  <si>
    <t>常政发〔2019〕55号</t>
  </si>
  <si>
    <t>http://www.changshu.gov.cn//zgcs/c108200/201912/8652e807458042ecb67b025e91a04c5a.shtml</t>
  </si>
  <si>
    <t>2020年常熟氢燃料电池汽车产业发展工作要点</t>
  </si>
  <si>
    <t>常政办发〔2020〕18号</t>
  </si>
  <si>
    <t>http://www.changshu.gov.cn//zgcs/c108192/202002/24e9daf7814441158df4b7c1975f408b.shtml</t>
  </si>
  <si>
    <t>常熟市关于氢燃料电池产业发展的若干政策措施</t>
  </si>
  <si>
    <t>常政办发〔2020〕50号</t>
  </si>
  <si>
    <t>http://www.changshu.gov.cn/zgcs/c108192/202004/ebcd9f21f3f84a8a9681f5552e0789e6.shtml</t>
  </si>
  <si>
    <t>2021年常熟市氢燃料电池产业发展工作要点、常熟市加氢站布局规划（2021-2025）</t>
  </si>
  <si>
    <t>常政办发〔2021〕30号</t>
  </si>
  <si>
    <t>http://www.changshu.gov.cn/zgcs/c100353/202103/d2605466fbb74d5896866eaa43dba39e.shtml</t>
  </si>
  <si>
    <t>常熟市氢燃料电池产业发展规划（2021-2030年）</t>
  </si>
  <si>
    <t>常政办发〔2021〕73号</t>
  </si>
  <si>
    <t>http://www.changshu.gov.cn/zgcs/c108192/202107/fc19c75d013444dbb04007942f8dcbf6.shtml</t>
  </si>
  <si>
    <t>2022年常熟市氢燃料电池产业发展工作要点</t>
  </si>
  <si>
    <t>常政办发〔2022〕33号</t>
  </si>
  <si>
    <t>http://www.changshu.gov.cn/zgcs/c108192/202203/2be1e099580c40b1a25cd84129e17c1f.shtml</t>
  </si>
  <si>
    <t>常熟市2021年第一批氢燃料电池产业政策补贴名单公示</t>
  </si>
  <si>
    <t>常熟市发改委</t>
  </si>
  <si>
    <t>http://www.changshu.gov.cn//zgcs/c100303/202102/6e1692f091914a9692070f883cac6465.shtml</t>
  </si>
  <si>
    <t>2022年氢燃料电池产业发展政策补贴公示</t>
  </si>
  <si>
    <t>http://www.changshu.gov.cn//zgcs/c100303/202207/fb9e0d50d304480bb3d7625c54cfcf89.shtml</t>
  </si>
  <si>
    <t>常熟市2023年氢燃料电池产业发展政策补贴名单公示</t>
  </si>
  <si>
    <t>http://www.changshu.gov.cn/zgcs/c100303/202310/7ed2005962f043e990972d969085d6d5.shtml</t>
  </si>
  <si>
    <t>张家港市氢能产业发展三年行动计划（2018-2020）</t>
  </si>
  <si>
    <t>张家港</t>
  </si>
  <si>
    <t>张家港市人民政府</t>
  </si>
  <si>
    <t>张政发〔2018〕93号</t>
  </si>
  <si>
    <t>http://www.zjg.gov.cn/zjg/zcfg1/201901/10fdbc99f2f64ebd8d2dee0ecc94c65d.shtml</t>
  </si>
  <si>
    <t>张家港市氢能产业发展规划</t>
  </si>
  <si>
    <t>张政发〔2019〕42号</t>
  </si>
  <si>
    <t>http://www.zjg.gov.cn/zjg/gcgh/201906/5e6366ee30c043baa0327587f9185432.shtml</t>
  </si>
  <si>
    <t>张家港市鼓励氢能产业发展的有关意见</t>
  </si>
  <si>
    <t>张政发〔2020〕84号</t>
  </si>
  <si>
    <t>http://www.zjg.gov.cn/zjg/c100038/202010/bd62ce277da1443da663bf5c1b093e2d.shtml</t>
  </si>
  <si>
    <t>张家港市“十四五”氢能产业发展规划</t>
  </si>
  <si>
    <t>张政发〔2021〕99号</t>
  </si>
  <si>
    <t>http://www.zjg.gov.cn/zjg/c100039/202111/cde996c9398e4b7e9c1a784adbc658bb.shtml</t>
  </si>
  <si>
    <t>关于2020年度氢能产业发展扶持资金支持单位名单的公示</t>
  </si>
  <si>
    <t>张家港市发改委</t>
  </si>
  <si>
    <t>https://www.zjg.gov.cn/zjg/tzgg/202108/ce5fb91e6f5d4e9aa4d93b6ddae1976a.shtml</t>
  </si>
  <si>
    <t>关于2021年度氢能产业发展扶持资金支持单位名单的公示</t>
  </si>
  <si>
    <t>https://www.zjg.gov.cn/zjgszwz/fgw_tzgg/202208/1a8dae76f42248578fee64b5552a350b.shtml</t>
  </si>
  <si>
    <t>昆山市氢能产业发展规划（2020-2025）</t>
  </si>
  <si>
    <t>昆山</t>
  </si>
  <si>
    <t>昆山市发改委</t>
  </si>
  <si>
    <t>http://www.ks.gov.cn/kss/lsdc/202009/30987555c4a54e64a3e38b25fb175edb.shtml</t>
  </si>
  <si>
    <t>南通市氢能与燃料电池汽车产业发展指导意见（2022-2025年）</t>
  </si>
  <si>
    <t>南通</t>
  </si>
  <si>
    <t>南通市制造强市建设领导小组办公室</t>
  </si>
  <si>
    <t>通制造强市办政发〔2022〕6号</t>
  </si>
  <si>
    <t>http://gxj.nantong.gov.cn/ntsjxw/bmwj/content/b6dcaf91-990e-45c9-8cbe-9071b5d27205.html</t>
  </si>
  <si>
    <t>如皋市扶持氢能产业发展实施意见</t>
  </si>
  <si>
    <t>如皋</t>
  </si>
  <si>
    <t>如皋市人民政府</t>
  </si>
  <si>
    <t>皋政发〔2018〕79号</t>
  </si>
  <si>
    <t>http://www.rugao.gov.cn/rgsrmzf/szfwj/content/f4217b49-46c3-40fe-94c1-d56289c9321d.html</t>
  </si>
  <si>
    <t>无锡市氢能和储能产业发展三年行动计划（2023-2025）</t>
  </si>
  <si>
    <t>无锡市发改委</t>
  </si>
  <si>
    <t>https://dpc.wuxi.gov.cn/doc/2023/05/18/3960965.shtml</t>
  </si>
  <si>
    <t>2024年无锡市氢能产业发展工作要点</t>
  </si>
  <si>
    <t>无锡市氢能和储能产业发展工作专班</t>
  </si>
  <si>
    <t>工作部</t>
  </si>
  <si>
    <t>https://mp.weixin.qq.com/s/WoJDlwhjZUUC8MNnqXYO8w</t>
  </si>
  <si>
    <t>关于开展2024年度我市氢燃料电池汽车示范应用项目资助工作的通知</t>
  </si>
  <si>
    <t>无锡市工信局</t>
  </si>
  <si>
    <t>https://gxj.wuxi.gov.cn/doc/2024/06/03/4322613.shtml</t>
  </si>
  <si>
    <t>关于拨付2024年度我市氢燃料电池汽车示范应用项目资金的公示</t>
  </si>
  <si>
    <t>https://gxj.wuxi.gov.cn/doc/2024/12/16/4458701.shtml</t>
  </si>
  <si>
    <t>关于开展2025年度我市氢燃料电池汽车示范应用项目资助工作的通知</t>
  </si>
  <si>
    <t>https://gxj.wuxi.gov.cn/doc/2025/05/22/4585915.shtml</t>
  </si>
  <si>
    <t>关于2025年度无锡市氢燃料电池汽车示范应用项目资助的公示</t>
  </si>
  <si>
    <t>https://gxj.wuxi.gov.cn/doc/2025/09/01/4640095.shtml</t>
  </si>
  <si>
    <t>无锡市氢能企业安全管理暂行规定</t>
  </si>
  <si>
    <t>无锡市安全生产委员会</t>
  </si>
  <si>
    <t>安全</t>
  </si>
  <si>
    <t>锡安〔2022〕4号</t>
  </si>
  <si>
    <t>https://yjglj.wuxi.gov.cn/doc/2022/01/30/3599884.shtml</t>
  </si>
  <si>
    <t>江阴临港氢能产业发展规划（2022-2030年）</t>
  </si>
  <si>
    <t>江阴</t>
  </si>
  <si>
    <t>江阴市发改委</t>
  </si>
  <si>
    <t>扬州市氢燃料电池汽车产业行动计划</t>
  </si>
  <si>
    <t>扬州</t>
  </si>
  <si>
    <t>扬州市发改委</t>
  </si>
  <si>
    <t>扬州市区“十四五”加油、加气、加氢站布局规划</t>
  </si>
  <si>
    <t>扬州市氢能产业安全管理暂行规定</t>
  </si>
  <si>
    <t>扬州市安委会</t>
  </si>
  <si>
    <t>安委</t>
  </si>
  <si>
    <t>关于开展扬州市氢能产业安全专项检查的通知</t>
  </si>
  <si>
    <t>扬州市氢能产业发展中长期规划（2023-2035）</t>
  </si>
  <si>
    <t>扬州市推进战略性新兴产业发展工作领导小组办公室</t>
  </si>
  <si>
    <t>扬战新办发〔2023〕3号</t>
  </si>
  <si>
    <t>武进区加快推动氢能产业发展的实施意见</t>
  </si>
  <si>
    <t>常州</t>
  </si>
  <si>
    <t>武进区</t>
  </si>
  <si>
    <t>武进区人民政府</t>
  </si>
  <si>
    <t>武政发〔2023〕4号</t>
  </si>
  <si>
    <t>http://www.wj.gov.cn//html/czwj/2023/CKLQPPJM_0209/72899.html</t>
  </si>
  <si>
    <t>关于支持武进区氢能产业发展的若干措施</t>
  </si>
  <si>
    <t>武政办发〔2023〕3号</t>
  </si>
  <si>
    <t>http://www.wj.gov.cn//html/czwj/2023/CKMNPPJN_0209/72894.html</t>
  </si>
  <si>
    <t>江苏新沂“淮海氢谷”产业发展规划</t>
  </si>
  <si>
    <t>新沂</t>
  </si>
  <si>
    <t>新沂市人民政府</t>
  </si>
  <si>
    <t>http://www.xy.gov.cn/govxxgk/01410330X/2019-04-09/0df46178-d701-4801-abcf-7887fa527374.html</t>
  </si>
  <si>
    <t>镇江市新型储能及氢能发展实施方案（2025-2027年）</t>
  </si>
  <si>
    <t>镇江</t>
  </si>
  <si>
    <t>镇江市人民政府</t>
  </si>
  <si>
    <t>镇政办发〔2025〕3号</t>
  </si>
  <si>
    <t>https://mp.weixin.qq.com/s?__biz=MzI4MjI3NTMzOQ==&amp;mid=2247624558&amp;idx=1&amp;sn=1711244c6073230a4a3f6384ec433e88&amp;chksm=eaf090b5317c07a33b96a9c8394399652768308cd108806d2d0f57e68a01e267c47b307a7e7b&amp;scene=27</t>
  </si>
  <si>
    <t>盐城市绿氢产业发展中长期规划</t>
  </si>
  <si>
    <t>盐城</t>
  </si>
  <si>
    <t>盐城市发改委</t>
  </si>
  <si>
    <t>https://fgw.yancheng.gov.cn/dczj/dczj/idea/topic_11419.html</t>
  </si>
  <si>
    <t>连云港市氢能产业发展规划（2023—2035年）</t>
  </si>
  <si>
    <t>连云港</t>
  </si>
  <si>
    <t>连云港市发改委</t>
  </si>
  <si>
    <t>连发改能源发〔2023〕410号</t>
  </si>
  <si>
    <t>浙江省加快培育氢能产业发展的指导意见</t>
  </si>
  <si>
    <t>浙江省发改委、省经信厅、省科技厅</t>
  </si>
  <si>
    <t>发改、经信、科技</t>
  </si>
  <si>
    <t>浙发改产业〔2019〕375号</t>
  </si>
  <si>
    <t>http://www.zjtz.gov.cn/art/2019/9/10/art_1229193421_1097719.html</t>
  </si>
  <si>
    <t>浙江省加快培育氢燃料电池汽车产业发展实施方案</t>
  </si>
  <si>
    <t>浙江省发改委、省经信厅、省科技厅、省财政厅、省住建厅、省能源局</t>
  </si>
  <si>
    <t>发改、经信、科技、财政、住建、能源</t>
  </si>
  <si>
    <t>浙发改产业〔2021〕388号</t>
  </si>
  <si>
    <t>http://fzggw.zj.gov.cn/art/2021/11/8/art_1229123366_2372425.html</t>
  </si>
  <si>
    <t>浙江省加氢站发展规划</t>
  </si>
  <si>
    <t>浙江省发改委、省能源局、省住建厅</t>
  </si>
  <si>
    <t>发改、能源、住建</t>
  </si>
  <si>
    <t>浙发改能源〔2023〕213号</t>
  </si>
  <si>
    <t>https://fzggw.zj.gov.cn/art/2023/8/28/art_1229123366_2487645.html</t>
  </si>
  <si>
    <t>浙江省氢能装备产业发展行动方案（2023-2025年）</t>
  </si>
  <si>
    <t>浙江省制造业高质量发展领导小组办公室</t>
  </si>
  <si>
    <t>浙制高办〔2023〕18号</t>
  </si>
  <si>
    <t>https://jxt.zj.gov.cn/art/2023/9/11/art_1582899_25721.html</t>
  </si>
  <si>
    <t>中共浙江省委机构编制委员会办公室关于明确燃料电池汽车加氢站管理部门职责分工的通知</t>
  </si>
  <si>
    <t>浙编办函〔2021〕107号</t>
  </si>
  <si>
    <t>浙江省汽车加氢站建设专项规划技术导则及浙江省汽车加氢站建设专项规划编制技术手册（指南）</t>
  </si>
  <si>
    <t>浙江省住建厅</t>
  </si>
  <si>
    <t>http://jst.zj.gov.cn/art/2022/12/12/art_1229159359_58931382.html</t>
  </si>
  <si>
    <t>浙江省汽车加氢站安全运行日常管护技术导则（试行）</t>
  </si>
  <si>
    <t>公告〔2024〕33号</t>
  </si>
  <si>
    <t>https://jst.zj.gov.cn/art/2024/8/23/art_1229741646_58936392.html</t>
  </si>
  <si>
    <t>关于加强汽车加氢站建设运营的实施意见</t>
  </si>
  <si>
    <t>浙江省住建厅、省发改委、省自然资源厅、省应急管理厅、省市监局</t>
  </si>
  <si>
    <t>住建、发改、自然资源、应急、市监</t>
  </si>
  <si>
    <t>浙建〔2023〕4号</t>
  </si>
  <si>
    <t>https://jst.zj.gov.cn/art/2023/6/8/art_1229159074_2478789.html</t>
  </si>
  <si>
    <t>浙建〔2023〕9号</t>
  </si>
  <si>
    <t>https://jst.zj.gov.cn/art/2023/11/15/art_1229159074_2496285.html</t>
  </si>
  <si>
    <t>浙江省汽车加氢站运营隐患排查导则（试行）</t>
  </si>
  <si>
    <t>公告〔2025〕19号</t>
  </si>
  <si>
    <t>https://jst.zj.gov.cn/art/2025/3/24/art_1229741646_58937720.html</t>
  </si>
  <si>
    <t>浙江省关于开展能源领域氢能试点申报工作的通知</t>
  </si>
  <si>
    <t>浙江省能源局</t>
  </si>
  <si>
    <t>https://fzggw.zj.gov.cn/art/2025/6/26/art_1229629046_5536681.html</t>
  </si>
  <si>
    <t>关于加快氢能产业发展的若干意见</t>
  </si>
  <si>
    <t>宁波</t>
  </si>
  <si>
    <t>宁波市人民政府</t>
  </si>
  <si>
    <t>甬政办发〔2019〕7号</t>
  </si>
  <si>
    <t>http://www.ningbo.gov.cn/art/2019/1/24/art_1229533140_964219.html</t>
  </si>
  <si>
    <t>宁波市氢能产业中长期发展规划（2020-2035年）</t>
  </si>
  <si>
    <t>宁波市发改委、市能源局</t>
  </si>
  <si>
    <t>发改、能源</t>
  </si>
  <si>
    <t>http://app.ningbo.gov.cn/jact/front/mailpubdetail.do?transactId=37163&amp;sysid=63</t>
  </si>
  <si>
    <t>宁波市氢能示范应用扶持暂行办法</t>
  </si>
  <si>
    <t>宁波市能源局、市财政局</t>
  </si>
  <si>
    <t>能源、财政</t>
  </si>
  <si>
    <t>甬能源综合〔2021〕93号</t>
  </si>
  <si>
    <t>http://www.ningbo.gov.cn/art/2022/1/6/art_1229095998_1732026.html</t>
  </si>
  <si>
    <t>宁波市燃料电池汽车加氢站安全运营检查导则（试行）</t>
  </si>
  <si>
    <t>关于进一步做好氢能示范应用扶持有关工作的通知</t>
  </si>
  <si>
    <t>甬能源综合〔2024〕105号</t>
  </si>
  <si>
    <t>关于2022年宁波市氢能示范应用第一批补贴情况的公示</t>
  </si>
  <si>
    <t>宁波市能源局</t>
  </si>
  <si>
    <t>http://fgw.ningbo.gov.cn/art/2022/4/12/art_1229019928_58960719.html</t>
  </si>
  <si>
    <t>关于2023年宁波市氢能示范应用第二批补贴情况的公示</t>
  </si>
  <si>
    <t>http://fgw.ningbo.gov.cn/art/2023/12/19/art_1229019928_58965060.html</t>
  </si>
  <si>
    <t>关于2024年宁波市氢能示范应用第一批补贴情况的公示</t>
  </si>
  <si>
    <t>http://fgw.ningbo.gov.cn/art/2024/8/13/art_1229019928_58970128.html</t>
  </si>
  <si>
    <t>关于2025年宁波市氢能示范应用第一批补贴情况的公示</t>
  </si>
  <si>
    <t>https://fgw.ningbo.gov.cn/art/2025/3/19/art_1229019928_58971520.html</t>
  </si>
  <si>
    <t>关于2026年宁波市氢能示范应用补贴情况的公示</t>
  </si>
  <si>
    <t>https://fgw.ningbo.gov.cn/col/col1229019928/art/2026/art_bc908174e7154990b74a1e0f7b0a7309.html</t>
  </si>
  <si>
    <t>关于组织申报2026年度宁波市氢能示范应用补贴资金的通知</t>
  </si>
  <si>
    <t>https://fgw.ningbo.gov.cn/col/col1229019928/art/2026/art_3ad04660842b4d77867bb5d61d64be3c.html</t>
  </si>
  <si>
    <t>关于支持镇海区氢能产业发展的若干意见（试行）</t>
  </si>
  <si>
    <t>镇海区</t>
  </si>
  <si>
    <t>镇海区发改局</t>
  </si>
  <si>
    <t>https://www.zh.gov.cn/art/2024/4/3/art_1229034556_59321868.html</t>
  </si>
  <si>
    <t>关于2024年度镇海区氢燃料电池汽车示范应用专项资金补贴情况公示</t>
  </si>
  <si>
    <t>https://www.zh.gov.cn/art/2025/1/17/art_1229821563_59374176.html</t>
  </si>
  <si>
    <t>嘉兴市加快氢能产业发展的工作意见</t>
  </si>
  <si>
    <t>嘉兴市发改委</t>
  </si>
  <si>
    <t>http://www.jiaxing.gov.cn/art/2020/1/20/art_1580052_41773627.html</t>
  </si>
  <si>
    <t>关于加快推动氢能产业发展的实施意见</t>
  </si>
  <si>
    <t>嘉兴市人民政府</t>
  </si>
  <si>
    <t>嘉政办发〔2021〕23号</t>
  </si>
  <si>
    <t>http://www.jiaxing.gov.cn/art/2021/6/15/art_1229426374_2302539.html</t>
  </si>
  <si>
    <t>嘉兴市氢能产业发展规划（2021-2035年）</t>
  </si>
  <si>
    <t>嘉兴市发改委、经信局</t>
  </si>
  <si>
    <t>发改、经信</t>
  </si>
  <si>
    <t>嘉发改〔2021〕88号</t>
  </si>
  <si>
    <t>http://www.jiaxing.gov.cn/art/2021/12/17/art_1228922755_59498808.html</t>
  </si>
  <si>
    <t>嘉兴市推动氢能产业发展财政补助实施细则</t>
  </si>
  <si>
    <t>嘉兴市经信局、市发改委、市科技局、市财政局、市人社局、市住建局、市交通运输局、市应急管理局、市市监局、市气象局</t>
  </si>
  <si>
    <t>经信、发改、科技、财政、人社、住建、交通、应急、监督、气象</t>
  </si>
  <si>
    <t>嘉经信技装〔2022〕4号</t>
  </si>
  <si>
    <t>http://jxj.jiaxing.gov.cn/art/2022/1/24/art_1599223_40.html</t>
  </si>
  <si>
    <t>关于修改《嘉兴市推动氢能产业发展财政补助实施细则》部分内容的通知</t>
  </si>
  <si>
    <t>嘉兴市经信局</t>
  </si>
  <si>
    <t>嘉经信技装〔2023〕60号</t>
  </si>
  <si>
    <t>https://www.jiaxing.gov.cn/art/2023/10/27/art_1229426375_2494257.html</t>
  </si>
  <si>
    <t>嘉兴市燃料电池汽车加氢站建设运营管理实施意见</t>
  </si>
  <si>
    <t>嘉兴市住建局、市发改委、市自然资源和规划局、市应急管理局、市市监局、市气象局</t>
  </si>
  <si>
    <t>住建、发改、自然资源、应急、市监、气象</t>
  </si>
  <si>
    <t>嘉建〔2023〕18号</t>
  </si>
  <si>
    <t>https://jsj.jiaxing.gov.cn/art/2023/9/22/art_1229373161_2491634.html</t>
  </si>
  <si>
    <t>关于市本级加氢站运营、氢燃料电池公交车购置补贴的公示</t>
  </si>
  <si>
    <t>https://fzggw.jiaxing.gov.cn/art/2023/9/28/art_1229499092_58949013.html</t>
  </si>
  <si>
    <t>关于建立嘉兴市推进氢能船舶应用试点工作协调机制的通知</t>
  </si>
  <si>
    <t>嘉兴市氢能产业发展工作领导小组办公室</t>
  </si>
  <si>
    <t>办公室</t>
  </si>
  <si>
    <t>关于进一步推动氢能产业高质量发展的若干意见</t>
  </si>
  <si>
    <t>嘉政办发〔2024〕24号</t>
  </si>
  <si>
    <t>https://www.jiaxing.gov.cn/art/2024/9/24/art_1229426374_2529973.html</t>
  </si>
  <si>
    <t>嘉兴市氢能产业标准图谱</t>
  </si>
  <si>
    <t>嘉兴市市监管理局</t>
  </si>
  <si>
    <t>https://www.jiaxing.gov.cn/art/2025/10/16/art_1556478_59668444.html</t>
  </si>
  <si>
    <t>嘉善县推进氢能产业发展和示范应用实施方案（2019-2022年）</t>
  </si>
  <si>
    <t>嘉善县</t>
  </si>
  <si>
    <t>嘉善县人民政府</t>
  </si>
  <si>
    <t>善政办发〔2019〕7号</t>
  </si>
  <si>
    <t>http://www.jiashan.gov.cn/art/2019/2/1/art_1229199096_1806880.html</t>
  </si>
  <si>
    <t>关于加快推进氢能产业发展的若干政策意见</t>
  </si>
  <si>
    <t>善政发〔2020〕7号</t>
  </si>
  <si>
    <t>http://www.jiashan.gov.cn/art/2020/4/7/art_1229203785_1806460.html</t>
  </si>
  <si>
    <t>关于加快推进氢能产业发展的若干政策意见（2）</t>
  </si>
  <si>
    <t>善政发〔2020〕23号</t>
  </si>
  <si>
    <t>http://www.jiashan.gov.cn/art/2020/11/13/art_1229203785_2147915.html</t>
  </si>
  <si>
    <t>关于加快推进氢能产业发展的若干政策意见（2022年版）</t>
  </si>
  <si>
    <t>善政发〔2022〕13号</t>
  </si>
  <si>
    <t>http://www.jiashan.gov.cn/art/2022/8/9/art_1229203785_2415501.html</t>
  </si>
  <si>
    <t>嘉善县燃料电池汽车示范应用第二年度中央补助资金公示</t>
  </si>
  <si>
    <t>嘉善县经信局</t>
  </si>
  <si>
    <t>https://www.jiashan.gov.cn/art/2025/3/17/art_1229373860_5478439.html</t>
  </si>
  <si>
    <t>嘉善县燃料电池汽车示范应用第三年度中央补助资金使用名单</t>
  </si>
  <si>
    <t>https://www.jiashan.gov.cn/art/2025/7/4/art_1229373860_5541579.html</t>
  </si>
  <si>
    <t>嘉兴港区氢能产业规划（2020—2025）</t>
  </si>
  <si>
    <t>嘉兴港区</t>
  </si>
  <si>
    <t>嘉兴港区氢能产业发展扶持政策</t>
  </si>
  <si>
    <t>嘉兴港区开发建设管理委员会、嘉兴综合保税区管理委员会</t>
  </si>
  <si>
    <t>嘉港区〔2022〕29号</t>
  </si>
  <si>
    <t>http://jxgq.jiaxing.gov.cn/art/2022/5/10/art_1229398104_2403391.html</t>
  </si>
  <si>
    <t>关于进一步推动氢能产业高质量发展的若干政策意见</t>
  </si>
  <si>
    <t>乍浦经济开发区管理委员会</t>
  </si>
  <si>
    <t>https://jxgq.jiaxing.gov.cn/art/2025/5/12/art_1229398104_2554109.html</t>
  </si>
  <si>
    <t>关于组织开展长三角氢能高速示范线揭榜挂帅工作的通知</t>
  </si>
  <si>
    <t>乍浦经济开发区自然资源和规划建设局、乍浦经济开发区经济发展部</t>
  </si>
  <si>
    <t>自然，经济</t>
  </si>
  <si>
    <t>嘉港资规建〔2025〕16号</t>
  </si>
  <si>
    <t>https://jxgq.jiaxing.gov.cn/art/2025/8/26/art_1229398092_5588455.html</t>
  </si>
  <si>
    <t>海盐县加快推进氢能产业发展若干政策意见</t>
  </si>
  <si>
    <t>海盐县</t>
  </si>
  <si>
    <t>海盐县人民政府</t>
  </si>
  <si>
    <t>盐政办发〔2023〕21号</t>
  </si>
  <si>
    <t>http://www.haiyan.gov.cn/art/2023/7/5/art_1229499157_2482591.html</t>
  </si>
  <si>
    <t>关于公开征求修订《海盐县氢能产业发展专项政策意见》意见的通知</t>
  </si>
  <si>
    <t>海盐县经信局</t>
  </si>
  <si>
    <t>https://www.haiyan.gov.cn/col/col1229436892/art/2025/art_7708d7dd629d464f8a1938e7812eec05.html</t>
  </si>
  <si>
    <t>平湖市加快推进氢能产业发展和示范应用实施意见的通知</t>
  </si>
  <si>
    <t>平湖市</t>
  </si>
  <si>
    <t>平湖市人民政府</t>
  </si>
  <si>
    <t>平政发〔2020〕128号</t>
  </si>
  <si>
    <t>http://www.pinghu.gov.cn/art/2020/12/25/art_1229456457_2247939.html</t>
  </si>
  <si>
    <t>关于加快培育舟山市氢能产业发展的指导意见</t>
  </si>
  <si>
    <t>舟山</t>
  </si>
  <si>
    <t>舟山市人民政府</t>
  </si>
  <si>
    <t>舟政办发〔2020〕112号</t>
  </si>
  <si>
    <t>http://xxgk.zhoushan.gov.cn/art/2020/12/25/art_1229433788_41506.html</t>
  </si>
  <si>
    <t>关于加快新旧动能转换推动氢能产业强势发展的若干意见</t>
  </si>
  <si>
    <t>普陀区</t>
  </si>
  <si>
    <t>普陀区人民政府</t>
  </si>
  <si>
    <t>舟普政发〔2021〕4号</t>
  </si>
  <si>
    <t>http://www.putuo.gov.cn/art/2021/1/26/art_1229296022_1634002.html</t>
  </si>
  <si>
    <t>金华市加快氢能产业发展的实施意见</t>
  </si>
  <si>
    <t>金华</t>
  </si>
  <si>
    <t>金华市发改委</t>
  </si>
  <si>
    <t>http://fgw.jinhua.gov.cn/art/2021/1/7/art_1229472907_3787010.html</t>
  </si>
  <si>
    <t>关于浦江县支持氢能装备制造产业发展办法（试行）</t>
  </si>
  <si>
    <t>浦江县</t>
  </si>
  <si>
    <t>中共浦江县委科技强县建设领导小组</t>
  </si>
  <si>
    <t>浦委科领〔2023〕4号</t>
  </si>
  <si>
    <t>https://www.pj.gov.cn/art/2024/3/15/art_1229430232_1802239.html#</t>
  </si>
  <si>
    <t>绍兴市氢能产业发展规划（2021-2025年）</t>
  </si>
  <si>
    <t>绍兴</t>
  </si>
  <si>
    <t>绍兴市发改委</t>
  </si>
  <si>
    <t>湖州市氢能产业发展规划（2023-2035年）</t>
  </si>
  <si>
    <t>湖州市发改委、市经信局</t>
  </si>
  <si>
    <t>湖发改产业〔2023〕150号</t>
  </si>
  <si>
    <t>http://fgw.huzhou.gov.cn/art/2023/8/4/art_1229210747_58838189.html</t>
  </si>
  <si>
    <t>关于修订《湖州市氢能产业发展规划（2023-2035年）》的通知</t>
  </si>
  <si>
    <t>湖发改产业〔2024〕81号</t>
  </si>
  <si>
    <t>https://fgw.huzhou.gov.cn/art/2024/3/29/art_1229210782_58839618.html</t>
  </si>
  <si>
    <t>湖州市储能和氢能产业发展实施意见（2023-2027年）</t>
  </si>
  <si>
    <t>湖州市发改委、市经信局、市科技局、市财政局、市住建局、市交通运输局</t>
  </si>
  <si>
    <t>发改、经信、科技、财政、住建、交通</t>
  </si>
  <si>
    <t>http://fgw.huzhou.gov.cn/art/2023/11/15/art_1229210767_58838826.html</t>
  </si>
  <si>
    <t>湖州市住建局、市发改委、市自然资源和规划局、市应急管理局、市市监局、市气象局</t>
  </si>
  <si>
    <t>住建、发改、自然、应急、市监、气象</t>
  </si>
  <si>
    <t>湖建发〔2025〕14号</t>
  </si>
  <si>
    <t>https://jsj.huzhou.gov.cn/col/col1229210065/art/2025/art_1d51c91d0b2eed28d65adebc68e37f7f.html</t>
  </si>
  <si>
    <t>临海市氢能产业发展扶持政策</t>
  </si>
  <si>
    <t>台山</t>
  </si>
  <si>
    <t>临海</t>
  </si>
  <si>
    <t>临海市发改局</t>
  </si>
  <si>
    <t>https://minyi.zjzwfw.gov.cn/dczjnewls/dczj/idea/topic_19587.html</t>
  </si>
  <si>
    <t>安徽省氢能产业发展中长期规划</t>
  </si>
  <si>
    <t>安徽省发改委、能源局</t>
  </si>
  <si>
    <t>https://www.ah.gov.cn/public/1681/554184001.html</t>
  </si>
  <si>
    <t>安徽省氢能产业高质量发展三年行动计划（2023—2025年）</t>
  </si>
  <si>
    <t>安徽省发改委</t>
  </si>
  <si>
    <t>皖发改产业〔2023〕597号</t>
  </si>
  <si>
    <t>一图系列发在公众号了</t>
  </si>
  <si>
    <t>皖发改产业规〔2025〕2号</t>
  </si>
  <si>
    <t>https://fzggw.ah.gov.cn/public/7011/149842461.html</t>
  </si>
  <si>
    <t>合肥市氢能产业发展工作计划（2022-2023年）</t>
  </si>
  <si>
    <t>合肥</t>
  </si>
  <si>
    <t>2022年合肥市氢能产业发展重点工作任务清单</t>
  </si>
  <si>
    <t>六安市氢能产业发展规划（2020-2025年）</t>
  </si>
  <si>
    <t>六安市人民政府</t>
  </si>
  <si>
    <t>六政秘〔2020〕134号</t>
  </si>
  <si>
    <t>http://www.luan.gov.cn/public/6608171/9101521.html</t>
  </si>
  <si>
    <t>关于大力支持氢燃料电池产业发展的意见</t>
  </si>
  <si>
    <t>六政〔2019〕19号</t>
  </si>
  <si>
    <t>http://www.luan.gov.cn/public/6608181/8594031.html</t>
  </si>
  <si>
    <t>六安市氢能产业高质量发展三年行动计划</t>
  </si>
  <si>
    <t>六政办〔2024〕7号</t>
  </si>
  <si>
    <t>https://www.luan.gov.cn/zwzx/ztzl/zxzt/lasssyfsqgc/zcjd/zc/10512473.html</t>
  </si>
  <si>
    <t>六安市住建局、市发改委、市科技局、市公安局、市财政局、市自然资源和规划局、市生态环境局、市交通局、市商务局、市应急管理局、市市监管理局、市城管局、市消防救援局、市气象局</t>
  </si>
  <si>
    <t>住建、发改、科技、公安、财政、自然资源、生态、交通、商务、应急、市监、城管、消防、气象</t>
  </si>
  <si>
    <t>六建公〔2024〕61号</t>
  </si>
  <si>
    <t>金安区支持氢能产业发展的实施办法（试行）</t>
  </si>
  <si>
    <t>金安区</t>
  </si>
  <si>
    <t>六安市金安区人民政府</t>
  </si>
  <si>
    <t>金政办〔2023〕7号</t>
  </si>
  <si>
    <t>https://www.ja.gov.cn/public/6596411/25249355.html</t>
  </si>
  <si>
    <t>铜陵氢能产业发展规划纲要</t>
  </si>
  <si>
    <t>铜陵</t>
  </si>
  <si>
    <t>铜陵市人民政府</t>
  </si>
  <si>
    <t>芜湖市加氢站管理办法</t>
  </si>
  <si>
    <t>芜湖市住建局</t>
  </si>
  <si>
    <t>http://zjw.wuhu.gov.cn/xwzx/ztzl/rqgl/8262824.html</t>
  </si>
  <si>
    <t>关于加强和规范汽车加氢站规划建设工作的通知</t>
  </si>
  <si>
    <t>芜湖市推进燃料电池汽车示范城市群建设工作领导小组</t>
  </si>
  <si>
    <t>芜湖市区加氢站布点规划（2021-2035年）</t>
  </si>
  <si>
    <t>芜湖经济技术开发区关于加快推动氢能产业高质量发展的若干措施</t>
  </si>
  <si>
    <t>芜湖经开区经济贸易发展局</t>
  </si>
  <si>
    <t>经贸</t>
  </si>
  <si>
    <t>开办〔2025〕15号</t>
  </si>
  <si>
    <t>https://weda.wuhu.gov.cn/zwgk/tzgg/18520457.html</t>
  </si>
  <si>
    <t>淮北</t>
  </si>
  <si>
    <t>濉溪县</t>
  </si>
  <si>
    <t>濉溪县人民政府</t>
  </si>
  <si>
    <t>http://www.sxx.gov.cn/mhsx/tzsx/zszc/60461141.html</t>
  </si>
  <si>
    <t>关于加快氢能产业发展的若干政策（试行）</t>
  </si>
  <si>
    <t>濉溪县氢能产业发展战略规划（2021-2030）</t>
  </si>
  <si>
    <t>滁州市氢能产业发展指导意见（试行）</t>
  </si>
  <si>
    <t>滁州</t>
  </si>
  <si>
    <t>滁州市氢能产业发展实施细则（试行）</t>
  </si>
  <si>
    <t>滁州市加氢站建设管理规范（试行）</t>
  </si>
  <si>
    <t>阜阳市氢能源产业发展规划（2021-2035年）</t>
  </si>
  <si>
    <t>阜阳</t>
  </si>
  <si>
    <t>阜阳市发改委</t>
  </si>
  <si>
    <t>https://www.fy.gov.cn/openness/detail/content/62c7a8388866888e4e8b4567.html</t>
  </si>
  <si>
    <t>淮南市加氢站管理办法（暂行）</t>
  </si>
  <si>
    <t>淮南</t>
  </si>
  <si>
    <t>淮南市发改委</t>
  </si>
  <si>
    <t>https://fgw.huainan.gov.cn/public/118319839/1260688804.html</t>
  </si>
  <si>
    <t>福建省氢能产业发展行动计划（2022-2025年）</t>
  </si>
  <si>
    <t>福建省发改委</t>
  </si>
  <si>
    <t>闽发改高技〔2022〕690号</t>
  </si>
  <si>
    <t>http://fgw.fujian.gov.cn/zfxxgkzl/zfxxgkml/ghjh/202212/t20221221_6082573.htm</t>
  </si>
  <si>
    <t>福建省氢能产业创新发展中长期规划（2025—2035年）</t>
  </si>
  <si>
    <t>闽发改高技〔2025〕264号</t>
  </si>
  <si>
    <t>https://fgw.fujian.gov.cn/zfxxgkzl/zfxxgkml/ghjh/202506/t20250618_6928549.htm</t>
  </si>
  <si>
    <t>福州市促进氢能源产业发展扶持办法</t>
  </si>
  <si>
    <t>福州市工信局、市财政局、市地方金融监督管理局、市商务局、市科技局、市公安局、市交通运输局、市城管委</t>
  </si>
  <si>
    <t>工信、财政、金融、商务、科技、公安、交通、城管</t>
  </si>
  <si>
    <t>榕工信装备〔2020〕192号</t>
  </si>
  <si>
    <t>http://www.fuzhou.gov.cn/zgfzzt/sjxw/fzjx/hqzc/202101/t20210112_3950106.htm</t>
  </si>
  <si>
    <t>福州市加氢站建设及经营管理暂行办法</t>
  </si>
  <si>
    <t>福州市人民政府</t>
  </si>
  <si>
    <t>榕政办〔2020〕109号</t>
  </si>
  <si>
    <t>http://www.fuzhou.gov.cn/zgfzzt/sajj/fzaj/zwgk_35707/zcfg/202011/t20201120_3653776.htm</t>
  </si>
  <si>
    <t>厦门市氢能产业高质量发展行动计划（2025—2027年）</t>
  </si>
  <si>
    <t>厦门市发改委</t>
  </si>
  <si>
    <t>厦发改高技〔2025〕586号</t>
  </si>
  <si>
    <t>https://dpc.xm.gov.cn/xxgk/xxgkml/ghjh/202509/t20250924_2957373.htm</t>
  </si>
  <si>
    <t>厦门市燃料电池汽车加氢站建设管理暂行办法</t>
  </si>
  <si>
    <t>厦门市市政园林局</t>
  </si>
  <si>
    <t>园林</t>
  </si>
  <si>
    <t>https://szyl.xm.gov.cn/xxgk/zfxxgkml/tjxx/202512/t20251217_2972367.htm</t>
  </si>
  <si>
    <t>厦门市促进氢能产业高质量发展若干政策措施</t>
  </si>
  <si>
    <t>https://dpc.xm.gov.cn/gzcy/yjzj/202512/t20251229_2974440.htm</t>
  </si>
  <si>
    <t>江西省氢能产业发展中长期规划（2023-2035年）</t>
  </si>
  <si>
    <t>江西省发改委、省能源局</t>
  </si>
  <si>
    <t>http://www.jiangxi.gov.cn/art/2023/1/30/art_4985_4343652.html</t>
  </si>
  <si>
    <t>关于推动氢能产业高质量发展的若干措施</t>
  </si>
  <si>
    <t>江西省发改委</t>
  </si>
  <si>
    <t>http://drc.jiangxi.gov.cn/art/2024/8/9/art_14590_4977904.html</t>
  </si>
  <si>
    <t>九江市氢能产业发展规划（2022-2030年）</t>
  </si>
  <si>
    <t>九江</t>
  </si>
  <si>
    <t>九江市发改委</t>
  </si>
  <si>
    <t>http://fgw.jiujiang.gov.cn/zwzx_205/gggs/202211/t20221108_5835611.html</t>
  </si>
  <si>
    <t>九江市支持氢能产业发展的若干政策措施（试行）</t>
  </si>
  <si>
    <t>九江市人民政府</t>
  </si>
  <si>
    <t>九府办发〔2024〕10号</t>
  </si>
  <si>
    <t>https://www.jiujiang.gov.cn/xxgk/xzwgk/jcgk/zcwj/szfbgswj/202404/t20240429_6528349.html</t>
  </si>
  <si>
    <t>九江市进一步支持氢能产业高质量发展的若干措施</t>
  </si>
  <si>
    <t>九府办发〔2025〕14号</t>
  </si>
  <si>
    <t>https://www.jiujiang.gov.cn/xxgk/xzwgk/jcgk/zcwj/szfbgswj/202508/t20250818_6995564.html</t>
  </si>
  <si>
    <t>九江市支持氢燃料电池车辆示范应用实施细则</t>
  </si>
  <si>
    <t>九江市交通局</t>
  </si>
  <si>
    <t>九交字〔2026〕9号</t>
  </si>
  <si>
    <t>https://jtj.jiujiang.gov.cn/zwgk_227/zc/zcwj/202603/t20260302_7182443.html</t>
  </si>
  <si>
    <t>吉安市加氢站建设管理暂行办法</t>
  </si>
  <si>
    <t>吉安</t>
  </si>
  <si>
    <t>吉安市发改委、市工信局、市商务局、市应急管理局、市自然资源局、市住建局、市市监局、市生环局、市公安局、市交通运输局、市消防救援支队</t>
  </si>
  <si>
    <t>发改、工信、商务、应急、自然资源、住建、市监、生环、公安、交通、消防</t>
  </si>
  <si>
    <t>吉市发改能源综合字〔2024〕26号</t>
  </si>
  <si>
    <t>山东省氢能产业中长期发展规划（2020-2030年）</t>
  </si>
  <si>
    <t>山东省人民政府</t>
  </si>
  <si>
    <t>鲁政办字〔2020〕81号</t>
  </si>
  <si>
    <t>http://www.shandong.gov.cn/art/2020/6/24/art_107851_107610.html</t>
  </si>
  <si>
    <t>2022年燃料电池汽车推广应用和加氢站建设奖励实施细则</t>
  </si>
  <si>
    <t>山东省工信厅、省财政厅</t>
  </si>
  <si>
    <t>工信、财政</t>
  </si>
  <si>
    <t>鲁工信装〔2022〕29号</t>
  </si>
  <si>
    <t>山东省氢能产业发展工程行动方案</t>
  </si>
  <si>
    <t>山东省能源局</t>
  </si>
  <si>
    <t>关于山东省“十四五”期间氢能产业重大示范试点项目（第二批）评选结果的公示</t>
  </si>
  <si>
    <t>山东省氢能产业发展工作领导小组办公室</t>
  </si>
  <si>
    <t>http://nyj.shandong.gov.cn/art/2021/4/13/art_59960_10286772.html</t>
  </si>
  <si>
    <t>山东省氢能产业标准体系建设指导意见</t>
  </si>
  <si>
    <t>山东省市监局</t>
  </si>
  <si>
    <t>市监</t>
  </si>
  <si>
    <t>鲁市监标字〔2020〕302号</t>
  </si>
  <si>
    <t>关于对氢能车辆暂免收取高速公路通行费的通知</t>
  </si>
  <si>
    <t>山东省交通运输厅、省发改委、省科技厅</t>
  </si>
  <si>
    <t>交通、发改、科技</t>
  </si>
  <si>
    <t>鲁交财〔2024〕2号</t>
  </si>
  <si>
    <t>济南市氢能产业发展三年行动计划（2020-2022年）</t>
  </si>
  <si>
    <t>济南市人民政府</t>
  </si>
  <si>
    <t>济政办字〔2020〕34号</t>
  </si>
  <si>
    <t>http://www.jinan.gov.cn/art/2020/7/28/art_2615_4547796.html?xxgkhide=1</t>
  </si>
  <si>
    <t>关于推进济南市汽车加氢站规划建设运营管理工作的实施意见</t>
  </si>
  <si>
    <t>济政办发〔2020〕32号</t>
  </si>
  <si>
    <t>http://www.jinan.gov.cn/art/2020/11/9/art_2610_4762235.html</t>
  </si>
  <si>
    <t>济政办发〔2023〕3号</t>
  </si>
  <si>
    <t>http://www.jinan.gov.cn/art/2023/3/6/art_2610_4944956.html</t>
  </si>
  <si>
    <t>青岛市氢能产业发展规划（2020-2030年）</t>
  </si>
  <si>
    <t>青岛市人民政府</t>
  </si>
  <si>
    <t>http://www.qingdao.gov.cn/zwgk/xxgk/fgw/gkml/gwfg/202012/t20201221_2845984.shtml</t>
  </si>
  <si>
    <t>关于做好青岛市加氢站规划建设工作的通知</t>
  </si>
  <si>
    <t>青岛市住建局</t>
  </si>
  <si>
    <t>http://www.qingdao.gov.cn/zwgk/xxgk/cxjs/ywfl/szgd/202304/t20230404_7102445.shtml</t>
  </si>
  <si>
    <t>青岛市汽车加氢站运营管理暂行规定</t>
  </si>
  <si>
    <t>青岛市城管局</t>
  </si>
  <si>
    <t>http://csglj.qingdao.gov.cn/cg_gggs/cg_gggs1/202306/t20230620_7243332.shtml</t>
  </si>
  <si>
    <t>青岛市加氢站布局规划（2021-2035年）</t>
  </si>
  <si>
    <t>http://sjw.qingdao.gov.cn/cxjsj1/cxjsj35/202308/t20230831_7442539.shtml</t>
  </si>
  <si>
    <t>青岛市氢能产业园发展若干政策</t>
  </si>
  <si>
    <t>青政办字〔2023〕60号</t>
  </si>
  <si>
    <t>http://www.qingdao.gov.cn/zwgk/zdgk/fgwj/zcwj/szfgw/202310/t20231012_7507531.shtml</t>
  </si>
  <si>
    <t>2026年度青岛市支持降低氢燃料电池汽车加氢成本补助资金项目申报指南</t>
  </si>
  <si>
    <t>青岛市工信局</t>
  </si>
  <si>
    <t>青岛西海岸新区汽车加氢站规划建设和运营管理暂行办法</t>
  </si>
  <si>
    <t>西海岸区</t>
  </si>
  <si>
    <t>西海岸区管委办公室</t>
  </si>
  <si>
    <t>青西新管办发〔2020〕67号</t>
  </si>
  <si>
    <t>http://www.xihaian.gov.cn/zwgk/gknr/zfwj/zcxwj/bgswj/202012/t20201207_2741468.shtml</t>
  </si>
  <si>
    <t>青岛西海岸区氢能产业发展规划（2021-2030年）</t>
  </si>
  <si>
    <t>青西新管办发〔2022〕2号</t>
  </si>
  <si>
    <t>http://www.xihaian.gov.cn/zwgk/gknr/zfwj/zcxwj/bgswj/202201/t20220125_4279217.shtml</t>
  </si>
  <si>
    <t>潍坊市氢能产业发展三年行动计划（2019-2021年）</t>
  </si>
  <si>
    <t>潍坊市人民政府</t>
  </si>
  <si>
    <t>潍政办字〔2019〕161号</t>
  </si>
  <si>
    <t>http://www.weifang.gov.cn/xxgk/gb/doc_detail.html?xxid=5567562</t>
  </si>
  <si>
    <t>潍坊市氢能产业中长期发展规划（2020-2030年）</t>
  </si>
  <si>
    <t>潍政办字〔2020〕129号</t>
  </si>
  <si>
    <t>http://fgw.weifang.gov.cn/tzgg/202109/t20210916_5941285.html</t>
  </si>
  <si>
    <t>潍政办字〔2019〕61号</t>
  </si>
  <si>
    <t>http://www.weifang.gov.cn/xxgk/gb/doc_detail.html?xxid=5367216</t>
  </si>
  <si>
    <t>潍坊市促进加氢站建设及运营扶持办法</t>
  </si>
  <si>
    <t>潍政办发〔2020〕3号</t>
  </si>
  <si>
    <t>http://www.weifang.gov.cn/xxgk/gb/doc_detail.html?xxid=5578901</t>
  </si>
  <si>
    <t>“氢进万家”科技示范工程工作推进方案</t>
  </si>
  <si>
    <t>潍坊市氢能产业发展工作专班办公室</t>
  </si>
  <si>
    <t>潍氢班办〔2021〕3号</t>
  </si>
  <si>
    <t>关于支持氢能产业发展的若干政策</t>
  </si>
  <si>
    <t>潍政办字〔2021〕179号</t>
  </si>
  <si>
    <t>http://www.weifang.gov.cn/162/55329/1478640467267686400.html</t>
  </si>
  <si>
    <t>潍坊市加氢站建设运营扶持办法</t>
  </si>
  <si>
    <t>潍政办发〔2022〕1号</t>
  </si>
  <si>
    <t>http://www.weifang.gov.cn/162/55329/1501728770271350785.html</t>
  </si>
  <si>
    <t>关于做好全市汽车加氢站规划建设运营管理工作的意见（2022年版）</t>
  </si>
  <si>
    <t>潍政办字〔2022〕72号</t>
  </si>
  <si>
    <t>http://www.weifang.gov.cn/162/55329/1540133094714118144.html</t>
  </si>
  <si>
    <t>潍坊市加氢站专项规划（2021-2035年）</t>
  </si>
  <si>
    <t>http://csglj.weifang.gov.cn/SZDT/TZGG/202303/t20230329_6182999.htm</t>
  </si>
  <si>
    <t>潍坊市委组织部、市发改委、市教育局、市科技局、市工信局、市公安局、市财政局、市人社局、市自然资源和规划局、市城管局、市交通运输局、市应急管理局、市国有资产监管局、市市监局</t>
  </si>
  <si>
    <t>组织部、发改、教育、科技、工信、公安、财政、人力资源、自然、城管、交通、应急、国有资产、市监</t>
  </si>
  <si>
    <t>潍发改能源〔2025〕109 号</t>
  </si>
  <si>
    <t>http://www.weifang.gov.cn/162/55330/1930568925028945920.html</t>
  </si>
  <si>
    <t>关于支持氢能产业发展的意见</t>
  </si>
  <si>
    <t>济宁市人民政府</t>
  </si>
  <si>
    <t>济政字〔2019〕66号</t>
  </si>
  <si>
    <t>http://www.jining.gov.cn/art/2019/12/24/art_33386_2409266.html</t>
  </si>
  <si>
    <t>济政字〔2020〕79号</t>
  </si>
  <si>
    <t>http://www.jining.gov.cn/art/2020/12/19/art_33386_2714795.html</t>
  </si>
  <si>
    <t>济宁市加氢站建设管理暂行办法</t>
  </si>
  <si>
    <t>济政办字〔2019〕55号</t>
  </si>
  <si>
    <t>http://www.jining.gov.cn/art/2019/11/18/art_33389_2409157.html</t>
  </si>
  <si>
    <t>济宁市氢能产业中长期发展规划（2021-2030）</t>
  </si>
  <si>
    <t>济宁市工信局</t>
  </si>
  <si>
    <t>济工信字〔2021〕48号</t>
  </si>
  <si>
    <t>http://www.jining.gov.cn/art/2021/6/30/art_59679_2747335.html</t>
  </si>
  <si>
    <t>泰安市关于加快推进氢能产业发展的实施意见</t>
  </si>
  <si>
    <t>泰安</t>
  </si>
  <si>
    <t>泰安市人民政府</t>
  </si>
  <si>
    <t>泰政办字〔2020〕62号</t>
  </si>
  <si>
    <t>http://www.taian.gov.cn/art/2021/1/5/art_119974_10270643.html</t>
  </si>
  <si>
    <t>泰安市城区加油加气加氢充换电站点布局专项规划（2023-2035年）</t>
  </si>
  <si>
    <t>泰安市自然资源和规划局</t>
  </si>
  <si>
    <t>自然资源</t>
  </si>
  <si>
    <t>http://zrzyj.taian.gov.cn/art/2023/9/14/art_69043_10320314.html</t>
  </si>
  <si>
    <t>宁阳县加氢站建设管理暂行办法</t>
  </si>
  <si>
    <t>宁阳县</t>
  </si>
  <si>
    <t>宁阳县人民政府</t>
  </si>
  <si>
    <t>宁政办字〔2025〕2号</t>
  </si>
  <si>
    <t>http://www.ny.gov.cn/art/2025/3/31/art_270689_18461.html</t>
  </si>
  <si>
    <t>关于进一步鼓励氢能产业发展的意见；关于支持氢能产业发展的若干政策</t>
  </si>
  <si>
    <t>淄博市人民政府</t>
  </si>
  <si>
    <t>淄政办字〔2021〕75号</t>
  </si>
  <si>
    <t>http://www.zibo.gov.cn/gongkai/site_srmzfbgs/channel_shifubanwenjian/doc_614d38da8bc4f553576c1855.html</t>
  </si>
  <si>
    <t>淄博市氢能产业发展中长期规划（2022-2030年）</t>
  </si>
  <si>
    <t>淄政办字〔2022〕47号</t>
  </si>
  <si>
    <t>http://www.zibo.gov.cn/gongkai/site_srmzfbgs/channel_shifubanwenjian/doc_6305711e063b00d4ea4ee491.html</t>
  </si>
  <si>
    <t>淄博市“氢进万家”示范应用工程实施方案</t>
  </si>
  <si>
    <t>淄博市住建局、市发改委、市工信局、市公安局、市自然资源和规划局、市生环局、市交通运输局、市应急管理局、市行政审批服务局、市市监局、市气象局</t>
  </si>
  <si>
    <t>住建、发改、工信、公安、生环、交通、应急、行政、监督、气象</t>
  </si>
  <si>
    <t>淄建发〔2022〕148号</t>
  </si>
  <si>
    <t>http://js.zibo.gov.cn/gongkai/channel_c_5f9fa491ab327f36e4c1305d_n_1605682397.6851/doc_635634293ffdee122a540d43.html</t>
  </si>
  <si>
    <t>正在申请继续执行</t>
  </si>
  <si>
    <t>关于征集2022-2023年淄博市燃料电池汽车示范应用项目的通知</t>
  </si>
  <si>
    <t>市创建国家燃料电池汽车示范城市工作专班办公室</t>
  </si>
  <si>
    <t>http://eic.zibo.gov.cn/art/2022/8/29/art_185_2318767.html</t>
  </si>
  <si>
    <t>高青县人民政府关于加快氢能产业发展的意见</t>
  </si>
  <si>
    <t>高青县</t>
  </si>
  <si>
    <t>高青县人民政府</t>
  </si>
  <si>
    <t>高政字〔2024〕33号</t>
  </si>
  <si>
    <t>http://www.gaoqing.gov.cn/gongkai/site_gqxrmzfbgs/channel_c_5f9f6c84b9dfe9bfb0a8c85b_5fb3be98ca6492588cbb9947/doc_66c0579ca671cb1cd04b3abe.html</t>
  </si>
  <si>
    <t>临沂</t>
  </si>
  <si>
    <t>罗庄区</t>
  </si>
  <si>
    <t>罗庄区人民政府</t>
  </si>
  <si>
    <t>罗政办发〔2021〕8号</t>
  </si>
  <si>
    <t>http://www.luozhuang.gov.cn/info/2153/41739.htm</t>
  </si>
  <si>
    <t>东营市氢能产业发展规划（2022-2025年）</t>
  </si>
  <si>
    <t>东营</t>
  </si>
  <si>
    <t>东营市人民政府</t>
  </si>
  <si>
    <t>东政办字〔2023〕9号</t>
  </si>
  <si>
    <t>http://www.dongying.gov.cn/art/2023/3/9/art_245905_13721.html</t>
  </si>
  <si>
    <t>烟台市氢能产业中长期发展规划（2022—2030年）</t>
  </si>
  <si>
    <t>烟台市人民政府</t>
  </si>
  <si>
    <t>烟政办字〔2023〕45号</t>
  </si>
  <si>
    <t>https://idb.yantai.gov.cn/art/2023/10/8/art_1355_2895482.html</t>
  </si>
  <si>
    <t>滨州市氢能产业中长期发展规划（2023-2030年）</t>
  </si>
  <si>
    <t>滨州市发改委</t>
  </si>
  <si>
    <t>http://fg.binzhou.gov.cn/art/2023/3/1/art_243006_2421.html</t>
  </si>
  <si>
    <t>滨州市城区加氢站布点专项规划2023-2035年</t>
  </si>
  <si>
    <t>滨州市住建局</t>
  </si>
  <si>
    <t>http://js.binzhou.gov.cn/art/2024/5/22/art_120640_10312439.html</t>
  </si>
  <si>
    <t>推动河南省示范城市群氢燃料电池汽车产业高质量发展若干政策</t>
  </si>
  <si>
    <t>河南省节能与新能源汽车产业发展联席会议办公室</t>
  </si>
  <si>
    <t>豫新能源汽车联席办〔2020〕12号</t>
  </si>
  <si>
    <t>河南省氢燃料电池汽车产业发展行动方案</t>
  </si>
  <si>
    <t>河南省工信厅、省发改委、省科技厅、省财政厅、省住建厅、省交通运输厅、省应急管理厅、省市监局</t>
  </si>
  <si>
    <t>工信、发改、科技、财政、住建、交通、应急、监督</t>
  </si>
  <si>
    <t>豫工信联装〔2020〕27号</t>
  </si>
  <si>
    <t>http://gxj.zhumadian.gov.cn/web/front/news/detail.php?newsid=31630</t>
  </si>
  <si>
    <t>河南省氢能产业发展中长期规划（2022-2035年）；郑汴洛濮氢走廊规划建设工作方案</t>
  </si>
  <si>
    <t>河南省人民政府</t>
  </si>
  <si>
    <t>豫政办〔2022〕81号</t>
  </si>
  <si>
    <t>https://www.henan.gov.cn/2022/09-06/2602465.html</t>
  </si>
  <si>
    <t>关于征集可再生能源制氢示范项目的通知</t>
  </si>
  <si>
    <t>河南省发改委</t>
  </si>
  <si>
    <t>豫发改新能源函〔2021〕213号</t>
  </si>
  <si>
    <t>https://fgw.henan.gov.cn/2022/01-27/2389763.html</t>
  </si>
  <si>
    <t>关于印发河南省第一批可再生能源制氢示范项目的通知</t>
  </si>
  <si>
    <t>豫发改新能源〔2022〕70号</t>
  </si>
  <si>
    <t>https://fgw.henan.gov.cn/2022/05-23/2454219.html</t>
  </si>
  <si>
    <t>河南省交通运输领域加氢站布局方案</t>
  </si>
  <si>
    <t>河南省加快建设燃料电池汽车示范应用城市群行动方案（2022-2025年）</t>
  </si>
  <si>
    <t>河南省工信厅、省财政厅、科技厅、发改委</t>
  </si>
  <si>
    <t>工信、财政、科技、发改</t>
  </si>
  <si>
    <t>豫工信联汽〔2022〕89号</t>
  </si>
  <si>
    <t>关于预拨2022年燃料电池汽车示范应用省级补助资金的通知</t>
  </si>
  <si>
    <t>河南省财政厅</t>
  </si>
  <si>
    <t>豫财建〔2022〕253号</t>
  </si>
  <si>
    <t>关于征集氢能产业链研发机构、重点企业和技术产品的通知</t>
  </si>
  <si>
    <t>河南省工信厅</t>
  </si>
  <si>
    <t>豫工信办数字〔2023〕36号</t>
  </si>
  <si>
    <t>https://gxt.henan.gov.cn/2023/03-08/2702845.html</t>
  </si>
  <si>
    <t>郑汴洛濮氢走廊规划建设2023年20项重点工作清单</t>
  </si>
  <si>
    <t>豫发改新能源〔2023〕255号</t>
  </si>
  <si>
    <t>https://fgw.henan.gov.cn/2023/07-12/2777176.html</t>
  </si>
  <si>
    <t>关于对通行河南省收费公路的氢能货车和电动货车减免通行费政策的实施细则</t>
  </si>
  <si>
    <t>河南省交通厅</t>
  </si>
  <si>
    <t>https://jtyst.henan.gov.cn/2025/01-20/3114241.html</t>
  </si>
  <si>
    <t>郑州市人民政府</t>
  </si>
  <si>
    <t>郑政〔2022〕21号</t>
  </si>
  <si>
    <t>http://public.zhengzhou.gov.cn/D0104X/6597052.jhtml</t>
  </si>
  <si>
    <t>郑州市氢能产业发展中长期规划（2024—2035）</t>
  </si>
  <si>
    <t>郑政办〔2024〕9号</t>
  </si>
  <si>
    <t>https://public.zhengzhou.gov.cn/D0104X/8311711.jhtml</t>
  </si>
  <si>
    <t>郑州市氢燃料电池汽车产业发展规划（2020～2025年）</t>
  </si>
  <si>
    <t>郑州市工信局</t>
  </si>
  <si>
    <t>郑州市燃料电池汽车示范应用工作方案</t>
  </si>
  <si>
    <t>郑州市燃料电池汽车和示范应用领导小组</t>
  </si>
  <si>
    <t>郑州市2022年燃料电池汽车示范应用和产业发展行动计划</t>
  </si>
  <si>
    <t>郑政办〔2022〕81号</t>
  </si>
  <si>
    <t>郑州市支持燃料电池汽车示范应用若干政策</t>
  </si>
  <si>
    <t>https://gxj.zhengzhou.gov.cn/suggested/6462564.jhtml</t>
  </si>
  <si>
    <t>郑州市主城区燃料电池汽车加氢站布局专项规划（2022-2025年）</t>
  </si>
  <si>
    <t>郑州市自然资源和规划局</t>
  </si>
  <si>
    <t>https://zrzyhghj.zhengzhou.gov.cn/szjc/6926097.jhtml</t>
  </si>
  <si>
    <t>关于组织燃料电池汽车示范应用省级预拨资金（加氢站建设奖励）申报工作的通知</t>
  </si>
  <si>
    <t>郑州市工信局、市财政局</t>
  </si>
  <si>
    <t>https://gxj.zhengzhou.gov.cn/tzgg/7887673.jhtml</t>
  </si>
  <si>
    <t>关于印发郑州城市群燃料电池汽车示范应用奖励资金实施方案（试行）的通知</t>
  </si>
  <si>
    <t>郑燃料电车办〔2022〕1号</t>
  </si>
  <si>
    <t>关于组织2022年郑州市燃料电池汽车示范应用奖励配套资金申报工作的通知</t>
  </si>
  <si>
    <t>https://gxj.zhengzhou.gov.cn/tzgg/8042478.jhtml</t>
  </si>
  <si>
    <t>关于组织郑州市2023年燃料电池汽车示范应用奖励资金申报工作的通知</t>
  </si>
  <si>
    <t>https://gxj.zhengzhou.gov.cn/tzgg/9144016.jhtml</t>
  </si>
  <si>
    <t>关于2022年郑州市燃料电池汽车示范应用奖励配套资金、加氢站建设省级奖励资金拟支持项目的公示</t>
  </si>
  <si>
    <t>https://gxj.zhengzhou.gov.cn/tzgg/8090467.jhtml</t>
  </si>
  <si>
    <t>关于2023年郑州市燃料电池汽车示范应用奖励资金拟支持项目的公示</t>
  </si>
  <si>
    <t>https://gxj.zhengzhou.gov.cn/tzgg/9257752.jhtml</t>
  </si>
  <si>
    <t>关于2024年郑州市燃料电池汽车示范应用奖励资金拟支持项目的公示</t>
  </si>
  <si>
    <t>https://gxj.zhengzhou.gov.cn/tzgg/9551439.jhtml</t>
  </si>
  <si>
    <t>关于组织郑州市2024年燃料电池汽车示范应用奖励资金申报工作的通知</t>
  </si>
  <si>
    <t>https://gxj.zhengzhou.gov.cn/tzgg/9340296.jhtml</t>
  </si>
  <si>
    <t>关于组织郑州市2025年燃料电池汽车示范应用奖励资金申报工作的通知</t>
  </si>
  <si>
    <t>https://gxj.zhengzhou.gov.cn/tzgg/10059224.jhtml</t>
  </si>
  <si>
    <t>关于组织郑州市燃料电池汽车示范应用第二年度中央奖励资金申报工作的通知</t>
  </si>
  <si>
    <t>https://gxj.zhengzhou.gov.cn/tzgg/8122170.jhtml</t>
  </si>
  <si>
    <t>郑州航空港经济综合实验区加油加气站和燃料电池汽车加氢站布局专项规划（2021-2035）</t>
  </si>
  <si>
    <t>新郑</t>
  </si>
  <si>
    <t>郑州航空港经济综合实验区投资促进局</t>
  </si>
  <si>
    <t>投资</t>
  </si>
  <si>
    <t>https://www.zzhkgq.gov.cn/2024/06-19/3010535.html</t>
  </si>
  <si>
    <t>河南省郑州市高新区关于组织开展能源领域氢能试点申报工作的通知</t>
  </si>
  <si>
    <t>郑州市高新区管委会</t>
  </si>
  <si>
    <t>https://www.zzgx.gov.cn/tzgg/9400692.jhtml</t>
  </si>
  <si>
    <t>新乡市氢能与燃料电池产业发展规划和新乡市氢能与燃料电池产业发展实施意见</t>
  </si>
  <si>
    <t>新乡市人民政府</t>
  </si>
  <si>
    <t>新政办〔2020〕11号</t>
  </si>
  <si>
    <t>http://www.xinxiang.gov.cn/sitesources/xxsrmzf/page_pc/zwgk/zfwj/szfwj/article4d22988679ef45c087d883f2a4b6fd0e.html</t>
  </si>
  <si>
    <t>新乡市加氢站运营管理办法（试行）、新乡市燃料电池汽车运营管理办法（试行）</t>
  </si>
  <si>
    <t>新政办〔2022〕21号</t>
  </si>
  <si>
    <t>http://wjbb.sft.henan.gov.cn/upload/HNGC/2022/04/14/20220414160710288.pdf</t>
  </si>
  <si>
    <t>新乡市氢能产业发展中长期规划（2022-2035年）</t>
  </si>
  <si>
    <t>新政 〔2022〕 30号</t>
  </si>
  <si>
    <t>http://www.xinxiang.gov.cn/sitesources/xxsrmzf/page_pc/zwgk/zfwj/xz/articlee72c496456d54f83938b095d4eeecf05.html</t>
  </si>
  <si>
    <t>新乡市氢能产业发展实施方案</t>
  </si>
  <si>
    <t>濮阳市支持氢能与氢燃料电池产业发展若干政策</t>
  </si>
  <si>
    <t>濮阳市人民政府</t>
  </si>
  <si>
    <t>濮政〔2021〕27号</t>
  </si>
  <si>
    <t>http://www.puyang.gov.cn/shownews.asp?id=1000001881</t>
  </si>
  <si>
    <t>濮阳市汽车加氢站管理暂行办法</t>
  </si>
  <si>
    <t>濮政办〔2023〕21号</t>
  </si>
  <si>
    <t>https://www.puyang.gov.cn/shownews.asp?id=1000006312</t>
  </si>
  <si>
    <t>濮阳市氢能产业发展三年行动方案（2022-2024年）</t>
  </si>
  <si>
    <t>濮阳市氢能产业发展规划（2022-2025年）</t>
  </si>
  <si>
    <t>濮政办〔2022〕54号</t>
  </si>
  <si>
    <t>http://www.puyang.gov.cn/shownews.asp?id=1000005053</t>
  </si>
  <si>
    <t>濮阳市促进氢能产业发展扶持办法</t>
  </si>
  <si>
    <t>濮政〔2022〕15号</t>
  </si>
  <si>
    <t>http://www.puyang.gov.cn/shownews.asp?id=1000004106</t>
  </si>
  <si>
    <t>濮阳市促进氢能产业发展扶持办法（2023年修订版）</t>
  </si>
  <si>
    <t>濮政〔2023〕15号</t>
  </si>
  <si>
    <t>http://www.puyang.gov.cn/shownews.asp?id=1000006362</t>
  </si>
  <si>
    <t>关于申报2022年市级支持氢能产业发展资金的通知</t>
  </si>
  <si>
    <t>濮阳市工信局</t>
  </si>
  <si>
    <t>http://gongxin.puyang.gov.cn/news/6813.cshtml</t>
  </si>
  <si>
    <t>关于开展2023年促进氢能产业发展专项资金申报工作的通知</t>
  </si>
  <si>
    <t>濮阳市工信局、财政局</t>
  </si>
  <si>
    <t>濮工信〔2023〕131号</t>
  </si>
  <si>
    <t>http://gongxin.puyang.gov.cn/news/6977.cshtml</t>
  </si>
  <si>
    <t>2023年濮阳市氢能产业发展工作要点</t>
  </si>
  <si>
    <t>安阳市氢燃料电池汽车产业发展行动方案（2020-2023）</t>
  </si>
  <si>
    <t>安阳市工信局</t>
  </si>
  <si>
    <t>安阳市人民政府</t>
  </si>
  <si>
    <t>安政办〔2023〕2号</t>
  </si>
  <si>
    <t>https://www.anyang.gov.cn/2023/02-06/2375872.html</t>
  </si>
  <si>
    <t>安阳市加快燃料电池汽车产业高质量发展若干政策</t>
  </si>
  <si>
    <t>安政办〔2023〕14号</t>
  </si>
  <si>
    <t>https://www.anyang.gov.cn/2023/06-25/2393787.html</t>
  </si>
  <si>
    <t>洛阳市加氢站建设经营管理办法（暂行）</t>
  </si>
  <si>
    <t>洛阳市城管局</t>
  </si>
  <si>
    <t>http://lyscgj.ly.gov.cn/index/GongKaiZhiDu/2008.html</t>
  </si>
  <si>
    <t>洛阳市开展燃料电池汽车示范应用行动方案（2022-2025年）</t>
  </si>
  <si>
    <t>洛阳市工信局、市财政局、市科技局、市发改委</t>
  </si>
  <si>
    <t>洛工信〔2022〕137号</t>
  </si>
  <si>
    <t>http://gxj.ly.gov.cn/GZDT/Detail/9093</t>
  </si>
  <si>
    <t>焦作市氢能与燃料电池产业发展实施意见</t>
  </si>
  <si>
    <t>焦作市发改委</t>
  </si>
  <si>
    <t>焦作市氢能与氢燃料电池产业发展规划（2020-2035）</t>
  </si>
  <si>
    <t>焦作市氢燃料电池汽车示范应用工作方案（2022-2025年）</t>
  </si>
  <si>
    <t>焦作市人民政府</t>
  </si>
  <si>
    <t>焦政办〔2023〕38号</t>
  </si>
  <si>
    <t>http://www.jiaozuo.gov.cn/sitesources/jiaozuo/page_pc/zwgk/szfxxgk/zfwk/szfbwj/article64fb84c1d56d4cdc9fb1d6046c096da2.html</t>
  </si>
  <si>
    <t>焦作市支持氢燃料电池汽车示范应用若干政策</t>
  </si>
  <si>
    <t>焦政办〔2023〕72号</t>
  </si>
  <si>
    <t>http://www.jiaozuo.gov.cn/sitesources/jiaozuo/page_pc/zwgk/szfxxgk/zfwk/szfbwj/article44faf74ae1e34ddea688572fbd4e5c3e.html</t>
  </si>
  <si>
    <t>焦作市中心城区汽车加氢站布点专项规划（2023-2035年）</t>
  </si>
  <si>
    <t>焦作市城管局</t>
  </si>
  <si>
    <t>http://cgj.jiaozuo.gov.cn/NewsView.asp?id=1968</t>
  </si>
  <si>
    <t>孟州市支持氢能产业发展若干政策</t>
  </si>
  <si>
    <t>孟州</t>
  </si>
  <si>
    <t>孟州市人民政府</t>
  </si>
  <si>
    <t>孟政办〔2025〕5号</t>
  </si>
  <si>
    <t>http://www.mengzhou.gov.cn/sitesources/mzsrmzf/page_pc/zfxxgk/zc/qtwj/mzb/articlec5439054a4834a53836980a604c8fb58.html</t>
  </si>
  <si>
    <t>开封市燃料电池汽车示范应用工作方案</t>
  </si>
  <si>
    <t>开封市人民政府</t>
  </si>
  <si>
    <t>开封市燃料电池汽车示范应用行动方案（2022-2025年）</t>
  </si>
  <si>
    <t>开封市工信局，市财政局、市科技局、市发改委</t>
  </si>
  <si>
    <t>汴工信〔2022〕60号</t>
  </si>
  <si>
    <t>http://gxj.kaifeng.gov.cn/sitegroup/kfsgxj/html/ff8080817d7fd022017ddffb37b10d69/8b8e4b13a71e43cea4bc0cd657f5f744.html</t>
  </si>
  <si>
    <t>湖北省氢能产业发展规划（2021-2035年）</t>
  </si>
  <si>
    <t>湖北省发改委、省能源局</t>
  </si>
  <si>
    <t>鄂发改能源〔2022〕69号</t>
  </si>
  <si>
    <t>湖北省关于组织能源领域氢能试点申报的通知</t>
  </si>
  <si>
    <t>湖北省能源局</t>
  </si>
  <si>
    <t>https://fgw.hubei.gov.cn/fbjd/xxgkml/jgzn/wgdw/nyj/nykjzbc/tzgg/202506/t20250613_5690136.shtml</t>
  </si>
  <si>
    <t>湖北省支持氢能产业发展的若干措施</t>
  </si>
  <si>
    <t>鄂发改能源〔2022〕374号</t>
  </si>
  <si>
    <t>http://fgw.hubei.gov.cn/fbjd/zc/gfwj/gf/202211/t20221109_4397026.shtml</t>
  </si>
  <si>
    <t>湖北省加快发展氢能产业行动方案（2024-2027年）</t>
  </si>
  <si>
    <t>湖北省人民政府</t>
  </si>
  <si>
    <t>鄂政办发〔2024〕45号</t>
  </si>
  <si>
    <t>https://www.hubei.gov.cn/zfwj/ezbf/202411/t20241108_5406141.shtml</t>
  </si>
  <si>
    <t>（+1）</t>
  </si>
  <si>
    <t>关于对通行湖北省高速公路氢能车辆实施通行费补贴政策的通知</t>
  </si>
  <si>
    <t>湖北省交通运输厅</t>
  </si>
  <si>
    <t>鄂交发〔2026〕26号</t>
  </si>
  <si>
    <t>http://jtt.hubei.gov.cn/zfxxgk/zc/qtzdgkwj/202605/t20260519_5938775.shtml</t>
  </si>
  <si>
    <t>武汉市氢能产业突破发展行动方案</t>
  </si>
  <si>
    <t>武汉市人民政府</t>
  </si>
  <si>
    <t>武政办〔2020〕88号</t>
  </si>
  <si>
    <t>http://www.wuhan.gov.cn/zwgk/xxgk/zfwj/bgtwj/202009/t20200922_1453147.shtml</t>
  </si>
  <si>
    <t>关于支持武汉市氢能产业突破性发展的若干政策</t>
  </si>
  <si>
    <t>武汉市经信局</t>
  </si>
  <si>
    <t>http://whht.org.cn/news/info/id/2435.html</t>
  </si>
  <si>
    <t>武政规〔2022〕4号</t>
  </si>
  <si>
    <t>http://www.wuhan.gov.cn/zwgk/xxgk/zfwj/gfxwj/202203/t20220331_1948213.shtml</t>
  </si>
  <si>
    <t>关于支持氢能产业发展意见的实施细则</t>
  </si>
  <si>
    <t>http://www.whht.org.cn/news/info/id/4023.html</t>
  </si>
  <si>
    <t>武汉市支持氢能产业发展财政资金管理办法</t>
  </si>
  <si>
    <t>武经信规〔2022〕8号</t>
  </si>
  <si>
    <t>http://jxj.wuhan.gov.cn/xxgk_9/wjcx/gfxwjsjk/202210/t20221012_2056861.html</t>
  </si>
  <si>
    <t>武汉市氢能产业发展三年行动方案（2025—2027年）</t>
  </si>
  <si>
    <t>武政规〔2025〕9号</t>
  </si>
  <si>
    <t>https://www.wuhan.gov.cn/zwgk/xxgk/zfwj/gfxwj/202509/t20250929_2655098.shtml</t>
  </si>
  <si>
    <t>武汉市城管执法委员会、市发改委、市经信局、市自然资源和规划局、市城建局、市交通运输局、市市监局、市应急管理局、市消防救援支队</t>
  </si>
  <si>
    <t>城管、发改、经信、自然资源、城建、交通、市监、应急、消防</t>
  </si>
  <si>
    <t>武城管规〔2022〕1号</t>
  </si>
  <si>
    <t>http://www.wuhan.gov.cn/gfxwj/sbmgfxwj/sglzfwyh/202301/t20230112_2131056.shtml</t>
  </si>
  <si>
    <t>关于开展2023年度支持氢能产业发展财政资金申报工作的通知</t>
  </si>
  <si>
    <t>https://jxj.wuhan.gov.cn/xwzx_9/tztg/202309/t20230915_2264547.html</t>
  </si>
  <si>
    <t>关于2023年度支持氢能产业发展财政资金审核结果的公示</t>
  </si>
  <si>
    <t>https://jxj.wuhan.gov.cn/xwzx_9/tztg/202311/t20231103_2294503.html</t>
  </si>
  <si>
    <t>关于2024年度支持氢能产业发展财政资金审计结果的公示</t>
  </si>
  <si>
    <t>https://jxj.wuhan.gov.cn/xwzx_9/tztg/202406/t20240620_2418604.html</t>
  </si>
  <si>
    <t>关于2024年度下半年支持氢能产业发展财政资金审计结果的公示</t>
  </si>
  <si>
    <t>https://jxj.wuhan.gov.cn/xwzx_9/tztg/202411/t20241115_2484904.html#:</t>
  </si>
  <si>
    <t>关于开展2025年度第一批支持氢能产业发展财政资金申报工作的通知</t>
  </si>
  <si>
    <t>https://jxj.wuhan.gov.cn/xwzx_9/tztg/202504/t20250429_2575270.html</t>
  </si>
  <si>
    <t>关于开展2025年度第二批支持氢能产业发展财政资金申报工作的通知</t>
  </si>
  <si>
    <t>https://jxj.wuhan.gov.cn/xwzx_9/tztg/202509/t20250916_2648223.html</t>
  </si>
  <si>
    <t>关于2025年度第一批支持氢能产业发展财政资金审计结果的公示</t>
  </si>
  <si>
    <t>https://jxj.wuhan.gov.cn/xwzx_9/tztg/202507/t20250704_2605649.html</t>
  </si>
  <si>
    <t>关于2025年度第二批支持氢能产业发展财政资金审计结果的公示</t>
  </si>
  <si>
    <t>https://jxj.wuhan.gov.cn/xwzx_9/tztg/202512/t20251215_2695336.html</t>
  </si>
  <si>
    <t>武汉经济技术开发区（汉南区）加氢站审批及管理暂行办法</t>
  </si>
  <si>
    <t>开发区管委会、汉南区政府</t>
  </si>
  <si>
    <t>管委会、人民政府</t>
  </si>
  <si>
    <t>http://www.whkfq.gov.cn/xxgk/zc/qtzdgk/gwhqzf/202001/t20200119_898549.html</t>
  </si>
  <si>
    <t>关于青山区促进氢能产业发展的若干措施</t>
  </si>
  <si>
    <t>青山区</t>
  </si>
  <si>
    <t>青山区科技和经信局</t>
  </si>
  <si>
    <t>http://www.qingshan.gov.cn/sy/gsgg/202211/t20221103_2080877.shtml</t>
  </si>
  <si>
    <t>关于青山区促进氢能产业发展的若干措施（2）</t>
  </si>
  <si>
    <t>青山区科经局</t>
  </si>
  <si>
    <t>科经</t>
  </si>
  <si>
    <t>https://www.qingshan.gov.cn/sy/gsgg/202312/t20231218_2322426.shtml</t>
  </si>
  <si>
    <t>关于推进黄冈市氢能产业发展的实施意见</t>
  </si>
  <si>
    <t>黄冈</t>
  </si>
  <si>
    <t>黄冈市人民政府</t>
  </si>
  <si>
    <t>黄政办发〔2020〕40号</t>
  </si>
  <si>
    <t>http://www.hg.gov.cn/art/2020/11/13/art_13613_1346114.html</t>
  </si>
  <si>
    <t>老河口市氢能产业发展五年行动计划（2020-2024年）</t>
  </si>
  <si>
    <t>襄阳</t>
  </si>
  <si>
    <t>老河口市人民政府</t>
  </si>
  <si>
    <t>河政发〔2019〕16号</t>
  </si>
  <si>
    <t>http://www.lhk.gov.cn/gwgg/zfwj/201911/t20191119_1938081.shtml</t>
  </si>
  <si>
    <t>老河口市加氢站管理办法（试行）</t>
  </si>
  <si>
    <t>河政办发〔2019〕12号</t>
  </si>
  <si>
    <t>http://www.lhk.gov.cn/gwgg/zfwj/201909/t20190929_1903110.shtml</t>
  </si>
  <si>
    <t>老河口市加氢站管理办法</t>
  </si>
  <si>
    <t>老河口市住建局</t>
  </si>
  <si>
    <t>http://www.lhk.gov.cn/xzbm/zjj/zdgk/ggl/202210/t20221012_2963710.shtml</t>
  </si>
  <si>
    <t>荆州市氢能及燃料电池产业发展规划（2021-2025年）</t>
  </si>
  <si>
    <t>荆州</t>
  </si>
  <si>
    <t>荆州市发改委</t>
  </si>
  <si>
    <t>http://www.zcbk.cn/jingzhou/index.php/article/tongzhigonggao985/20956.html</t>
  </si>
  <si>
    <t>京山市加氢站管理暂行办法</t>
  </si>
  <si>
    <t>荆门</t>
  </si>
  <si>
    <t>景山</t>
  </si>
  <si>
    <t>京山市人民政府</t>
  </si>
  <si>
    <t>http://www.jingshan.gov.cn/art/2021/10/18/art_17211_839826.html</t>
  </si>
  <si>
    <t>随州市氢燃料电池汽车产业发展规划（2022-2030年）</t>
  </si>
  <si>
    <t>随州</t>
  </si>
  <si>
    <t>随州市经信局</t>
  </si>
  <si>
    <t>http://www.suizhou.gov.cn/zwgk/xxgk/ghjh/zxgh/202308/t20230814_1133207.shtml</t>
  </si>
  <si>
    <t>大冶市制氢工厂、汽车加氢站建设运营管理实施意见</t>
  </si>
  <si>
    <t>黄石</t>
  </si>
  <si>
    <t>大冶</t>
  </si>
  <si>
    <t>大冶市应急管理局、市城管局、市发改局、市经信局、市自然资源和规划局、市住建局、市交通运输局、市市监局i、市消防救援大队</t>
  </si>
  <si>
    <t>应急、城管、发改、经信、自然资源、住建、交通、市监、消防</t>
  </si>
  <si>
    <t>冶应急〔2024〕14号</t>
  </si>
  <si>
    <t>https://www.hbdaye.gov.cn/zfxxgk/dfbmptlj/szbm/dysyjgljjgsz/zc_16728/gfxwj_19949/202409/P020240913313588481782.pdf</t>
  </si>
  <si>
    <t>关于支持大冶湖高新区氢能未来产业先导区发展的若干措施（试行）</t>
  </si>
  <si>
    <t>大冶湖高新区经发局、市发改局</t>
  </si>
  <si>
    <t>经发、发改</t>
  </si>
  <si>
    <t>https://mp.weixin.qq.com/s/EUoQ4CztcGV6_CsAMDWIpQ</t>
  </si>
  <si>
    <t>等待官方链接</t>
  </si>
  <si>
    <t>宜昌市氢能产业发展规划 （2023-2035年）</t>
  </si>
  <si>
    <t>宜昌</t>
  </si>
  <si>
    <t>宜昌市人民政府</t>
  </si>
  <si>
    <t>襄阳市氢能产业发展规划（2023-2035年）</t>
  </si>
  <si>
    <t>襄阳市发改委</t>
  </si>
  <si>
    <t>湖南省氢能产业发展规划</t>
  </si>
  <si>
    <t>湖南省发改委、省能源局</t>
  </si>
  <si>
    <t>湘发改高技〔2022〕846号</t>
  </si>
  <si>
    <t>http://fgw.hunan.gov.cn/fgw/xxgk_70899/gzdtf/gzdt/202211/t20221118_29130707.html</t>
  </si>
  <si>
    <t>湖南省关于支持氢能产业发展的若干政策措施</t>
  </si>
  <si>
    <t>湖南省发改委</t>
  </si>
  <si>
    <t>湘发改能源〔2024〕762号</t>
  </si>
  <si>
    <t>关于征集工业低碳氢应用场景的通知</t>
  </si>
  <si>
    <t>湖南省工信厅</t>
  </si>
  <si>
    <t>https://gxt.hunan.gov.cn/gxt/xxgk_71033/tzgg/202503/t20250328_33625229.html</t>
  </si>
  <si>
    <t>湖南省氢能产业发展三年行动方案</t>
  </si>
  <si>
    <t>湘发改高技规〔2025〕60号</t>
  </si>
  <si>
    <t>https://www.hunan.gov.cn/hnszf/szf/hnzb_18/202501/202511/szfbmwj_98721_88_1urmmqrurrdbvpccutqhrmsteguugvmdqkupkguegktvspfmfnnccnmvnkhnueqhqrmcrunhkbqgcqshkecsrgbn/202506/t20250613_33708445.html</t>
  </si>
  <si>
    <t>关于湖南省工业低碳氢应用场景的公示</t>
  </si>
  <si>
    <t>https://gxt.hunan.gov.cn/gxt/xxgk_71033/gsgg01/202506/t20250619_33714895.html</t>
  </si>
  <si>
    <t>湖南省高速公路LNG加气站和加氢站布局建设方案</t>
  </si>
  <si>
    <t>湖南省交通运输厅、省能源局</t>
  </si>
  <si>
    <t>交通、能源</t>
  </si>
  <si>
    <t>湘交路网〔2025〕124号</t>
  </si>
  <si>
    <t>https://jtt.hunan.gov.cn/jtt/xxgk/zwgg/202509/t20250922_33809396.html</t>
  </si>
  <si>
    <t>湖南省燃料电池汽车加氢站建设管理暂行办法</t>
  </si>
  <si>
    <t>湖南省住建厅</t>
  </si>
  <si>
    <t>https://zjt.hunan.gov.cn/zjt/xxgk/xinxigongkaimulu/tzgg/tzgg2csjs/202603/t20260309_33929495.html</t>
  </si>
  <si>
    <t>长沙市氢能产业发展行动方案（2023-2025年）</t>
  </si>
  <si>
    <t>长沙</t>
  </si>
  <si>
    <t>长沙市发改委</t>
  </si>
  <si>
    <t>长发改能源〔2023〕4号</t>
  </si>
  <si>
    <t>http://zcwd.changsha.gov.cn/wjk/sfgjwjk/202301/t20230131_10978459.html</t>
  </si>
  <si>
    <t>岳阳氢能城市建设及氢能产业发展规划（2020-2035年）</t>
  </si>
  <si>
    <t>岳阳</t>
  </si>
  <si>
    <t>岳阳市发改委</t>
  </si>
  <si>
    <t>http://www.yueyang.gov.cn/fgw/10017/content_1759484.html</t>
  </si>
  <si>
    <t>岳阳市加氢站建设管理暂行办法</t>
  </si>
  <si>
    <t>岳阳市城管局、市发改委、市自然资源和规划局、市市监局、市应急管理局</t>
  </si>
  <si>
    <t>城管、发改、自然资源、市监、应急</t>
  </si>
  <si>
    <t>岳城管发〔2020〕52号</t>
  </si>
  <si>
    <t>http://www.yueyang.gov.cn/gfxwj/20052/content_1790034.html</t>
  </si>
  <si>
    <t>株洲市氢能产业发展规划（2019-2025）</t>
  </si>
  <si>
    <t>株洲</t>
  </si>
  <si>
    <t>株洲市发改委</t>
  </si>
  <si>
    <t>广东省加快氢燃料电池汽车产业发展实施方案</t>
  </si>
  <si>
    <t>广东省发改委、省科技厅、省工信厅、省财政厅、省住建厅、省应急管理厅、省市监局</t>
  </si>
  <si>
    <t>发改、科技、工信、财政、住建、应急、市监</t>
  </si>
  <si>
    <t>粤发改产业函〔2020〕2055号</t>
  </si>
  <si>
    <t>http://drc.gd.gov.cn/ywtz/content/post_3125347.html</t>
  </si>
  <si>
    <t>广东省氢能燃料电池汽车标准体系与规划路线图（2020-2024年）</t>
  </si>
  <si>
    <t>广东省市监局、省发改委、省工信厅、省住建厅、省应急管理厅</t>
  </si>
  <si>
    <t>市监、发改、工信、住建、应急</t>
  </si>
  <si>
    <t>粤市监〔2020〕63号</t>
  </si>
  <si>
    <t>http://amr.gd.gov.cn/zwgk/tzgg/content/post_3086069.html</t>
  </si>
  <si>
    <t>广东省加快建设燃料电池汽车示范城市群行动计划（2022-2025年）</t>
  </si>
  <si>
    <t>广东省发改委、省科技厅、省工信厅、省财政厅、省住建厅、省应急管理厅、省市监局、省能源局</t>
  </si>
  <si>
    <t>发改、科技、工信、财政、住建、应急、市监、能源</t>
  </si>
  <si>
    <t>粤发改产业〔2022〕345号</t>
  </si>
  <si>
    <t>http://drc.gd.gov.cn/ywtz/content/mpost_3993253.html</t>
  </si>
  <si>
    <t>广东省住建厅、省发改委、省科技厅、省公安厅、省财政厅、省自然资源厅、省生态环境厅、省交通运输厅、省应急管理厅、省市监局、省消防救援总队、省气象局</t>
  </si>
  <si>
    <t>住建、发改、科技、公安、财政、自然资源、生环、交通、应急、市监、消防、气象</t>
  </si>
  <si>
    <t>粤建城〔2023〕90号</t>
  </si>
  <si>
    <t>http://zfcxjst.gd.gov.cn/xxgk/wjtz/content/post_4208019.html</t>
  </si>
  <si>
    <t>广东省燃料电池汽车加氢站安全管理规范（试行）</t>
  </si>
  <si>
    <t>广东省住建厅</t>
  </si>
  <si>
    <t>http://zfcxjst.gd.gov.cn/xxgk/gsgg/content/post_4127932.html</t>
  </si>
  <si>
    <t>关于预下达2021年省级加氢站建设补贴资金计划的通知</t>
  </si>
  <si>
    <t>广东省发改委</t>
  </si>
  <si>
    <t>粤发改产业函〔2020〕2243号</t>
  </si>
  <si>
    <t>关于预下达2022年省级加氢站建设补贴资金计划的通知</t>
  </si>
  <si>
    <t>粤发改产业函〔2021〕2317号</t>
  </si>
  <si>
    <t>广东省加快氢能产业创新发展意见</t>
  </si>
  <si>
    <t>粤发改产业〔2023〕294号</t>
  </si>
  <si>
    <t>http://drc.gd.gov.cn/ywtz/content/post_4274976.html</t>
  </si>
  <si>
    <t>广东省2021-2022年度燃料电池汽车推广应用补贴资金审核情况公示（第一批）</t>
  </si>
  <si>
    <t>http://drc.gd.gov.cn/ywgs/content/mpost_4357592.html</t>
  </si>
  <si>
    <t>广东省广湛氢能高速示范项目实施方案</t>
  </si>
  <si>
    <t>粤发改产业函〔2024〕436号</t>
  </si>
  <si>
    <t>http://drc.gd.gov.cn/ywtz/content/post_4445253.html</t>
  </si>
  <si>
    <t>广东省关于组织开展能源领域氢能试点工作的通知</t>
  </si>
  <si>
    <t>广东省能源局</t>
  </si>
  <si>
    <t>https://drc.gd.gov.cn/snyj/tzgg/content/post_4732404.html</t>
  </si>
  <si>
    <t>关于加快组织申报省级加氢站建设补贴资金的通知</t>
  </si>
  <si>
    <t>广州市发改委</t>
  </si>
  <si>
    <t>穗发改函〔2022〕405号</t>
  </si>
  <si>
    <t>关于公示省级加氢站建设拟补贴资金安排计划的公告</t>
  </si>
  <si>
    <t>http://fgw.gz.gov.cn/tzgg/content/post_8689536.html</t>
  </si>
  <si>
    <t>关于公示省级加氢站建设拟补贴资金安排计划（第二批）的公告</t>
  </si>
  <si>
    <t>广州市城管局</t>
  </si>
  <si>
    <t>https://cg.gz.gov.cn/zwgk/tzgg/content/post_10056147.html</t>
  </si>
  <si>
    <t>广州市燃料电池汽车示范应用工作方案（2022-2025年）</t>
  </si>
  <si>
    <t>广州市新能源汽车发展工作领导工作小组</t>
  </si>
  <si>
    <t>http://fgw.gz.gov.cn/tzgg/content/post_8697333.html</t>
  </si>
  <si>
    <t>广州市氢能产业发展规划（2019-2030年）</t>
  </si>
  <si>
    <t>穗发改〔2020〕67号</t>
  </si>
  <si>
    <t>http://fgw.gz.gov.cn/gkmlpt/content/6/6477/post_6477212.html#481</t>
  </si>
  <si>
    <t>广州市氢能产业链高质量发展三年行动计划（2021-2023 年）</t>
  </si>
  <si>
    <t>广州市加氢站管理暂行办法</t>
  </si>
  <si>
    <t>广州市城市管理和综合执法局</t>
  </si>
  <si>
    <t>穗城管规字〔2022〕4号</t>
  </si>
  <si>
    <t>http://cg.gz.gov.cn/gkmlpt/content/8/8274/post_8274576.html#787</t>
  </si>
  <si>
    <t>广州市氢能基础设施发展规划（2021-2030年）</t>
  </si>
  <si>
    <t>穗发改〔2022〕81号</t>
  </si>
  <si>
    <t>http://fgw.gz.gov.cn/tzgg/content/post_8576930.html</t>
  </si>
  <si>
    <t>广州市加氢站建设选址指南</t>
  </si>
  <si>
    <t>穗城管〔2023〕446号</t>
  </si>
  <si>
    <t>http://cg.gz.gov.cn/gkmlpt/content/9/9311/post_9311642.html#792</t>
  </si>
  <si>
    <t>关于加快推动氢能产业高质量发展若干措施的通知</t>
  </si>
  <si>
    <t>广州市人民政府</t>
  </si>
  <si>
    <t>穗府办规〔2024〕16号</t>
  </si>
  <si>
    <t>关于公布广州市氢能基础设施建设项目推介清单的通知</t>
  </si>
  <si>
    <t>https://fgw.gz.gov.cn/tzgg/content/post_10065921.html</t>
  </si>
  <si>
    <t>广州市支持氢能产业发展资金管理办法</t>
  </si>
  <si>
    <t>穗发改规字〔2025〕5号</t>
  </si>
  <si>
    <t>https://fgw.gz.gov.cn/gkmlpt/content/10/10346/post_10346506.html#480</t>
  </si>
  <si>
    <t>2025年广州市燃料电池汽车推广应用任务拟承担“推广应用联合体”牵头企业公示</t>
  </si>
  <si>
    <t>https://fgw.gz.gov.cn/tzgg/content/post_10464385.html</t>
  </si>
  <si>
    <t>关于组织开展氢能产业发展资金2025年燃料电池汽车示范运营补贴申报工作的通知</t>
  </si>
  <si>
    <t>https://fgw.gz.gov.cn/tzgg/content/post_10469169.html</t>
  </si>
  <si>
    <t>关于公示氢能产业发展资金2025年燃料电池汽车示范运营补贴安排计划的公告</t>
  </si>
  <si>
    <t>https://fgw.gz.gov.cn/tzgg/content/post_10561425.html</t>
  </si>
  <si>
    <t>关于组织开展氢能产业发展资金2025年第二批燃料电池汽车示范运营补贴申报工作的通知</t>
  </si>
  <si>
    <t>https://fgw.gz.gov.cn/tzgg/content/post_10575998.html</t>
  </si>
  <si>
    <t>关于公示氢能产业发展资金2025年燃料电池汽车示范运营补贴安排计划（第二批）的公告</t>
  </si>
  <si>
    <t>https://fgw.gz.gov.cn/tzgg/content/post_10592012.html</t>
  </si>
  <si>
    <t>广州市黄埔区 广州开发区促进氢能产业发展办法</t>
  </si>
  <si>
    <t>黄埔区、开发区</t>
  </si>
  <si>
    <t>黄埔区人民政府、开发区管委会</t>
  </si>
  <si>
    <t>人民政府，管委会</t>
  </si>
  <si>
    <t>穗埔府规〔2019〕14号</t>
  </si>
  <si>
    <t>https://www.gz.gov.cn/gfxwj/qjgfxwj/hpq/qf/content/post_5486790.html</t>
  </si>
  <si>
    <t>广州市黄埔区 广州开发区促进氢能产业发展办法实施细则</t>
  </si>
  <si>
    <t>黄埔区发改局、开发区发改局</t>
  </si>
  <si>
    <t>穗埔发改规字〔2020〕1号</t>
  </si>
  <si>
    <t>http://www.gz.gov.cn/gfxwj/qjgfxwj/hpq/qbm/content/post_5790437.html</t>
  </si>
  <si>
    <t>人民政府、管委会</t>
  </si>
  <si>
    <t>穗埔府规〔2021〕7号</t>
  </si>
  <si>
    <t>https://www.gz.gov.cn/gfxwj/qjgfxwj/hpq/qf/content/post_7329098.html</t>
  </si>
  <si>
    <t>穗埔发改规字〔2021〕2号</t>
  </si>
  <si>
    <t>http://www.gz.gov.cn/gfxwj/qjgfxwj/hpq/qbm/content/post_7349519.html</t>
  </si>
  <si>
    <t>关于组织开展2020年（第一批）区促进氢能产业发展办法兑现工作的通知</t>
  </si>
  <si>
    <t>http://www.hp.gov.cn/xwzx/tzgg/content/post_5883682.html</t>
  </si>
  <si>
    <t>关于区促进氢能产业2020年第一批拟扶持项目公示</t>
  </si>
  <si>
    <t>http://www.hp.gov.cn/zwgk/zbtb/content/post_5954229.html</t>
  </si>
  <si>
    <t>关于组织开展2021年（第一批）区促进氢能产业发展办法兑现工作的通知</t>
  </si>
  <si>
    <t>http://www.hp.gov.cn/gzjg/qzfgwhgzbm/qfzhggj/tzgg/content/post_7122982.html</t>
  </si>
  <si>
    <t>关于区促进氢能产业2021年第一批拟扶持项目公示</t>
  </si>
  <si>
    <t>http://www.hp.gov.cn/gzjg/qzfgwhgzbm/qfzhggj/tzgg/content/post_7164323.html</t>
  </si>
  <si>
    <t>关于组织开展2021年（第二批）区促进氢能产业发展办法兑现工作的通知</t>
  </si>
  <si>
    <t>http://www.hp.gov.cn/gzjg/qzfgwhgzbm/qfzhggj/tzgg/content/post_7406946.html</t>
  </si>
  <si>
    <t>关于区促进氢能产业2021年第二批拟扶持项目公示</t>
  </si>
  <si>
    <t>http://www.hp.gov.cn/gzjg/qzfgwhgzbm/qfzhggj/tzgg/content/post_7817653.html</t>
  </si>
  <si>
    <t>关于组织开展2022年区促进氢能产业发展办法兑现工作（第一批）的通知</t>
  </si>
  <si>
    <t>穗埔发改〔2022〕17号</t>
  </si>
  <si>
    <t>http://www.hp.gov.cn/gzjg/qzfgwhgzbm/qfzhggj/tzgg/content/post_8073970.html</t>
  </si>
  <si>
    <t>关于区促进氢能产业发展办法2022年第一批拟扶持项目公示</t>
  </si>
  <si>
    <t>http://www.hp.gov.cn/gzjg/qzfgwhgzbm/qfzhggj/tzgg/content/post_8141873.html</t>
  </si>
  <si>
    <t>关于组织开展2022年区促进氢能产业发展办法兑现工作（第二批）的通知</t>
  </si>
  <si>
    <t>穗埔发改〔2022〕70号</t>
  </si>
  <si>
    <t>http://www.hp.gov.cn/gzjg/qzfgwhgzbm/qfzhggj/tzgg/content/post_8484852.html</t>
  </si>
  <si>
    <t>关于区促进氢能产业发展办法2022年第二批拟扶持项目公示</t>
  </si>
  <si>
    <t>http://www.hp.gov.cn/gzjg/qzfgwhgzbm/qfzhggj/tzgg/content/post_8547355.html</t>
  </si>
  <si>
    <t>关于组织开展2023年（第一批）区促进氢能产业发展办法兑现工作的通知</t>
  </si>
  <si>
    <t>http://www.hp.gov.cn/gzjg/qzfgwhgzbm/qfzhggj/tzgg/content/post_8784898.html</t>
  </si>
  <si>
    <t>关于组织开展2023年（第二批）区促进氢能产业发展办法兑现工作的通知</t>
  </si>
  <si>
    <t>http://www.hp.gov.cn/gzhpfg/gkmlpt/content/8/8894/post_8894248.html#4183</t>
  </si>
  <si>
    <t>关于2023年区促进氢能产业发展办法兑现工作（第二批）延长申报时间的通知</t>
  </si>
  <si>
    <t>http://www.hp.gov.cn/gzjg/qzfgwhgzbm/qfzhggj/tzgg/content/post_8911717.html</t>
  </si>
  <si>
    <t>关于组织开展2023年区促进氢能产业发展办法兑现工作（第三批）的通知</t>
  </si>
  <si>
    <t>http://www.hp.gov.cn/gzjg/qzfgwhgzbm/qfzhggj/tzgg/content/post_8904715.html</t>
  </si>
  <si>
    <t>关于组织开展2023年区促进氢能产业发展办法（第四批）兑现工作的通知</t>
  </si>
  <si>
    <t>http://www.hp.gov.cn/gzjg/qzfgwhgzbm/qfzhggj/tzgg/content/post_9046809.html</t>
  </si>
  <si>
    <t>关于区促进氢能产业2023年第一批拟扶持项目公示</t>
  </si>
  <si>
    <t>http://www.hp.gov.cn/gzhpfg/gkmlpt/content/8/8839/post_8839231.html#4183</t>
  </si>
  <si>
    <t>关于区促进氢能产业发展办法2023年第二批拟扶持项目公示</t>
  </si>
  <si>
    <t>http://www.hp.gov.cn/gzhpfg/gkmlpt/content/8/8970/post_8970630.html#4183</t>
  </si>
  <si>
    <t>关于区促进氢能产业发展办法2023年第三批拟扶持项目公示</t>
  </si>
  <si>
    <t>http://www.hp.gov.cn/gzhpfg/gkmlpt/content/8/8938/post_8938188.html#4183</t>
  </si>
  <si>
    <t>关于区促进氢能产业2023年第四批拟扶持项目公示</t>
  </si>
  <si>
    <t>http://www.hp.gov.cn/gzhpfg/gkmlpt/content/9/9137/post_9137917.html#4183</t>
  </si>
  <si>
    <t>关于组织开展2023年区促进氢能产业发展办法（第五批）兑现工作的通知</t>
  </si>
  <si>
    <t>https://www.hp.gov.cn/gzjg/qzfgwhgzbm/qfzhggj/tzgg/content/post_9185221.html</t>
  </si>
  <si>
    <t>关于区促进氢能产业2023年第五批拟扶持项目公示</t>
  </si>
  <si>
    <t>http://www.hp.gov.cn/gzjg/qzfgwhgzbm/qfzhggj/tzgg/content/post_9213017.html</t>
  </si>
  <si>
    <t>关于组织开展2024年区促进氢能产业发展办法（第一批）兑现工作的通知</t>
  </si>
  <si>
    <t>https://www.hp.gov.cn/gzjg/qzfgwhgzbm/qfzhggj/tzgg/content/post_9672376.html</t>
  </si>
  <si>
    <t>关于区促进氢能产业发展办法2024年第一批拟扶持项目公示</t>
  </si>
  <si>
    <t>https://www.hp.gov.cn/gzjg/qzfgwhgzbm/qfzhggj/tzgg/content/post_9762135.html</t>
  </si>
  <si>
    <t>南沙区氢能产业扶持办法</t>
  </si>
  <si>
    <t>南沙区</t>
  </si>
  <si>
    <t>南沙区人民政府</t>
  </si>
  <si>
    <t>http://www.gzns.gov.cn/hdjlpt/yjzj/answer/21730</t>
  </si>
  <si>
    <t>广州市白云区促进氢能产业高质量发展若干措施（试行）</t>
  </si>
  <si>
    <t>白云区</t>
  </si>
  <si>
    <t>白云区人民政府</t>
  </si>
  <si>
    <t>云府办〔2025〕223号</t>
  </si>
  <si>
    <t>https://www.gz.gov.cn/gzzcwjk/gzdata/content/post_10598318.html</t>
  </si>
  <si>
    <t>佛山市加氢站管理暂行办法</t>
  </si>
  <si>
    <t>佛山市住建局</t>
  </si>
  <si>
    <t>http://fszj.foshan.gov.cn/zmhd/yjzj/content/post_788905.html</t>
  </si>
  <si>
    <t>佛山市氢能源产业发展规划（2018-2030年）</t>
  </si>
  <si>
    <t>佛山市人民政府</t>
  </si>
  <si>
    <t>佛府函〔2018〕191号</t>
  </si>
  <si>
    <t>http://www.foshan.gov.cn/gkmlpt/content/2/2004/post_2004113.html#40</t>
  </si>
  <si>
    <t>佛山市新能源公交车推广应用和配套基础设施建设财政补贴资金管理办法</t>
  </si>
  <si>
    <t>佛山市发改委、市住建局、市财政局</t>
  </si>
  <si>
    <t>发改、住建、财政</t>
  </si>
  <si>
    <t>佛发改交能〔2018〕54号</t>
  </si>
  <si>
    <t>http://fsdr.foshan.gov.cn/fsfgj/fhj/zwgk/zcwj/gfxwj/content/post_4888390.html</t>
  </si>
  <si>
    <t>佛发改新能〔2020〕15号</t>
  </si>
  <si>
    <t>http://fsdr.foshan.gov.cn/fsfgj/fhj/zwgk/zcwj/gfxwj/content/post_4888720.html</t>
  </si>
  <si>
    <t>佛山市燃料电池汽车市级财政补贴资金管理办法</t>
  </si>
  <si>
    <t>佛山市发改委、市财政局</t>
  </si>
  <si>
    <t>佛发改新能〔2020〕31号</t>
  </si>
  <si>
    <t>http://fscz.foshan.gov.cn/cfg/gfxwj/content/post_4500016.html</t>
  </si>
  <si>
    <t>佛山市加氢站建设审批程序指引（暂行）</t>
  </si>
  <si>
    <t>佛山市车用加氢站竣工验收备案指引</t>
  </si>
  <si>
    <t>http://fszj.foshan.gov.cn/zwgk/txgg/content/post_4974703.html</t>
  </si>
  <si>
    <t>佛建管函〔2017〕1088 号</t>
  </si>
  <si>
    <t>关于加快落实开展已建成加氢站临时经营审批工作的函</t>
  </si>
  <si>
    <t>关于修订佛山市车用加氢站经营工作指引的函</t>
  </si>
  <si>
    <t>佛山市高明区氢能源产业发展规划（2019-2030年）</t>
  </si>
  <si>
    <t>高明区</t>
  </si>
  <si>
    <t>高明区经济科技促进局</t>
  </si>
  <si>
    <t>明经济〔2019〕135号</t>
  </si>
  <si>
    <t>http://www.gaoming.gov.cn/zwgk/zwgg/content/post_3252886.html</t>
  </si>
  <si>
    <t>佛山市南海区氢能产业发展规划（2020-2035年）</t>
  </si>
  <si>
    <t>南海区</t>
  </si>
  <si>
    <t>南海区发改局</t>
  </si>
  <si>
    <t>南发改产业〔2020〕6号</t>
  </si>
  <si>
    <t>http://www.nanhai.gov.cn/fsnhq/zwgk/zdgk/fzgh/content/post_4191927.html</t>
  </si>
  <si>
    <t>佛山市南海区固定式加氢站审批验收指引（暂行），佛山市南海区撬装式加氢站审批验收指引（暂行）</t>
  </si>
  <si>
    <t>南海区人民政府</t>
  </si>
  <si>
    <t>佛山市南海区促进加氢站建设运营及氢能源车辆运行扶持办法（暂行）</t>
  </si>
  <si>
    <t>南府办〔2018〕16号</t>
  </si>
  <si>
    <t>http://www.nanhai.gov.cn/fsnhq/zwgk/fggw/zfwj/content/post_1179354.html</t>
  </si>
  <si>
    <t>佛山市南海区促进加氢站建设运营及氢能源车辆运行扶持办法</t>
  </si>
  <si>
    <t>南府办〔2019〕2号</t>
  </si>
  <si>
    <t>http://www.nanhai.gov.cn/fsnh/wzjyh/fgj/zcwj/content/post_1466942.html</t>
  </si>
  <si>
    <t>佛山市南海区促进加氢站建设运营及氢能源车辆运行扶持办法（修订）</t>
  </si>
  <si>
    <t>南府办〔2020〕3号</t>
  </si>
  <si>
    <t>http://www.nanhai.gov.cn/fsnhq/zwgk/xxgk/xxgkml/qrmzf/gzwj/gfxwj/content/post_4329770.html</t>
  </si>
  <si>
    <t>新能源（氢能）市政、物流车辆推广应用实施方案（2021-2025年）</t>
  </si>
  <si>
    <t>南府办〔2021〕20号</t>
  </si>
  <si>
    <t>http://www.nanhai.gov.cn/fsnhq/zwgk/xxgk/xxgkml/qrmzf/gzwj/qt/content/post_5041399.html</t>
  </si>
  <si>
    <t>佛山市南海区推进氢能产业发展三年行动计划（2022-2025年）</t>
  </si>
  <si>
    <t>南府办函〔2022〕47号</t>
  </si>
  <si>
    <t>佛山市南海区促进加氢站建设运营及氢能源车辆运行扶持办法（2022年修订）</t>
  </si>
  <si>
    <t>南府办〔2022〕24号</t>
  </si>
  <si>
    <t>http://www.nanhai.gov.cn/fsnhfgj/gkmlpt/content/5/5487/post_5487436.html#1635</t>
  </si>
  <si>
    <t>关于延长佛山市南海区促进加氢站建设运营及氢能源车辆运行扶持办法（2022年修订）有效期的通知</t>
  </si>
  <si>
    <t>南府办〔2023〕12号</t>
  </si>
  <si>
    <t>https://www.foshan.gov.cn/gfxwj/qjgfxwj/nhq/nhqzfgfxwj/nhqrmzfbgs/content/post_5920946.html</t>
  </si>
  <si>
    <t>佛山市南海区促进加氢站建设运营及氢能源车辆运行扶持办法（2025年修订）</t>
  </si>
  <si>
    <t>南府办〔2025〕4号</t>
  </si>
  <si>
    <t>https://www.nanhai.gov.cn/gkmlpt/content/6/6646/post_6646374.html#1975</t>
  </si>
  <si>
    <t>关于佛山市南海区2024年氢能源车辆运行补贴资金拟发放情况的公示</t>
  </si>
  <si>
    <t>https://www.nanhai.gov.cn/fsnhq/bmdh/zfbm/qfgj/xxgkml/gzdt/content/post_5980067.html</t>
  </si>
  <si>
    <t>南海区车用加氢站规划（2021-2030）</t>
  </si>
  <si>
    <t>佛山市南海区氨氢供应体系建设规划方案</t>
  </si>
  <si>
    <t>佛山市南海区氢能两轮车产业示范项目实施方案</t>
  </si>
  <si>
    <t>佛山市南海区打造氢能和氨氢融合装备制造千亿产业集群实施方案（2024—2030年）</t>
  </si>
  <si>
    <t>南海区氢能产业高质量发展强支撑工作方案（2025—2030年）</t>
  </si>
  <si>
    <t>关于实施氢能两轮车产业示范项目的公告</t>
  </si>
  <si>
    <t>https://www.nanhai.gov.cn/fsnhfgj/gkmlpt/content/6/6809/post_6809217.html#1635</t>
  </si>
  <si>
    <t>云浮市推进落实氢能产业发展和推广应用工作方案</t>
  </si>
  <si>
    <t>云浮</t>
  </si>
  <si>
    <t>云浮市人民政府</t>
  </si>
  <si>
    <t>云府办〔2017〕61号</t>
  </si>
  <si>
    <t>https://www.yunfu.gov.cn/yfsrmzf/jcxxgk/zcfg/zfwj/content/post_3999.html</t>
  </si>
  <si>
    <t>关于印发云浮市加氢站建设审批程序的通知</t>
  </si>
  <si>
    <t>云府办函〔2017〕19号</t>
  </si>
  <si>
    <t>关于印发云浮市加氢站项目建设验收经营审批办事指引（试行）和流程图的通知</t>
  </si>
  <si>
    <t>云建城〔2017〕117号</t>
  </si>
  <si>
    <t>云浮市加快建设燃料电池汽车示范城市群示范点行动计划（2022-2025年）</t>
  </si>
  <si>
    <t>云浮市发改局、市科技局、市工信局、市财政局、市住建局、市应急管理局、市市监局</t>
  </si>
  <si>
    <t>云发改基产〔2023〕6号</t>
  </si>
  <si>
    <t>https://www.yunfu.gov.cn/fgj/zwgk/gggs/content/post_1685544.html</t>
  </si>
  <si>
    <t>深圳市氢能产业发展规划（2021-2025年）</t>
  </si>
  <si>
    <t>深圳市发改委</t>
  </si>
  <si>
    <t>http://fgw.sz.gov.cn/zwgk/qt/tzgg/content/post_9459760.html</t>
  </si>
  <si>
    <t>深圳市氢能产业创新发展行动计划2022-2025年</t>
  </si>
  <si>
    <t>http://fgw.sz.gov.cn/hdjlpt/yjzj/answer/21361</t>
  </si>
  <si>
    <t>关于组织实施深圳市2022年氢能产业发展扶持计划的通知</t>
  </si>
  <si>
    <t>http://fgw.sz.gov.cn/zwgk/qt/tzgg/content/post_10150595.html</t>
  </si>
  <si>
    <t>2022年氢能产业扶持计划拟资助项目的公示</t>
  </si>
  <si>
    <t>http://www.sz.gov.cn/cn/xxgk/zfxxgj/tzgg/content/post_10528253.html</t>
  </si>
  <si>
    <t>深圳市氢能产业创新发展行动计划（2024-2025年）</t>
  </si>
  <si>
    <t>https://fgw.sz.gov.cn/zwgk/zcjzcjd/zc/content/post_11283945.html</t>
  </si>
  <si>
    <t>盐田区国际氢能产业园企业入驻及园区管理办法（暂行）</t>
  </si>
  <si>
    <t>盐田区</t>
  </si>
  <si>
    <t>盐田区发改局</t>
  </si>
  <si>
    <t>http://www.yantian.gov.cn/cn/zwgk/fgwj/qjgfxwj/content/post_10627380.html</t>
  </si>
  <si>
    <t>茂名市氢能产业发展规划</t>
  </si>
  <si>
    <t>茂名</t>
  </si>
  <si>
    <t>茂名市工信局</t>
  </si>
  <si>
    <t>茂府办函〔2022〕120号</t>
  </si>
  <si>
    <t>http://www.maoming.gov.cn/hdjlpt/yjzj/answer/3433</t>
  </si>
  <si>
    <t>东莞市加氢站“十四五”发展规划（2021-2025年）</t>
  </si>
  <si>
    <t>东莞</t>
  </si>
  <si>
    <t>东莞市发改局</t>
  </si>
  <si>
    <t>http://dgdp.dg.gov.cn/attachment/0/123/123185/3808384.pdf</t>
  </si>
  <si>
    <t>东莞市氢能产业发展行动计划（2023—2025年）</t>
  </si>
  <si>
    <t>东发改〔2023〕245号</t>
  </si>
  <si>
    <t>https://dgdp.dg.gov.cn/gkmlpt/content/4/4119/mpost_4119987.html#21</t>
  </si>
  <si>
    <t>珠海市氢能产业发展规划（2022-2035年）及相关实施方案</t>
  </si>
  <si>
    <t>珠海</t>
  </si>
  <si>
    <t>珠海市发改局</t>
  </si>
  <si>
    <t>珠发改能源〔2022〕41 号</t>
  </si>
  <si>
    <t>http://www.zhuhai.gov.cn/zw/fggw/qtwj/qtbmzcwj/content/post_3395301.html</t>
  </si>
  <si>
    <t>珠海市加氢站布局专项规划（2023-2027年）</t>
  </si>
  <si>
    <t>https://fgj.zhuhai.gov.cn/zwgk/fzgh/content/post_3826990.html</t>
  </si>
  <si>
    <t>中山市氢能产业发展规划（2022-2025年）</t>
  </si>
  <si>
    <t>中山市发改局</t>
  </si>
  <si>
    <t>中发改产业〔2022〕565号</t>
  </si>
  <si>
    <t>http://www.zs.gov.cn/fgj/ghjh/gh/content/post_2179360.html</t>
  </si>
  <si>
    <t>中山市推动氢能产业高质量发展行动方案（2024-2026年）</t>
  </si>
  <si>
    <t>中山市人民政府</t>
  </si>
  <si>
    <t>中府办函〔2023〕144号</t>
  </si>
  <si>
    <t>http://www.zs.gov.cn/zwgk/fggw/sfbwj/content/post_2364273.html</t>
  </si>
  <si>
    <t>关于印发中山市推进加氢站建设工作方案的通知</t>
  </si>
  <si>
    <t>中府办函〔2021〕100号</t>
  </si>
  <si>
    <t>加氢站建设项目建设流程申报审批指引</t>
  </si>
  <si>
    <t>中山市住建局</t>
  </si>
  <si>
    <t>中建通〔2022〕98号</t>
  </si>
  <si>
    <t>广西氢能产业发展中长期规划（2023-2035年）</t>
  </si>
  <si>
    <t>广西壮族自治区发改委</t>
  </si>
  <si>
    <t>桂发改新能〔2023〕650号</t>
  </si>
  <si>
    <t>http://fgw.gxzf.gov.cn/zfxxgkzl/wjzx/zyzc/ghwj/t16999285.shtml</t>
  </si>
  <si>
    <t>加快推动广西氢能产业高质量发展行动计划（2024—2027年）</t>
  </si>
  <si>
    <t>广西自治区发改委、自治区能源局、自治区住建厅、自治区科技厅、自治区工信厅、自治区财政厅、自治区交通运输厅、自治区应急管理厅</t>
  </si>
  <si>
    <t>发改、能源、住建、科技、工信、财政、交通、应急</t>
  </si>
  <si>
    <t>桂发改高技〔2024〕901号</t>
  </si>
  <si>
    <t>http://fgw.gxzf.gov.cn/zfxxgkzl/wjzx/tzgg/t19463789.shtml</t>
  </si>
  <si>
    <t>南宁市燃料电池汽车加氢站建设运营管理暂行办法</t>
  </si>
  <si>
    <t>南宁市住建局</t>
  </si>
  <si>
    <t>https://zjj.nanning.gov.cn/dtzx/tzgg/zhgl/t6421579.html</t>
  </si>
  <si>
    <t>柳州市燃料电池汽车加氢站经营许可管理暂行办法</t>
  </si>
  <si>
    <t>柳州市住建局</t>
  </si>
  <si>
    <t>http://zjj.liuzhou.gov.cn/hdjl/myzj/zjmy/detail.shtml?siteId=325&amp;id=1484</t>
  </si>
  <si>
    <t>香港</t>
  </si>
  <si>
    <t>香港氢能发展策略</t>
  </si>
  <si>
    <t>香港特别行政区环境及生态局</t>
  </si>
  <si>
    <t>环境</t>
  </si>
  <si>
    <t>https://sc.isd.gov.hk/TuniS//www.info.gov.hk/gia/general/202406/17/P2024061700421.htm?fontSize=1</t>
  </si>
  <si>
    <t>绿色船用燃料加注行动纲领</t>
  </si>
  <si>
    <t>香港特别行政区运输及物流局</t>
  </si>
  <si>
    <t>运输</t>
  </si>
  <si>
    <t>tlb.gov.hk/tc/psp/pressreleases/transport/2024/20241115d_c2.pdf</t>
  </si>
  <si>
    <t>海南省氢能产业发展中长期规划（2023—2035年）</t>
  </si>
  <si>
    <t>海南省发改委、省工信厅、省商务厅、省科技厅、省财政厅、省住建厅、省交通运输厅、省应急管理厅</t>
  </si>
  <si>
    <t>发改、工信、商务、科技、财政、住建、交通、应急</t>
  </si>
  <si>
    <t>琼发改高技〔2023〕1183号</t>
  </si>
  <si>
    <t>https://plan.hainan.gov.cn/sfgw/0400/202401/10f0e16031ec43ca81435976a5582f91.shtml?ddtab=true</t>
  </si>
  <si>
    <t>海南省加氢站建设审批流程（试行）</t>
  </si>
  <si>
    <t>海南省住建厅、省交通运输厅、省自然资源和规划厅、省生态环境厅、省市监局、省气象局、中共海南省委军民融合发展委员会办公室</t>
  </si>
  <si>
    <t>住建、交通、自然资源、生态环境、市监、气象、军民融合委员会</t>
  </si>
  <si>
    <t>琼建城〔2020〕278号</t>
  </si>
  <si>
    <t>http://zjt.hainan.gov.cn/szjt/0402/202102/6113ce3c7f6d492f93536068b1dbae95.shtml</t>
  </si>
  <si>
    <t>关于开展海南省燃料电池汽车等技术示范应用项目第一批（2023-2024年）申报工作的通知</t>
  </si>
  <si>
    <t>海南省工信厅、省交通运输厅、省财政厅</t>
  </si>
  <si>
    <t>工信、交通、财政</t>
  </si>
  <si>
    <t>琼工信汽车〔2024〕25号</t>
  </si>
  <si>
    <t>https://iitb.hainan.gov.cn/iitb/bmwjjj/202402/d02be66639874647ba5749db1cd26b2f.shtml?ddtab=true</t>
  </si>
  <si>
    <t>关于海南省第一批（2023-2024年）燃料电池汽车等技术示范应用项目遴选结果的公示</t>
  </si>
  <si>
    <t>海南省工信厅</t>
  </si>
  <si>
    <t>琼工信汽车〔2024〕86号</t>
  </si>
  <si>
    <t>https://iitb.hainan.gov.cn/iitb/xnyqcfa/202404/0dc311e96f004954a0f5d3f5c561e850.shtml?ddtab=true</t>
  </si>
  <si>
    <t>关于海南省燃料电池汽车等技术示范应用项目第一批（2023-2024年）的补充通知</t>
  </si>
  <si>
    <t>琼工信汽车〔2024〕256号</t>
  </si>
  <si>
    <t>https://iitb.hainan.gov.cn/iitb/xnyqcfa/202410/e46cd0d9759e4cac9e5dd3e7d45c48d9.shtml</t>
  </si>
  <si>
    <t>关于公布海南省第一批（2023-2024年）燃料电池汽车等技术示范应用项目的通告</t>
  </si>
  <si>
    <t>琼工信汽车〔2024〕122号</t>
  </si>
  <si>
    <t>https://iitb.hainan.gov.cn/iitb/bmwjjj/202406/31b0e0b824ee4785933b7dcef3c8c960.shtml</t>
  </si>
  <si>
    <t>关于海南海马汽车销售有限公司为牵头单位的第一批燃料电池汽车等技术示范应用项目第一阶段验收结果的公示（一）</t>
  </si>
  <si>
    <t>琼工信汽车〔2024〕155号</t>
  </si>
  <si>
    <t>https://iitb.hainan.gov.cn/iitb/bmwjjj/202407/47ac39c45dbe4727bfc852c9b0daf857.shtml</t>
  </si>
  <si>
    <t>关于海南海马汽车销售有限公司为牵头单位的第一批燃料电池汽车等技术示范应用项目第一阶段验收结果的公示（二）</t>
  </si>
  <si>
    <t>琼工信汽车〔2024〕276号</t>
  </si>
  <si>
    <t>https://iitb.hainan.gov.cn/iitb/xnyqcfa/202411/e50abafbbfcd415dbb2e828d1bb73b75.shtml</t>
  </si>
  <si>
    <t>关于海南清志新能源科技有限公司为牵头单位的第一批燃料电池汽车等技术示范应用项目第一阶段验收结果的公示（三）</t>
  </si>
  <si>
    <t>琼工信汽车〔2024〕313号</t>
  </si>
  <si>
    <t>https://iitb.hainan.gov.cn/iitb/xnyqcfa/202412/eed60ef87f0d41be9a5538e33de71d3f.shtml</t>
  </si>
  <si>
    <t>关于海南海马汽车销售有限公司为牵头单位的第一批燃料电池汽车示范应用项目第二阶段验收结果的公示（一）</t>
  </si>
  <si>
    <t>琼工信汽车〔2025〕89号</t>
  </si>
  <si>
    <t>https://iitb.hainan.gov.cn/iitb/xnyqcfa/202504/2f2023e9d8944d7a90dba1fcd15a311c.shtml</t>
  </si>
  <si>
    <t>关于开展海南省燃料电池汽车等技术示范应用项目第二批（2025—2026年）申报工作的通知</t>
  </si>
  <si>
    <t>琼工信汽车〔2025〕316号</t>
  </si>
  <si>
    <t>https://iitb.hainan.gov.cn/iitb/xnyqcfa/202512/b740edf1e4ec478ea1095cd7efb8769e.shtml?ddtab=true</t>
  </si>
  <si>
    <t>关于公布海南省第二批（2025—2026年）燃料电池汽车等技术示范应用项目的通告</t>
  </si>
  <si>
    <t>https://iitb.hainan.gov.cn/iitb/xnyqcfa/202604/8d1f2301280349418efb2f5537f6b469.shtml?ddtab=true</t>
  </si>
  <si>
    <t>海口市氢能产业发展规划（2023-2025年）</t>
  </si>
  <si>
    <t>海口市发改委、市工信局、市商务局、市财政局、市市政管理局、市交通运输和港务管理局、市应急管理局</t>
  </si>
  <si>
    <t>发改、工信、商务、财政、市政、交通、应急</t>
  </si>
  <si>
    <t>海发改能源〔2024〕307号</t>
  </si>
  <si>
    <t>https://drc.haikou.gov.cn/xxxgk/fdzdgknr/gwztc/202403/t1351108.shtml</t>
  </si>
  <si>
    <t>重庆市氢燃料电池汽车产业发展指导意见</t>
  </si>
  <si>
    <t>重庆市经信委</t>
  </si>
  <si>
    <t>渝经信发〔2020〕35号</t>
  </si>
  <si>
    <t>https://jjxxw.cq.gov.cn/zwgk_213/zcwj/qtwj/202003/t20200321_5932423_wap.html</t>
  </si>
  <si>
    <t>重庆市加氢站行业发展规划（2025—2035年）</t>
  </si>
  <si>
    <t>渝经信油气〔2025〕8号</t>
  </si>
  <si>
    <t>https://jjxxw.cq.gov.cn/zwgk_213/zcwj/qtwj/202512/t20251216_15248440.html</t>
  </si>
  <si>
    <t>关于规范加氢站试点示范阶段建设条件和流程（试行）的通知</t>
  </si>
  <si>
    <t>渝经信油气〔2021〕1号</t>
  </si>
  <si>
    <t>重庆市支持氢燃料电池汽车推广应用政策措施（2021-2023年）</t>
  </si>
  <si>
    <t>重庆市人民政府</t>
  </si>
  <si>
    <t>渝府办发〔2021〕129号</t>
  </si>
  <si>
    <t>https://www.cq.gov.cn/zwgk/zfxxgkml/szfwj/xzgfxwj/szfbgt/202111/t20211119_9998893.html</t>
  </si>
  <si>
    <t>重庆市2024年支持氢燃料电池汽车推广应用政策措施</t>
  </si>
  <si>
    <t>重庆市经信委、市公安局、市财政莒</t>
  </si>
  <si>
    <t>经信、公安、财政</t>
  </si>
  <si>
    <t>渝经信规范〔2024〕16号</t>
  </si>
  <si>
    <t>https://jjxxw.cq.gov.cn/zwgk_213/zcwj/xzgfxwj/202407/t20240726_13434381.html</t>
  </si>
  <si>
    <t>重庆市2025年支持氢燃料电池汽车推广应用政策措施</t>
  </si>
  <si>
    <t>重庆市经信委、市公安局、市财政局</t>
  </si>
  <si>
    <t>渝经信规范〔2025〕5号</t>
  </si>
  <si>
    <t>https://jjxxw.cq.gov.cn/zwgk_213/zcwj/xzgfxwj/202508/t20250826_14937188.html</t>
  </si>
  <si>
    <t>重庆市燃料电池汽车加氢站管理暂行办法</t>
  </si>
  <si>
    <t>https://jjxxw.cq.gov.cn/hdjl_213/yjzj/detail.html?id=7138</t>
  </si>
  <si>
    <t>汽车加油加气加氢站现行消防设计规范重点条文</t>
  </si>
  <si>
    <t>重庆市住建委</t>
  </si>
  <si>
    <t>https://zfcxjw.cq.gov.cn/zwxx_166/gsgg/202511/t20251121_15179818.html</t>
  </si>
  <si>
    <t>加快推动成渝氢走廊建设工作方案</t>
  </si>
  <si>
    <t>渝经信汽车〔2021〕3号</t>
  </si>
  <si>
    <t>关于确认增设加氢功能站点名单（2021年度第一批）的公示</t>
  </si>
  <si>
    <t>https://jjxxw.cq.gov.cn/zwgk_213/gsgg/202103/t20210317_9007800.html</t>
  </si>
  <si>
    <t>关于确认增设加氢功能站点名单 （2021年度第二批）的公示</t>
  </si>
  <si>
    <t>https://jjxxw.cq.gov.cn/zwgk_213/gsgg/202108/t20210819_9598788.html</t>
  </si>
  <si>
    <t>关于对拟增设加氢功能站点（2022年第一批）的公示</t>
  </si>
  <si>
    <t>https://jjxxw.cq.gov.cn/zwgk_213/gsgg/202203/t20220324_10546019.html</t>
  </si>
  <si>
    <t>关于确认增设加氢功能站点审查意见（2022年第二批）的公示</t>
  </si>
  <si>
    <t>https://jjxxw.cq.gov.cn/zwgk_213/gsgg/202208/t20220805_10981333.html</t>
  </si>
  <si>
    <t>关于确认增设加氢功能站点审查意见（2022年第三批）的公示</t>
  </si>
  <si>
    <t>https://jjxxw.cq.gov.cn/zwgk_213/gsgg/202211/t20221111_11290397_wap.html</t>
  </si>
  <si>
    <t>关于确认增设加氢功能站点审查意见（2023年第一批）的公示</t>
  </si>
  <si>
    <t>https://jjxxw.cq.gov.cn/zwgk_213/gsgg/202303/t20230314_11757856.html</t>
  </si>
  <si>
    <t>关于确认增设加氢功能站点审查意见（2023年第二批）的公示</t>
  </si>
  <si>
    <t>https://jjxxw.cq.gov.cn/zwgk_213/gsgg/202304/t20230423_11904475.html</t>
  </si>
  <si>
    <t>关于确认增设加氢功能站点审查意见（2023年第三批）的公示</t>
  </si>
  <si>
    <t>https://jjxxw.cq.gov.cn/zwgk_213/gsgg/202312/t20231213_12699585.html</t>
  </si>
  <si>
    <t>关于确认增设加氢功能站点审查意见（2024年第一批）的公示</t>
  </si>
  <si>
    <t>https://jjxxw.cq.gov.cn/zwgk_213/gsgg/202403/t20240311_13025010.html</t>
  </si>
  <si>
    <t>关于确认增设加氢功能站点审查意见（2024年第二批）的公示</t>
  </si>
  <si>
    <t>https://jjxxw.cq.gov.cn/zwgk_213/gsgg/202410/t20241009_13690062.html</t>
  </si>
  <si>
    <t>关于确认增设加氢功能站点审查意见（2024年第三批）的公示</t>
  </si>
  <si>
    <t>https://jjxxw.cq.gov.cn/zwgk_213/gsgg/202412/t20241205_13865562.html</t>
  </si>
  <si>
    <t>关于确认增设加氢功能站点审查意见（2025年第一批）的公示</t>
  </si>
  <si>
    <t>http://jjxxw.cq.gov.cn/zwgk_213/gsgg/202501/t20250113_14129612.html</t>
  </si>
  <si>
    <t>重庆市九龙坡区支持氢能产业发展政策措施（试行）</t>
  </si>
  <si>
    <t>九龙坡区</t>
  </si>
  <si>
    <t>九龙坡区经信委</t>
  </si>
  <si>
    <t>九龙坡经信委发〔2023〕11号</t>
  </si>
  <si>
    <t>http://cqjlp.gov.cn/bmjz/qzfbm_97119/qjjxxw_97715/zwgk_97124/fdzdgknr_97126/lzyj/zcwj/202303/t20230316_11773323.html</t>
  </si>
  <si>
    <t>重庆市九龙坡区支持氢能产业发展政策措施（试行）（2024年修订版）</t>
  </si>
  <si>
    <t>九龙坡经信委发〔2024〕12号</t>
  </si>
  <si>
    <t>重庆市九龙坡区氢能产业中长期发展规划（2023—2035）</t>
  </si>
  <si>
    <t>九龙坡区人民政府</t>
  </si>
  <si>
    <t>九龙坡府办发〔2023〕90号</t>
  </si>
  <si>
    <t>http://cqjlp.gov.cn/zwgk_251/zcwj/qtwj/202312/t20231213_12697466.html</t>
  </si>
  <si>
    <t>重庆市九龙坡区支持氢燃料电池汽车产业发展及推广应用的政策措施</t>
  </si>
  <si>
    <t>九龙坡经信委发〔2025〕8号</t>
  </si>
  <si>
    <t>https://cqjlp.gov.cn/bmjz/qzfbm_97119/qjjxxw_97715/zwxx_97121/dt/202503/t20250301_14359612.html</t>
  </si>
  <si>
    <t>关于组织开展2025年重庆市九龙坡区支持氢燃料电池汽车产业发展及推广应用的政策措施申报工作的通知</t>
  </si>
  <si>
    <t>https://cqjlp.gov.cn/bmjz/qzfbm_97119/qjjxxw_97715/zwxx_97121/dt/202503/t20250301_14359595.html</t>
  </si>
  <si>
    <t>关于推进四川省氢能及燃料电池汽车产业高质量发展的指导意见</t>
  </si>
  <si>
    <t>四川省经信厅</t>
  </si>
  <si>
    <t>https://jxt.sc.gov.cn/scjxt/yjzj/2022/11/1/ecb66fc29f6d4a5b8dab839916dfadf4.shtml</t>
  </si>
  <si>
    <t>四川省氢能产业发展规划（2021-2025年）</t>
  </si>
  <si>
    <t>川经信汽车〔2020〕168号</t>
  </si>
  <si>
    <t>https://jxt.sc.gov.cn/scjxt/wjfb/2020/9/21/12979ab0d1cf41b18489d7d9559e4abf.shtml</t>
  </si>
  <si>
    <t>关于氢燃料电池汽车示范奖励通过评审的市（州）名单的公示</t>
  </si>
  <si>
    <t>https://jxt.sc.gov.cn/scjxt/ggtz/2023/9/14/8922b39d12354bf7bf2aa165ced4d4e0.shtml</t>
  </si>
  <si>
    <t>四川省进一步推动氢能全产业链发展及推广应用行动方案（2024-2027年）</t>
  </si>
  <si>
    <t>四川省人民政府</t>
  </si>
  <si>
    <t>川办发〔2024〕48号</t>
  </si>
  <si>
    <t>https://www.sc.gov.cn/10462/zfwjts/2024/11/6/9e09ce2bcb2c4474bdf93be512a251e8.shtml</t>
  </si>
  <si>
    <t>四川省以标准提升推动氢能全产业链发展及推广应用工作方案</t>
  </si>
  <si>
    <t>四川省市监局</t>
  </si>
  <si>
    <t>川市监发〔2024〕38号</t>
  </si>
  <si>
    <t>https://scjgj.sc.gov.cn/scjgj/zcqtwj/2024/8/6/d2aff0e8dc364290bbb9eec7957fee19.shtml</t>
  </si>
  <si>
    <t>四川省氢能产业中长期发展规划（2025—2035年）</t>
  </si>
  <si>
    <t>川经信汽车轨道〔2025〕99号</t>
  </si>
  <si>
    <t>https://jxt.sc.gov.cn/scjxt/qtwj/2025/6/4/84e967729ced416a877b9eaa245a41d4.shtml</t>
  </si>
  <si>
    <t>四川省关于组织开展国家级能源领域氢能试点申报工作的通知</t>
  </si>
  <si>
    <t>四川省能源局</t>
  </si>
  <si>
    <t>https://fgw.sc.gov.cn/sfgw/tzgg/2025/6/19/fc5a62a857b343e6a8fba14d6ce091a7.shtml</t>
  </si>
  <si>
    <t>关于做好进一步推动氢能全产业链发展及推广应用相关激励政策兑现工作的公示</t>
  </si>
  <si>
    <t>https://jxt.sc.gov.cn/scjxt/ggtz/2025/10/17/a87816ba338a4ff9a702f0e3bbad623e.shtml</t>
  </si>
  <si>
    <t>四川省氢燃料电池汽车车用加氢站建设运营管理暂行办法</t>
  </si>
  <si>
    <t>四川省住建厅</t>
  </si>
  <si>
    <t>https://jst.sc.gov.cn/scjst/c101428/2025/4/14/11b9888637554369ae9a3945b8c3fd68.shtml</t>
  </si>
  <si>
    <t>成都市氢能产业发展规划（2019-2023年）</t>
  </si>
  <si>
    <t>成都市氢能暨新能源汽车产业推进工作领导小组办公室</t>
  </si>
  <si>
    <t>http://gk.chengdu.gov.cn/govInfoPub/detail.action?id=2398916&amp;tn=2</t>
  </si>
  <si>
    <t>成都市支持氢能暨新能源汽车产业发展及推广应用若干政策</t>
  </si>
  <si>
    <t>成都市经信局、市财政局、市科技局、市发改委、市公安局交通管理局</t>
  </si>
  <si>
    <t>经信、财政、科技、发改、公安</t>
  </si>
  <si>
    <t>成经信发〔2019〕6号</t>
  </si>
  <si>
    <t>http://gk.chengdu.gov.cn/govInfoPub/detail.action?id=111884&amp;tn=6</t>
  </si>
  <si>
    <t>关于促进氢能产业高质量发展的若干意见</t>
  </si>
  <si>
    <t>成都市人民政府</t>
  </si>
  <si>
    <t>成办发〔2020〕63号</t>
  </si>
  <si>
    <t>http://gk.chengdu.gov.cn/govInfoPub/detail.action?id=119605&amp;tn=6</t>
  </si>
  <si>
    <t>成都市加氢站建设运营管理办法（试行）</t>
  </si>
  <si>
    <t>成都市经信局、市发改委、市规划和自然资源局、市住建局、市交通运输局、市应急管理局、市市监局</t>
  </si>
  <si>
    <t>经信、发改、规划、住建、交通、应急、市监</t>
  </si>
  <si>
    <t>成经信发〔2021〕3号</t>
  </si>
  <si>
    <t>http://gk.chengdu.gov.cn/govInfo/detail.action?id=127405&amp;tn=6</t>
  </si>
  <si>
    <t>关于组织开展2020年成都市氢能产业高质量发展项目资金申报工作的通知</t>
  </si>
  <si>
    <t>成都市经信局、市财政局</t>
  </si>
  <si>
    <t>https://cdjx.chengdu.gov.cn/cdsjxw/c132827/2020-09/18/content_cc8a6a4a36b94b798bce3f3fbbd4dcd1.shtml</t>
  </si>
  <si>
    <t>2020年成都市氢能产业高质量发展补助项目名单公示</t>
  </si>
  <si>
    <t>成都市经信局</t>
  </si>
  <si>
    <t>https://cdjx.chengdu.gov.cn/cdsjxw/c132827/2020-10/22/content_c0da5147fd0840bda8b43a23023fd87c.shtml</t>
  </si>
  <si>
    <t>关于组织开展2021年成都市氢能产业高质量发展项目资金申报工作的通知</t>
  </si>
  <si>
    <t>成经信财〔2022〕22号</t>
  </si>
  <si>
    <t>http://cdjx.chengdu.gov.cn/cdsjxw/c132827/2021-04/07/content_7028a37034e14ff789c992c368ca90de.shtml</t>
  </si>
  <si>
    <t>2021年成都市氢能产业高质量发展补助项目名单公示</t>
  </si>
  <si>
    <t>http://cdjx.chengdu.gov.cn/cdsjxw/c132827/2021-08/11/content_218d830fa6b047dfbfbffd75dec9fd12.shtml</t>
  </si>
  <si>
    <t>关于组织开展2022年成都市氢能产业高质量发展项目申报工作的通知</t>
  </si>
  <si>
    <t>http://cdjx.chengdu.gov.cn/cdsjxw/c132827/2022-06/14/content_7571feb4555e4fe5b0b1c17b68b22564.shtml</t>
  </si>
  <si>
    <t>2022年成都市氢能产业高质量发展补助项目名单公示</t>
  </si>
  <si>
    <t>http://cdjx.chengdu.gov.cn/cdsjxw/c132827/2022-12/02/content_fb37bad4e03242c7aa4eb20a96d47fbf.shtml</t>
  </si>
  <si>
    <t>关于开展2022-2023年度成都市燃料电池汽车示范应用项目申报工作的通知</t>
  </si>
  <si>
    <t>成都市经信局、市财政局、市科技局、市发改委</t>
  </si>
  <si>
    <t>经信、财政、科技、发改</t>
  </si>
  <si>
    <t>http://cdjx.chengdu.gov.cn/cdsjxw/c132806/2022-12/22/content_795abc01d67e4b65aa6377ed85ef855c.shtml</t>
  </si>
  <si>
    <t>2022-2023年度成都市燃料电池汽车示范应用项目拟承担“示范应用联合体”牵头企业公示</t>
  </si>
  <si>
    <t>http://cdjx.chengdu.gov.cn/cdsjxw/c132806/2023-01/18/content_0980eace37b64acab052ff79ed226360.shtml</t>
  </si>
  <si>
    <t>关于组织开展2023年成都市氢能产业高质量发展项目申报工作的通知</t>
  </si>
  <si>
    <t>成经信财〔2023〕26号</t>
  </si>
  <si>
    <t>https://cdjx.chengdu.gov.cn/cdsjxw/c132827/2023-08/04/content_60a418fe96844730a096ac86e2b9a50c.shtml</t>
  </si>
  <si>
    <t>2023年成都市氢能产业高质量发展补助项目名单公示</t>
  </si>
  <si>
    <t>https://cdjx.chengdu.gov.cn/cdsjxw/c132827/2024-07/16/content_13a71697aa3b4978b5e043616535b739.shtml</t>
  </si>
  <si>
    <t>关于组织开展2024年成都市氢能产业高质量发展项目申报工作的通知</t>
  </si>
  <si>
    <t>成经信财〔2024〕78号</t>
  </si>
  <si>
    <t>https://cdjx.chengdu.gov.cn/cdsjxw/c132827/2024-08/06/content_1935f02043fb463b9fbf1311c98435a1.shtml</t>
  </si>
  <si>
    <t>关于2024年度“成都市产业建圈强链人才计划”氢能产业链链主企业评选名单的公示</t>
  </si>
  <si>
    <t>https://cdjx.chengdu.gov.cn/cdsjxw/c132827/2024-08/30/content_699a56ba0d5345209de65f9dddeeced9.shtml</t>
  </si>
  <si>
    <t>关于开展2024年度成都市氢燃料电池商用车示范应用项目申报工作的通知</t>
  </si>
  <si>
    <t>成都市经信局、市住建局、市城管局、市交通局</t>
  </si>
  <si>
    <t>经信、住建、城管、交通</t>
  </si>
  <si>
    <t>成经信财〔2024〕82号</t>
  </si>
  <si>
    <t>https://cdjx.chengdu.gov.cn/cdsjxw/c132806/2024-09/02/content_eb674aaed4f94d4d8f62106f8e8d668b.shtml</t>
  </si>
  <si>
    <t>成都市2024年度氢能产业高质量发展项目拟通过名单公示</t>
  </si>
  <si>
    <t>https://cdjx.chengdu.gov.cn/cdsjxw/c132827/2025-08/11/content_8647c0dee4654029b8f89af28260e7a7.shtml</t>
  </si>
  <si>
    <t>成都市推动氢燃料电池商用车产业发展及推广应用行动方案（2024—2026年）</t>
  </si>
  <si>
    <t>成都市经信局、市财政局、市住建局、市城管委、市交通运输局、市应急管理局、市国有资产监督管理委员会、市市监管局、市公安局</t>
  </si>
  <si>
    <t>经信、财政、住建、城管、交通、应急、国有资产、市监、公安</t>
  </si>
  <si>
    <t>成经信财〔2024〕41号</t>
  </si>
  <si>
    <t>https://cdjx.chengdu.gov.cn/cdsjxw/c132806/2024-05/21/content_e88609c99c084be8b835fd3d681e8563.shtml</t>
  </si>
  <si>
    <t>成都市推动氢燃料电池商用车产业发展及推广应用政策申报指南</t>
  </si>
  <si>
    <t>成经信规〔2024〕1号</t>
  </si>
  <si>
    <t>https://cdjx.chengdu.gov.cn/cdsjxw/c132806/2024-07/17/content_2d31b9b6f63e464084b1a962f23b6f04.shtml</t>
  </si>
  <si>
    <t>关于组织开展2024年成都市氢能产业项目申报工作的通知</t>
  </si>
  <si>
    <t>成经信财〔2024〕18号</t>
  </si>
  <si>
    <t>https://cdjx.chengdu.gov.cn/cdsjxw/c132827/2024-04/19/content_14af462c6c7843c5bd0148307eb83f62.shtml</t>
  </si>
  <si>
    <t>拟承担2024年度成都市氢燃料电池商用车示范应用项目的示范应用联合体牵头企业公示</t>
  </si>
  <si>
    <t>https://cdjx.chengdu.gov.cn/cdsjxw/c132946/2024-11/01/content_91cc9be1135643aa9dde416aca3e5b0b.shtml</t>
  </si>
  <si>
    <t>四川省成都市2024年绿色氢能产业新赛道项目拟支持对象公示</t>
  </si>
  <si>
    <t>https://cdjx.chengdu.gov.cn/cdsjxw/c132827/2025-04/14/content_46b1cd2a62d8468c85f0e0aca9876be3.shtml</t>
  </si>
  <si>
    <t>关于2024年度成都市氢燃料电池商用车示范应用项目市级奖励资金拟支持项目的公示</t>
  </si>
  <si>
    <t>https://cdjx.chengdu.gov.cn/cdsjxw/c132806/2025-05/19/content_3327f1b1a3454e6dbd84d29f2a5bd6ca.shtml</t>
  </si>
  <si>
    <t>关于开展2025年度成都市氢燃料电池商用车示范应用项目（第一批）申报工作的通知</t>
  </si>
  <si>
    <t>成都市经信局、市交通运输局</t>
  </si>
  <si>
    <t>经信、交通</t>
  </si>
  <si>
    <t>https://cdjx.chengdu.gov.cn/cdsjxw/c132806/2025-07/09/content_12d238b274df46b1b467de4ebeda2259.shtml</t>
  </si>
  <si>
    <t>拟承担2025年度成都市氢燃料电池商用车示范应用项目（第一批）的示范应用联合体牵头单位公示</t>
  </si>
  <si>
    <t>https://cdjx.chengdu.gov.cn/cdsjxw/c132806/2025-09/04/content_b00adb5237324e90864c9f03a8462545.shtml</t>
  </si>
  <si>
    <t>关于开展进一步推动氢能全产业链发展及推广应用相关激励政策兑现申报工作的通知</t>
  </si>
  <si>
    <t>成经信财〔2025〕38号</t>
  </si>
  <si>
    <t>https://cdjx.chengdu.gov.cn/cdsjxw/c132827/2025-09/17/content_257d2d30e14c42fe9df2b5d47aae94ca.shtml</t>
  </si>
  <si>
    <t>关于开展2025年度成都市氢燃料电池商用车示范应用项目（第二批）申报工作的通知</t>
  </si>
  <si>
    <t>https://cdjx.chengdu.gov.cn/cdsjxw/c132806/2025-11/05/content_5d26f18aa8c048de885cfbf04ea18465.shtml</t>
  </si>
  <si>
    <t>郫都区培育氢能产业建设绿色氢都的实施意见</t>
  </si>
  <si>
    <t>郫都区</t>
  </si>
  <si>
    <t>郫都区经信局</t>
  </si>
  <si>
    <t>http://gk.chengdu.gov.cn/govInfoPub/detail.action?id=2421983&amp;tn=2</t>
  </si>
  <si>
    <t>德阳市氢能产业发展行动方案 （2025—2027年）</t>
  </si>
  <si>
    <t>德阳</t>
  </si>
  <si>
    <t>德阳市人民政府</t>
  </si>
  <si>
    <t>德办发〔2025〕18号</t>
  </si>
  <si>
    <t>https://www.deyang.gov.cn/gk/zfxxgk/fdnr/zfwjjjd/fzfbgswj/dbf/1904592.htm</t>
  </si>
  <si>
    <t>西南</t>
  </si>
  <si>
    <t>关于组织开展2025年度省级氢能产业发展及推广应用激励政策申报工作的通知</t>
  </si>
  <si>
    <t>德阳市经信局</t>
  </si>
  <si>
    <t>德经信〔2025〕234号</t>
  </si>
  <si>
    <t>https://www.deyang.gov.cn/gk/fjbm/jxj/zhengce/zcwj/1916099.htm</t>
  </si>
  <si>
    <t>内江市氢能产业发展规划（2021-2025年）</t>
  </si>
  <si>
    <t>内江</t>
  </si>
  <si>
    <t>内江市工业经济领导小组办公室</t>
  </si>
  <si>
    <t>内工经领办〔2022〕1号</t>
  </si>
  <si>
    <t>https://www.neijiang.gov.cn/jxj/xxgk/zhengc/zcfg/202201/53b4f0772f3c414d8f659b8e112f6937.shtml?cnName=%E6%94%BF%E7%AD%96</t>
  </si>
  <si>
    <t>威远县推动氢能产业发展的实施意见</t>
  </si>
  <si>
    <t>威远县</t>
  </si>
  <si>
    <t>威远县人民政府</t>
  </si>
  <si>
    <t>威府办发〔2021〕7号</t>
  </si>
  <si>
    <t>https://www.weiyuan.gov.cn/wyx/zfbwj/202103/bf896333d289412db297c71ec8522ce5.shtml</t>
  </si>
  <si>
    <t>凉山彝族自治州“十四五”氢能产业发展规划</t>
  </si>
  <si>
    <t>凉山彝族自治州</t>
  </si>
  <si>
    <t>凉山州经济和信息化局</t>
  </si>
  <si>
    <t>http://www.lsz.gov.cn/xxgk/ghjh/zxghs/202109/t20210930_2027421.html</t>
  </si>
  <si>
    <t>关于支持氢能产业高质量发展的若干政策措施</t>
  </si>
  <si>
    <t>攀枝花市发改委</t>
  </si>
  <si>
    <t>http://fgw.panzhihua.gov.cn/zwgk/tzgg/4194488.shtml</t>
  </si>
  <si>
    <t>攀枝花市燃料电池汽车加氢站建设运营管理办法（试行）</t>
  </si>
  <si>
    <t>攀枝花市城管局</t>
  </si>
  <si>
    <t>http://cgj.panzhihua.gov.cn/zwgk/tzgg/4221006.shtml</t>
  </si>
  <si>
    <t>攀枝花市氢能产业示范城市发展规划（2021-2030年）</t>
  </si>
  <si>
    <t>攀枝花市人民政府</t>
  </si>
  <si>
    <t>攀办发〔2022〕42号</t>
  </si>
  <si>
    <t>http://www.panzhihua.gov.cn/zwgk/fggw/zfbwj/4326712.shtml</t>
  </si>
  <si>
    <t>关于支持氢能产业高质量发展的若干政策措施（2025年版）</t>
  </si>
  <si>
    <t>攀办规〔2025〕2号</t>
  </si>
  <si>
    <t>http://www.panzhihua.gov.cn//zfxxgk1/zc/szfwj/szfgfxwj/10231939.shtml</t>
  </si>
  <si>
    <t>关于攀枝花市氢燃料电池汽车示范奖励通过评审项目清单的公示</t>
  </si>
  <si>
    <t>攀枝花经信局</t>
  </si>
  <si>
    <t>http://jxj.panzhihua.gov.cn/zfxxgk/tzgg/10241770.shtml</t>
  </si>
  <si>
    <t>攀枝花市加氢站布局规划（2021—2030年）</t>
  </si>
  <si>
    <t>http://cgj.panzhihua.gov.cn//hdjl/yjzj/yjzj/10062612.shtml</t>
  </si>
  <si>
    <t>攀枝花市建设氢能产业示范城市实施意见</t>
  </si>
  <si>
    <t>攀枝花市经信局</t>
  </si>
  <si>
    <t>自贡市氢能装备制造产业支持政策</t>
  </si>
  <si>
    <t>自贡</t>
  </si>
  <si>
    <t>自贡市人民政府</t>
  </si>
  <si>
    <t>自府办发〔2024〕1号</t>
  </si>
  <si>
    <t>自贡市氢能装备制造产业园工作方案（2023—2024年）</t>
  </si>
  <si>
    <t>自贡市氢能产业发展规划（2022-2025）</t>
  </si>
  <si>
    <t>自贡市氢能产业发展规划（2024-2027年）</t>
  </si>
  <si>
    <t>自氢领办〔2024〕3号</t>
  </si>
  <si>
    <t>自贡氢能装备制造先行区实施方案</t>
  </si>
  <si>
    <t>关于加快推进氢能产业发展的实施方案</t>
  </si>
  <si>
    <t>自流井区</t>
  </si>
  <si>
    <t>乐山市燃料电池汽车加氢站建设运营管理办法（试行）</t>
  </si>
  <si>
    <t>乐山市经信局、市发改委、市自然资源和规划局、市生环局、市住建局、市交通运输局、市应急管理局、市市监管理局</t>
  </si>
  <si>
    <t>经信、发改、自然资源、生环、住建、交通、应急、市监</t>
  </si>
  <si>
    <t>乐市经信〔2024〕18号</t>
  </si>
  <si>
    <t>https://sjxj.leshan.gov.cn/sjxw/xxgkcontent/list_xxgkcontent.shtml?id=20240126161918-918360-00-000</t>
  </si>
  <si>
    <t>南充市氢能产业发展中长期规划（2024—2035年）</t>
  </si>
  <si>
    <t>南充</t>
  </si>
  <si>
    <t>南充市人民政府</t>
  </si>
  <si>
    <t>南府发〔2024〕10号</t>
  </si>
  <si>
    <t>https://www.nanchong.gov.cn/zwgk/zc/zfwj/nff/t_2005072.html</t>
  </si>
  <si>
    <t>南充市支持氢能产业发展的若干政策措施</t>
  </si>
  <si>
    <t>南府规〔2025〕2号</t>
  </si>
  <si>
    <t>https://www.nanchong.gov.cn/zwgk/zc/xzgfxwj/t_2127798.html</t>
  </si>
  <si>
    <t>通川区推动氢能全产业链发展及推广应用行动方案（2024-2027年）</t>
  </si>
  <si>
    <t>达州</t>
  </si>
  <si>
    <t>通川区</t>
  </si>
  <si>
    <t>通川区经信局</t>
  </si>
  <si>
    <t>http://www.tchuan.gov.cn/news-show-17398.html</t>
  </si>
  <si>
    <t>甘孜州氢能全产业链发展实施方案（2025-2028年）</t>
  </si>
  <si>
    <t>甘孜藏族自治州</t>
  </si>
  <si>
    <t>甘孜州经信局</t>
  </si>
  <si>
    <t>https://jxj.gzz.gov.cn/gsgg1/article/643229</t>
  </si>
  <si>
    <t>贵州省“十四五”氢能产业发展规划</t>
  </si>
  <si>
    <t>贵州省发改委、省工信厅、省科技厅、省能源局</t>
  </si>
  <si>
    <t>发改、工信、科技、能源</t>
  </si>
  <si>
    <t>黔发改能源〔2022〕547号</t>
  </si>
  <si>
    <t>贵阳市汽车加氢站建设运营管理办法（试行）</t>
  </si>
  <si>
    <t>贵阳市商务局</t>
  </si>
  <si>
    <t>商务</t>
  </si>
  <si>
    <t>筑商通〔2021〕15号</t>
  </si>
  <si>
    <t>http://swj.guiyang.gov.cn/swj2020gb/zwgk/zfxxgk_5666523/fdzdgknr_5666526/fggw_5666532/zcwj/202108/t20210820_69685105.html</t>
  </si>
  <si>
    <t>2020年贵阳市氢能产业工作要点</t>
  </si>
  <si>
    <t>贵阳市氢能产业发展利用规划（2020-2035）</t>
  </si>
  <si>
    <t>贵阳市贵安新区氢能产业发展规划（2020—2035年）</t>
  </si>
  <si>
    <t>贵安新区</t>
  </si>
  <si>
    <t>六盘水市氢能源产业发展规划（2019-2030年）</t>
  </si>
  <si>
    <t>六盘水</t>
  </si>
  <si>
    <t>六盘水市能源局</t>
  </si>
  <si>
    <t>http://www.gzlps.gov.cn/zwgk/zdlyxxgk/nyzy/nycy/202201/t20220120_72353909.html</t>
  </si>
  <si>
    <t>六盘水市氢能产业发展方案（2024-2030年）</t>
  </si>
  <si>
    <t>六盘水市支持氢能产业发展若干措施（试行）</t>
  </si>
  <si>
    <t>六盘水市人民政府</t>
  </si>
  <si>
    <t>六盘水府办发〔2025〕5号</t>
  </si>
  <si>
    <t>https://www.gzlps.gov.cn/zwgk/bmxxgk/szfb/fdzdgknr_5751016/szfwj_5734496/lpsfbf_5734500/202507/t20250709_88260972.html</t>
  </si>
  <si>
    <t>六枝特区氢能示范应用工作方案</t>
  </si>
  <si>
    <t>六枝特区</t>
  </si>
  <si>
    <t>六盘水市水城区氢能产业发展行动方案（2025—2035年）</t>
  </si>
  <si>
    <t>水城区</t>
  </si>
  <si>
    <t>水城区人民政府</t>
  </si>
  <si>
    <t>https://www.shuicheng.gov.cn/newsite/zwgk/zdly/gyfz/gyyqgl/202505/t20250507_87678059.html</t>
  </si>
  <si>
    <t>盘州市氢能产业发展规划（2022-2030年）</t>
  </si>
  <si>
    <t>盘州</t>
  </si>
  <si>
    <t>盘州市人民政府</t>
  </si>
  <si>
    <t>盘州府办函〔2023〕2号</t>
  </si>
  <si>
    <t>https://www.panzhou.gov.cn/zwgk_15861/zfxxgkzl/fdzdgknr_5835416/lzyj_5835417/zfwj_5835418/202302/t20230207_78141340.html</t>
  </si>
  <si>
    <t>陕西省“十四五”氢能产业发展规划、陕西省氢能产业发展三年行动方案（2022-2024年）、陕西省促进氢能产业发展的若干政策措施</t>
  </si>
  <si>
    <t>陕西省发改委</t>
  </si>
  <si>
    <t>陕发改能新能源〔2022〕1316号</t>
  </si>
  <si>
    <t>http://sndrc.shaanxi.gov.cn/fgwj/2022nwj/jY32Qz.htm</t>
  </si>
  <si>
    <t>关于支持开展高速公路分布式光伏、加氢站建设及氢能汽车通行有关事项的通知</t>
  </si>
  <si>
    <t>陕西省发改委、省交通运输厅</t>
  </si>
  <si>
    <t>发改、交通</t>
  </si>
  <si>
    <t>陕发改能新能源〔2024〕1387号</t>
  </si>
  <si>
    <t>陕西省氢能产业质量强链暨助力氢能产业新质生产力发展工作措施</t>
  </si>
  <si>
    <t>陕西省市场监督管理局</t>
  </si>
  <si>
    <t>https://snamr.shaanxi.gov.cn/info/1822/30461.htm</t>
  </si>
  <si>
    <t>西安市氢能产业发展规划（2023-2035年）</t>
  </si>
  <si>
    <t>西安</t>
  </si>
  <si>
    <t>西安市发改委</t>
  </si>
  <si>
    <t>http://xadrc.xa.gov.cn/xwzx/tzgg/64dc7e5ef8fd1c1a7036f962.html</t>
  </si>
  <si>
    <t>西安市氢能产业链提升方案</t>
  </si>
  <si>
    <t>西安市打造氢能产业集群实施方案</t>
  </si>
  <si>
    <t>西咸新区促进氢能产业发展的若干政策措施兑现实施细则</t>
  </si>
  <si>
    <t>西咸新区</t>
  </si>
  <si>
    <t>西咸新区秦创原创新驱动发展（空港）工作部</t>
  </si>
  <si>
    <t>http://kgxc.xixianxinqu.gov.cn/ztzl/qcy/zcyl/64bddf1bf8fd1c1a70357eed.html</t>
  </si>
  <si>
    <t>西咸新区氢能产业发展规划（2022-2030年）、西咸新区氢能产业发展三年行动方案（2023-2025年）、西咸新区促进氢能产业发展的若干政策措施</t>
  </si>
  <si>
    <t>陕西省西咸新区党政办公室</t>
  </si>
  <si>
    <t>陕西咸党政办发〔2023〕6号</t>
  </si>
  <si>
    <t>http://www.xixianxinqu.gov.cn/zwgk/fdzdgknr/zwwj/gfxwj/646ee763f8fd1c1a702e8011.html</t>
  </si>
  <si>
    <t>西咸新区泾河新城氢能产业发展三年行动方案</t>
  </si>
  <si>
    <t>宝鸡市氢能产业发展规划（2023-2030）</t>
  </si>
  <si>
    <t>宝鸡</t>
  </si>
  <si>
    <t>渭南市氢能和燃料电池产业规划（2023-2027年）</t>
  </si>
  <si>
    <t>渭南</t>
  </si>
  <si>
    <t>韩城市氢能产业发展规划（2024-2030年）</t>
  </si>
  <si>
    <t>韩城</t>
  </si>
  <si>
    <t>韩城市人民政府</t>
  </si>
  <si>
    <t>韩政办发〔2024〕10号</t>
  </si>
  <si>
    <t>http://www.hancheng.gov.cn/gk/gk0901/143969.htm</t>
  </si>
  <si>
    <t>榆林市加氢站管理暂行办法</t>
  </si>
  <si>
    <t>榆林市人民政府</t>
  </si>
  <si>
    <t>榆政办发〔2022〕21号</t>
  </si>
  <si>
    <t>http://www.yl.gov.cn/gk/fggw/fzfbgswj/81295.htm</t>
  </si>
  <si>
    <t>榆政办发〔2025〕19号</t>
  </si>
  <si>
    <t>https://www.yl.gov.cn/zwgk/zc/qtwj/szfbwj/202506/t20250604_2005293.html</t>
  </si>
  <si>
    <t>榆林市打造氢能产业示范区若干政策（修订）</t>
  </si>
  <si>
    <t>榆政办函〔2024〕123号</t>
  </si>
  <si>
    <t>榆林市打造氢能产业示范区若干政策</t>
  </si>
  <si>
    <t>青海省氢能产业发展中长期规划（2022-2035年）</t>
  </si>
  <si>
    <t>青海省发改委、能源局</t>
  </si>
  <si>
    <t>青发改高技〔2022〕878号</t>
  </si>
  <si>
    <t>http://fgw.qinghai.gov.cn/qhsfgwWAP/xxgk/zdgkml/fgwwj/202301/t20230112_83437.html</t>
  </si>
  <si>
    <t>青海省促进氢能产业发展的若干政策措施</t>
  </si>
  <si>
    <t>青发改高技〔2022〕890号</t>
  </si>
  <si>
    <t>http://fgw.qinghai.gov.cn/zfxxgk/sdzdgknr/fgwwj/202301/t20230112_83435.html</t>
  </si>
  <si>
    <t>青海省氢能产业发展三年行动方案（2022-2025年）</t>
  </si>
  <si>
    <t>青发改高技〔2022〕877号</t>
  </si>
  <si>
    <t>http://fgw.qinghai.gov.cn/zfxxgk/sdzdgknr/fgwwj/202301/t20230112_83436.html</t>
  </si>
  <si>
    <t>青海省加快推动氢能产业高质量发展的若干政策措施</t>
  </si>
  <si>
    <t>青海省发改委、工信厅、能源局</t>
  </si>
  <si>
    <t>青发改高技〔2024〕655号</t>
  </si>
  <si>
    <t>http://fgw.qinghai.gov.cn/zfxxgk/sdzdgknr/fgwwj/202412/t20241210_88260.html</t>
  </si>
  <si>
    <t>甘肃</t>
  </si>
  <si>
    <t>关于氢能产业发展的指导意见</t>
  </si>
  <si>
    <t>甘肃省人民政府</t>
  </si>
  <si>
    <t>甘政办发〔2022〕134号</t>
  </si>
  <si>
    <t>http://www.gansu.gov.cn/gsszf/c100055/202301/17258458.shtml</t>
  </si>
  <si>
    <t>兰州市氢能产业发展实施方案（2022-2025年）</t>
  </si>
  <si>
    <t>兰州</t>
  </si>
  <si>
    <t>兰州市工信局</t>
  </si>
  <si>
    <t>兰州市推动氢能产业高质量发展实施方案（2026-2028年）</t>
  </si>
  <si>
    <t>https://gxj.lanzhou.gov.cn/art/2026/2/11/art_2698_1680190.html</t>
  </si>
  <si>
    <t>酒泉市氢能产业发展实施方案（2022-2025年）</t>
  </si>
  <si>
    <t>酒泉</t>
  </si>
  <si>
    <t>酒泉市人民政府</t>
  </si>
  <si>
    <t>酒政办发〔2022〕66号</t>
  </si>
  <si>
    <t>http://www.jiuquan.gov.cn//jiuquan/c100039/202206/4cdeff606ef4444a955c899d98daaa78.shtml</t>
  </si>
  <si>
    <t>酒泉市氢能产业发展中长期规划（2022-2035年）</t>
  </si>
  <si>
    <t>酒政办发〔2022〕119号</t>
  </si>
  <si>
    <t>http://www.jiuquan.gov.cn/jiuquan/c102145g/202210/69f4336cb7354fe6a040bc1dcdccc49e.shtml</t>
  </si>
  <si>
    <t>酒泉市氢能产业安全管理办法（试行）</t>
  </si>
  <si>
    <t>酒政发〔2022〕69号</t>
  </si>
  <si>
    <t>https://yjgl.jiuquan.gov.cn/yjglj/c107014/202308/9924099156de4e1185e97917df81b489.shtml</t>
  </si>
  <si>
    <t>金塔县氢能产业发展工作方案（2022-2025）</t>
  </si>
  <si>
    <t>金塔县</t>
  </si>
  <si>
    <t>金塔县发改局</t>
  </si>
  <si>
    <t>张掖市氢能产业发展规划（2022-2030）</t>
  </si>
  <si>
    <t>张掖</t>
  </si>
  <si>
    <t>张掖市人民政府</t>
  </si>
  <si>
    <t>张掖市促进氢能产业高质量发展的若干措施（暂行）</t>
  </si>
  <si>
    <t>张政办发〔2023〕120号</t>
  </si>
  <si>
    <t>https://www.zhangye.gov.cn/zyszfxxgk/fdzdgknr_5657/qtfdzdgknr/zfgb/zfgb2023/zfgb11_2023/szfbgswj_202311/202401/t20240102_1165312.html</t>
  </si>
  <si>
    <t>张掖市氢能产业安全管理办法（试行）（送审稿）</t>
  </si>
  <si>
    <t>张掖市司法局</t>
  </si>
  <si>
    <t>司法</t>
  </si>
  <si>
    <t>https://mp.weixin.qq.com/s/9M13MvhXrpBrhFYIDDVWFw</t>
  </si>
  <si>
    <t>关于加快推进氢能产业发展的实施意见</t>
  </si>
  <si>
    <t>平凉</t>
  </si>
  <si>
    <t>平凉市人民政府</t>
  </si>
  <si>
    <t>平政办发〔2023〕42号</t>
  </si>
  <si>
    <t>http://www.pingliang.gov.cn/zfxxgk/fdzdgknr/lzyj/zcwj/pzbf/art/2023/art_daf4c9c150f444b9b88ea70741f388a5.html</t>
  </si>
  <si>
    <t>庆阳市“油气电氢”综合能源站布局实施方案（2023—2030年）</t>
  </si>
  <si>
    <t>庆阳</t>
  </si>
  <si>
    <t>宁夏关于加快培育氢能产业发展的指导意见</t>
  </si>
  <si>
    <t>宁夏自治区人民政府</t>
  </si>
  <si>
    <t>宁政办规发〔2020〕10号</t>
  </si>
  <si>
    <t>http://www.nx.gov.cn/zwgk/gfxwj/202005/t20200506_2055453.html</t>
  </si>
  <si>
    <t>宁夏回族自治区氢能产业发展规划</t>
  </si>
  <si>
    <t>宁夏自治区发改委</t>
  </si>
  <si>
    <t>宁发改能源（发展）〔2022〕842号</t>
  </si>
  <si>
    <t>http://fzggw.nx.gov.cn/tzgg/202211/t20221111_3839097.html</t>
  </si>
  <si>
    <t>关于氢能产业安全生产专项行动的方案</t>
  </si>
  <si>
    <t>宁夏自治区工信厅</t>
  </si>
  <si>
    <t>https://www.ndkjcx.com/detail.thtml?id=8550</t>
  </si>
  <si>
    <t>宁东基地促进氢能产业健康快速发展若干措施（试行）</t>
  </si>
  <si>
    <t>灵武</t>
  </si>
  <si>
    <t>宁东基地</t>
  </si>
  <si>
    <t>宁东能源化工基地管委会</t>
  </si>
  <si>
    <t>宁东管办发〔2020〕59号</t>
  </si>
  <si>
    <t>宁东基地促进氢能产业高质量发展的若干措施（试行）</t>
  </si>
  <si>
    <t>宁东规发〔2022〕2号</t>
  </si>
  <si>
    <t>http://ningdong.nx.gov.cn/xxgk_277/fdzdgknr/zcfg/bmwj/202212/t20221221_3895557.html</t>
  </si>
  <si>
    <t>宁东基地氢能产业安全规范发展实施办法（试行）</t>
  </si>
  <si>
    <t>宁东规发〔2021〕9号</t>
  </si>
  <si>
    <t>宁东基地促进氢能产业高质量发展的若干措施2024年修订版</t>
  </si>
  <si>
    <t>http://ningdong.nx.gov.cn/xwdt_277/gsgg/202401/t20240103_4405074.html</t>
  </si>
  <si>
    <t>云南</t>
  </si>
  <si>
    <t>关于加快推动氢能产业发展的工作方案（2024-2025年）</t>
  </si>
  <si>
    <t>云南省工信厅</t>
  </si>
  <si>
    <t>云南省关于开展能源领域氢能试点申报工作的通知</t>
  </si>
  <si>
    <t>云南省能源局</t>
  </si>
  <si>
    <t>https://nyj.yn.gov.cn/nyj_file/html/ynnygg/2025/0625/000004.html</t>
  </si>
  <si>
    <t>丽江</t>
  </si>
  <si>
    <t>丽江市人民政府</t>
  </si>
  <si>
    <t>丽政发〔2021〕13号</t>
  </si>
  <si>
    <t>http://www.lijiang.gov.cn/ljsrmzf/c102145/202107/62c633bda4194403a2e7ec1a2004987c.shtml</t>
  </si>
  <si>
    <t>丽江市“新能源+绿氢”产业发展规划（2021-2030）</t>
  </si>
  <si>
    <t>丽发改水电〔2021〕225 号</t>
  </si>
  <si>
    <t>丽江市制氢加氢企业投资项目备案实施意见（试行）</t>
  </si>
  <si>
    <t>丽政发〔2021〕14 号</t>
  </si>
  <si>
    <t>丽江市风光水储一体化—“新能源+绿氢”项目实施方案（2021—2023年）</t>
  </si>
  <si>
    <t>丽政办发〔2021〕58 号</t>
  </si>
  <si>
    <t>丽江市氢能产业发展实施方案</t>
  </si>
  <si>
    <t>自治区氢能产业发展三年行动方案（2023-2025年）</t>
  </si>
  <si>
    <t>新疆维吾尔自治区发改委</t>
  </si>
  <si>
    <t>http://xjdrc.xinjiang.gov.cn/xjfgw/c108389/202309/865a18400dd74b77ab1a804747e1a695.shtml</t>
  </si>
  <si>
    <t>自治区支持氢能产业示范区建设的若干政策措施</t>
  </si>
  <si>
    <t>http://xjdrc.xinjiang.gov.cn/xjfgw/c108297/202308/a82da3ae6d0b421f936b172ffd910755.shtml</t>
  </si>
  <si>
    <t>关于征集2023年氢能产业领域”揭榜挂帅“项目需求的通知</t>
  </si>
  <si>
    <t>http://xjdrc.xinjiang.gov.cn/xjfgw/c108299/202305/6485e0d01a04464a8fd77de8e62f5bc2.shtml</t>
  </si>
  <si>
    <t>关于发布氢能产业领域“揭榜挂帅”项目榜单的通知</t>
  </si>
  <si>
    <t>https://xjdrc.xinjiang.gov.cn/xjfgw/c108299/202402/b5be8d89a9c040b9b65d475b77421e2b.shtml</t>
  </si>
  <si>
    <t>新疆维吾尔自治区发改委、自治区应急管理厅、自治区工信厅</t>
  </si>
  <si>
    <t>发改、应急、工信</t>
  </si>
  <si>
    <t>乌鲁木齐氢能产业发展三年行动方案（2025—2027年）</t>
  </si>
  <si>
    <t>乌鲁木齐</t>
  </si>
  <si>
    <t>乌鲁木齐市发改委</t>
  </si>
  <si>
    <t>乌发改产技〔2025〕723号</t>
  </si>
  <si>
    <t>克拉玛依市氢能产业发展三年行动计划（2023-2025）</t>
  </si>
  <si>
    <t>克拉玛依</t>
  </si>
  <si>
    <t>克拉玛依市发改委</t>
  </si>
  <si>
    <t>https://www.klmy.gov.cn/010/010005/20230708/d220c3da-1cc8-468a-81b5-3b0bf36cfcc2.html</t>
  </si>
  <si>
    <t>克拉玛依市氢能产业中长期规划（2023-2035年）</t>
  </si>
  <si>
    <t>关于克拉玛依市支持氢能产业发展的有关扶持政策</t>
  </si>
  <si>
    <t>克拉玛依市人民政府</t>
  </si>
  <si>
    <t>https://www.klmy.gov.cn/klmys/tzzc/202310/df695b045b9a4f2cbe0d2c4a8b9b0b1c.shtml</t>
  </si>
  <si>
    <t>克拉玛依市氢能产业发展专项资金管理办法</t>
  </si>
  <si>
    <t>克拉玛依市财政局、市发改委</t>
  </si>
  <si>
    <t>财政、发改</t>
  </si>
  <si>
    <t>克财规〔2024〕2号</t>
  </si>
  <si>
    <t>https://www.klmy.gov.cn/klmys/szfbmxzgfxwj/202408/3381fc5f6420469abf82001aa9b98f5f.shtml</t>
  </si>
  <si>
    <t>克拉玛依市促进加氢站建设运营及氢能源车辆运行扶持办法</t>
  </si>
  <si>
    <t>https://www.klmy.gov.cn/klmys/zdjcygk/202410/a9c6762cdf2e49579664556e81b848c8.shtml</t>
  </si>
  <si>
    <t>哈密市氢能产业示范区建设方案</t>
  </si>
  <si>
    <t>哈密市人民政府</t>
  </si>
  <si>
    <t>哈政办规〔2023〕2号</t>
  </si>
  <si>
    <t>https://www.hami.gov.cn/hami/c120000/202310/6de805056a4944669e510191217ba441.shtml</t>
  </si>
  <si>
    <t>八师石河子市推进氢能源产业高质量发展若干措施（试行）</t>
  </si>
  <si>
    <t>石河子</t>
  </si>
  <si>
    <t>石河子市人民政府</t>
  </si>
  <si>
    <t>师市发〔2023〕67号</t>
  </si>
  <si>
    <t>第八师石河子市氢能产业发展管理办法（试行）</t>
  </si>
  <si>
    <t>八师发改委</t>
  </si>
  <si>
    <t>https://www.shz.gov.cn/xwzx/002002/20260410/4560acbc-fcf7-46db-bc32-d3840d3214db.html</t>
  </si>
  <si>
    <t>伊犁哈萨克自治州氢能产业发展中长期规划（2023-2035年）</t>
  </si>
  <si>
    <t>伊犁</t>
  </si>
  <si>
    <t>伊犁哈萨克自治州发改委</t>
  </si>
  <si>
    <t>http://www.xjyl.gov.cn/xjylz/c112795/202404/3a01a3cef71f443d820f0b18dbfed293.shtml</t>
  </si>
  <si>
    <t>喀什地区氢能产业发展规划（2024—2035年）</t>
  </si>
  <si>
    <t>喀什</t>
  </si>
  <si>
    <t>喀什地区氢能产业发展规划实施方案（2024—2027年）</t>
  </si>
  <si>
    <t>布尔津县加氢站管理办法（暂行）</t>
  </si>
  <si>
    <t>布尔津县发改委</t>
  </si>
  <si>
    <t>http://www.brj.gov.cn/zwgk/003001/003001005/20231124/8c49e083-8538-4e25-8d57-1c6633fd832f.html</t>
  </si>
  <si>
    <t>沙雅县氢能产业发展规划</t>
  </si>
  <si>
    <t>阿克苏</t>
  </si>
  <si>
    <t>沙雅县</t>
  </si>
  <si>
    <t>沙雅县发改委</t>
  </si>
  <si>
    <t>https://www.xjsy.gov.cn/zwgk/zdlyxxgk/zdjcygk/20240527/i1045162.html</t>
  </si>
  <si>
    <t>沙雅县氢能产业招商引资优惠政策</t>
  </si>
  <si>
    <t>沙雅县招商引资工作领导小组</t>
  </si>
  <si>
    <t>招商</t>
  </si>
  <si>
    <t>https://mp.weixin.qq.com/s/Ajr_OzxVtw2p1hOnSXcQ0w</t>
  </si>
  <si>
    <t>西藏自治区氢氧产业发展规划（2024—2030年）</t>
  </si>
  <si>
    <t>西藏自治区经信厅、自治区发改委、自治区能源局</t>
  </si>
  <si>
    <t>经信、发改、能源</t>
  </si>
  <si>
    <t>藏经信发〔2024〕160号</t>
  </si>
  <si>
    <t>http://jxt.xizang.gov.cn/xzweb/detail?id=3304&amp;channelId=9&amp;categoryId=69</t>
  </si>
  <si>
    <t>山南市关于加快推进氢氧产业试点工作的若干措施</t>
  </si>
  <si>
    <t>山南市人民政府</t>
  </si>
  <si>
    <t>http://www.shannan.gov.cn/xwzx/tggs/202410/t20241030_142198.html</t>
  </si>
  <si>
    <t>台湾</t>
  </si>
  <si>
    <t>加氫站銷售氫燃料經營許可管理辦法</t>
  </si>
  <si>
    <t>经济部</t>
  </si>
  <si>
    <t>经济</t>
  </si>
  <si>
    <t>https://law.moj.gov.tw/LawClass/LawAll.aspx?pcode=J0130098</t>
  </si>
  <si>
    <t>交通部氫燃料電池大客車試辦運行計畫申請者資格及補助審查作業要點</t>
  </si>
  <si>
    <t>交通部</t>
  </si>
  <si>
    <t>交通部交運字第11350014863號令</t>
  </si>
  <si>
    <t>https://motclaw.motc.gov.tw/webMotcLaw2018/Law/History?type=-1&amp;LawID=E0486000</t>
  </si>
  <si>
    <t>修正發布第1點、 第3點、第7點、第9點及第4點附件一</t>
  </si>
  <si>
    <t>交通部交運字第1145010932號令</t>
  </si>
  <si>
    <t>加氫站燃料費及營運費補助作業</t>
  </si>
  <si>
    <t>经济部能源署</t>
  </si>
  <si>
    <t>https://www.moeaea.gov.tw/ECW/populace/content/Content.aspx?menu_id=26890</t>
  </si>
  <si>
    <t>地方</t>
  </si>
  <si>
    <t>绿氢</t>
  </si>
  <si>
    <t>绿色燃料
绿氨/绿醇</t>
  </si>
  <si>
    <t>加氢站</t>
  </si>
  <si>
    <t>燃料电池汽车</t>
  </si>
  <si>
    <t>产值
（亿元）</t>
  </si>
  <si>
    <t>燃料电池车
（辆）</t>
  </si>
  <si>
    <t>加氢站
（座）</t>
  </si>
  <si>
    <t>绿氢产能
（万吨）</t>
  </si>
  <si>
    <t>《北京市氢能产业发展实施方案（2021-2025年）》</t>
  </si>
  <si>
    <t>《天津市氢能产业发展行动方案（2020-2022年）》</t>
  </si>
  <si>
    <t>《河北省氢能产业发展“十四五”规划》</t>
  </si>
  <si>
    <t>《山西省氢能产业发展中长期规划（2022-2035年）》</t>
  </si>
  <si>
    <t>《内蒙古自治区“十四五”氢能发展规划》</t>
  </si>
  <si>
    <t>《辽宁省氢能产业发展规划（2021-2025年）》</t>
  </si>
  <si>
    <t>《吉林省国民经济和社会发展第十五个五年规划纲要》</t>
  </si>
  <si>
    <t>《“氢动吉林”中长期发展规划（2021-2035）》</t>
  </si>
  <si>
    <t>《黑龙江省国民经济和社会发展第十五个五年规划纲要》</t>
  </si>
  <si>
    <t>《黑龙江省推动氢能产业发展实施方案》</t>
  </si>
  <si>
    <t>《上海市氢能产业发展中长期规划（2022-2035年）》</t>
  </si>
  <si>
    <t>《江苏省氢能产业发展中长期规划（2024-2035年）》</t>
  </si>
  <si>
    <t>《加快培育氢燃料电池汽车产业发展实施方案》</t>
  </si>
  <si>
    <t>《安徽省氢能产业发展中长期规划》</t>
  </si>
  <si>
    <t>《福建省氢能产业创新发展中长期规划（2025-2035年）》</t>
  </si>
  <si>
    <t>《山东省氢能产业中长期发展规划（2020-2030年）》</t>
  </si>
  <si>
    <t>《江西省氢能产业发展中长期规划（2023-2035年）》</t>
  </si>
  <si>
    <t>《河南省氢能产业发展中长期规划（2022-2035年）》</t>
  </si>
  <si>
    <t>《湖北省加快发展氢能产业行动方案（2024-2027年）》</t>
  </si>
  <si>
    <t>《湖南省氢能产业发展规划》</t>
  </si>
  <si>
    <t>《广东省加快建设燃料电池汽车示范城市群行动计划（2022-2025年）》</t>
  </si>
  <si>
    <t>《加快推动广西氢能产业高质量发展行动计划（2024-2027年）》</t>
  </si>
  <si>
    <t>《海南省氢能产业发展中长期规划（2023-2035年）》</t>
  </si>
  <si>
    <t>《重庆市氢燃料电池汽车产业发展指导意见》</t>
  </si>
  <si>
    <t>《四川省氢能产业发展规划（2021-2025年）》</t>
  </si>
  <si>
    <t>《贵州省“十四五”氢能产业发展规划》</t>
  </si>
  <si>
    <t>《西藏自治区氢氧产业发展规划（2024-2030年）》</t>
  </si>
  <si>
    <t>《陕西省“十四五”氢能产业发展规划》</t>
  </si>
  <si>
    <t>《青海省氢能产业发展中长期规划（2022-2035年）》</t>
  </si>
  <si>
    <t>《关于氢能产业发展的指导意见》</t>
  </si>
  <si>
    <t>《宁夏回族自治区氢能产业发展规划》</t>
  </si>
  <si>
    <t>《自治区氢能产业发展三年行动方案（2023-2025年）》</t>
  </si>
  <si>
    <t>《西藏自治区氢氧产业发展规划（2024-2030年）》（征求意见稿）</t>
  </si>
  <si>
    <t>所属地区</t>
  </si>
  <si>
    <t>碳中和年份</t>
  </si>
  <si>
    <t>2021年GDP
万亿美元</t>
  </si>
  <si>
    <t>2022年GDP
万亿美元</t>
  </si>
  <si>
    <t>2024年GDP
万亿美元</t>
  </si>
  <si>
    <t>发布部门</t>
  </si>
  <si>
    <t>全球</t>
  </si>
  <si>
    <t>日本</t>
  </si>
  <si>
    <t>Japan</t>
  </si>
  <si>
    <t>亚洲</t>
  </si>
  <si>
    <t>氢能基本战略</t>
  </si>
  <si>
    <t>日本政府</t>
  </si>
  <si>
    <t>https://www.meti.go.jp/english/press/2017/pdf/1226_003b.pdf</t>
  </si>
  <si>
    <t>氢燃料电池战略路线图</t>
  </si>
  <si>
    <t>氢燃料电池战略协会</t>
  </si>
  <si>
    <t>氢能基本战略（2023年版）</t>
  </si>
  <si>
    <t>https://www.meti.go.jp/shingikai/enecho/shoene_shinene/suiso_seisaku/pdf/20230606_2.pdf</t>
  </si>
  <si>
    <t>法国</t>
  </si>
  <si>
    <t>France</t>
  </si>
  <si>
    <t>欧洲</t>
  </si>
  <si>
    <t>算欧盟</t>
  </si>
  <si>
    <t>氢气部署计划</t>
  </si>
  <si>
    <t>法国政府</t>
  </si>
  <si>
    <t>法国无碳与可再生氢发展路线图</t>
  </si>
  <si>
    <t>法国生态部和经济部</t>
  </si>
  <si>
    <t>https://www.bdi.fr/wp-content/uploads/2020/03/PressKitProvisionalDraft-National-strategy-for-the-development-of-decarbonised-and-renewable-hydrogen-in-France.pdf</t>
  </si>
  <si>
    <t>国家氢能规划2025</t>
  </si>
  <si>
    <t>法国经济和工业部</t>
  </si>
  <si>
    <t>https://www.economie.gouv.fr/files/2025-04/strategie_nationale_hydrogene_decarbone_2025.pdf</t>
  </si>
  <si>
    <t>韩国</t>
  </si>
  <si>
    <t>South Korea</t>
  </si>
  <si>
    <t>氢能经济发展路线图</t>
  </si>
  <si>
    <t>韩国政府</t>
  </si>
  <si>
    <t>促进氢经济和氢安全管理法</t>
  </si>
  <si>
    <t>氢能领先国家愿景</t>
  </si>
  <si>
    <t>新西兰</t>
  </si>
  <si>
    <t>New Zealand</t>
  </si>
  <si>
    <t>澳洲</t>
  </si>
  <si>
    <t>新西兰氢能发展愿景</t>
  </si>
  <si>
    <t>新西兰商业、创新和雇佣部</t>
  </si>
  <si>
    <t>https://www.mbie.govt.nz/assets/a-vision-for-hydrogen-in-new-zealand-green-paper.pdf</t>
  </si>
  <si>
    <t>氢能行动战略</t>
  </si>
  <si>
    <t>https://www.beehive.govt.nz/sites/default/files/2024-12/Hydrogen%20Action%20Plan.pdf</t>
  </si>
  <si>
    <t>澳大利亚</t>
  </si>
  <si>
    <t>Australia</t>
  </si>
  <si>
    <t>国家氢能战略</t>
  </si>
  <si>
    <t>澳大利亚工业、科学、能源与资源部</t>
  </si>
  <si>
    <t>https://www.industry.gov.au/sites/default/files/2019-11/australias-national-hydrogen-strategy.pdf</t>
  </si>
  <si>
    <t>2024国家氢能战略</t>
  </si>
  <si>
    <t>澳大利亚政府</t>
  </si>
  <si>
    <t>https://www.dcceew.gov.au/sites/default/files/documents/national-hydrogen-strategy-2024.pdf</t>
  </si>
  <si>
    <t>荷兰</t>
  </si>
  <si>
    <t>Dutchland</t>
  </si>
  <si>
    <t>荷兰政府</t>
  </si>
  <si>
    <t>https://www.government.nl/documents/publications/2020/04/06/government-strategy-on-hydrogen</t>
  </si>
  <si>
    <t>挪威</t>
  </si>
  <si>
    <t>Norway</t>
  </si>
  <si>
    <t>挪威石油和能源战略部、气候和环境部</t>
  </si>
  <si>
    <t>https://www.regjeringen.no/contentassets/40026db2148e41eda8e3792d259efb6b/y-0127e.pdf</t>
  </si>
  <si>
    <t>氢路线图：枢纽和研究</t>
  </si>
  <si>
    <t>挪威石油和能源战略部</t>
  </si>
  <si>
    <t>仅新闻</t>
  </si>
  <si>
    <t>https://www.regjeringen.no/en/historical-archive/solbergs-government/Ministries/oed/press-releases/2021/vegkart-for-hydrogen-knutepunkt-og-forsking/id2860353/</t>
  </si>
  <si>
    <t>德国</t>
  </si>
  <si>
    <t>Germany</t>
  </si>
  <si>
    <t>德国联邦内阁</t>
  </si>
  <si>
    <t>https://www.bmwk.de/Redaktion/EN/Publikationen/Energie/the-national-hydrogen-strategy.pdf?__blob=publicationFile&amp;v=6</t>
  </si>
  <si>
    <t>2021-2025年氢能行动计划</t>
  </si>
  <si>
    <t>德国国家氢能委员会</t>
  </si>
  <si>
    <t>https://www.now-gmbh.de/wp-content/uploads/2021/06/NWR_Aktionsplan_Wasserstoff_2021-2025.pdf</t>
  </si>
  <si>
    <t>国家氢能战略（2023年版）</t>
  </si>
  <si>
    <t>https://www.bmwk.de/Redaktion/DE/Wasserstoff/Downloads/Fortschreibung.pdf?__blob=publicationFile&amp;v=4</t>
  </si>
  <si>
    <t>氢能促进发展法案</t>
  </si>
  <si>
    <t>https://www.bmwk.de/Redaktion/DE/Downloads/W/wasserstoffbeschleunigungsgesetz.pdf?__blob=publicationFile&amp;v=2</t>
  </si>
  <si>
    <t>氢及衍生物进口战略</t>
  </si>
  <si>
    <t>https://www.bmwk.de/Redaktion/DE/Pressemitteilungen/2024/07/20240724-importstrategie-wasserstoff.html</t>
  </si>
  <si>
    <t>欧盟</t>
  </si>
  <si>
    <t>European Union</t>
  </si>
  <si>
    <t>欧洲气候中立氢战略</t>
  </si>
  <si>
    <t>欧盟委员会</t>
  </si>
  <si>
    <t>https://eur-lex.europa.eu/legal-content/EN/TXT/?uri=CELEX:52020DC0301</t>
  </si>
  <si>
    <t>葡萄牙</t>
  </si>
  <si>
    <t>Portugal</t>
  </si>
  <si>
    <t>国家氢能发展战略</t>
  </si>
  <si>
    <t>葡萄牙政府</t>
  </si>
  <si>
    <t>https://climate-laws.org/geographies/portugal/policies/national-hydrogen-strategy</t>
  </si>
  <si>
    <t>西班牙</t>
  </si>
  <si>
    <t>Spain</t>
  </si>
  <si>
    <t>氢路线图：可再生氢的承诺</t>
  </si>
  <si>
    <t>西班牙政府</t>
  </si>
  <si>
    <t>https://energia.gob.es/es-es/Novedades/Documents/hoja_de_ruta_del_hidrogeno.pdf</t>
  </si>
  <si>
    <t>俄罗斯</t>
  </si>
  <si>
    <t>2024年之前的氢能开发路线图</t>
  </si>
  <si>
    <t>俄罗斯政府</t>
  </si>
  <si>
    <t>http://static.government.ru/media/files/7b9bstNfV640nCkkAzCRJ9N8k7uhW8mY.pdf</t>
  </si>
  <si>
    <t>俄罗斯氢能发展构想</t>
  </si>
  <si>
    <t>http://static.government.ru/media/files/5JFns1CDAKqYKzZ0mnRADAw2NqcVsexl.pdf</t>
  </si>
  <si>
    <t>智利</t>
  </si>
  <si>
    <t>美洲</t>
  </si>
  <si>
    <t>国家绿氢战略</t>
  </si>
  <si>
    <t>智利能源部，智利政府</t>
  </si>
  <si>
    <t>https://energia.gob.cl/sites/default/files/national_green_hydrogen_strategy_-_chile.pdf</t>
  </si>
  <si>
    <t>2023-2030年绿色氢能行动计划</t>
  </si>
  <si>
    <t>智利政府</t>
  </si>
  <si>
    <t>https://energia.gob.cl/sites/default/files/documentos/green-hydrogen_action-plan.pdf</t>
  </si>
  <si>
    <t>芬兰</t>
  </si>
  <si>
    <t>芬兰氢能路线图</t>
  </si>
  <si>
    <t>芬兰政府机构芬兰企业局</t>
  </si>
  <si>
    <t>https://www.businessfinland.fi/4abb35/globalassets/finnish-customers/02-build-your-network/bioeconomy--cleantech/alykas-energia/bf_national_hydrogen_roadmap_2020.pdf</t>
  </si>
  <si>
    <t>意大利</t>
  </si>
  <si>
    <t>国家氢能战略初步指南</t>
  </si>
  <si>
    <t>意大利经济发展部</t>
  </si>
  <si>
    <t>https://www.mise.gov.it/images/stories/documenti/Strategia_Nazionale_Idrogeno_Linee_guida_preliminari_nov20.pdf</t>
  </si>
  <si>
    <t>https://www.mase.gov.it/sites/default/files/Strategia%20Nazionale%20Idrogeno.pdf</t>
  </si>
  <si>
    <t>加拿大</t>
  </si>
  <si>
    <t>加拿大氢能战略</t>
  </si>
  <si>
    <t>加拿大政府</t>
  </si>
  <si>
    <t>https://www.nrcan.gc.ca/sites/nrcan/files/environment/hydrogen/NRCan_Hydrogen%20Strategy%20for%20Canada%20Dec%2015%202200%20clean_low_accessible.pdf</t>
  </si>
  <si>
    <t>匈牙利</t>
  </si>
  <si>
    <t>匈牙利政府</t>
  </si>
  <si>
    <t>https://cdn.kormany.hu/uploads/document/a/a2/a2b/a2b2b7ed5179b17694659b8f050ba9648e75a0bf.pdf</t>
  </si>
  <si>
    <t>斯洛伐克</t>
  </si>
  <si>
    <t>国家氢战略</t>
  </si>
  <si>
    <t>斯洛伐克政府</t>
  </si>
  <si>
    <t>https://www.economy.gov.sk/top/slovensko-ma-vlastnu-narodnu-vodikovu-strategiu</t>
  </si>
  <si>
    <t>捷克</t>
  </si>
  <si>
    <t>捷克贸工部</t>
  </si>
  <si>
    <t>https://www.mpo.cz/assets/cz/rozcestnik/pro-media/tiskove-zpravy/2021/8/Vodikova-strategie_CZ_G_2021-26-07.pdf</t>
  </si>
  <si>
    <t>捷克共和国氢能战略2024年更新版</t>
  </si>
  <si>
    <t>https://www.mpo.gov.cz/assets/cz/prumysl/strategicke-projekty/2024/7/Vodikova-strategie-CR-aktualizace-2024.pdf</t>
  </si>
  <si>
    <t>英国</t>
  </si>
  <si>
    <t>英国商业、能源和产业战略部</t>
  </si>
  <si>
    <t>https://assets.publishing.service.gov.uk/government/uploads/system/uploads/attachment_data/file/1011283/UK-Hydrogen-Strategy_web.pdf</t>
  </si>
  <si>
    <t>氢能投资者路线图</t>
  </si>
  <si>
    <t>英国政府</t>
  </si>
  <si>
    <t>https://assets.publishing.service.gov.uk/government/uploads/system/uploads/attachment_data/file/1067408/hydrogen-investor-roadmap.pdf</t>
  </si>
  <si>
    <t>国家氢能战略：2024年版</t>
  </si>
  <si>
    <t>https://assets.publishing.service.gov.uk/media/6761915126a2d1ff18253493/hydrogen-strategy-update-to-the-market-december-2024.pdf</t>
  </si>
  <si>
    <t>摩洛哥</t>
  </si>
  <si>
    <t>非洲</t>
  </si>
  <si>
    <t>绿色氢气路线图</t>
  </si>
  <si>
    <t>摩洛哥能源转型和可持续发展部</t>
  </si>
  <si>
    <t>https://www.mem.gov.ma/Lists/Lst_rapports/Attachments/36/Feuille%20de%20route%20de%20hydrog%C3%A8ne%20vert.pdf</t>
  </si>
  <si>
    <t>卢森堡</t>
  </si>
  <si>
    <t>卢森堡氢能战略</t>
  </si>
  <si>
    <t>卢森堡能源部</t>
  </si>
  <si>
    <t>https://gouvernement.lu/dam-assets/documents/actualites/2021/09-septembre/27-turmes-hydrogene/Strategie-hydrogene-LU-fr.pdf</t>
  </si>
  <si>
    <t>巴拉圭</t>
  </si>
  <si>
    <t>走向绿色氢路线图</t>
  </si>
  <si>
    <t>https://www.ssme.gov.py/vmme/pdf/H2/DIGITAL_ENG_H2_Marco_Conceptual.pdf</t>
  </si>
  <si>
    <t>哥伦比亚</t>
  </si>
  <si>
    <t>哥伦比亚政府</t>
  </si>
  <si>
    <t>https://minenergia.gov.co/documents/10192/24309272/Hoja+de+Ruta+del+Hidrogeno+Colombia.pdf</t>
  </si>
  <si>
    <t>比利时</t>
  </si>
  <si>
    <t>联邦氢愿景和战略</t>
  </si>
  <si>
    <t>比利时联邦能源部</t>
  </si>
  <si>
    <t>https://economie.fgov.be/sites/default/files/Files/Energy/View-strategy-hydrogen.pdf</t>
  </si>
  <si>
    <t>阿拉伯联合酋长国</t>
  </si>
  <si>
    <t>氢领导路线图</t>
  </si>
  <si>
    <t>阿联酋政府</t>
  </si>
  <si>
    <t>https://u.ae/-/media/Documents-2022/UAE-Hydrogen-Roadmap--Eng.ashx</t>
  </si>
  <si>
    <t>国家氢能战略2050</t>
  </si>
  <si>
    <t>https://u.ae/en/about-the-uae/strategies-initiatives-and-awards/strategies-plans-and-visions/environment-and-energy/national-hydrogen-strategy#:~:text=The%20National%20Hydrogen%20Strategy%20aims,producers%20of%20hydrogen%20by%202031.</t>
  </si>
  <si>
    <t>瑞典</t>
  </si>
  <si>
    <t>瑞典氢、电燃料和氨国家战略提案</t>
  </si>
  <si>
    <t>瑞典能源机构（代写）</t>
  </si>
  <si>
    <t>https://www.energimyndigheten.se/remissvar-och-uppdrag/?query=F%C3%B6rslag+till+Strategi%E2%80%9D+och+Underlagsrapport+till+v%C3%A4tgasstrategin&amp;cat=1&amp;year=&amp;recipient=</t>
  </si>
  <si>
    <t>波兰</t>
  </si>
  <si>
    <t>2030年氢能战略</t>
  </si>
  <si>
    <t>波兰气候与环境部</t>
  </si>
  <si>
    <t>https://www.gov.pl/web/klimat/polska-strategia-wodorowa-do-roku-2030</t>
  </si>
  <si>
    <t>巴拿马</t>
  </si>
  <si>
    <t>巴拿马绿色氢加工中心</t>
  </si>
  <si>
    <t>https://www.gacetaoficial.gob.pa/pdfTemp/29771_B/98196.pdf</t>
  </si>
  <si>
    <t>南非</t>
  </si>
  <si>
    <t>氢能社会路线图</t>
  </si>
  <si>
    <t>南非科学创新部</t>
  </si>
  <si>
    <t>https://www.dst.gov.za/index.php/resource-center/strategies-and-reports/3574-hydrogen-society-roadmap-for-south-africa-2021</t>
  </si>
  <si>
    <t>印度</t>
  </si>
  <si>
    <t>氢能战略</t>
  </si>
  <si>
    <t>https://powermin.gov.in/sites/default/files/webform/notices/Green_Hydrogen_Policy.pdf</t>
  </si>
  <si>
    <t>印度氢经济系统研发路线图（草案）</t>
  </si>
  <si>
    <t>印度新能源和可再生能源部</t>
  </si>
  <si>
    <t>https://mnre.gov.in/img/documents/uploads/file_f-1688557917362.pdf</t>
  </si>
  <si>
    <t>印度绿氢认证计划（草案）</t>
  </si>
  <si>
    <t>印度新能源与可再生能源部</t>
  </si>
  <si>
    <t>http://cdnbbsr.s3waas.gov.in/s3716e1b8c6cd17b771da77391355749f3/uploads/2024/09/20240906752526163.pdf</t>
  </si>
  <si>
    <t>国家氢能路线图</t>
  </si>
  <si>
    <t>国家氢能委员会，新能源和可再生能源部，印度政府</t>
  </si>
  <si>
    <t>2006年</t>
  </si>
  <si>
    <t>https://policy.asiapacificenergy.org/sites/default/files/abridged-nherm.pdf</t>
  </si>
  <si>
    <t>中国</t>
  </si>
  <si>
    <t>氢能产业发展中长期规划（2021-2035）</t>
  </si>
  <si>
    <t>国家发改委、能源局</t>
  </si>
  <si>
    <t>http://zfxxgk.nea.gov.cn/1310525630_16479984022991n.pdf</t>
  </si>
  <si>
    <t>克罗地亚</t>
  </si>
  <si>
    <t>2050年氢战略</t>
  </si>
  <si>
    <t>https://balkangreenenergynews.com/croatia-adopts-2050-hydrogen-strategy/#:~:text=Croatia%20plans%20to%20install%2070,that%20the%20Croatian%20Parliament%20adopted.</t>
  </si>
  <si>
    <t>丹麦</t>
  </si>
  <si>
    <t>氢和绿色燃料的开发和推广（Power-to-X策略）</t>
  </si>
  <si>
    <t>气候，能源和公用事业部</t>
  </si>
  <si>
    <t>https://kefm.dk/Media/637829286469861536/Aftale;%20Udvikling%20og%20fremme%20af%20brint%20og%20gr%C3%B8nne%20br%C3%A6ndstoffer%20(Power-to-X%20strategi).pdf</t>
  </si>
  <si>
    <t>氢基础设施的经济框架条件</t>
  </si>
  <si>
    <t>https://www.kefm.dk/Media/638478420542283365/%C3%98konomiske%20rammevilk%C3%A5r%20for%20brintinfrastruktur%20-2.%20delaftale%20om%20r%C3%B8rbunden%20brintinfrastruktur_april%202024.pdf</t>
  </si>
  <si>
    <t>奥地利</t>
  </si>
  <si>
    <t>氢能发展战略</t>
  </si>
  <si>
    <t>https://www.bmk.gv.at/themen/energie/energieversorgung/wasserstoff/strategie.html</t>
  </si>
  <si>
    <t>乌拉圭</t>
  </si>
  <si>
    <t>绿色氢能发展战略路线图</t>
  </si>
  <si>
    <t>征意见</t>
  </si>
  <si>
    <t>https://www.gub.uy/ministerio-industria-energia-mineria/sites/ministerio-industria-energia-mineria/files/documentos/noticias/H2_final_14jul22_digital.pdf</t>
  </si>
  <si>
    <t>乌拉圭绿氢路线图</t>
  </si>
  <si>
    <t>待寻找</t>
  </si>
  <si>
    <t>绿氢及衍生物路线图</t>
  </si>
  <si>
    <t>https://www.gub.uy/ministerio-industria-energia-mineria/sites/ministerio-industria-energia-mineria/files/documentos/noticias/H2_final-ingl%C3%A9s2020.pdf</t>
  </si>
  <si>
    <t>美国</t>
  </si>
  <si>
    <t>国家清洁氢战略与路线图</t>
  </si>
  <si>
    <t>能源部</t>
  </si>
  <si>
    <t>https://www.hydrogen.energy.gov/pdfs/us-national-clean-hydrogen-strategy-roadmap.pdf</t>
  </si>
  <si>
    <t>氢能与燃料电池多年发展规划</t>
  </si>
  <si>
    <t>https://www.energy.gov/eere/fuelcells/hydrogen-and-fuel-cell-technologies-office-multi-year-program-plan</t>
  </si>
  <si>
    <t>氢能计划发展规划</t>
  </si>
  <si>
    <t>https://www.hydrogen.energy.gov/pdfs/hydrogen-program-plan-2020.pdf</t>
  </si>
  <si>
    <t>https://www.energy.gov/sites/default/files/2014/03/f8/national_h2_roadmap.pdf</t>
  </si>
  <si>
    <t>新加坡</t>
  </si>
  <si>
    <t>https://www.mti.gov.sg/Industries/Hydrogen</t>
  </si>
  <si>
    <t>阿曼</t>
  </si>
  <si>
    <t>特立尼达和多巴哥</t>
  </si>
  <si>
    <t>氢能路线图</t>
  </si>
  <si>
    <t>https://publications.iadb.org/en/roadmap-green-hydrogen-economy-trinidad-and-tobago</t>
  </si>
  <si>
    <t>纳米比亚</t>
  </si>
  <si>
    <t>绿氢及衍生物战略</t>
  </si>
  <si>
    <t>https://gh2namibia.com/wp-content/uploads/2022/11/Namibia-GH2-Strategy-Rev2.pdf</t>
  </si>
  <si>
    <t>土耳其</t>
  </si>
  <si>
    <t>氢能技术战略与路线图</t>
  </si>
  <si>
    <t>爱沙尼亚</t>
  </si>
  <si>
    <t>气候部</t>
  </si>
  <si>
    <t>https://kliimaministeerium.ee/en/hydrogen</t>
  </si>
  <si>
    <t>罗马尼亚</t>
  </si>
  <si>
    <t>国家氢能战略2023—2030</t>
  </si>
  <si>
    <t>以色列</t>
  </si>
  <si>
    <t>以色列氢能战略（征求意见稿）</t>
  </si>
  <si>
    <t>能源和基础设施部</t>
  </si>
  <si>
    <t>https://www.gov.il/he/departments/publications/Call_for_bids/hydrogen-160523</t>
  </si>
  <si>
    <t>爱尔兰</t>
  </si>
  <si>
    <t>https://www.gov.ie/en/publication/624ab-national-hydrogen-strategy/</t>
  </si>
  <si>
    <t>厄瓜多尔</t>
  </si>
  <si>
    <t>绿色氢路线图和战略</t>
  </si>
  <si>
    <t>能源和矿业部</t>
  </si>
  <si>
    <t>https://www.recursosyenergia.gob.ec/ecuador-presento-la-hoja-de-ruta-y-la-estrategia-para-la-produccion-de-hidrogeno-verde/</t>
  </si>
  <si>
    <t>斯里兰卡</t>
  </si>
  <si>
    <t>https://api.greenstat.no/uploads/Sri_Lanka_Roadmap_Final_5b7d4aff51.pdf?updated_at=2023-08-02T14:11:03.276Z</t>
  </si>
  <si>
    <t>巴西</t>
  </si>
  <si>
    <t>国家氢能计划（2023—2025年）</t>
  </si>
  <si>
    <t>矿业和能源部</t>
  </si>
  <si>
    <t>https://www.gov.br/mme/pt-br/assuntos/noticias/PlanodeTrabalhoTrienalPNH2.pdf</t>
  </si>
  <si>
    <t>阿根廷</t>
  </si>
  <si>
    <t>氢经济发展国家战略</t>
  </si>
  <si>
    <t>https://www.argentina.gob.ar/sites/default/files/2023/07/estrategia_nacional_de_hidrogeno_-_sae.pdf</t>
  </si>
  <si>
    <t>肯尼亚</t>
  </si>
  <si>
    <t>肯尼亚绿氢战略与路线图</t>
  </si>
  <si>
    <t>能源与石油部</t>
  </si>
  <si>
    <t>https://energycentral.com/system/files/ece/nodes/627859/kenya.pdf</t>
  </si>
  <si>
    <t>马来西亚</t>
  </si>
  <si>
    <t>氢能经济与技术路线图</t>
  </si>
  <si>
    <t>科学、技术与创新部</t>
  </si>
  <si>
    <t>https://www.mosti.gov.my/wp-content/uploads/repository/penerbitan/2023/HIDROGEN%20ECONOMY%20&amp;%20TECHNOLOGY%20ROADMAP.pdf</t>
  </si>
  <si>
    <t>印度尼西亚</t>
  </si>
  <si>
    <t>国家氢能和氨能发展路线图</t>
  </si>
  <si>
    <t>https://www.esdm.go.id/assets/media/content/content-peta-jalan-hidrogen-dan-amonia-nasional.pdf</t>
  </si>
  <si>
    <t>越南</t>
  </si>
  <si>
    <t>到2030年越南氢能发展战略和2050年愿景</t>
  </si>
  <si>
    <t>政府</t>
  </si>
  <si>
    <t>https://thuvienphapluat.vn/van-ban/Tai-nguyen-Moi-truong/Quyet-dinh-165-QD-TTg-2024-Chien-luoc-phat-trien-nang-luong-hydrogen-Viet-Nam-den-2030-tam-nhin-2050-598438.aspx</t>
  </si>
  <si>
    <t>立陶宛</t>
  </si>
  <si>
    <t>立陶宛2024-2050年氢能发展路线图</t>
  </si>
  <si>
    <t>https://enmin.lrv.lt/media/viesa/saugykla/2024/4/ZNrRbiZ96Hs.pdf</t>
  </si>
  <si>
    <t>冰岛</t>
  </si>
  <si>
    <t>冰岛氢能和电子燃料路线图</t>
  </si>
  <si>
    <t>环境、能源和气候部</t>
  </si>
  <si>
    <t>https://www.government.is/library/Files/240102_URN_RoadmapForIceland_V6.pdf</t>
  </si>
  <si>
    <t>突尼斯</t>
  </si>
  <si>
    <t>突尼斯发展绿色氢气及其衍生物的国家战略</t>
  </si>
  <si>
    <t>工业、矿业和能源部</t>
  </si>
  <si>
    <t>https://www.energiemines.gov.tn/fileadmin/docs-u1/Re%CC%81sume%CC%81_stratei%CC%80gie_nationale_MIME-WEB.pdf</t>
  </si>
  <si>
    <t>哈萨克斯坦</t>
  </si>
  <si>
    <t>哈萨克斯坦共和国氢能发展至2040年的概念</t>
  </si>
  <si>
    <t>https://legalacts.egov.kz/npa/view?id=15028374</t>
  </si>
  <si>
    <t>不丹</t>
  </si>
  <si>
    <t>不丹氢能路线图</t>
  </si>
  <si>
    <t>https://www.moenr.gov.bt/wp-content/uploads/2017/07/National-Hydrogen-Roadmap.pdf</t>
  </si>
  <si>
    <t>保加利亚</t>
  </si>
  <si>
    <t>保加利亚国家氢能路线图</t>
  </si>
  <si>
    <t>https://www.mig.government.bg/wp-content/uploads/2023/04/naczionalna-patna-karta-za-podobryavane-na-usloviyata-za-razgrasthane-na-potencziala-za-razvitie-na-vodorodnite-tehnologii-i-mehanizmite-za-proizvodstvo-i-dostavka-na-vodorod.pdf</t>
  </si>
  <si>
    <t>埃及</t>
  </si>
  <si>
    <t>国家低碳氢能战略</t>
  </si>
  <si>
    <t>https://greenhydrogen.cabinet.gov.eg/static/media/pdf.6c00ad6b21bdc68bc522.pdf</t>
  </si>
  <si>
    <t>玻利维亚</t>
  </si>
  <si>
    <t>https://www.mhe.gob.bo/wp-content/uploads/2024/11/EstrategiaHidrogenoLW.pdf</t>
  </si>
  <si>
    <t>阿塞拜疆</t>
  </si>
  <si>
    <t>国家氢能战略展望</t>
  </si>
  <si>
    <t>https://enerjiportali.az/wp-content/uploads/2025/02/Azerbaijan-National-Hydrogen-Strategic-Outlook-Rev_14.02.2025.pdf</t>
  </si>
  <si>
    <t>瑞士</t>
  </si>
  <si>
    <t>联邦政府</t>
  </si>
  <si>
    <t>https://www.admin.ch/gov/de/start/dokumentation/medienmitteilungen.msg-id-103544.html#:~:text=Die%20Wasserstoffstrategie%20geht%20davon%20aus,inl%C3%A4ndische%20Produktion%20gedeckt%20werden%20kann.</t>
  </si>
  <si>
    <t>老挝</t>
  </si>
  <si>
    <t>国家绿氢与氨路线图</t>
  </si>
  <si>
    <t>https://climatecompatiblegrowth.com/wp-content/uploads/Report-Final-Draft_Signed-01-1.pdf</t>
  </si>
  <si>
    <t>塞浦路斯</t>
  </si>
  <si>
    <t>https://www.europarl.europa.eu/RegData/etudes/BRIE/2025/769495/EPRS_BRI(2025)769495_EL.pdf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</si>
</sst>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宋体"/>
      <family val="3"/>
      <charset val="134"/>
      <scheme val="minor"/>
    </font>
    <font>
      <b/>
      <sz val="9"/>
      <color theme="0"/>
      <name val="微软雅黑"/>
      <family val="2"/>
      <charset val="134"/>
    </font>
    <font>
      <sz val="9"/>
      <name val="宋体"/>
      <family val="3"/>
      <charset val="134"/>
      <scheme val="minor"/>
    </font>
    <font>
      <b/>
      <sz val="9"/>
      <color rgb="FF187FC4"/>
      <name val="微软雅黑"/>
      <family val="2"/>
      <charset val="134"/>
    </font>
    <font>
      <b/>
      <sz val="9"/>
      <color theme="5"/>
      <name val="微软雅黑"/>
      <family val="2"/>
      <charset val="134"/>
    </font>
    <font>
      <sz val="12"/>
      <name val="宋体"/>
      <family val="3"/>
      <charset val="134"/>
    </font>
    <font>
      <b/>
      <sz val="9"/>
      <color indexed="9"/>
      <name val="微软雅黑"/>
      <family val="2"/>
      <charset val="134"/>
    </font>
    <font>
      <b/>
      <sz val="9"/>
      <color rgb="FFFF0000"/>
      <name val="微软雅黑"/>
      <family val="2"/>
      <charset val="134"/>
    </font>
    <font>
      <b/>
      <sz val="9"/>
      <color rgb="FF7030A0"/>
      <name val="微软雅黑"/>
      <family val="2"/>
      <charset val="134"/>
    </font>
    <font>
      <b/>
      <sz val="9"/>
      <color rgb="FF0070C0"/>
      <name val="微软雅黑"/>
      <family val="2"/>
      <charset val="134"/>
    </font>
    <font>
      <b/>
      <sz val="9"/>
      <color rgb="FF0066CC"/>
      <name val="微软雅黑"/>
      <family val="2"/>
      <charset val="134"/>
    </font>
    <font>
      <b/>
      <sz val="9"/>
      <name val="微软雅黑"/>
      <family val="2"/>
      <charset val="134"/>
    </font>
    <font>
      <b/>
      <sz val="9"/>
      <color indexed="30"/>
      <name val="微软雅黑"/>
      <family val="2"/>
      <charset val="134"/>
    </font>
    <font>
      <b/>
      <sz val="9"/>
      <color rgb="FFC00000"/>
      <name val="微软雅黑"/>
      <family val="2"/>
      <charset val="134"/>
    </font>
    <font>
      <sz val="11"/>
      <color rgb="FFC00000"/>
      <name val="宋体"/>
      <family val="3"/>
      <charset val="134"/>
      <scheme val="minor"/>
    </font>
    <font>
      <sz val="11"/>
      <color rgb="FFFF0000"/>
      <name val="宋体"/>
      <family val="3"/>
      <charset val="134"/>
      <scheme val="minor"/>
    </font>
    <font>
      <b/>
      <sz val="9"/>
      <color rgb="FF00B050"/>
      <name val="微软雅黑"/>
      <family val="2"/>
      <charset val="134"/>
    </font>
    <font>
      <sz val="11"/>
      <name val="宋体"/>
      <family val="3"/>
      <charset val="134"/>
      <scheme val="minor"/>
    </font>
    <font>
      <b/>
      <sz val="9"/>
      <color theme="1"/>
      <name val="微软雅黑"/>
      <family val="2"/>
      <charset val="134"/>
    </font>
    <font>
      <b/>
      <sz val="8"/>
      <color indexed="9"/>
      <name val="微软雅黑"/>
      <family val="2"/>
      <charset val="134"/>
    </font>
    <font>
      <sz val="8"/>
      <color theme="1"/>
      <name val="宋体"/>
      <family val="3"/>
      <charset val="134"/>
      <scheme val="minor"/>
    </font>
    <font>
      <b/>
      <sz val="8"/>
      <name val="微软雅黑"/>
      <family val="2"/>
      <charset val="134"/>
    </font>
    <font>
      <b/>
      <sz val="8"/>
      <color indexed="30"/>
      <name val="微软雅黑"/>
      <family val="2"/>
      <charset val="134"/>
    </font>
    <font>
      <b/>
      <sz val="8"/>
      <color rgb="FFC00000"/>
      <name val="微软雅黑"/>
      <family val="2"/>
      <charset val="134"/>
    </font>
    <font>
      <b/>
      <sz val="8"/>
      <color rgb="FFFF0000"/>
      <name val="宋体"/>
      <family val="3"/>
      <charset val="134"/>
      <scheme val="minor"/>
    </font>
    <font>
      <b/>
      <sz val="8"/>
      <color rgb="FF7030A0"/>
      <name val="微软雅黑"/>
      <family val="2"/>
      <charset val="134"/>
    </font>
    <font>
      <u/>
      <sz val="11"/>
      <color theme="10"/>
      <name val="宋体"/>
      <family val="3"/>
      <charset val="134"/>
      <scheme val="minor"/>
    </font>
    <font>
      <u/>
      <sz val="11"/>
      <color rgb="FF0000FF"/>
      <name val="宋体"/>
      <family val="3"/>
      <charset val="134"/>
      <scheme val="minor"/>
    </font>
  </fonts>
  <fills count="17">
    <fill>
      <patternFill patternType="none"/>
    </fill>
    <fill>
      <patternFill patternType="gray125"/>
    </fill>
    <fill>
      <patternFill patternType="solid">
        <fgColor rgb="FF004098"/>
        <bgColor indexed="64"/>
      </patternFill>
    </fill>
    <fill>
      <patternFill patternType="solid">
        <fgColor rgb="FF187FC4"/>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rgb="FFFFC000"/>
        <bgColor indexed="64"/>
      </patternFill>
    </fill>
    <fill>
      <patternFill patternType="solid">
        <fgColor theme="4" tint="0.79995117038483843"/>
        <bgColor indexed="64"/>
      </patternFill>
    </fill>
    <fill>
      <patternFill patternType="solid">
        <fgColor theme="5" tint="0.59999389629810485"/>
        <bgColor indexed="64"/>
      </patternFill>
    </fill>
    <fill>
      <patternFill patternType="solid">
        <fgColor rgb="FFCCCC00"/>
        <bgColor indexed="64"/>
      </patternFill>
    </fill>
    <fill>
      <patternFill patternType="solid">
        <fgColor rgb="FFFFFFFF"/>
        <bgColor indexed="64"/>
      </patternFill>
    </fill>
    <fill>
      <patternFill patternType="solid">
        <fgColor theme="6" tint="0.79982909634693444"/>
        <bgColor indexed="64"/>
      </patternFill>
    </fill>
    <fill>
      <patternFill patternType="solid">
        <fgColor theme="7" tint="0.79982909634693444"/>
        <bgColor indexed="64"/>
      </patternFill>
    </fill>
    <fill>
      <patternFill patternType="solid">
        <fgColor theme="5" tint="0.79982909634693444"/>
        <bgColor indexed="64"/>
      </patternFill>
    </fill>
    <fill>
      <patternFill patternType="solid">
        <fgColor theme="8" tint="0.79982909634693444"/>
        <bgColor indexed="64"/>
      </patternFill>
    </fill>
    <fill>
      <patternFill patternType="solid">
        <fgColor theme="9" tint="0.79982909634693444"/>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medium">
        <color auto="1"/>
      </top>
      <bottom style="medium">
        <color auto="1"/>
      </bottom>
      <diagonal/>
    </border>
  </borders>
  <cellStyleXfs count="3">
    <xf numFmtId="0" fontId="0" fillId="0" borderId="0">
      <alignment vertical="center"/>
    </xf>
    <xf numFmtId="0" fontId="5" fillId="0" borderId="0"/>
    <xf numFmtId="0" fontId="27" fillId="0" borderId="0" applyNumberFormat="0" applyFill="0" applyBorder="0" applyAlignment="0" applyProtection="0">
      <alignment vertical="center"/>
    </xf>
  </cellStyleXfs>
  <cellXfs count="130">
    <xf numFmtId="0" fontId="0" fillId="0" borderId="0" xfId="0">
      <alignment vertical="center"/>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4" borderId="0" xfId="0" applyFill="1" applyAlignment="1">
      <alignment horizontal="center" vertical="center" wrapText="1"/>
    </xf>
    <xf numFmtId="0" fontId="1" fillId="3"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14" fontId="3" fillId="5" borderId="2" xfId="0" applyNumberFormat="1" applyFont="1" applyFill="1" applyBorder="1" applyAlignment="1">
      <alignment horizontal="left" vertical="center" wrapText="1"/>
    </xf>
    <xf numFmtId="1" fontId="3" fillId="0" borderId="1" xfId="0" applyNumberFormat="1" applyFont="1" applyBorder="1" applyAlignment="1">
      <alignment horizontal="left" vertical="center" wrapText="1"/>
    </xf>
    <xf numFmtId="1" fontId="4" fillId="0" borderId="1" xfId="0" applyNumberFormat="1" applyFont="1" applyBorder="1" applyAlignment="1">
      <alignment horizontal="left" vertical="center" wrapText="1"/>
    </xf>
    <xf numFmtId="14" fontId="3" fillId="5" borderId="1" xfId="0" applyNumberFormat="1" applyFont="1" applyFill="1" applyBorder="1" applyAlignment="1">
      <alignment horizontal="left" vertical="center" wrapText="1"/>
    </xf>
    <xf numFmtId="1" fontId="3" fillId="5" borderId="1" xfId="0" applyNumberFormat="1" applyFont="1" applyFill="1" applyBorder="1" applyAlignment="1">
      <alignment horizontal="left" vertical="center" wrapText="1"/>
    </xf>
    <xf numFmtId="1" fontId="3" fillId="0" borderId="1" xfId="0" applyNumberFormat="1" applyFont="1" applyBorder="1" applyAlignment="1">
      <alignment horizontal="center" vertical="center" wrapText="1"/>
    </xf>
    <xf numFmtId="0" fontId="0" fillId="4" borderId="0" xfId="0" applyFill="1" applyAlignment="1">
      <alignment horizontal="left" vertical="center" wrapText="1"/>
    </xf>
    <xf numFmtId="0" fontId="1" fillId="6" borderId="1" xfId="1"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1" applyFont="1" applyBorder="1" applyAlignment="1">
      <alignment horizontal="center" vertical="center" wrapText="1"/>
    </xf>
    <xf numFmtId="0" fontId="8" fillId="0" borderId="1" xfId="1" applyFont="1" applyBorder="1" applyAlignment="1">
      <alignment horizontal="center" vertical="center" wrapText="1"/>
    </xf>
    <xf numFmtId="0" fontId="9" fillId="0" borderId="1" xfId="1" applyFont="1" applyBorder="1" applyAlignment="1">
      <alignment horizontal="left" vertical="center" wrapText="1"/>
    </xf>
    <xf numFmtId="0" fontId="9" fillId="0" borderId="1" xfId="1" applyFont="1" applyBorder="1" applyAlignment="1">
      <alignment horizontal="center" vertical="center" wrapText="1"/>
    </xf>
    <xf numFmtId="0" fontId="12" fillId="0" borderId="1" xfId="0" applyFont="1" applyBorder="1" applyAlignment="1">
      <alignment horizontal="center" vertical="center" wrapText="1"/>
    </xf>
    <xf numFmtId="57" fontId="12"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0" fontId="10" fillId="0" borderId="1" xfId="0" applyFont="1" applyBorder="1" applyAlignment="1">
      <alignment horizontal="center" vertical="center" wrapText="1"/>
    </xf>
    <xf numFmtId="0" fontId="0" fillId="0" borderId="0" xfId="0" applyAlignment="1">
      <alignment horizontal="left" vertical="center"/>
    </xf>
    <xf numFmtId="57"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0" xfId="0" applyFont="1">
      <alignment vertical="center"/>
    </xf>
    <xf numFmtId="57"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5" fillId="0" borderId="0" xfId="0" applyFont="1">
      <alignment vertical="center"/>
    </xf>
    <xf numFmtId="0" fontId="1" fillId="6" borderId="6"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9"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0" fontId="7"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11" fillId="0" borderId="3" xfId="0" applyFont="1" applyBorder="1" applyAlignment="1">
      <alignment horizontal="center" vertical="center" wrapText="1"/>
    </xf>
    <xf numFmtId="0" fontId="17" fillId="0" borderId="0" xfId="0" applyFont="1">
      <alignment vertical="center"/>
    </xf>
    <xf numFmtId="0" fontId="11" fillId="7"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14" fontId="11" fillId="7" borderId="1" xfId="0" applyNumberFormat="1" applyFont="1" applyFill="1" applyBorder="1" applyAlignment="1">
      <alignment horizontal="center" vertical="center" wrapText="1"/>
    </xf>
    <xf numFmtId="0" fontId="11" fillId="7" borderId="3"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8" borderId="1" xfId="0" applyFont="1" applyFill="1" applyBorder="1" applyAlignment="1">
      <alignment horizontal="center" vertical="center" wrapText="1"/>
    </xf>
    <xf numFmtId="14" fontId="11" fillId="5" borderId="1" xfId="0" applyNumberFormat="1" applyFont="1" applyFill="1" applyBorder="1" applyAlignment="1">
      <alignment horizontal="center" vertical="center" wrapText="1"/>
    </xf>
    <xf numFmtId="14" fontId="11" fillId="5" borderId="3" xfId="0" applyNumberFormat="1" applyFont="1" applyFill="1" applyBorder="1" applyAlignment="1">
      <alignment horizontal="center" vertical="center" wrapText="1"/>
    </xf>
    <xf numFmtId="14" fontId="11" fillId="9" borderId="1" xfId="0" applyNumberFormat="1" applyFont="1" applyFill="1" applyBorder="1" applyAlignment="1">
      <alignment horizontal="center" vertical="center" wrapText="1"/>
    </xf>
    <xf numFmtId="14" fontId="11" fillId="9" borderId="3"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14" fontId="11" fillId="10" borderId="1" xfId="0" applyNumberFormat="1" applyFont="1" applyFill="1" applyBorder="1" applyAlignment="1">
      <alignment horizontal="center" vertical="center" wrapText="1"/>
    </xf>
    <xf numFmtId="14" fontId="11" fillId="10" borderId="3" xfId="0" applyNumberFormat="1" applyFont="1" applyFill="1" applyBorder="1" applyAlignment="1">
      <alignment horizontal="center" vertical="center" wrapText="1"/>
    </xf>
    <xf numFmtId="14" fontId="7" fillId="7"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4" fontId="11" fillId="0" borderId="3" xfId="0" applyNumberFormat="1" applyFont="1" applyBorder="1" applyAlignment="1">
      <alignment horizontal="center" vertical="center" wrapText="1"/>
    </xf>
    <xf numFmtId="14" fontId="11" fillId="7" borderId="3" xfId="0" applyNumberFormat="1" applyFont="1" applyFill="1" applyBorder="1" applyAlignment="1">
      <alignment horizontal="center" vertical="center" wrapText="1"/>
    </xf>
    <xf numFmtId="14" fontId="7" fillId="5" borderId="1" xfId="0" applyNumberFormat="1" applyFont="1" applyFill="1" applyBorder="1" applyAlignment="1">
      <alignment horizontal="center" vertical="center" wrapText="1"/>
    </xf>
    <xf numFmtId="14" fontId="11" fillId="11" borderId="3" xfId="0" applyNumberFormat="1" applyFont="1" applyFill="1" applyBorder="1" applyAlignment="1">
      <alignment horizontal="center" vertical="center" wrapText="1"/>
    </xf>
    <xf numFmtId="14" fontId="11" fillId="11" borderId="1" xfId="0" applyNumberFormat="1" applyFont="1" applyFill="1" applyBorder="1" applyAlignment="1">
      <alignment horizontal="center" vertical="center" wrapText="1"/>
    </xf>
    <xf numFmtId="14" fontId="7" fillId="9" borderId="1" xfId="0" applyNumberFormat="1" applyFont="1" applyFill="1" applyBorder="1" applyAlignment="1">
      <alignment horizontal="center" vertical="center" wrapText="1"/>
    </xf>
    <xf numFmtId="0" fontId="18" fillId="0" borderId="1" xfId="0" applyFont="1" applyBorder="1" applyAlignment="1">
      <alignment horizontal="center" vertical="center" wrapText="1"/>
    </xf>
    <xf numFmtId="0" fontId="18" fillId="7" borderId="1" xfId="0" applyFont="1" applyFill="1" applyBorder="1" applyAlignment="1">
      <alignment horizontal="center" vertical="center" wrapText="1"/>
    </xf>
    <xf numFmtId="14" fontId="18" fillId="7" borderId="1" xfId="0" applyNumberFormat="1" applyFont="1" applyFill="1" applyBorder="1" applyAlignment="1">
      <alignment horizontal="center" vertical="center" wrapText="1"/>
    </xf>
    <xf numFmtId="0" fontId="18" fillId="7" borderId="3" xfId="0" applyFont="1" applyFill="1" applyBorder="1" applyAlignment="1">
      <alignment horizontal="center" vertical="center" wrapText="1"/>
    </xf>
    <xf numFmtId="14" fontId="18" fillId="9" borderId="1" xfId="0" applyNumberFormat="1" applyFont="1" applyFill="1" applyBorder="1" applyAlignment="1">
      <alignment horizontal="center" vertical="center" wrapText="1"/>
    </xf>
    <xf numFmtId="14" fontId="18" fillId="9" borderId="3" xfId="0" applyNumberFormat="1" applyFont="1" applyFill="1" applyBorder="1" applyAlignment="1">
      <alignment horizontal="center" vertical="center" wrapText="1"/>
    </xf>
    <xf numFmtId="14" fontId="18" fillId="7" borderId="3" xfId="0" applyNumberFormat="1" applyFont="1" applyFill="1" applyBorder="1" applyAlignment="1">
      <alignment horizontal="center" vertical="center" wrapText="1"/>
    </xf>
    <xf numFmtId="14" fontId="18" fillId="5" borderId="1" xfId="0" applyNumberFormat="1" applyFont="1" applyFill="1" applyBorder="1" applyAlignment="1">
      <alignment horizontal="center" vertical="center" wrapText="1"/>
    </xf>
    <xf numFmtId="14" fontId="18" fillId="5" borderId="3" xfId="0" applyNumberFormat="1" applyFont="1" applyFill="1" applyBorder="1" applyAlignment="1">
      <alignment horizontal="center" vertical="center" wrapText="1"/>
    </xf>
    <xf numFmtId="14" fontId="18" fillId="11" borderId="1" xfId="0" applyNumberFormat="1" applyFont="1" applyFill="1" applyBorder="1" applyAlignment="1">
      <alignment horizontal="center" vertical="center" wrapText="1"/>
    </xf>
    <xf numFmtId="14" fontId="18" fillId="11" borderId="3" xfId="0" applyNumberFormat="1" applyFont="1" applyFill="1" applyBorder="1" applyAlignment="1">
      <alignment horizontal="center" vertical="center" wrapText="1"/>
    </xf>
    <xf numFmtId="14" fontId="18" fillId="10" borderId="1" xfId="0" applyNumberFormat="1" applyFont="1" applyFill="1" applyBorder="1" applyAlignment="1">
      <alignment horizontal="center" vertical="center" wrapText="1"/>
    </xf>
    <xf numFmtId="14" fontId="18" fillId="10" borderId="3" xfId="0"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11" fillId="10"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0" fillId="0" borderId="0" xfId="0" applyFont="1">
      <alignment vertical="center"/>
    </xf>
    <xf numFmtId="0" fontId="21" fillId="8" borderId="1"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22" fillId="14" borderId="1" xfId="0" applyFont="1" applyFill="1" applyBorder="1" applyAlignment="1">
      <alignment horizontal="center" vertical="center" wrapText="1"/>
    </xf>
    <xf numFmtId="0" fontId="22" fillId="15" borderId="1" xfId="0" applyFont="1" applyFill="1" applyBorder="1" applyAlignment="1">
      <alignment horizontal="center" vertical="center" wrapText="1"/>
    </xf>
    <xf numFmtId="0" fontId="22" fillId="16" borderId="1"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3" fillId="13" borderId="1" xfId="0" applyFont="1" applyFill="1" applyBorder="1" applyAlignment="1">
      <alignment horizontal="center" vertical="center" wrapText="1"/>
    </xf>
    <xf numFmtId="0" fontId="23" fillId="14" borderId="1" xfId="0" applyFont="1" applyFill="1" applyBorder="1" applyAlignment="1">
      <alignment horizontal="center" vertical="center" wrapText="1"/>
    </xf>
    <xf numFmtId="0" fontId="23" fillId="15" borderId="1"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21" fillId="8" borderId="6" xfId="0" applyFont="1" applyFill="1" applyBorder="1" applyAlignment="1">
      <alignment horizontal="center" vertical="center" wrapText="1"/>
    </xf>
    <xf numFmtId="0" fontId="22" fillId="12" borderId="6" xfId="0" applyFont="1" applyFill="1" applyBorder="1" applyAlignment="1">
      <alignment horizontal="center" vertical="center" wrapText="1"/>
    </xf>
    <xf numFmtId="0" fontId="20" fillId="0" borderId="13" xfId="0" applyFont="1" applyBorder="1">
      <alignment vertical="center"/>
    </xf>
    <xf numFmtId="0" fontId="24" fillId="0" borderId="13" xfId="0" applyFont="1" applyBorder="1" applyAlignment="1">
      <alignment horizontal="center" vertical="center"/>
    </xf>
    <xf numFmtId="0" fontId="25" fillId="13" borderId="1" xfId="0" applyFont="1" applyFill="1" applyBorder="1" applyAlignment="1">
      <alignment horizontal="center" vertical="center" wrapText="1"/>
    </xf>
    <xf numFmtId="0" fontId="25" fillId="14" borderId="1"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16" borderId="1" xfId="0" applyFont="1" applyFill="1" applyBorder="1" applyAlignment="1">
      <alignment horizontal="center" vertical="center" wrapText="1"/>
    </xf>
    <xf numFmtId="0" fontId="9" fillId="0" borderId="6" xfId="1" applyFont="1" applyBorder="1" applyAlignment="1">
      <alignment horizontal="center" vertical="center" wrapText="1"/>
    </xf>
    <xf numFmtId="0" fontId="9" fillId="0" borderId="2" xfId="1" applyFont="1" applyBorder="1" applyAlignment="1">
      <alignment horizontal="center" vertical="center" wrapText="1"/>
    </xf>
    <xf numFmtId="0" fontId="9" fillId="0" borderId="7" xfId="1" applyFont="1" applyBorder="1" applyAlignment="1">
      <alignment horizontal="center" vertical="center" wrapText="1"/>
    </xf>
    <xf numFmtId="0" fontId="9" fillId="0" borderId="1" xfId="1" applyFont="1" applyBorder="1" applyAlignment="1">
      <alignment horizontal="center" vertical="center" wrapText="1"/>
    </xf>
    <xf numFmtId="0" fontId="1" fillId="6" borderId="3" xfId="1" applyFont="1" applyFill="1" applyBorder="1" applyAlignment="1">
      <alignment horizontal="center" vertical="center" wrapText="1"/>
    </xf>
    <xf numFmtId="0" fontId="1" fillId="6" borderId="4" xfId="1" applyFont="1" applyFill="1" applyBorder="1" applyAlignment="1">
      <alignment horizontal="center" vertical="center" wrapText="1"/>
    </xf>
    <xf numFmtId="0" fontId="1" fillId="6" borderId="5" xfId="1"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4" borderId="0" xfId="0" applyFill="1">
      <alignment vertical="center"/>
    </xf>
    <xf numFmtId="2" fontId="1" fillId="2" borderId="3" xfId="0" applyNumberFormat="1" applyFont="1" applyFill="1" applyBorder="1" applyAlignment="1">
      <alignment horizontal="center" vertical="center" wrapText="1"/>
    </xf>
    <xf numFmtId="57"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7" fillId="4" borderId="0" xfId="0" applyFont="1" applyFill="1">
      <alignment vertical="center"/>
    </xf>
    <xf numFmtId="0" fontId="9" fillId="4" borderId="0" xfId="0" applyFont="1" applyFill="1" applyAlignment="1">
      <alignment horizontal="center" vertical="center" wrapText="1"/>
    </xf>
    <xf numFmtId="57" fontId="26" fillId="4" borderId="0" xfId="2" applyNumberFormat="1" applyFont="1" applyFill="1" applyBorder="1" applyAlignment="1">
      <alignment horizontal="left" vertical="center" wrapText="1"/>
    </xf>
  </cellXfs>
  <cellStyles count="3">
    <cellStyle name="常规" xfId="0" builtinId="0"/>
    <cellStyle name="常规 2 2" xfId="1" xr:uid="{4B5C734F-DB5D-4FCB-9984-602CB9478AA4}"/>
    <cellStyle name="超链接 2" xfId="2" xr:uid="{14109F64-FC2F-4C5C-8D5A-6AC33A5197F5}"/>
  </cellStyles>
  <dxfs count="21">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
      <fill>
        <patternFill patternType="solid">
          <bgColor theme="5" tint="0.799768059327982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uawei\Downloads\Wasserstoffdaten%20DL%2020260430.xlsx" TargetMode="External"/><Relationship Id="rId1" Type="http://schemas.openxmlformats.org/officeDocument/2006/relationships/externalLinkPath" Target="file:///C:\Users\huawei\Downloads\Wasserstoffdaten%20DL%20202604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LOOKUP"/>
      <sheetName val="EEX HYDRIX"/>
      <sheetName val="MIBGAS IBHYX"/>
      <sheetName val="电解槽系统大致构成"/>
      <sheetName val="企业-氢能出海"/>
      <sheetName val="调研记录"/>
      <sheetName val="国际-FC（已停止更新）"/>
      <sheetName val="国际-HRS，FCV"/>
      <sheetName val="国际-国家级氢能政策"/>
      <sheetName val="标准-团体标准"/>
      <sheetName val="标准-地方标准"/>
      <sheetName val="标准-行业标准"/>
      <sheetName val="标准-国家标准"/>
      <sheetName val="企业-投融资"/>
      <sheetName val="企业-（准）上市企业财务数据"/>
      <sheetName val="企业-上市企业氢能领域进展"/>
      <sheetName val="碳市场价格-2021年"/>
      <sheetName val="碳市场价格-2022年"/>
      <sheetName val="碳市场价格-2023年"/>
      <sheetName val="碳市场价格-2024年"/>
      <sheetName val="碳市场价格-2025年"/>
      <sheetName val="碳市场价格-2026年"/>
      <sheetName val="CCER"/>
      <sheetName val="技术-科技部氢能专项"/>
      <sheetName val="电解槽-下线时间"/>
      <sheetName val="电解槽-产能查询"/>
      <sheetName val="Sheet2"/>
      <sheetName val="电解槽参数（尚待修改）"/>
      <sheetName val="电解槽-测试平台"/>
      <sheetName val="政策-政府工作报告"/>
      <sheetName val="政策-示范城市群补贴"/>
      <sheetName val="政策-制氢加氢一体站放开"/>
      <sheetName val="政策-氢能高速"/>
      <sheetName val="政策-加氢站主管部门"/>
      <sheetName val="政策-各地方政府规划"/>
      <sheetName val="政府-各省级政府规划目标"/>
      <sheetName val="制-副产氢供氢中心"/>
      <sheetName val="制-电解槽招标"/>
      <sheetName val="制-可再生能源制氢"/>
      <sheetName val="制-可再生能源制氢（废止与无进展）"/>
      <sheetName val="氢氨醇消纳"/>
      <sheetName val="低碳与绿色甲醇项目"/>
      <sheetName val="SAF"/>
      <sheetName val="制-海水（海上风电）制氢"/>
      <sheetName val="储运-氢气管道项目"/>
      <sheetName val="储运-全球液氢项目"/>
      <sheetName val="加-2020年数据"/>
      <sheetName val="加-2021年数据"/>
      <sheetName val="加-2022年数据"/>
      <sheetName val="加-2023年数据"/>
      <sheetName val="加-2024年数据"/>
      <sheetName val="加-2025年数据"/>
      <sheetName val="加氢站-V"/>
      <sheetName val="加-加氢站总表"/>
      <sheetName val="用-燃料电池发电"/>
      <sheetName val="用-车辆招投标"/>
      <sheetName val="车辆招投标（分析用）"/>
      <sheetName val="用-船舶"/>
      <sheetName val="用-氢内燃机"/>
      <sheetName val="用-氢冶金"/>
      <sheetName val="用-SAF白名单"/>
      <sheetName val="用-工信部公告308-366"/>
      <sheetName val="用-工信部公告367-"/>
      <sheetName val="用-燃料电池系统与电堆参数（不全）"/>
      <sheetName val="用-燃料电池系统产能"/>
      <sheetName val="用-燃料电池电堆产能"/>
      <sheetName val="其他-氢能园区"/>
      <sheetName val="氢能两轮车（待整理）"/>
      <sheetName val="能源局-能源领域首台（套）重大技术装备"/>
      <sheetName val="工信部-国家工业和信息化领域节能降碳技术装备推荐目录"/>
      <sheetName val="发改委-绿色低碳先进技术示范项目清单"/>
      <sheetName val="工信部-工业和信息化部重点培育中试平台"/>
      <sheetName val="甲醇&amp;氨船舶订单跟踪"/>
      <sheetName val="氢教育"/>
      <sheetName val="央企（正在更新）"/>
      <sheetName val="生物质气化炉"/>
      <sheetName val="EHB"/>
      <sheetName val="绿色航运走廊"/>
      <sheetName val="中国人民银行-绿色金融支持项目目录"/>
      <sheetName val="国家能源局-绿色液体燃料技术攻关和产业化试点"/>
      <sheetName val="国家能源局-能源领域氢能试点"/>
      <sheetName val="国内绿色燃料加注与贸易"/>
      <sheetName val="专精特新大赛企业赛前10"/>
      <sheetName val="氢能无人机-待整理"/>
      <sheetName val="氢氨醇招标"/>
      <sheetName val="认证"/>
      <sheetName val="Sheet1"/>
      <sheetName val="bad news"/>
      <sheetName val="海外支持（待更新）"/>
      <sheetName val="火车"/>
      <sheetName val="无人机（待更新）"/>
      <sheetName val="价格"/>
      <sheetName val="全球氢能"/>
    </sheetNames>
    <sheetDataSet>
      <sheetData sheetId="0">
        <row r="2">
          <cell r="A2" t="str">
            <v>重庆</v>
          </cell>
          <cell r="B2" t="str">
            <v>西南</v>
          </cell>
        </row>
        <row r="3">
          <cell r="A3" t="str">
            <v>云南</v>
          </cell>
          <cell r="B3" t="str">
            <v>西南</v>
          </cell>
        </row>
        <row r="4">
          <cell r="A4" t="str">
            <v>四川</v>
          </cell>
          <cell r="B4" t="str">
            <v>西南</v>
          </cell>
        </row>
        <row r="5">
          <cell r="A5" t="str">
            <v>贵州</v>
          </cell>
          <cell r="B5" t="str">
            <v>西南</v>
          </cell>
        </row>
        <row r="6">
          <cell r="A6" t="str">
            <v>西藏</v>
          </cell>
          <cell r="B6" t="str">
            <v>西南</v>
          </cell>
        </row>
        <row r="7">
          <cell r="A7" t="str">
            <v>新疆</v>
          </cell>
          <cell r="B7" t="str">
            <v>西北</v>
          </cell>
        </row>
        <row r="8">
          <cell r="A8" t="str">
            <v>陕西</v>
          </cell>
          <cell r="B8" t="str">
            <v>西北</v>
          </cell>
        </row>
        <row r="9">
          <cell r="A9" t="str">
            <v>青海</v>
          </cell>
          <cell r="B9" t="str">
            <v>西北</v>
          </cell>
        </row>
        <row r="10">
          <cell r="A10" t="str">
            <v>甘肃</v>
          </cell>
          <cell r="B10" t="str">
            <v>西北</v>
          </cell>
        </row>
        <row r="11">
          <cell r="A11" t="str">
            <v>宁夏</v>
          </cell>
          <cell r="B11" t="str">
            <v>西北</v>
          </cell>
        </row>
        <row r="12">
          <cell r="A12" t="str">
            <v>湖南</v>
          </cell>
          <cell r="B12" t="str">
            <v>华中</v>
          </cell>
        </row>
        <row r="13">
          <cell r="A13" t="str">
            <v>湖北</v>
          </cell>
          <cell r="B13" t="str">
            <v>华中</v>
          </cell>
        </row>
        <row r="14">
          <cell r="A14" t="str">
            <v>河南</v>
          </cell>
          <cell r="B14" t="str">
            <v>华中</v>
          </cell>
        </row>
        <row r="15">
          <cell r="A15" t="str">
            <v>广东</v>
          </cell>
          <cell r="B15" t="str">
            <v>华南</v>
          </cell>
        </row>
        <row r="16">
          <cell r="A16" t="str">
            <v>广西</v>
          </cell>
          <cell r="B16" t="str">
            <v>华南</v>
          </cell>
        </row>
        <row r="17">
          <cell r="A17" t="str">
            <v>香港</v>
          </cell>
          <cell r="B17" t="str">
            <v>华南</v>
          </cell>
        </row>
        <row r="18">
          <cell r="A18" t="str">
            <v>澳门</v>
          </cell>
          <cell r="B18" t="str">
            <v>华南</v>
          </cell>
        </row>
        <row r="19">
          <cell r="A19" t="str">
            <v>浙江</v>
          </cell>
          <cell r="B19" t="str">
            <v>华东</v>
          </cell>
        </row>
        <row r="20">
          <cell r="A20" t="str">
            <v>上海</v>
          </cell>
          <cell r="B20" t="str">
            <v>华东</v>
          </cell>
        </row>
        <row r="21">
          <cell r="A21" t="str">
            <v>山东</v>
          </cell>
          <cell r="B21" t="str">
            <v>华东</v>
          </cell>
        </row>
        <row r="22">
          <cell r="A22" t="str">
            <v>江苏</v>
          </cell>
          <cell r="B22" t="str">
            <v>华东</v>
          </cell>
        </row>
        <row r="23">
          <cell r="A23" t="str">
            <v>福建</v>
          </cell>
          <cell r="B23" t="str">
            <v>华东</v>
          </cell>
        </row>
        <row r="24">
          <cell r="A24" t="str">
            <v>安徽</v>
          </cell>
          <cell r="B24" t="str">
            <v>华东</v>
          </cell>
        </row>
        <row r="25">
          <cell r="A25" t="str">
            <v>内蒙古</v>
          </cell>
          <cell r="B25" t="str">
            <v>华北</v>
          </cell>
        </row>
        <row r="26">
          <cell r="A26" t="str">
            <v>天津</v>
          </cell>
          <cell r="B26" t="str">
            <v>华北</v>
          </cell>
        </row>
        <row r="27">
          <cell r="A27" t="str">
            <v>北京</v>
          </cell>
          <cell r="B27" t="str">
            <v>华北</v>
          </cell>
        </row>
        <row r="28">
          <cell r="A28" t="str">
            <v>河北</v>
          </cell>
          <cell r="B28" t="str">
            <v>华北</v>
          </cell>
        </row>
        <row r="29">
          <cell r="A29" t="str">
            <v>山西</v>
          </cell>
          <cell r="B29" t="str">
            <v>华北</v>
          </cell>
        </row>
        <row r="30">
          <cell r="A30" t="str">
            <v>辽宁</v>
          </cell>
          <cell r="B30" t="str">
            <v>东北</v>
          </cell>
        </row>
        <row r="31">
          <cell r="A31" t="str">
            <v>吉林</v>
          </cell>
          <cell r="B31" t="str">
            <v>东北</v>
          </cell>
        </row>
        <row r="32">
          <cell r="A32" t="str">
            <v>黑龙江</v>
          </cell>
          <cell r="B32" t="str">
            <v>东北</v>
          </cell>
        </row>
        <row r="33">
          <cell r="A33" t="str">
            <v>江西</v>
          </cell>
          <cell r="B33" t="str">
            <v>华东</v>
          </cell>
        </row>
        <row r="34">
          <cell r="A34" t="str">
            <v>海南</v>
          </cell>
          <cell r="B34" t="str">
            <v>华南</v>
          </cell>
        </row>
        <row r="35">
          <cell r="A35" t="str">
            <v>台湾</v>
          </cell>
          <cell r="B35" t="str">
            <v>华东</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nrcan.gc.ca/sites/nrcan/files/environment/hydrogen/NRCan_Hydrogen%20Strategy%20for%20Canada%20Dec%2015%202200%20clean_low_accessible.pdf" TargetMode="External"/><Relationship Id="rId18" Type="http://schemas.openxmlformats.org/officeDocument/2006/relationships/hyperlink" Target="https://www.dst.gov.za/index.php/resource-center/strategies-and-reports/3574-hydrogen-society-roadmap-for-south-africa-2021" TargetMode="External"/><Relationship Id="rId26" Type="http://schemas.openxmlformats.org/officeDocument/2006/relationships/hyperlink" Target="http://static.government.ru/media/files/5JFns1CDAKqYKzZ0mnRADAw2NqcVsexl.pdf" TargetMode="External"/><Relationship Id="rId39" Type="http://schemas.openxmlformats.org/officeDocument/2006/relationships/hyperlink" Target="https://gh2namibia.com/wp-content/uploads/2022/11/Namibia-GH2-Strategy-Rev2.pdf" TargetMode="External"/><Relationship Id="rId21" Type="http://schemas.openxmlformats.org/officeDocument/2006/relationships/hyperlink" Target="http://zfxxgk.nea.gov.cn/1310525630_16479984022991n.pdf" TargetMode="External"/><Relationship Id="rId34" Type="http://schemas.openxmlformats.org/officeDocument/2006/relationships/hyperlink" Target="https://www.bmk.gv.at/themen/energie/energieversorgung/wasserstoff/strategie.html" TargetMode="External"/><Relationship Id="rId42" Type="http://schemas.openxmlformats.org/officeDocument/2006/relationships/hyperlink" Target="https://www.bmwk.de/Redaktion/DE/Wasserstoff/Downloads/Fortschreibung.pdf?__blob=publicationFile&amp;v=4" TargetMode="External"/><Relationship Id="rId47" Type="http://schemas.openxmlformats.org/officeDocument/2006/relationships/hyperlink" Target="https://www.mosti.gov.my/wp-content/uploads/repository/penerbitan/2023/HIDROGEN%20ECONOMY%20&amp;%20TECHNOLOGY%20ROADMAP.pdf" TargetMode="External"/><Relationship Id="rId50" Type="http://schemas.openxmlformats.org/officeDocument/2006/relationships/hyperlink" Target="https://www.recursosyenergia.gob.ec/ecuador-presento-la-hoja-de-ruta-y-la-estrategia-para-la-produccion-de-hidrogeno-verde/" TargetMode="External"/><Relationship Id="rId55" Type="http://schemas.openxmlformats.org/officeDocument/2006/relationships/hyperlink" Target="https://www.bmwk.de/Redaktion/DE/Downloads/W/wasserstoffbeschleunigungsgesetz.pdf?__blob=publicationFile&amp;v=2" TargetMode="External"/><Relationship Id="rId63" Type="http://schemas.openxmlformats.org/officeDocument/2006/relationships/hyperlink" Target="https://thuvienphapluat.vn/van-ban/Tai-nguyen-Moi-truong/Quyet-dinh-165-QD-TTg-2024-Chien-luoc-phat-trien-nang-luong-hydrogen-Viet-Nam-den-2030-tam-nhin-2050-598438.aspx" TargetMode="External"/><Relationship Id="rId68" Type="http://schemas.openxmlformats.org/officeDocument/2006/relationships/hyperlink" Target="https://www.energiemines.gov.tn/fileadmin/docs-u1/Re%CC%81sume%CC%81_stratei%CC%80gie_nationale_MIME-WEB.pdf" TargetMode="External"/><Relationship Id="rId76" Type="http://schemas.openxmlformats.org/officeDocument/2006/relationships/hyperlink" Target="https://legalacts.egov.kz/npa/view?id=15028374" TargetMode="External"/><Relationship Id="rId7" Type="http://schemas.openxmlformats.org/officeDocument/2006/relationships/hyperlink" Target="https://www.government.nl/documents/publications/2020/04/06/government-strategy-on-hydrogen" TargetMode="External"/><Relationship Id="rId71" Type="http://schemas.openxmlformats.org/officeDocument/2006/relationships/hyperlink" Target="https://www.economie.gouv.fr/files/2025-04/strategie_nationale_hydrogene_decarbone_2025.pdf" TargetMode="External"/><Relationship Id="rId2" Type="http://schemas.openxmlformats.org/officeDocument/2006/relationships/hyperlink" Target="https://minenergia.gov.co/documents/10192/24309272/Hoja+de+Ruta+del+Hidrogeno+Colombia.pdf" TargetMode="External"/><Relationship Id="rId16" Type="http://schemas.openxmlformats.org/officeDocument/2006/relationships/hyperlink" Target="https://www.energy.gov/sites/default/files/2014/03/f8/national_h2_roadmap.pdf" TargetMode="External"/><Relationship Id="rId29" Type="http://schemas.openxmlformats.org/officeDocument/2006/relationships/hyperlink" Target="https://www.ssme.gov.py/vmme/pdf/H2/DIGITAL_ENG_H2_Marco_Conceptual.pdf" TargetMode="External"/><Relationship Id="rId11" Type="http://schemas.openxmlformats.org/officeDocument/2006/relationships/hyperlink" Target="https://www.mpo.cz/assets/cz/rozcestnik/pro-media/tiskove-zpravy/2021/8/Vodikova-strategie_CZ_G_2021-26-07.pdf" TargetMode="External"/><Relationship Id="rId24" Type="http://schemas.openxmlformats.org/officeDocument/2006/relationships/hyperlink" Target="https://policy.asiapacificenergy.org/sites/default/files/abridged-nherm.pdf" TargetMode="External"/><Relationship Id="rId32" Type="http://schemas.openxmlformats.org/officeDocument/2006/relationships/hyperlink" Target="https://www.regjeringen.no/contentassets/40026db2148e41eda8e3792d259efb6b/y-0127e.pdf" TargetMode="External"/><Relationship Id="rId37" Type="http://schemas.openxmlformats.org/officeDocument/2006/relationships/hyperlink" Target="https://www.energimyndigheten.se/remissvar-och-uppdrag/?query=F%C3%B6rslag+till+Strategi%E2%80%9D+och+Underlagsrapport+till+v%C3%A4tgasstrategin&amp;cat=1&amp;year=&amp;recipient=" TargetMode="External"/><Relationship Id="rId40" Type="http://schemas.openxmlformats.org/officeDocument/2006/relationships/hyperlink" Target="https://www.gacetaoficial.gob.pa/pdfTemp/29771_B/98196.pdf" TargetMode="External"/><Relationship Id="rId45" Type="http://schemas.openxmlformats.org/officeDocument/2006/relationships/hyperlink" Target="https://www.gov.br/mme/pt-br/assuntos/noticias/PlanodeTrabalhoTrienalPNH2.pdf" TargetMode="External"/><Relationship Id="rId53" Type="http://schemas.openxmlformats.org/officeDocument/2006/relationships/hyperlink" Target="https://www.gub.uy/ministerio-industria-energia-mineria/sites/ministerio-industria-energia-mineria/files/documentos/noticias/H2_final_14jul22_digital.pdf" TargetMode="External"/><Relationship Id="rId58" Type="http://schemas.openxmlformats.org/officeDocument/2006/relationships/hyperlink" Target="https://www.bmwk.de/Redaktion/DE/Pressemitteilungen/2024/07/20240724-importstrategie-wasserstoff.html" TargetMode="External"/><Relationship Id="rId66" Type="http://schemas.openxmlformats.org/officeDocument/2006/relationships/hyperlink" Target="https://www.kefm.dk/Media/638478420542283365/%C3%98konomiske%20rammevilk%C3%A5r%20for%20brintinfrastruktur%20-2.%20delaftale%20om%20r%C3%B8rbunden%20brintinfrastruktur_april%202024.pdf" TargetMode="External"/><Relationship Id="rId74" Type="http://schemas.openxmlformats.org/officeDocument/2006/relationships/hyperlink" Target="https://climatecompatiblegrowth.com/wp-content/uploads/Report-Final-Draft_Signed-01-1.pdf" TargetMode="External"/><Relationship Id="rId5" Type="http://schemas.openxmlformats.org/officeDocument/2006/relationships/hyperlink" Target="https://www.mbie.govt.nz/assets/a-vision-for-hydrogen-in-new-zealand-green-paper.pdf" TargetMode="External"/><Relationship Id="rId15" Type="http://schemas.openxmlformats.org/officeDocument/2006/relationships/hyperlink" Target="https://www.hydrogen.energy.gov/pdfs/hydrogen-program-plan-2020.pdf" TargetMode="External"/><Relationship Id="rId23" Type="http://schemas.openxmlformats.org/officeDocument/2006/relationships/hyperlink" Target="https://www.mise.gov.it/images/stories/documenti/Strategia_Nazionale_Idrogeno_Linee_guida_preliminari_nov20.pdf" TargetMode="External"/><Relationship Id="rId28" Type="http://schemas.openxmlformats.org/officeDocument/2006/relationships/hyperlink" Target="https://economie.fgov.be/sites/default/files/Files/Energy/View-strategy-hydrogen.pdf" TargetMode="External"/><Relationship Id="rId36" Type="http://schemas.openxmlformats.org/officeDocument/2006/relationships/hyperlink" Target="https://kefm.dk/Media/637829286469861536/Aftale;%20Udvikling%20og%20fremme%20af%20brint%20og%20gr%C3%B8nne%20br%C3%A6ndstoffer%20(Power-to-X%20strategi).pdf" TargetMode="External"/><Relationship Id="rId49" Type="http://schemas.openxmlformats.org/officeDocument/2006/relationships/hyperlink" Target="https://www.argentina.gob.ar/sites/default/files/2023/07/estrategia_nacional_de_hidrogeno_-_sae.pdf" TargetMode="External"/><Relationship Id="rId57" Type="http://schemas.openxmlformats.org/officeDocument/2006/relationships/hyperlink" Target="https://www.gub.uy/ministerio-industria-energia-mineria/sites/ministerio-industria-energia-mineria/files/documentos/noticias/H2_final-ingl%C3%A9s2020.pdf" TargetMode="External"/><Relationship Id="rId61" Type="http://schemas.openxmlformats.org/officeDocument/2006/relationships/hyperlink" Target="https://greenhydrogen.cabinet.gov.eg/static/media/pdf.6c00ad6b21bdc68bc522.pdf" TargetMode="External"/><Relationship Id="rId10" Type="http://schemas.openxmlformats.org/officeDocument/2006/relationships/hyperlink" Target="https://climate-laws.org/geographies/portugal/policies/national-hydrogen-strategy" TargetMode="External"/><Relationship Id="rId19" Type="http://schemas.openxmlformats.org/officeDocument/2006/relationships/hyperlink" Target="https://cdn.kormany.hu/uploads/document/a/a2/a2b/a2b2b7ed5179b17694659b8f050ba9648e75a0bf.pdf" TargetMode="External"/><Relationship Id="rId31" Type="http://schemas.openxmlformats.org/officeDocument/2006/relationships/hyperlink" Target="https://www.regjeringen.no/en/historical-archive/solbergs-government/Ministries/oed/press-releases/2021/vegkart-for-hydrogen-knutepunkt-og-forsking/id2860353/" TargetMode="External"/><Relationship Id="rId44" Type="http://schemas.openxmlformats.org/officeDocument/2006/relationships/hyperlink" Target="https://powermin.gov.in/sites/default/files/webform/notices/Green_Hydrogen_Policy.pdf" TargetMode="External"/><Relationship Id="rId52" Type="http://schemas.openxmlformats.org/officeDocument/2006/relationships/hyperlink" Target="https://www.gacetaoficial.gob.pa/pdfTemp/29771_B/98196.pdf" TargetMode="External"/><Relationship Id="rId60" Type="http://schemas.openxmlformats.org/officeDocument/2006/relationships/hyperlink" Target="https://www.energy.gov/eere/fuelcells/hydrogen-and-fuel-cell-technologies-office-multi-year-program-plan" TargetMode="External"/><Relationship Id="rId65" Type="http://schemas.openxmlformats.org/officeDocument/2006/relationships/hyperlink" Target="https://www.mpo.gov.cz/assets/cz/prumysl/strategicke-projekty/2024/7/Vodikova-strategie-CR-aktualizace-2024.pdf" TargetMode="External"/><Relationship Id="rId73" Type="http://schemas.openxmlformats.org/officeDocument/2006/relationships/hyperlink" Target="https://www.esdm.go.id/assets/media/content/content-peta-jalan-hidrogen-dan-amonia-nasional.pdf" TargetMode="External"/><Relationship Id="rId4" Type="http://schemas.openxmlformats.org/officeDocument/2006/relationships/hyperlink" Target="https://www.meti.go.jp/english/press/2017/pdf/1226_003b.pdf" TargetMode="External"/><Relationship Id="rId9" Type="http://schemas.openxmlformats.org/officeDocument/2006/relationships/hyperlink" Target="https://energia.gob.es/es-es/Novedades/Documents/hoja_de_ruta_del_hidrogeno.pdf" TargetMode="External"/><Relationship Id="rId14" Type="http://schemas.openxmlformats.org/officeDocument/2006/relationships/hyperlink" Target="https://energia.gob.cl/sites/default/files/national_green_hydrogen_strategy_-_chile.pdf" TargetMode="External"/><Relationship Id="rId22" Type="http://schemas.openxmlformats.org/officeDocument/2006/relationships/hyperlink" Target="https://www.now-gmbh.de/wp-content/uploads/2021/06/NWR_Aktionsplan_Wasserstoff_2021-2025.pdf" TargetMode="External"/><Relationship Id="rId27" Type="http://schemas.openxmlformats.org/officeDocument/2006/relationships/hyperlink" Target="https://www.mem.gov.ma/Lists/Lst_rapports/Attachments/36/Feuille%20de%20route%20de%20hydrog%C3%A8ne%20vert.pdf" TargetMode="External"/><Relationship Id="rId30" Type="http://schemas.openxmlformats.org/officeDocument/2006/relationships/hyperlink" Target="https://www.gov.pl/web/klimat/polska-strategia-wodorowa-do-roku-2030" TargetMode="External"/><Relationship Id="rId35" Type="http://schemas.openxmlformats.org/officeDocument/2006/relationships/hyperlink" Target="https://assets.publishing.service.gov.uk/government/uploads/system/uploads/attachment_data/file/1067408/hydrogen-investor-roadmap.pdf" TargetMode="External"/><Relationship Id="rId43" Type="http://schemas.openxmlformats.org/officeDocument/2006/relationships/hyperlink" Target="https://www.hydrogen.energy.gov/pdfs/us-national-clean-hydrogen-strategy-roadmap.pdf" TargetMode="External"/><Relationship Id="rId48" Type="http://schemas.openxmlformats.org/officeDocument/2006/relationships/hyperlink" Target="https://mnre.gov.in/img/documents/uploads/file_f-1688557917362.pdf" TargetMode="External"/><Relationship Id="rId56" Type="http://schemas.openxmlformats.org/officeDocument/2006/relationships/hyperlink" Target="https://enmin.lrv.lt/media/viesa/saugykla/2024/4/ZNrRbiZ96Hs.pdf" TargetMode="External"/><Relationship Id="rId64" Type="http://schemas.openxmlformats.org/officeDocument/2006/relationships/hyperlink" Target="https://www.dcceew.gov.au/sites/default/files/documents/national-hydrogen-strategy-2024.pdf" TargetMode="External"/><Relationship Id="rId69" Type="http://schemas.openxmlformats.org/officeDocument/2006/relationships/hyperlink" Target="https://www.admin.ch/gov/de/start/dokumentation/medienmitteilungen.msg-id-103544.html" TargetMode="External"/><Relationship Id="rId8" Type="http://schemas.openxmlformats.org/officeDocument/2006/relationships/hyperlink" Target="https://www.bmwk.de/Redaktion/EN/Publikationen/Energie/the-national-hydrogen-strategy.pdf?__blob=publicationFile&amp;v=6" TargetMode="External"/><Relationship Id="rId51" Type="http://schemas.openxmlformats.org/officeDocument/2006/relationships/hyperlink" Target="https://energycentral.com/system/files/ece/nodes/627859/kenya.pdf" TargetMode="External"/><Relationship Id="rId72" Type="http://schemas.openxmlformats.org/officeDocument/2006/relationships/hyperlink" Target="https://www.europarl.europa.eu/RegData/etudes/BRIE/2025/769495/EPRS_BRI(2025)769495_EL.pdf" TargetMode="External"/><Relationship Id="rId3" Type="http://schemas.openxmlformats.org/officeDocument/2006/relationships/hyperlink" Target="https://www.bdi.fr/wp-content/uploads/2020/03/PressKitProvisionalDraft-National-strategy-for-the-development-of-decarbonised-and-renewable-hydrogen-in-France.pdf" TargetMode="External"/><Relationship Id="rId12" Type="http://schemas.openxmlformats.org/officeDocument/2006/relationships/hyperlink" Target="https://www.businessfinland.fi/4abb35/globalassets/finnish-customers/02-build-your-network/bioeconomy--cleantech/alykas-energia/bf_national_hydrogen_roadmap_2020.pdf" TargetMode="External"/><Relationship Id="rId17" Type="http://schemas.openxmlformats.org/officeDocument/2006/relationships/hyperlink" Target="https://assets.publishing.service.gov.uk/government/uploads/system/uploads/attachment_data/file/1011283/UK-Hydrogen-Strategy_web.pdf" TargetMode="External"/><Relationship Id="rId25" Type="http://schemas.openxmlformats.org/officeDocument/2006/relationships/hyperlink" Target="http://static.government.ru/media/files/7b9bstNfV640nCkkAzCRJ9N8k7uhW8mY.pdf" TargetMode="External"/><Relationship Id="rId33" Type="http://schemas.openxmlformats.org/officeDocument/2006/relationships/hyperlink" Target="https://balkangreenenergynews.com/croatia-adopts-2050-hydrogen-strategy/" TargetMode="External"/><Relationship Id="rId38" Type="http://schemas.openxmlformats.org/officeDocument/2006/relationships/hyperlink" Target="https://publications.iadb.org/en/roadmap-green-hydrogen-economy-trinidad-and-tobago" TargetMode="External"/><Relationship Id="rId46" Type="http://schemas.openxmlformats.org/officeDocument/2006/relationships/hyperlink" Target="https://api.greenstat.no/uploads/Sri_Lanka_Roadmap_Final_5b7d4aff51.pdf?updated_at=2023-08-02T14:11:03.276Z" TargetMode="External"/><Relationship Id="rId59" Type="http://schemas.openxmlformats.org/officeDocument/2006/relationships/hyperlink" Target="https://www.moenr.gov.bt/wp-content/uploads/2017/07/National-Hydrogen-Roadmap.pdf" TargetMode="External"/><Relationship Id="rId67" Type="http://schemas.openxmlformats.org/officeDocument/2006/relationships/hyperlink" Target="https://www.government.is/library/Files/240102_URN_RoadmapForIceland_V6.pdf" TargetMode="External"/><Relationship Id="rId20" Type="http://schemas.openxmlformats.org/officeDocument/2006/relationships/hyperlink" Target="https://gouvernement.lu/dam-assets/documents/actualites/2021/09-septembre/27-turmes-hydrogene/Strategie-hydrogene-LU-fr.pdf" TargetMode="External"/><Relationship Id="rId41" Type="http://schemas.openxmlformats.org/officeDocument/2006/relationships/hyperlink" Target="https://www.meti.go.jp/shingikai/enecho/shoene_shinene/suiso_seisaku/pdf/20230606_2.pdf" TargetMode="External"/><Relationship Id="rId54" Type="http://schemas.openxmlformats.org/officeDocument/2006/relationships/hyperlink" Target="https://energia.gob.cl/sites/default/files/documentos/green-hydrogen_action-plan.pdf" TargetMode="External"/><Relationship Id="rId62" Type="http://schemas.openxmlformats.org/officeDocument/2006/relationships/hyperlink" Target="https://www.mig.government.bg/wp-content/uploads/2023/04/naczionalna-patna-karta-za-podobryavane-na-usloviyata-za-razgrasthane-na-potencziala-za-razvitie-na-vodorodnite-tehnologii-i-mehanizmite-za-proizvodstvo-i-dostavka-na-vodorod.pdf" TargetMode="External"/><Relationship Id="rId70" Type="http://schemas.openxmlformats.org/officeDocument/2006/relationships/hyperlink" Target="https://www.mhe.gob.bo/wp-content/uploads/2024/11/EstrategiaHidrogenoLW.pdf" TargetMode="External"/><Relationship Id="rId75" Type="http://schemas.openxmlformats.org/officeDocument/2006/relationships/hyperlink" Target="https://enerjiportali.az/wp-content/uploads/2025/02/Azerbaijan-National-Hydrogen-Strategic-Outlook-Rev_14.02.2025.pdf" TargetMode="External"/><Relationship Id="rId1" Type="http://schemas.openxmlformats.org/officeDocument/2006/relationships/hyperlink" Target="https://www.economy.gov.sk/top/slovensko-ma-vlastnu-narodnu-vodikovu-strategiu" TargetMode="External"/><Relationship Id="rId6" Type="http://schemas.openxmlformats.org/officeDocument/2006/relationships/hyperlink" Target="https://www.industry.gov.au/sites/default/files/2019-11/australias-national-hydrogen-strategy.pdf"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j.guiyang.gov.cn/swj2020gb/zwgk/zfxxgk_5666523/fdzdgknr_5666526/fggw_5666532/zcwj/202108/t20210820_69685105.html" TargetMode="External"/><Relationship Id="rId299" Type="http://schemas.openxmlformats.org/officeDocument/2006/relationships/hyperlink" Target="https://drc.haikou.gov.cn/xxxgk/fdzdgknr/gwztc/202403/t1351108.shtml" TargetMode="External"/><Relationship Id="rId21" Type="http://schemas.openxmlformats.org/officeDocument/2006/relationships/hyperlink" Target="http://nyj.nmg.gov.cn/zwgk/zfxxgkzl/fdzdgknr/tzgg_16482/tz_16483/202202/t20220228_2010712.html" TargetMode="External"/><Relationship Id="rId63" Type="http://schemas.openxmlformats.org/officeDocument/2006/relationships/hyperlink" Target="http://www.jiaxing.gov.cn/art/2021/12/17/art_1228922755_59498808.html" TargetMode="External"/><Relationship Id="rId159" Type="http://schemas.openxmlformats.org/officeDocument/2006/relationships/hyperlink" Target="http://jxj.beijing.gov.cn/jxdt/tzgg/202205/t20220506_2702208.html" TargetMode="External"/><Relationship Id="rId324" Type="http://schemas.openxmlformats.org/officeDocument/2006/relationships/hyperlink" Target="https://jxj.gzz.gov.cn/gsgg1/article/643229" TargetMode="External"/><Relationship Id="rId366" Type="http://schemas.openxmlformats.org/officeDocument/2006/relationships/hyperlink" Target="https://www.deyang.gov.cn/gk/zfxxgk/fdnr/zfwjjjd/fzfbgswj/dbf/1904592.htm" TargetMode="External"/><Relationship Id="rId170" Type="http://schemas.openxmlformats.org/officeDocument/2006/relationships/hyperlink" Target="https://www.zjg.gov.cn/zjgszwz/fgw_tzgg/202208/1a8dae76f42248578fee64b5552a350b.shtml" TargetMode="External"/><Relationship Id="rId226" Type="http://schemas.openxmlformats.org/officeDocument/2006/relationships/hyperlink" Target="https://fzggw.jiangsu.gov.cn/art/2024/5/10/art_50999_11242966.html" TargetMode="External"/><Relationship Id="rId433" Type="http://schemas.openxmlformats.org/officeDocument/2006/relationships/hyperlink" Target="http://drc.changchun.gov.cn/fzgg/nyfz/202604/t20260407_3478948.html" TargetMode="External"/><Relationship Id="rId268" Type="http://schemas.openxmlformats.org/officeDocument/2006/relationships/hyperlink" Target="http://www.lvliang.gov.cn/llxxgk/zfxxgk/xxgkml/zcwj_21555/202408/t20240819_1890090.html" TargetMode="External"/><Relationship Id="rId32" Type="http://schemas.openxmlformats.org/officeDocument/2006/relationships/hyperlink" Target="http://www.sheitc.sh.gov.cn/jsjb/20201113/031ead03326b424e9bc9f83354b944ee.html" TargetMode="External"/><Relationship Id="rId74" Type="http://schemas.openxmlformats.org/officeDocument/2006/relationships/hyperlink" Target="http://www.fuzhou.gov.cn/zgfzzt/sjxw/fzjx/hqzc/202101/t20210112_3950106.htm" TargetMode="External"/><Relationship Id="rId128" Type="http://schemas.openxmlformats.org/officeDocument/2006/relationships/hyperlink" Target="http://www.lvliang.gov.cn/llxxgk/zfxxgk/xxgkml/bgtwj/202204/t20220425_1644508.html" TargetMode="External"/><Relationship Id="rId335" Type="http://schemas.openxmlformats.org/officeDocument/2006/relationships/hyperlink" Target="https://www.hbdaye.gov.cn/zfxxgk/dfbmptlj/szbm/dysyjgljjgsz/zc_16728/gfxwj_19949/202409/P020240913313588481782.pdf" TargetMode="External"/><Relationship Id="rId377" Type="http://schemas.openxmlformats.org/officeDocument/2006/relationships/hyperlink" Target="https://www.nea.gov.cn/20250905/f149cae889684f6db56df6614fb68c48/c.html" TargetMode="External"/><Relationship Id="rId5" Type="http://schemas.openxmlformats.org/officeDocument/2006/relationships/hyperlink" Target="http://www.bjchp.gov.cn/cpqzf/315734/tzgg27/cp5464001/index.html" TargetMode="External"/><Relationship Id="rId181" Type="http://schemas.openxmlformats.org/officeDocument/2006/relationships/hyperlink" Target="http://www.hp.gov.cn/gzjg/qzfgwhgzbm/qfzhggj/tzgg/content/post_8141873.html" TargetMode="External"/><Relationship Id="rId237" Type="http://schemas.openxmlformats.org/officeDocument/2006/relationships/hyperlink" Target="https://www.xjsy.gov.cn/zwgk/zdlyxxgk/zdjcygk/20240527/i1045162.html" TargetMode="External"/><Relationship Id="rId402" Type="http://schemas.openxmlformats.org/officeDocument/2006/relationships/hyperlink" Target="https://yjglj.wuxi.gov.cn/doc/2022/01/30/3599884.shtml" TargetMode="External"/><Relationship Id="rId279" Type="http://schemas.openxmlformats.org/officeDocument/2006/relationships/hyperlink" Target="http://www.shannan.gov.cn/xwzx/tggs/202410/t20241030_142198.html" TargetMode="External"/><Relationship Id="rId444" Type="http://schemas.openxmlformats.org/officeDocument/2006/relationships/hyperlink" Target="https://gxj.zhengzhou.gov.cn/tzgg/9340296.jhtml" TargetMode="External"/><Relationship Id="rId43" Type="http://schemas.openxmlformats.org/officeDocument/2006/relationships/hyperlink" Target="http://gxt.jiangsu.gov.cn/art/2019/8/29/art_6278_8695625.html" TargetMode="External"/><Relationship Id="rId139" Type="http://schemas.openxmlformats.org/officeDocument/2006/relationships/hyperlink" Target="http://www.gzlps.gov.cn/zwgk/zdlyxxgk/nyzy/nycy/202201/t20220120_72353909.html" TargetMode="External"/><Relationship Id="rId290" Type="http://schemas.openxmlformats.org/officeDocument/2006/relationships/hyperlink" Target="https://jxj.wuhan.gov.cn/xwzx_9/tztg/202411/t20241115_2484904.html" TargetMode="External"/><Relationship Id="rId304" Type="http://schemas.openxmlformats.org/officeDocument/2006/relationships/hyperlink" Target="https://iitb.hainan.gov.cn/iitb/bmwjjj/202407/47ac39c45dbe4727bfc852c9b0daf857.shtml" TargetMode="External"/><Relationship Id="rId346" Type="http://schemas.openxmlformats.org/officeDocument/2006/relationships/hyperlink" Target="https://fgw.fujian.gov.cn/zfxxgkzl/zfxxgkml/ghjh/202506/t20250618_6928549.htm" TargetMode="External"/><Relationship Id="rId388" Type="http://schemas.openxmlformats.org/officeDocument/2006/relationships/hyperlink" Target="https://cqjlp.gov.cn/bmjz/qzfbm_97119/qjjxxw_97715/zwxx_97121/dt/202503/t20250301_14359595.html" TargetMode="External"/><Relationship Id="rId85" Type="http://schemas.openxmlformats.org/officeDocument/2006/relationships/hyperlink" Target="http://www.jining.gov.cn/art/2019/11/18/art_33389_2409157.html" TargetMode="External"/><Relationship Id="rId150" Type="http://schemas.openxmlformats.org/officeDocument/2006/relationships/hyperlink" Target="http://cgj.panzhihua.gov.cn/zwgk/tzgg/4221006.shtml" TargetMode="External"/><Relationship Id="rId192" Type="http://schemas.openxmlformats.org/officeDocument/2006/relationships/hyperlink" Target="https://pc.dl.gov.cn/art/2021/5/25/art_2480_655261.html" TargetMode="External"/><Relationship Id="rId206" Type="http://schemas.openxmlformats.org/officeDocument/2006/relationships/hyperlink" Target="https://www.bjdx.gov.cn/bjsdxqrmzf/zwfw/tzgg/2138848/index.html" TargetMode="External"/><Relationship Id="rId413" Type="http://schemas.openxmlformats.org/officeDocument/2006/relationships/hyperlink" Target="https://zfcxjw.cq.gov.cn/zwxx_166/gsgg/202511/t20251121_15179818.html" TargetMode="External"/><Relationship Id="rId248" Type="http://schemas.openxmlformats.org/officeDocument/2006/relationships/hyperlink" Target="https://www.hp.gov.cn/gzjg/qzfgwhgzbm/qfzhggj/tzgg/content/post_9762135.html" TargetMode="External"/><Relationship Id="rId12" Type="http://schemas.openxmlformats.org/officeDocument/2006/relationships/hyperlink" Target="http://fgw.baoding.gov.cn/content-1008-47687.html" TargetMode="External"/><Relationship Id="rId33" Type="http://schemas.openxmlformats.org/officeDocument/2006/relationships/hyperlink" Target="http://zjw.sh.gov.cn/gsgg/20210207/890ef123de244d399fdd921ebfbdcaf6.html" TargetMode="External"/><Relationship Id="rId108" Type="http://schemas.openxmlformats.org/officeDocument/2006/relationships/hyperlink" Target="http://www.maoming.gov.cn/hdjlpt/yjzj/answer/3433" TargetMode="External"/><Relationship Id="rId129" Type="http://schemas.openxmlformats.org/officeDocument/2006/relationships/hyperlink" Target="https://js.dl.gov.cn/art/2021/2/18/art_4985_1439724.html?xxgkhide=1" TargetMode="External"/><Relationship Id="rId280" Type="http://schemas.openxmlformats.org/officeDocument/2006/relationships/hyperlink" Target="https://cdjx.chengdu.gov.cn/cdsjxw/c132946/2024-11/01/content_91cc9be1135643aa9dde416aca3e5b0b.shtml" TargetMode="External"/><Relationship Id="rId315" Type="http://schemas.openxmlformats.org/officeDocument/2006/relationships/hyperlink" Target="https://mp.weixin.qq.com/s?__biz=MzI4MjI3NTMzOQ==&amp;mid=2247624558&amp;idx=1&amp;sn=1711244c6073230a4a3f6384ec433e88&amp;chksm=eaf090b5317c07a33b96a9c8394399652768308cd108806d2d0f57e68a01e267c47b307a7e7b&amp;scene=27" TargetMode="External"/><Relationship Id="rId336" Type="http://schemas.openxmlformats.org/officeDocument/2006/relationships/hyperlink" Target="http://www.mengzhou.gov.cn/sitesources/mzsrmzf/page_pc/zfxxgk/zc/qtwj/mzb/articlec5439054a4834a53836980a604c8fb58.html" TargetMode="External"/><Relationship Id="rId357" Type="http://schemas.openxmlformats.org/officeDocument/2006/relationships/hyperlink" Target="https://fgw.sc.gov.cn/sfgw/tzgg/2025/6/19/fc5a62a857b343e6a8fba14d6ce091a7.shtml" TargetMode="External"/><Relationship Id="rId54" Type="http://schemas.openxmlformats.org/officeDocument/2006/relationships/hyperlink" Target="http://www.zjg.gov.cn/zjg/c100038/202010/bd62ce277da1443da663bf5c1b093e2d.shtml" TargetMode="External"/><Relationship Id="rId75" Type="http://schemas.openxmlformats.org/officeDocument/2006/relationships/hyperlink" Target="http://www.fuzhou.gov.cn/zgfzzt/sajj/fzaj/zwgk_35707/zcfg/202011/t20201120_3653776.htm" TargetMode="External"/><Relationship Id="rId96" Type="http://schemas.openxmlformats.org/officeDocument/2006/relationships/hyperlink" Target="http://www.yueyang.gov.cn/fgw/10017/content_1759484.html" TargetMode="External"/><Relationship Id="rId140" Type="http://schemas.openxmlformats.org/officeDocument/2006/relationships/hyperlink" Target="https://fgw.sh.gov.cn/fgw_gjscy/20220617/f380fb95c7c54778a0ef1c4a4e67d0ea.html" TargetMode="External"/><Relationship Id="rId161" Type="http://schemas.openxmlformats.org/officeDocument/2006/relationships/hyperlink" Target="http://public.zhengzhou.gov.cn/D0104X/6597052.jhtml" TargetMode="External"/><Relationship Id="rId182" Type="http://schemas.openxmlformats.org/officeDocument/2006/relationships/hyperlink" Target="http://www.hp.gov.cn/gzjg/qzfgwhgzbm/qfzhggj/tzgg/content/post_8547355.html" TargetMode="External"/><Relationship Id="rId217" Type="http://schemas.openxmlformats.org/officeDocument/2006/relationships/hyperlink" Target="https://jxj.beijing.gov.cn/jxdt/tzgg/202404/t20240416_3619890.html" TargetMode="External"/><Relationship Id="rId378" Type="http://schemas.openxmlformats.org/officeDocument/2006/relationships/hyperlink" Target="https://gxj.wuxi.gov.cn/doc/2025/09/01/4640095.shtml" TargetMode="External"/><Relationship Id="rId399" Type="http://schemas.openxmlformats.org/officeDocument/2006/relationships/hyperlink" Target="http://jxj.panzhihua.gov.cn/zfxxgk/tzgg/10241770.shtml" TargetMode="External"/><Relationship Id="rId403" Type="http://schemas.openxmlformats.org/officeDocument/2006/relationships/hyperlink" Target="https://jxt.sc.gov.cn/scjxt/ggtz/2025/10/17/a87816ba338a4ff9a702f0e3bbad623e.shtml" TargetMode="External"/><Relationship Id="rId6" Type="http://schemas.openxmlformats.org/officeDocument/2006/relationships/hyperlink" Target="http://www.tjrd.gov.cn/tjfq/system/2020/02/02/030015109.shtml" TargetMode="External"/><Relationship Id="rId238" Type="http://schemas.openxmlformats.org/officeDocument/2006/relationships/hyperlink" Target="https://mp.weixin.qq.com/s/Ajr_OzxVtw2p1hOnSXcQ0w" TargetMode="External"/><Relationship Id="rId259" Type="http://schemas.openxmlformats.org/officeDocument/2006/relationships/hyperlink" Target="https://csglw.beijing.gov.cn/zwxx/2024zcwj/202408/t20240808_3769370.html" TargetMode="External"/><Relationship Id="rId424" Type="http://schemas.openxmlformats.org/officeDocument/2006/relationships/hyperlink" Target="https://dpc.xm.gov.cn/gzcy/yjzj/202512/t20251229_2974440.htm" TargetMode="External"/><Relationship Id="rId23" Type="http://schemas.openxmlformats.org/officeDocument/2006/relationships/hyperlink" Target="http://fgw.wuhai.gov.cn/fgw/507589/507595/790679/index.html" TargetMode="External"/><Relationship Id="rId119" Type="http://schemas.openxmlformats.org/officeDocument/2006/relationships/hyperlink" Target="http://www.changshu.gov.cn/zgcs/c108192/202203/2be1e099580c40b1a25cd84129e17c1f.shtml" TargetMode="External"/><Relationship Id="rId270" Type="http://schemas.openxmlformats.org/officeDocument/2006/relationships/hyperlink" Target="http://js.binzhou.gov.cn/art/2024/5/22/art_120640_10312439.html" TargetMode="External"/><Relationship Id="rId291" Type="http://schemas.openxmlformats.org/officeDocument/2006/relationships/hyperlink" Target="https://nyj.nmg.gov.cn/zwgk/zfxxgkzl/fdzdgknr/tzgg_16482/tz_16483/202411/t20241126_2614726.html" TargetMode="External"/><Relationship Id="rId305" Type="http://schemas.openxmlformats.org/officeDocument/2006/relationships/hyperlink" Target="https://iitb.hainan.gov.cn/iitb/xnyqcfa/202411/e50abafbbfcd415dbb2e828d1bb73b75.shtml" TargetMode="External"/><Relationship Id="rId326" Type="http://schemas.openxmlformats.org/officeDocument/2006/relationships/hyperlink" Target="https://www.nanchong.gov.cn/zwgk/zc/xzgfxwj/t_2127798.html" TargetMode="External"/><Relationship Id="rId347" Type="http://schemas.openxmlformats.org/officeDocument/2006/relationships/hyperlink" Target="https://gxt.hunan.gov.cn/gxt/xxgk_71033/gsgg01/202506/t20250619_33714895.html" TargetMode="External"/><Relationship Id="rId44" Type="http://schemas.openxmlformats.org/officeDocument/2006/relationships/hyperlink" Target="http://fg.suzhou.gov.cn/szfgw/ggl/201803/82ff24d4aa8e4be4b3c5de60e7570cda.shtml" TargetMode="External"/><Relationship Id="rId65" Type="http://schemas.openxmlformats.org/officeDocument/2006/relationships/hyperlink" Target="http://www.jiashan.gov.cn/art/2020/4/7/art_1229203785_1806460.html" TargetMode="External"/><Relationship Id="rId86" Type="http://schemas.openxmlformats.org/officeDocument/2006/relationships/hyperlink" Target="http://www.taian.gov.cn/art/2021/1/5/art_119974_10270643.html" TargetMode="External"/><Relationship Id="rId130" Type="http://schemas.openxmlformats.org/officeDocument/2006/relationships/hyperlink" Target="http://www.jiading.gov.cn/jingwei/publicity/fdzdgknr/zfwj/gbmwj/130338" TargetMode="External"/><Relationship Id="rId151" Type="http://schemas.openxmlformats.org/officeDocument/2006/relationships/hyperlink" Target="http://www.weifang.gov.cn/162/55329/1540133094714118144.html" TargetMode="External"/><Relationship Id="rId368" Type="http://schemas.openxmlformats.org/officeDocument/2006/relationships/hyperlink" Target="https://www.jiujiang.gov.cn/xxgk/xzwgk/jcgk/zcwj/szfbgswj/202508/t20250818_6995564.html" TargetMode="External"/><Relationship Id="rId389" Type="http://schemas.openxmlformats.org/officeDocument/2006/relationships/hyperlink" Target="https://cqjlp.gov.cn/bmjz/qzfbm_97119/qjjxxw_97715/zwxx_97121/dt/202503/t20250301_14359612.html" TargetMode="External"/><Relationship Id="rId172" Type="http://schemas.openxmlformats.org/officeDocument/2006/relationships/hyperlink" Target="http://fgw.shanxi.gov.cn/tzgg/202208/t20220823_6989633.shtml" TargetMode="External"/><Relationship Id="rId193" Type="http://schemas.openxmlformats.org/officeDocument/2006/relationships/hyperlink" Target="https://www.shqp.gov.cn/shqp/zwgk/zxgk/20211202/902934.html" TargetMode="External"/><Relationship Id="rId207" Type="http://schemas.openxmlformats.org/officeDocument/2006/relationships/hyperlink" Target="https://www.shqp.gov.cn/shqp/zwgk/zfwj/qfb/20201203/807141.html" TargetMode="External"/><Relationship Id="rId228" Type="http://schemas.openxmlformats.org/officeDocument/2006/relationships/hyperlink" Target="https://www.foshan.gov.cn/gfxwj/qjgfxwj/nhq/nhqzfgfxwj/nhqrmzfbgs/content/post_5920946.html" TargetMode="External"/><Relationship Id="rId249" Type="http://schemas.openxmlformats.org/officeDocument/2006/relationships/hyperlink" Target="https://cdjx.chengdu.gov.cn/cdsjxw/c132806/2024-07/17/content_2d31b9b6f63e464084b1a962f23b6f04.shtml" TargetMode="External"/><Relationship Id="rId414" Type="http://schemas.openxmlformats.org/officeDocument/2006/relationships/hyperlink" Target="https://fgw.gz.gov.cn/tzgg/content/post_10575998.html" TargetMode="External"/><Relationship Id="rId435" Type="http://schemas.openxmlformats.org/officeDocument/2006/relationships/hyperlink" Target="https://www.shz.gov.cn/xwzx/002002/20260410/4560acbc-fcf7-46db-bc32-d3840d3214db.html" TargetMode="External"/><Relationship Id="rId13" Type="http://schemas.openxmlformats.org/officeDocument/2006/relationships/hyperlink" Target="http://dzs.gov.cn/col/1626943649198/2021/07/23/1627004109613.html" TargetMode="External"/><Relationship Id="rId109" Type="http://schemas.openxmlformats.org/officeDocument/2006/relationships/hyperlink" Target="http://zjt.hainan.gov.cn/szjt/0402/202102/6113ce3c7f6d492f93536068b1dbae95.shtml" TargetMode="External"/><Relationship Id="rId260" Type="http://schemas.openxmlformats.org/officeDocument/2006/relationships/hyperlink" Target="http://drc.jiangxi.gov.cn/art/2024/8/9/art_14590_4977904.html" TargetMode="External"/><Relationship Id="rId281" Type="http://schemas.openxmlformats.org/officeDocument/2006/relationships/hyperlink" Target="https://www.sc.gov.cn/10462/zfwjts/2024/11/6/9e09ce2bcb2c4474bdf93be512a251e8.shtml" TargetMode="External"/><Relationship Id="rId316" Type="http://schemas.openxmlformats.org/officeDocument/2006/relationships/hyperlink" Target="https://fzggw.jiangsu.gov.cn/art/2025/2/19/art_84097_11495748.html" TargetMode="External"/><Relationship Id="rId337" Type="http://schemas.openxmlformats.org/officeDocument/2006/relationships/hyperlink" Target="https://www.bjchp.gov.cn/cpqzf/315734/tzgg27/2025051315014925168/index.html" TargetMode="External"/><Relationship Id="rId34" Type="http://schemas.openxmlformats.org/officeDocument/2006/relationships/hyperlink" Target="http://sheitc.sh.gov.cn/cyfz/20211208/b78c3f9e2e6c4187b0294215b91823b7.html" TargetMode="External"/><Relationship Id="rId55" Type="http://schemas.openxmlformats.org/officeDocument/2006/relationships/hyperlink" Target="http://www.zjg.gov.cn/zjg/c100039/202111/cde996c9398e4b7e9c1a784adbc658bb.shtml" TargetMode="External"/><Relationship Id="rId76" Type="http://schemas.openxmlformats.org/officeDocument/2006/relationships/hyperlink" Target="http://www.shandong.gov.cn/art/2020/6/24/art_107851_107610.html" TargetMode="External"/><Relationship Id="rId97" Type="http://schemas.openxmlformats.org/officeDocument/2006/relationships/hyperlink" Target="http://www.yueyang.gov.cn/gfxwj/20052/content_1790034.html" TargetMode="External"/><Relationship Id="rId120" Type="http://schemas.openxmlformats.org/officeDocument/2006/relationships/hyperlink" Target="http://www.wuhan.gov.cn/zwgk/xxgk/zfwj/gfxwj/202203/t20220331_1948213.shtml" TargetMode="External"/><Relationship Id="rId141" Type="http://schemas.openxmlformats.org/officeDocument/2006/relationships/hyperlink" Target="http://www.ordos.gov.cn/gk_128120/zfxxgkzl/rmzfgb_130195/2022_22/2022_05/zfwj_22_1/202206/t20220621_3232767.html" TargetMode="External"/><Relationship Id="rId358" Type="http://schemas.openxmlformats.org/officeDocument/2006/relationships/hyperlink" Target="https://nyj.yn.gov.cn/nyj_file/html/ynnygg/2025/0625/000004.html" TargetMode="External"/><Relationship Id="rId379" Type="http://schemas.openxmlformats.org/officeDocument/2006/relationships/hyperlink" Target="https://gxj.wuxi.gov.cn/doc/2025/05/22/4585915.shtml" TargetMode="External"/><Relationship Id="rId7" Type="http://schemas.openxmlformats.org/officeDocument/2006/relationships/hyperlink" Target="https://www.tjftz.gov.cn/contents/6023/317534.html" TargetMode="External"/><Relationship Id="rId162" Type="http://schemas.openxmlformats.org/officeDocument/2006/relationships/hyperlink" Target="http://fgw.ln.gov.cn/zc/zxzc/202208/P020220805803985630589.pdf" TargetMode="External"/><Relationship Id="rId183" Type="http://schemas.openxmlformats.org/officeDocument/2006/relationships/hyperlink" Target="http://hbdrc.hebei.gov.cn/web/web/xxgkndjh/2c9473847338191901735692baf05ab8.htm" TargetMode="External"/><Relationship Id="rId218" Type="http://schemas.openxmlformats.org/officeDocument/2006/relationships/hyperlink" Target="http://www.xjyl.gov.cn/xjylz/c112795/202404/3a01a3cef71f443d820f0b18dbfed293.shtml" TargetMode="External"/><Relationship Id="rId239" Type="http://schemas.openxmlformats.org/officeDocument/2006/relationships/hyperlink" Target="https://jxj.wuhan.gov.cn/xwzx_9/tztg/202406/t20240620_2418604.html" TargetMode="External"/><Relationship Id="rId390" Type="http://schemas.openxmlformats.org/officeDocument/2006/relationships/hyperlink" Target="https://jtt.hunan.gov.cn/jtt/xxgk/zwgg/202509/t20250922_33809396.html" TargetMode="External"/><Relationship Id="rId404" Type="http://schemas.openxmlformats.org/officeDocument/2006/relationships/hyperlink" Target="https://www.jiaxing.gov.cn/art/2025/10/16/art_1556478_59668444.html" TargetMode="External"/><Relationship Id="rId425" Type="http://schemas.openxmlformats.org/officeDocument/2006/relationships/hyperlink" Target="https://weda.wuhu.gov.cn/zwgk/tzgg/18520457.html" TargetMode="External"/><Relationship Id="rId250" Type="http://schemas.openxmlformats.org/officeDocument/2006/relationships/hyperlink" Target="http://kjt.jl.gov.cn/xwzx/tztg/202407/t20240716_8934640.html" TargetMode="External"/><Relationship Id="rId271" Type="http://schemas.openxmlformats.org/officeDocument/2006/relationships/hyperlink" Target="https://www.jiaxing.gov.cn/art/2024/9/24/art_1229426374_2529973.html" TargetMode="External"/><Relationship Id="rId292" Type="http://schemas.openxmlformats.org/officeDocument/2006/relationships/hyperlink" Target="http://www.gaoqing.gov.cn/gongkai/site_gqxrmzfbgs/channel_c_5f9f6c84b9dfe9bfb0a8c85b_5fb3be98ca6492588cbb9947/doc_66c0579ca671cb1cd04b3abe.html" TargetMode="External"/><Relationship Id="rId306" Type="http://schemas.openxmlformats.org/officeDocument/2006/relationships/hyperlink" Target="https://jxj.beijing.gov.cn/zwgk/2024zcwj/202412/t20241217_3968075.html" TargetMode="External"/><Relationship Id="rId24" Type="http://schemas.openxmlformats.org/officeDocument/2006/relationships/hyperlink" Target="http://fgw.wuhai.gov.cn/fgw/zfxxgk83/fdzdgknr47/840037/846868/index.html" TargetMode="External"/><Relationship Id="rId45" Type="http://schemas.openxmlformats.org/officeDocument/2006/relationships/hyperlink" Target="http://www.suzhou.gov.cn/szsrmzf/zfwj/202108/2a0da9127d5b40e1a895e2d529392e6c.shtml" TargetMode="External"/><Relationship Id="rId66" Type="http://schemas.openxmlformats.org/officeDocument/2006/relationships/hyperlink" Target="http://www.jiashan.gov.cn/art/2020/11/13/art_1229203785_2147915.html" TargetMode="External"/><Relationship Id="rId87" Type="http://schemas.openxmlformats.org/officeDocument/2006/relationships/hyperlink" Target="http://www.zibo.gov.cn/gongkai/site_srmzfbgs/channel_shifubanwenjian/doc_614d38da8bc4f553576c1855.html" TargetMode="External"/><Relationship Id="rId110" Type="http://schemas.openxmlformats.org/officeDocument/2006/relationships/hyperlink" Target="https://jxt.sc.gov.cn/scjxt/wjfb/2020/9/21/12979ab0d1cf41b18489d7d9559e4abf.shtml" TargetMode="External"/><Relationship Id="rId131" Type="http://schemas.openxmlformats.org/officeDocument/2006/relationships/hyperlink" Target="http://fszj.foshan.gov.cn/zmhd/yjzj/content/post_788905.html" TargetMode="External"/><Relationship Id="rId327" Type="http://schemas.openxmlformats.org/officeDocument/2006/relationships/hyperlink" Target="https://jst.zj.gov.cn/art/2025/3/24/art_1229741646_58937720.html" TargetMode="External"/><Relationship Id="rId348" Type="http://schemas.openxmlformats.org/officeDocument/2006/relationships/hyperlink" Target="https://fgw.beijing.gov.cn/gzdt/tztg/202506/t20250616_4114322.htm" TargetMode="External"/><Relationship Id="rId369" Type="http://schemas.openxmlformats.org/officeDocument/2006/relationships/hyperlink" Target="https://gxj.zhengzhou.gov.cn/tzgg/9551439.jhtml" TargetMode="External"/><Relationship Id="rId152" Type="http://schemas.openxmlformats.org/officeDocument/2006/relationships/hyperlink" Target="http://www.whkfq.gov.cn/xxgk/zc/qtzdgk/gwhqzf/202001/t20200119_898549.html" TargetMode="External"/><Relationship Id="rId173" Type="http://schemas.openxmlformats.org/officeDocument/2006/relationships/hyperlink" Target="https://stcsm.sh.gov.cn/zwgk/kjzc/zcwj/kwzcxwj/20180521/0016-147896.html" TargetMode="External"/><Relationship Id="rId194" Type="http://schemas.openxmlformats.org/officeDocument/2006/relationships/hyperlink" Target="http://fgw.gz.gov.cn/tzgg/content/post_8576930.html" TargetMode="External"/><Relationship Id="rId208" Type="http://schemas.openxmlformats.org/officeDocument/2006/relationships/hyperlink" Target="https://yjgl.jiuquan.gov.cn/yjglj/c107014/202308/9924099156de4e1185e97917df81b489.shtml" TargetMode="External"/><Relationship Id="rId229" Type="http://schemas.openxmlformats.org/officeDocument/2006/relationships/hyperlink" Target="https://cdjx.chengdu.gov.cn/cdsjxw/c132806/2024-05/21/content_e88609c99c084be8b835fd3d681e8563.shtml" TargetMode="External"/><Relationship Id="rId380" Type="http://schemas.openxmlformats.org/officeDocument/2006/relationships/hyperlink" Target="https://gxj.wuxi.gov.cn/doc/2024/12/16/4458701.shtml" TargetMode="External"/><Relationship Id="rId415" Type="http://schemas.openxmlformats.org/officeDocument/2006/relationships/hyperlink" Target="https://www.nea.gov.cn/20251205/8b311a8f290c4573aa9af6eb1537be80/c.html" TargetMode="External"/><Relationship Id="rId436" Type="http://schemas.openxmlformats.org/officeDocument/2006/relationships/hyperlink" Target="https://iitb.hainan.gov.cn/iitb/xnyqcfa/202604/8d1f2301280349418efb2f5537f6b469.shtml?ddtab=true" TargetMode="External"/><Relationship Id="rId240" Type="http://schemas.openxmlformats.org/officeDocument/2006/relationships/hyperlink" Target="http://www.tchuan.gov.cn/news-show-17398.html" TargetMode="External"/><Relationship Id="rId261" Type="http://schemas.openxmlformats.org/officeDocument/2006/relationships/hyperlink" Target="http://www.suizhou.gov.cn/zwgk/xxgk/ghjh/zxgh/202308/t20230814_1133207.shtml" TargetMode="External"/><Relationship Id="rId14" Type="http://schemas.openxmlformats.org/officeDocument/2006/relationships/hyperlink" Target="http://dzs.gov.cn/col/1624587864479/2021/06/29/1624950011571.html" TargetMode="External"/><Relationship Id="rId35" Type="http://schemas.openxmlformats.org/officeDocument/2006/relationships/hyperlink" Target="http://www.jiading.gov.cn/jingwei/publicity/fdzdgknr/zfwj/gbmwj/120010" TargetMode="External"/><Relationship Id="rId56" Type="http://schemas.openxmlformats.org/officeDocument/2006/relationships/hyperlink" Target="http://www.zjtz.gov.cn/art/2019/9/10/art_1229193421_1097719.html" TargetMode="External"/><Relationship Id="rId77" Type="http://schemas.openxmlformats.org/officeDocument/2006/relationships/hyperlink" Target="http://www.jinan.gov.cn/art/2020/7/28/art_2615_4547796.html?xxgkhide=1" TargetMode="External"/><Relationship Id="rId100" Type="http://schemas.openxmlformats.org/officeDocument/2006/relationships/hyperlink" Target="http://fgw.gz.gov.cn/gkmlpt/content/6/6477/post_6477212.html" TargetMode="External"/><Relationship Id="rId282" Type="http://schemas.openxmlformats.org/officeDocument/2006/relationships/hyperlink" Target="https://jjxxw.cq.gov.cn/zwgk_213/gsgg/202410/t20241009_13690062.html" TargetMode="External"/><Relationship Id="rId317" Type="http://schemas.openxmlformats.org/officeDocument/2006/relationships/hyperlink" Target="https://fgw.cangzhou.gov.cn/fgw/c101688/202502/095722a35a124621b75d350818badf19.shtml" TargetMode="External"/><Relationship Id="rId338" Type="http://schemas.openxmlformats.org/officeDocument/2006/relationships/hyperlink" Target="https://www.shuicheng.gov.cn/newsite/zwgk/zdly/gyfz/gyyqgl/202505/t20250507_87678059.html" TargetMode="External"/><Relationship Id="rId359" Type="http://schemas.openxmlformats.org/officeDocument/2006/relationships/hyperlink" Target="https://www.gzlps.gov.cn/zwgk/bmxxgk/szfb/fdzdgknr_5751016/szfwj_5734496/lpsfbf_5734500/202507/t20250709_88260972.html" TargetMode="External"/><Relationship Id="rId8" Type="http://schemas.openxmlformats.org/officeDocument/2006/relationships/hyperlink" Target="http://gxt.hebei.gov.cn/hbgyhxxht/zcfg30/snzc/657999/index.html" TargetMode="External"/><Relationship Id="rId98" Type="http://schemas.openxmlformats.org/officeDocument/2006/relationships/hyperlink" Target="http://drc.gd.gov.cn/ywtz/content/post_3125347.html" TargetMode="External"/><Relationship Id="rId121" Type="http://schemas.openxmlformats.org/officeDocument/2006/relationships/hyperlink" Target="http://www.bjdx.gov.cn/bjsdxqrmzf/zwfw/zfwj67/zfwj/1933672/index.html" TargetMode="External"/><Relationship Id="rId142" Type="http://schemas.openxmlformats.org/officeDocument/2006/relationships/hyperlink" Target="http://www.lvliang.gov.cn/llxxgk/zfxxgk/xxgkml/bgtwj/202206/t20220628_1666883.html" TargetMode="External"/><Relationship Id="rId163" Type="http://schemas.openxmlformats.org/officeDocument/2006/relationships/hyperlink" Target="http://www.jiashan.gov.cn/art/2022/8/9/art_1229203785_2415501.html" TargetMode="External"/><Relationship Id="rId184" Type="http://schemas.openxmlformats.org/officeDocument/2006/relationships/hyperlink" Target="http://nyj.nmg.gov.cn/zwgk/zfxxgkzl/fdzdgknr/tzgg_16482/tz_16483/202209/t20220929_2143302.html" TargetMode="External"/><Relationship Id="rId219" Type="http://schemas.openxmlformats.org/officeDocument/2006/relationships/hyperlink" Target="https://nyj.nmg.gov.cn/zwgk/zfxxgkzl/fdzdgknr/tzgg_16482/tz_16483/202404/t20240416_2495423.html" TargetMode="External"/><Relationship Id="rId370" Type="http://schemas.openxmlformats.org/officeDocument/2006/relationships/hyperlink" Target="https://fgj.zhuhai.gov.cn/zwgk/fzgh/content/post_3826990.html" TargetMode="External"/><Relationship Id="rId391" Type="http://schemas.openxmlformats.org/officeDocument/2006/relationships/hyperlink" Target="https://dpc.xm.gov.cn/xxgk/xxgkml/ghjh/202509/t20250924_2957373.htm" TargetMode="External"/><Relationship Id="rId405" Type="http://schemas.openxmlformats.org/officeDocument/2006/relationships/hyperlink" Target="https://motclaw.motc.gov.tw/webMotcLaw2018/Law/History?type=-1&amp;LawID=E0486000" TargetMode="External"/><Relationship Id="rId426" Type="http://schemas.openxmlformats.org/officeDocument/2006/relationships/hyperlink" Target="https://jjxxw.cq.gov.cn/zwgk_213/zcwj/qtwj/202512/t20251216_15248440.html" TargetMode="External"/><Relationship Id="rId230" Type="http://schemas.openxmlformats.org/officeDocument/2006/relationships/hyperlink" Target="https://www.luan.gov.cn/zwzx/ztzl/zxzt/lasssyfsqgc/zcjd/zc/10512473.html" TargetMode="External"/><Relationship Id="rId251" Type="http://schemas.openxmlformats.org/officeDocument/2006/relationships/hyperlink" Target="https://kjt.nmg.gov.cn/kjdt/tzgg/202407/t20240718_2544460.html" TargetMode="External"/><Relationship Id="rId25" Type="http://schemas.openxmlformats.org/officeDocument/2006/relationships/hyperlink" Target="http://www.wuhai.gov.cn/wuhai/xxgk4/zfxxgk5572/fdzdgknr39/zcwj32/1022743/index.html" TargetMode="External"/><Relationship Id="rId46" Type="http://schemas.openxmlformats.org/officeDocument/2006/relationships/hyperlink" Target="http://www.changshu.gov.cn/zgcs/c108192/201912/0d100df76e86488983285175de483d67.shtml" TargetMode="External"/><Relationship Id="rId67" Type="http://schemas.openxmlformats.org/officeDocument/2006/relationships/hyperlink" Target="http://www.pinghu.gov.cn/art/2020/12/25/art_1229456457_2247939.html" TargetMode="External"/><Relationship Id="rId272" Type="http://schemas.openxmlformats.org/officeDocument/2006/relationships/hyperlink" Target="https://pc.dl.gov.cn/art/2024/9/24/art_2481_2350159.html" TargetMode="External"/><Relationship Id="rId293" Type="http://schemas.openxmlformats.org/officeDocument/2006/relationships/hyperlink" Target="https://jjxxw.cq.gov.cn/zwgk_213/gsgg/202412/t20241205_13865562.html" TargetMode="External"/><Relationship Id="rId307" Type="http://schemas.openxmlformats.org/officeDocument/2006/relationships/hyperlink" Target="https://csgl.tj.gov.cn/zmhd_57/jcyjzj/202412/t20241218_6809093.html" TargetMode="External"/><Relationship Id="rId328" Type="http://schemas.openxmlformats.org/officeDocument/2006/relationships/hyperlink" Target="https://iitb.hainan.gov.cn/iitb/xnyqcfa/202412/eed60ef87f0d41be9a5538e33de71d3f.shtml" TargetMode="External"/><Relationship Id="rId349" Type="http://schemas.openxmlformats.org/officeDocument/2006/relationships/hyperlink" Target="http://www.weifang.gov.cn/162/55330/1930568925028945920.html" TargetMode="External"/><Relationship Id="rId88" Type="http://schemas.openxmlformats.org/officeDocument/2006/relationships/hyperlink" Target="http://www.luozhuang.gov.cn/info/2153/41739.htm" TargetMode="External"/><Relationship Id="rId111" Type="http://schemas.openxmlformats.org/officeDocument/2006/relationships/hyperlink" Target="http://gk.chengdu.gov.cn/govInfoPub/detail.action?id=2398916&amp;tn=2" TargetMode="External"/><Relationship Id="rId132" Type="http://schemas.openxmlformats.org/officeDocument/2006/relationships/hyperlink" Target="http://fgw.weifang.gov.cn/tzgg/202109/t20210916_5941285.html" TargetMode="External"/><Relationship Id="rId153" Type="http://schemas.openxmlformats.org/officeDocument/2006/relationships/hyperlink" Target="https://fgw.henan.gov.cn/2022/05-23/2454219.html" TargetMode="External"/><Relationship Id="rId174" Type="http://schemas.openxmlformats.org/officeDocument/2006/relationships/hyperlink" Target="http://eic.zibo.gov.cn/art/2022/8/29/art_185_2318767.html" TargetMode="External"/><Relationship Id="rId195" Type="http://schemas.openxmlformats.org/officeDocument/2006/relationships/hyperlink" Target="http://fscz.foshan.gov.cn/cfg/gfxwj/content/post_4500016.html" TargetMode="External"/><Relationship Id="rId209" Type="http://schemas.openxmlformats.org/officeDocument/2006/relationships/hyperlink" Target="https://www.puyang.gov.cn/shownews.asp?id=1000006312" TargetMode="External"/><Relationship Id="rId360" Type="http://schemas.openxmlformats.org/officeDocument/2006/relationships/hyperlink" Target="https://jsj.huzhou.gov.cn/col/col1229210065/art/2025/art_1d51c91d0b2eed28d65adebc68e37f7f.html" TargetMode="External"/><Relationship Id="rId381" Type="http://schemas.openxmlformats.org/officeDocument/2006/relationships/hyperlink" Target="https://jjxxw.cq.gov.cn/zwgk_213/zcwj/xzgfxwj/202508/t20250826_14937188.html" TargetMode="External"/><Relationship Id="rId416" Type="http://schemas.openxmlformats.org/officeDocument/2006/relationships/hyperlink" Target="http://www.lvliang.gov.cn/llxxgk/zfxxgk/xxgkml/bgtwj/202512/t20251203_2000389.html" TargetMode="External"/><Relationship Id="rId220" Type="http://schemas.openxmlformats.org/officeDocument/2006/relationships/hyperlink" Target="https://cdjx.chengdu.gov.cn/cdsjxw/c132827/2024-04/19/content_14af462c6c7843c5bd0148307eb83f62.shtml" TargetMode="External"/><Relationship Id="rId241" Type="http://schemas.openxmlformats.org/officeDocument/2006/relationships/hyperlink" Target="https://www.zzhkgq.gov.cn/2024/06-19/3010535.html" TargetMode="External"/><Relationship Id="rId437" Type="http://schemas.openxmlformats.org/officeDocument/2006/relationships/hyperlink" Target="https://gongxinju.tangshan.gov.cn/tsgongxinju/zw_gongxinjutzfb/20260421/1647935.html" TargetMode="External"/><Relationship Id="rId15" Type="http://schemas.openxmlformats.org/officeDocument/2006/relationships/hyperlink" Target="http://www.dzs.gov.cn/col/1635210292708/2021/10/26/1635211079814.html" TargetMode="External"/><Relationship Id="rId36" Type="http://schemas.openxmlformats.org/officeDocument/2006/relationships/hyperlink" Target="http://www.jiading.gov.cn/jingwei/publicity/fdzdgknr/gg/zwgg/148950" TargetMode="External"/><Relationship Id="rId57" Type="http://schemas.openxmlformats.org/officeDocument/2006/relationships/hyperlink" Target="http://fzggw.zj.gov.cn/art/2021/11/8/art_1229123366_2372425.html" TargetMode="External"/><Relationship Id="rId262" Type="http://schemas.openxmlformats.org/officeDocument/2006/relationships/hyperlink" Target="http://cgj.jiaozuo.gov.cn/NewsView.asp?id=1968" TargetMode="External"/><Relationship Id="rId283" Type="http://schemas.openxmlformats.org/officeDocument/2006/relationships/hyperlink" Target="https://www.hubei.gov.cn/zfwj/ezbf/202411/t20241108_5406141.shtml" TargetMode="External"/><Relationship Id="rId318" Type="http://schemas.openxmlformats.org/officeDocument/2006/relationships/hyperlink" Target="https://fzggw.ah.gov.cn/public/7011/149842461.html" TargetMode="External"/><Relationship Id="rId339" Type="http://schemas.openxmlformats.org/officeDocument/2006/relationships/hyperlink" Target="https://jxgq.jiaxing.gov.cn/art/2025/5/12/art_1229398104_2554109.html" TargetMode="External"/><Relationship Id="rId78" Type="http://schemas.openxmlformats.org/officeDocument/2006/relationships/hyperlink" Target="http://www.jinan.gov.cn/art/2020/11/9/art_2610_4762235.html" TargetMode="External"/><Relationship Id="rId99" Type="http://schemas.openxmlformats.org/officeDocument/2006/relationships/hyperlink" Target="http://amr.gd.gov.cn/zwgk/tzgg/content/post_3086069.html" TargetMode="External"/><Relationship Id="rId101" Type="http://schemas.openxmlformats.org/officeDocument/2006/relationships/hyperlink" Target="http://www.gz.gov.cn/gfxwj/qjgfxwj/hpq/qbm/content/post_5790437.html" TargetMode="External"/><Relationship Id="rId122" Type="http://schemas.openxmlformats.org/officeDocument/2006/relationships/hyperlink" Target="http://gxj.ordos.gov.cn/xxgk_126422/fdzdgknr/zcfg_126431/202203/t20220328_3167777.html" TargetMode="External"/><Relationship Id="rId143" Type="http://schemas.openxmlformats.org/officeDocument/2006/relationships/hyperlink" Target="http://www.lvliang.gov.cn/llxxgk/zfxxgk/xxgkml/bgtwj/202207/t20220701_1668919.html" TargetMode="External"/><Relationship Id="rId164" Type="http://schemas.openxmlformats.org/officeDocument/2006/relationships/hyperlink" Target="http://www.yl.gov.cn/gk/fggw/fzfbgswj/81295.htm" TargetMode="External"/><Relationship Id="rId185" Type="http://schemas.openxmlformats.org/officeDocument/2006/relationships/hyperlink" Target="http://fgw.sz.gov.cn/zwgk/qt/tzgg/content/post_10150595.html" TargetMode="External"/><Relationship Id="rId350" Type="http://schemas.openxmlformats.org/officeDocument/2006/relationships/hyperlink" Target="https://fzgg.tj.gov.cn/xxfb/tzggx/202506/t20250619_6962427.html" TargetMode="External"/><Relationship Id="rId371" Type="http://schemas.openxmlformats.org/officeDocument/2006/relationships/hyperlink" Target="https://pc.dl.gov.cn/art/2025/8/20/art_2481_2457871.html" TargetMode="External"/><Relationship Id="rId406" Type="http://schemas.openxmlformats.org/officeDocument/2006/relationships/hyperlink" Target="https://motclaw.motc.gov.tw/webMotcLaw2018/Law/History?type=-1&amp;LawID=E0486000" TargetMode="External"/><Relationship Id="rId9" Type="http://schemas.openxmlformats.org/officeDocument/2006/relationships/hyperlink" Target="http://hbdrc.hebei.gov.cn/web/web/fzgh/2c9473847ab7b0ba017ac2fa17b60e3a.htm" TargetMode="External"/><Relationship Id="rId210" Type="http://schemas.openxmlformats.org/officeDocument/2006/relationships/hyperlink" Target="https://www.jiaxing.gov.cn/art/2023/10/27/art_1229426375_2494257.html" TargetMode="External"/><Relationship Id="rId392" Type="http://schemas.openxmlformats.org/officeDocument/2006/relationships/hyperlink" Target="https://pc.dl.gov.cn/art/2025/9/24/art_2481_2463514.html" TargetMode="External"/><Relationship Id="rId427" Type="http://schemas.openxmlformats.org/officeDocument/2006/relationships/hyperlink" Target="https://www.sheitc.sh.gov.cn/cyfz/20260106/f59d5620291340fc9676c635ca3247e7.html" TargetMode="External"/><Relationship Id="rId26" Type="http://schemas.openxmlformats.org/officeDocument/2006/relationships/hyperlink" Target="http://fgw.wuhai.gov.cn/fgw/507668/507671/790672/index.html" TargetMode="External"/><Relationship Id="rId231" Type="http://schemas.openxmlformats.org/officeDocument/2006/relationships/hyperlink" Target="https://kfqgw.beijing.gov.cn/zwgkkfq/tzgg/202406/t20240604_3704471.html" TargetMode="External"/><Relationship Id="rId252" Type="http://schemas.openxmlformats.org/officeDocument/2006/relationships/hyperlink" Target="https://wind.imarine.cn/news/97003.html" TargetMode="External"/><Relationship Id="rId273" Type="http://schemas.openxmlformats.org/officeDocument/2006/relationships/hyperlink" Target="https://jst.zj.gov.cn/art/2024/8/23/art_1229741646_58936392.html" TargetMode="External"/><Relationship Id="rId294" Type="http://schemas.openxmlformats.org/officeDocument/2006/relationships/hyperlink" Target="https://pc.dl.gov.cn/art/2023/2/27/art_2480_2066561.html" TargetMode="External"/><Relationship Id="rId308" Type="http://schemas.openxmlformats.org/officeDocument/2006/relationships/hyperlink" Target="https://www.baotou.gov.cn/info/egovinfo/1001/zwgkbf/copy_2_xxgk_nry/011536003001/2024-00115.htm" TargetMode="External"/><Relationship Id="rId329" Type="http://schemas.openxmlformats.org/officeDocument/2006/relationships/hyperlink" Target="https://iitb.hainan.gov.cn/iitb/xnyqcfa/202410/e46cd0d9759e4cac9e5dd3e7d45c48d9.shtml" TargetMode="External"/><Relationship Id="rId47" Type="http://schemas.openxmlformats.org/officeDocument/2006/relationships/hyperlink" Target="http://www.changshu.gov.cn/zgcs/c108200/201912/8652e807458042ecb67b025e91a04c5a.shtml" TargetMode="External"/><Relationship Id="rId68" Type="http://schemas.openxmlformats.org/officeDocument/2006/relationships/hyperlink" Target="http://xxgk.zhoushan.gov.cn/art/2020/12/25/art_1229433788_41506.html" TargetMode="External"/><Relationship Id="rId89" Type="http://schemas.openxmlformats.org/officeDocument/2006/relationships/hyperlink" Target="http://www.xinxiang.gov.cn/sitesources/xxsrmzf/page_pc/zwgk/zfwj/szfwj/article4d22988679ef45c087d883f2a4b6fd0e.html" TargetMode="External"/><Relationship Id="rId112" Type="http://schemas.openxmlformats.org/officeDocument/2006/relationships/hyperlink" Target="http://gk.chengdu.gov.cn/govInfoPub/detail.action?id=111884&amp;tn=6" TargetMode="External"/><Relationship Id="rId133" Type="http://schemas.openxmlformats.org/officeDocument/2006/relationships/hyperlink" Target="http://jxgq.jiaxing.gov.cn/art/2022/5/10/art_1229398104_2403391.html" TargetMode="External"/><Relationship Id="rId154" Type="http://schemas.openxmlformats.org/officeDocument/2006/relationships/hyperlink" Target="http://fgw.sz.gov.cn/hdjlpt/yjzj/answer/21361" TargetMode="External"/><Relationship Id="rId175" Type="http://schemas.openxmlformats.org/officeDocument/2006/relationships/hyperlink" Target="https://www.henan.gov.cn/2022/09-06/2602465.html" TargetMode="External"/><Relationship Id="rId340" Type="http://schemas.openxmlformats.org/officeDocument/2006/relationships/hyperlink" Target="http://kjt.jl.gov.cn/xwzx/tztg/202505/t20250515_9228246.html" TargetMode="External"/><Relationship Id="rId361" Type="http://schemas.openxmlformats.org/officeDocument/2006/relationships/hyperlink" Target="https://cdjx.chengdu.gov.cn/cdsjxw/c132806/2025-07/09/content_12d238b274df46b1b467de4ebeda2259.shtml" TargetMode="External"/><Relationship Id="rId196" Type="http://schemas.openxmlformats.org/officeDocument/2006/relationships/hyperlink" Target="http://jxj.beijing.gov.cn/jxdt/tzgg/202108/t20210816_2469059.html" TargetMode="External"/><Relationship Id="rId200" Type="http://schemas.openxmlformats.org/officeDocument/2006/relationships/hyperlink" Target="https://cdjx.chengdu.gov.cn/cdsjxw/c132827/2023-08/04/content_60a418fe96844730a096ac86e2b9a50c.shtml" TargetMode="External"/><Relationship Id="rId382" Type="http://schemas.openxmlformats.org/officeDocument/2006/relationships/hyperlink" Target="https://cdjx.chengdu.gov.cn/cdsjxw/c132806/2025-09/04/content_b00adb5237324e90864c9f03a8462545.shtml" TargetMode="External"/><Relationship Id="rId417" Type="http://schemas.openxmlformats.org/officeDocument/2006/relationships/hyperlink" Target="https://fgw.gz.gov.cn/tzgg/content/post_10592012.html" TargetMode="External"/><Relationship Id="rId438" Type="http://schemas.openxmlformats.org/officeDocument/2006/relationships/hyperlink" Target="https://szyl.xm.gov.cn/xxgk/zfxxgkml/tjxx/202512/t20251217_2972367.htm" TargetMode="External"/><Relationship Id="rId16" Type="http://schemas.openxmlformats.org/officeDocument/2006/relationships/hyperlink" Target="http://new.tangshan.gov.cn/zhengwu/jhgh/20211102/1373956.html" TargetMode="External"/><Relationship Id="rId221" Type="http://schemas.openxmlformats.org/officeDocument/2006/relationships/hyperlink" Target="https://jjxxw.cq.gov.cn/zwgk_213/gsgg/202403/t20240311_13025010.html" TargetMode="External"/><Relationship Id="rId242" Type="http://schemas.openxmlformats.org/officeDocument/2006/relationships/hyperlink" Target="http://drc.gd.gov.cn/ywtz/content/post_4445253.html" TargetMode="External"/><Relationship Id="rId263" Type="http://schemas.openxmlformats.org/officeDocument/2006/relationships/hyperlink" Target="https://pc.dl.gov.cn/art/2021/11/24/art_6931_1983004.html" TargetMode="External"/><Relationship Id="rId284" Type="http://schemas.openxmlformats.org/officeDocument/2006/relationships/hyperlink" Target="http://nyj.wuhai.gov.cn/nyj/537377/537390/1554932/index.html" TargetMode="External"/><Relationship Id="rId319" Type="http://schemas.openxmlformats.org/officeDocument/2006/relationships/hyperlink" Target="https://gxj.zhengzhou.gov.cn/tzgg/9144016.jhtml" TargetMode="External"/><Relationship Id="rId37" Type="http://schemas.openxmlformats.org/officeDocument/2006/relationships/hyperlink" Target="https://www.shqp.gov.cn/shqp/zwgk/zfwj/qfb/20201203/807140.html" TargetMode="External"/><Relationship Id="rId58" Type="http://schemas.openxmlformats.org/officeDocument/2006/relationships/hyperlink" Target="http://www.ningbo.gov.cn/art/2019/1/24/art_1229533140_964219.html" TargetMode="External"/><Relationship Id="rId79" Type="http://schemas.openxmlformats.org/officeDocument/2006/relationships/hyperlink" Target="http://www.qingdao.gov.cn/zwgk/xxgk/fgw/gkml/gwfg/202012/t20201221_2845984.shtml" TargetMode="External"/><Relationship Id="rId102" Type="http://schemas.openxmlformats.org/officeDocument/2006/relationships/hyperlink" Target="http://www.gz.gov.cn/gfxwj/qjgfxwj/hpq/qbm/content/post_7349519.html" TargetMode="External"/><Relationship Id="rId123" Type="http://schemas.openxmlformats.org/officeDocument/2006/relationships/hyperlink" Target="http://jxj.beijing.gov.cn/jxdt/tzgg/202204/t20220408_2669896.html" TargetMode="External"/><Relationship Id="rId144" Type="http://schemas.openxmlformats.org/officeDocument/2006/relationships/hyperlink" Target="http://safety.nanjing.gov.cn/njsaqscjdglj/202207/t20220704_3633947.html" TargetMode="External"/><Relationship Id="rId330" Type="http://schemas.openxmlformats.org/officeDocument/2006/relationships/hyperlink" Target="https://iitb.hainan.gov.cn/iitb/xnyqcfa/202504/2f2023e9d8944d7a90dba1fcd15a311c.shtml" TargetMode="External"/><Relationship Id="rId90" Type="http://schemas.openxmlformats.org/officeDocument/2006/relationships/hyperlink" Target="http://www.puyang.gov.cn/shownews.asp?id=1000001881" TargetMode="External"/><Relationship Id="rId165" Type="http://schemas.openxmlformats.org/officeDocument/2006/relationships/hyperlink" Target="http://drc.gd.gov.cn/ywtz/content/mpost_3993253.html" TargetMode="External"/><Relationship Id="rId186" Type="http://schemas.openxmlformats.org/officeDocument/2006/relationships/hyperlink" Target="https://www.shqp.gov.cn/econ/tzgg/20220217/913291.html" TargetMode="External"/><Relationship Id="rId351" Type="http://schemas.openxmlformats.org/officeDocument/2006/relationships/hyperlink" Target="https://www.shidz.gov.cn/columns/fc6b4309-d198-4db4-9c9a-8358ef6ba98c/202506/19/4d7e5265-94cc-4d92-ab87-3758c1e8398c.html" TargetMode="External"/><Relationship Id="rId372" Type="http://schemas.openxmlformats.org/officeDocument/2006/relationships/hyperlink" Target="http://www.panzhihua.gov.cn/zfxxgk1/zc/szfwj/szfgfxwj/10231939.shtml" TargetMode="External"/><Relationship Id="rId393" Type="http://schemas.openxmlformats.org/officeDocument/2006/relationships/hyperlink" Target="https://fgw.gz.gov.cn/tzgg/content/post_10464385.html" TargetMode="External"/><Relationship Id="rId407" Type="http://schemas.openxmlformats.org/officeDocument/2006/relationships/hyperlink" Target="https://www.bjdx.gov.cn/bjsdxqrmzf/zwfw/zfwj67/1380045/2275662/index.html" TargetMode="External"/><Relationship Id="rId428" Type="http://schemas.openxmlformats.org/officeDocument/2006/relationships/hyperlink" Target="https://fgw.ningbo.gov.cn/col/col1229019928/art/2026/art_3ad04660842b4d77867bb5d61d64be3c.html" TargetMode="External"/><Relationship Id="rId211" Type="http://schemas.openxmlformats.org/officeDocument/2006/relationships/hyperlink" Target="https://www.pj.gov.cn/art/2024/3/15/art_1229430232_1802239.html" TargetMode="External"/><Relationship Id="rId232" Type="http://schemas.openxmlformats.org/officeDocument/2006/relationships/hyperlink" Target="https://www.nmg.gov.cn/zwgk/zfxxgk/zfxxgkml/gzxzgfxwj/zrzyny/202406/t20240607_2520401.html" TargetMode="External"/><Relationship Id="rId253" Type="http://schemas.openxmlformats.org/officeDocument/2006/relationships/hyperlink" Target="https://jjxxw.cq.gov.cn/zwgk_213/zcwj/xzgfxwj/202407/t20240726_13434381.html" TargetMode="External"/><Relationship Id="rId274" Type="http://schemas.openxmlformats.org/officeDocument/2006/relationships/hyperlink" Target="http://www.hancheng.gov.cn/gk/gk0901/143969.htm" TargetMode="External"/><Relationship Id="rId295" Type="http://schemas.openxmlformats.org/officeDocument/2006/relationships/hyperlink" Target="https://pc.dl.gov.cn/art/2024/12/11/art_2480_2389873.html" TargetMode="External"/><Relationship Id="rId309" Type="http://schemas.openxmlformats.org/officeDocument/2006/relationships/hyperlink" Target="http://jxt.xizang.gov.cn/xzweb/detail?id=3304&amp;channelId=9&amp;categoryId=69" TargetMode="External"/><Relationship Id="rId27" Type="http://schemas.openxmlformats.org/officeDocument/2006/relationships/hyperlink" Target="http://www.ordos.gov.cn/zt_127959/yhyshj/zcwj_yshj/202202/t20220208_3150645.html" TargetMode="External"/><Relationship Id="rId48" Type="http://schemas.openxmlformats.org/officeDocument/2006/relationships/hyperlink" Target="http://www.changshu.gov.cn/zgcs/c108192/202002/24e9daf7814441158df4b7c1975f408b.shtml" TargetMode="External"/><Relationship Id="rId69" Type="http://schemas.openxmlformats.org/officeDocument/2006/relationships/hyperlink" Target="http://www.putuo.gov.cn/art/2021/1/26/art_1229296022_1634002.html" TargetMode="External"/><Relationship Id="rId113" Type="http://schemas.openxmlformats.org/officeDocument/2006/relationships/hyperlink" Target="http://gk.chengdu.gov.cn/govInfoPub/detail.action?id=119605&amp;tn=6" TargetMode="External"/><Relationship Id="rId134" Type="http://schemas.openxmlformats.org/officeDocument/2006/relationships/hyperlink" Target="http://cg.gz.gov.cn/gkmlpt/content/8/8274/post_8274576.html" TargetMode="External"/><Relationship Id="rId320" Type="http://schemas.openxmlformats.org/officeDocument/2006/relationships/hyperlink" Target="https://www.jiashan.gov.cn/art/2025/3/17/art_1229373860_5478439.html" TargetMode="External"/><Relationship Id="rId80" Type="http://schemas.openxmlformats.org/officeDocument/2006/relationships/hyperlink" Target="http://www.xihaian.gov.cn/zwgk/gknr/zfwj/zcxwj/bgswj/202201/t20220125_4279217.shtml" TargetMode="External"/><Relationship Id="rId155" Type="http://schemas.openxmlformats.org/officeDocument/2006/relationships/hyperlink" Target="http://www.baoding.gov.cn/zwgknr-888888711-382726.html" TargetMode="External"/><Relationship Id="rId176" Type="http://schemas.openxmlformats.org/officeDocument/2006/relationships/hyperlink" Target="http://www.jiashan.gov.cn/art/2019/2/1/art_1229199096_1806880.html" TargetMode="External"/><Relationship Id="rId197" Type="http://schemas.openxmlformats.org/officeDocument/2006/relationships/hyperlink" Target="https://fgw.sh.gov.cn/fgw_gfxwj/20211123/f687a6f8dd604ac49f88655d90cbfc10.html" TargetMode="External"/><Relationship Id="rId341" Type="http://schemas.openxmlformats.org/officeDocument/2006/relationships/hyperlink" Target="https://fgw.shanxi.gov.cn/sxfgwzwgk/sxsfgwxxgk/xxgkml/tz/202505/t20250521_9839834.shtml" TargetMode="External"/><Relationship Id="rId362" Type="http://schemas.openxmlformats.org/officeDocument/2006/relationships/hyperlink" Target="https://cdjx.chengdu.gov.cn/cdsjxw/c132806/2025-05/19/content_3327f1b1a3454e6dbd84d29f2a5bd6ca.shtml" TargetMode="External"/><Relationship Id="rId383" Type="http://schemas.openxmlformats.org/officeDocument/2006/relationships/hyperlink" Target="https://jxj.wuhan.gov.cn/xwzx_9/tztg/202509/t20250916_2648223.html" TargetMode="External"/><Relationship Id="rId418" Type="http://schemas.openxmlformats.org/officeDocument/2006/relationships/hyperlink" Target="https://www.gz.gov.cn/gzzcwjk/gzdata/content/post_10598318.html" TargetMode="External"/><Relationship Id="rId439" Type="http://schemas.openxmlformats.org/officeDocument/2006/relationships/hyperlink" Target="http://zjj.liuzhou.gov.cn/hdjl/myzj/zjmy/detail.shtml?siteId=325&amp;id=1484" TargetMode="External"/><Relationship Id="rId201" Type="http://schemas.openxmlformats.org/officeDocument/2006/relationships/hyperlink" Target="http://fgw.huzhou.gov.cn/art/2023/8/4/art_1229210747_58838189.html" TargetMode="External"/><Relationship Id="rId222" Type="http://schemas.openxmlformats.org/officeDocument/2006/relationships/hyperlink" Target="https://www.jiujiang.gov.cn/xxgk/xzwgk/jcgk/zcwj/szfbgswj/202404/t20240429_6528349.html" TargetMode="External"/><Relationship Id="rId243" Type="http://schemas.openxmlformats.org/officeDocument/2006/relationships/hyperlink" Target="https://gxj.wuxi.gov.cn/doc/2024/06/03/4322613.shtml" TargetMode="External"/><Relationship Id="rId264" Type="http://schemas.openxmlformats.org/officeDocument/2006/relationships/hyperlink" Target="https://pc.dl.gov.cn/art/2023/7/10/art_2480_2090154.html" TargetMode="External"/><Relationship Id="rId285" Type="http://schemas.openxmlformats.org/officeDocument/2006/relationships/hyperlink" Target="http://kjt.jl.gov.cn/xwzx/tztg/202411/t20241112_8996220.html" TargetMode="External"/><Relationship Id="rId17" Type="http://schemas.openxmlformats.org/officeDocument/2006/relationships/hyperlink" Target="http://www.changzhi.gov.cn/xxgkml/czsrmzf/zfwj_3465/202012/t20201209_2201013.shtml" TargetMode="External"/><Relationship Id="rId38" Type="http://schemas.openxmlformats.org/officeDocument/2006/relationships/hyperlink" Target="https://www.shqp.gov.cn/econ/tzgg/20210625/880271.html" TargetMode="External"/><Relationship Id="rId59" Type="http://schemas.openxmlformats.org/officeDocument/2006/relationships/hyperlink" Target="http://app.ningbo.gov.cn/jact/front/mailpubdetail.do?transactId=37163&amp;sysid=63" TargetMode="External"/><Relationship Id="rId103" Type="http://schemas.openxmlformats.org/officeDocument/2006/relationships/hyperlink" Target="http://www.foshan.gov.cn/gkmlpt/content/2/2004/post_2004113.html" TargetMode="External"/><Relationship Id="rId124" Type="http://schemas.openxmlformats.org/officeDocument/2006/relationships/hyperlink" Target="http://www.sxx.gov.cn/mhsx/tzsx/zszc/60461141.html" TargetMode="External"/><Relationship Id="rId310" Type="http://schemas.openxmlformats.org/officeDocument/2006/relationships/hyperlink" Target="https://fgw.gz.gov.cn/tzgg/content/post_10065921.html" TargetMode="External"/><Relationship Id="rId70" Type="http://schemas.openxmlformats.org/officeDocument/2006/relationships/hyperlink" Target="http://fgw.jinhua.gov.cn/art/2021/1/7/art_1229472907_3787010.html" TargetMode="External"/><Relationship Id="rId91" Type="http://schemas.openxmlformats.org/officeDocument/2006/relationships/hyperlink" Target="http://www.wuhan.gov.cn/zwgk/xxgk/zfwj/bgtwj/202009/t20200922_1453147.shtml" TargetMode="External"/><Relationship Id="rId145" Type="http://schemas.openxmlformats.org/officeDocument/2006/relationships/hyperlink" Target="http://lyscgj.ly.gov.cn/index/GongKaiZhiDu/2008.html" TargetMode="External"/><Relationship Id="rId166" Type="http://schemas.openxmlformats.org/officeDocument/2006/relationships/hyperlink" Target="http://jxj.beijing.gov.cn/zwgk/zcwj/bjszc/202208/t20220811_2790933.html" TargetMode="External"/><Relationship Id="rId187" Type="http://schemas.openxmlformats.org/officeDocument/2006/relationships/hyperlink" Target="http://www.huhhot.gov.cn/2022_zmhd/myzj/index_6847.html?id=124&amp;status=1" TargetMode="External"/><Relationship Id="rId331" Type="http://schemas.openxmlformats.org/officeDocument/2006/relationships/hyperlink" Target="https://cdjx.chengdu.gov.cn/cdsjxw/c132827/2025-04/14/content_46b1cd2a62d8468c85f0e0aca9876be3.shtml" TargetMode="External"/><Relationship Id="rId352" Type="http://schemas.openxmlformats.org/officeDocument/2006/relationships/hyperlink" Target="https://hbdrc.hebei.gov.cn/gggs_980/202506/t20250618_122940.html" TargetMode="External"/><Relationship Id="rId373" Type="http://schemas.openxmlformats.org/officeDocument/2006/relationships/hyperlink" Target="http://www.tieling.gov.cn/tieling/gsgg/2025082015045012637/index.html" TargetMode="External"/><Relationship Id="rId394" Type="http://schemas.openxmlformats.org/officeDocument/2006/relationships/hyperlink" Target="https://www.wuhan.gov.cn/zwgk/xxgk/zfwj/gfxwj/202509/t20250929_2655098.shtml" TargetMode="External"/><Relationship Id="rId408" Type="http://schemas.openxmlformats.org/officeDocument/2006/relationships/hyperlink" Target="https://www.hd.gov.cn/hdzfxxgk/gszbm/auto23727/202506/t20250603_2126878.html" TargetMode="External"/><Relationship Id="rId429" Type="http://schemas.openxmlformats.org/officeDocument/2006/relationships/hyperlink" Target="https://gxj.lanzhou.gov.cn/art/2026/2/11/art_2698_1680190.html" TargetMode="External"/><Relationship Id="rId1" Type="http://schemas.openxmlformats.org/officeDocument/2006/relationships/hyperlink" Target="http://jxj.beijing.gov.cn/jxdt/tzgg/202010/t20201030_2125115.html" TargetMode="External"/><Relationship Id="rId212" Type="http://schemas.openxmlformats.org/officeDocument/2006/relationships/hyperlink" Target="https://fgw.huzhou.gov.cn/art/2024/3/29/art_1229210782_58839618.html" TargetMode="External"/><Relationship Id="rId233" Type="http://schemas.openxmlformats.org/officeDocument/2006/relationships/hyperlink" Target="https://jxj.beijing.gov.cn/jxdt/tzgg/202406/t20240607_3707547.html" TargetMode="External"/><Relationship Id="rId254" Type="http://schemas.openxmlformats.org/officeDocument/2006/relationships/hyperlink" Target="https://www.yuncheng.gov.cn/uploadfiles/202407/29/2024072916223565359699.pdf" TargetMode="External"/><Relationship Id="rId440" Type="http://schemas.openxmlformats.org/officeDocument/2006/relationships/hyperlink" Target="https://fgw.huainan.gov.cn/public/118319839/1260688804.html" TargetMode="External"/><Relationship Id="rId28" Type="http://schemas.openxmlformats.org/officeDocument/2006/relationships/hyperlink" Target="https://www.dl.gov.cn/art/2020/11/5/art_854_443290.html" TargetMode="External"/><Relationship Id="rId49" Type="http://schemas.openxmlformats.org/officeDocument/2006/relationships/hyperlink" Target="http://www.changshu.gov.cn/zgcs/c108192/202004/ebcd9f21f3f84a8a9681f5552e0789e6.shtml" TargetMode="External"/><Relationship Id="rId114" Type="http://schemas.openxmlformats.org/officeDocument/2006/relationships/hyperlink" Target="http://gk.chengdu.gov.cn/govInfo/detail.action?id=127405&amp;tn=6" TargetMode="External"/><Relationship Id="rId275" Type="http://schemas.openxmlformats.org/officeDocument/2006/relationships/hyperlink" Target="https://www.hd.gov.cn/hdzfxxgk/gszbm/auto23692/202410/t20241008_2069893.html" TargetMode="External"/><Relationship Id="rId296" Type="http://schemas.openxmlformats.org/officeDocument/2006/relationships/hyperlink" Target="https://www.shqp.gov.cn/econ/tzgg/20231215/1152095.html" TargetMode="External"/><Relationship Id="rId300" Type="http://schemas.openxmlformats.org/officeDocument/2006/relationships/hyperlink" Target="https://www.hami.gov.cn/hami/c120000/202310/6de805056a4944669e510191217ba441.shtml" TargetMode="External"/><Relationship Id="rId60" Type="http://schemas.openxmlformats.org/officeDocument/2006/relationships/hyperlink" Target="http://www.ningbo.gov.cn/art/2022/1/6/art_1229095998_1732026.html" TargetMode="External"/><Relationship Id="rId81" Type="http://schemas.openxmlformats.org/officeDocument/2006/relationships/hyperlink" Target="http://www.weifang.gov.cn/xxgk/gb/doc_detail.html?xxid=5567562" TargetMode="External"/><Relationship Id="rId135" Type="http://schemas.openxmlformats.org/officeDocument/2006/relationships/hyperlink" Target="http://www.ordos.gov.cn/ordosml/ordoszf/202204/t20220418_3191604.html" TargetMode="External"/><Relationship Id="rId156" Type="http://schemas.openxmlformats.org/officeDocument/2006/relationships/hyperlink" Target="http://jxj.beijing.gov.cn/jxdt/tzgg/202207/t20220727_2780551.html" TargetMode="External"/><Relationship Id="rId177" Type="http://schemas.openxmlformats.org/officeDocument/2006/relationships/hyperlink" Target="http://www.jingshan.gov.cn/art/2021/10/18/art_17211_839826.html" TargetMode="External"/><Relationship Id="rId198" Type="http://schemas.openxmlformats.org/officeDocument/2006/relationships/hyperlink" Target="http://www.hp.gov.cn/gzjg/qzfgwhgzbm/qfzhggj/tzgg/content/post_8484852.html" TargetMode="External"/><Relationship Id="rId321" Type="http://schemas.openxmlformats.org/officeDocument/2006/relationships/hyperlink" Target="https://fgw.ningbo.gov.cn/art/2025/3/19/art_1229019928_58971520.html" TargetMode="External"/><Relationship Id="rId342" Type="http://schemas.openxmlformats.org/officeDocument/2006/relationships/hyperlink" Target="https://jxt.sc.gov.cn/scjxt/qtwj/2025/6/4/84e967729ced416a877b9eaa245a41d4.shtml" TargetMode="External"/><Relationship Id="rId363" Type="http://schemas.openxmlformats.org/officeDocument/2006/relationships/hyperlink" Target="https://fgw.gz.gov.cn/gkmlpt/content/10/10346/post_10346506.html" TargetMode="External"/><Relationship Id="rId384" Type="http://schemas.openxmlformats.org/officeDocument/2006/relationships/hyperlink" Target="https://cdjx.chengdu.gov.cn/cdsjxw/c132827/2025-09/17/content_257d2d30e14c42fe9df2b5d47aae94ca.shtml" TargetMode="External"/><Relationship Id="rId419" Type="http://schemas.openxmlformats.org/officeDocument/2006/relationships/hyperlink" Target="https://iitb.hainan.gov.cn/iitb/xnyqcfa/202512/b740edf1e4ec478ea1095cd7efb8769e.shtml?ddtab=true" TargetMode="External"/><Relationship Id="rId202" Type="http://schemas.openxmlformats.org/officeDocument/2006/relationships/hyperlink" Target="https://jjxxw.cq.gov.cn/zwgk_213/gsgg/202103/t20210317_9007800.html" TargetMode="External"/><Relationship Id="rId223" Type="http://schemas.openxmlformats.org/officeDocument/2006/relationships/hyperlink" Target="https://iitb.hainan.gov.cn/iitb/xnyqcfa/202404/0dc311e96f004954a0f5d3f5c561e850.shtml?ddtab=true" TargetMode="External"/><Relationship Id="rId244" Type="http://schemas.openxmlformats.org/officeDocument/2006/relationships/hyperlink" Target="https://www.bjdx.gov.cn/bjsdxqrmzf/zwfw/tzgg/2164929/index.html" TargetMode="External"/><Relationship Id="rId430" Type="http://schemas.openxmlformats.org/officeDocument/2006/relationships/hyperlink" Target="https://jtj.jiujiang.gov.cn/zwgk_227/zc/zcwj/202603/t20260302_7182443.html" TargetMode="External"/><Relationship Id="rId18" Type="http://schemas.openxmlformats.org/officeDocument/2006/relationships/hyperlink" Target="http://www.changzhi.gov.cn/xxgkml/szfgzbm/srmzfbgt/zbwj/202107/t20210716_2356130.shtml" TargetMode="External"/><Relationship Id="rId39" Type="http://schemas.openxmlformats.org/officeDocument/2006/relationships/hyperlink" Target="https://www.lgxc.gov.cn/contents/25/33464.html" TargetMode="External"/><Relationship Id="rId265" Type="http://schemas.openxmlformats.org/officeDocument/2006/relationships/hyperlink" Target="https://pc.dl.gov.cn/art/2024/7/31/art_2480_2342327.html" TargetMode="External"/><Relationship Id="rId286" Type="http://schemas.openxmlformats.org/officeDocument/2006/relationships/hyperlink" Target="http://www.ordos.gov.cn/ordosml/ordoszf/202411/t20241114_3715671.html" TargetMode="External"/><Relationship Id="rId50" Type="http://schemas.openxmlformats.org/officeDocument/2006/relationships/hyperlink" Target="http://www.changshu.gov.cn/zgcs/c100353/202103/d2605466fbb74d5896866eaa43dba39e.shtml" TargetMode="External"/><Relationship Id="rId104" Type="http://schemas.openxmlformats.org/officeDocument/2006/relationships/hyperlink" Target="http://www.gaoming.gov.cn/zwgk/zwgg/content/post_3252886.html" TargetMode="External"/><Relationship Id="rId125" Type="http://schemas.openxmlformats.org/officeDocument/2006/relationships/hyperlink" Target="http://www.weifang.gov.cn/162/55329/1501728770271350785.html" TargetMode="External"/><Relationship Id="rId146" Type="http://schemas.openxmlformats.org/officeDocument/2006/relationships/hyperlink" Target="http://www.jiuquan.gov.cn/jiuquan/c100039/202206/4cdeff606ef4444a955c899d98daaa78.shtml" TargetMode="External"/><Relationship Id="rId167" Type="http://schemas.openxmlformats.org/officeDocument/2006/relationships/hyperlink" Target="http://www.zibo.gov.cn/gongkai/site_srmzfbgs/channel_shifubanwenjian/doc_6305711e063b00d4ea4ee491.html" TargetMode="External"/><Relationship Id="rId188" Type="http://schemas.openxmlformats.org/officeDocument/2006/relationships/hyperlink" Target="https://pc.dl.gov.cn/art/2021/10/14/art_2481_1941623.html" TargetMode="External"/><Relationship Id="rId311" Type="http://schemas.openxmlformats.org/officeDocument/2006/relationships/hyperlink" Target="https://cg.gz.gov.cn/zwgk/tzgg/content/post_10056147.html" TargetMode="External"/><Relationship Id="rId332" Type="http://schemas.openxmlformats.org/officeDocument/2006/relationships/hyperlink" Target="https://gxj.zhengzhou.gov.cn/tzgg/9257752.jhtml" TargetMode="External"/><Relationship Id="rId353" Type="http://schemas.openxmlformats.org/officeDocument/2006/relationships/hyperlink" Target="https://fzggw.zj.gov.cn/art/2025/6/26/art_1229629046_5536681.html" TargetMode="External"/><Relationship Id="rId374" Type="http://schemas.openxmlformats.org/officeDocument/2006/relationships/hyperlink" Target="https://scjg.dl.gov.cn/art/2025/8/19/art_4771_2457511.html" TargetMode="External"/><Relationship Id="rId395" Type="http://schemas.openxmlformats.org/officeDocument/2006/relationships/hyperlink" Target="https://www.nanhai.gov.cn/fsnhfgj/gkmlpt/content/6/6809/post_6809217.html" TargetMode="External"/><Relationship Id="rId409" Type="http://schemas.openxmlformats.org/officeDocument/2006/relationships/hyperlink" Target="https://gongxinju.tangshan.gov.cn/tsgongxinju/zw_gongxinjutzfb/20251104/1640107.html" TargetMode="External"/><Relationship Id="rId71" Type="http://schemas.openxmlformats.org/officeDocument/2006/relationships/hyperlink" Target="http://www.luan.gov.cn/public/6608171/9101521.html" TargetMode="External"/><Relationship Id="rId92" Type="http://schemas.openxmlformats.org/officeDocument/2006/relationships/hyperlink" Target="http://whht.org.cn/news/info/id/2435.html" TargetMode="External"/><Relationship Id="rId213" Type="http://schemas.openxmlformats.org/officeDocument/2006/relationships/hyperlink" Target="https://public.zhengzhou.gov.cn/D0104X/8311711.jhtml" TargetMode="External"/><Relationship Id="rId234" Type="http://schemas.openxmlformats.org/officeDocument/2006/relationships/hyperlink" Target="https://iitb.hainan.gov.cn/iitb/bmwjjj/202406/31b0e0b824ee4785933b7dcef3c8c960.shtml" TargetMode="External"/><Relationship Id="rId420" Type="http://schemas.openxmlformats.org/officeDocument/2006/relationships/hyperlink" Target="https://jxj.wuhan.gov.cn/xwzx_9/tztg/202507/t20250704_2605649.html" TargetMode="External"/><Relationship Id="rId2" Type="http://schemas.openxmlformats.org/officeDocument/2006/relationships/hyperlink" Target="http://jxj.beijing.gov.cn/jxdt/tzgg/202108/t20210809_2459548.html" TargetMode="External"/><Relationship Id="rId29" Type="http://schemas.openxmlformats.org/officeDocument/2006/relationships/hyperlink" Target="https://www.dl.gov.cn/art/2020/10/21/art_255_343132.html" TargetMode="External"/><Relationship Id="rId255" Type="http://schemas.openxmlformats.org/officeDocument/2006/relationships/hyperlink" Target="https://cangzhou.gov.cn/czsrmzfbgs/czbg/202407/e717d3dd6bef4654a51b9597003f8c96.shtml" TargetMode="External"/><Relationship Id="rId276" Type="http://schemas.openxmlformats.org/officeDocument/2006/relationships/hyperlink" Target="https://www.bjchp.gov.cn/cpqzf/315734/tzgg27/2024103114464284228/index.html" TargetMode="External"/><Relationship Id="rId297" Type="http://schemas.openxmlformats.org/officeDocument/2006/relationships/hyperlink" Target="https://www.shqp.gov.cn/econ/jwzwgk/ml/yw/20240415/1167257.html" TargetMode="External"/><Relationship Id="rId441" Type="http://schemas.openxmlformats.org/officeDocument/2006/relationships/hyperlink" Target="http://www.ny.gov.cn/art/2025/3/31/art_270689_18461.html" TargetMode="External"/><Relationship Id="rId40" Type="http://schemas.openxmlformats.org/officeDocument/2006/relationships/hyperlink" Target="https://www.lgxc.gov.cn/m/zdgkdetail.html?id=33952" TargetMode="External"/><Relationship Id="rId115" Type="http://schemas.openxmlformats.org/officeDocument/2006/relationships/hyperlink" Target="http://gk.chengdu.gov.cn/govInfoPub/detail.action?id=2421983&amp;tn=2" TargetMode="External"/><Relationship Id="rId136" Type="http://schemas.openxmlformats.org/officeDocument/2006/relationships/hyperlink" Target="http://fgw.panzhihua.gov.cn/zwgk/tzgg/4194488.shtml" TargetMode="External"/><Relationship Id="rId157" Type="http://schemas.openxmlformats.org/officeDocument/2006/relationships/hyperlink" Target="http://nyj.nmg.gov.cn/zwgk/zfxxgkzl/fdzdgknr/tzgg_16482/tz_16483/202207/t20220727_2094339.html" TargetMode="External"/><Relationship Id="rId178" Type="http://schemas.openxmlformats.org/officeDocument/2006/relationships/hyperlink" Target="http://www.jining.gov.cn/art/2021/6/30/art_59679_2747335.html" TargetMode="External"/><Relationship Id="rId301" Type="http://schemas.openxmlformats.org/officeDocument/2006/relationships/hyperlink" Target="https://www.tlb.gov.hk/tc/psp/pressreleases/transport/2024/20241115d_c2.pdf" TargetMode="External"/><Relationship Id="rId322" Type="http://schemas.openxmlformats.org/officeDocument/2006/relationships/hyperlink" Target="https://fgw.shanxi.gov.cn/sxfgwzwgk/sxsfgwxxgk/xxgkml/tz/202503/t20250320_9792699.shtml" TargetMode="External"/><Relationship Id="rId343" Type="http://schemas.openxmlformats.org/officeDocument/2006/relationships/hyperlink" Target="https://www.yl.gov.cn/zwgk/zc/qtwj/szfbwj/202506/t20250604_2005293.html" TargetMode="External"/><Relationship Id="rId364" Type="http://schemas.openxmlformats.org/officeDocument/2006/relationships/hyperlink" Target="https://www.jiashan.gov.cn/art/2025/7/4/art_1229373860_5541579.html" TargetMode="External"/><Relationship Id="rId61" Type="http://schemas.openxmlformats.org/officeDocument/2006/relationships/hyperlink" Target="http://www.jiaxing.gov.cn/art/2020/1/20/art_1580052_41773627.html" TargetMode="External"/><Relationship Id="rId82" Type="http://schemas.openxmlformats.org/officeDocument/2006/relationships/hyperlink" Target="http://www.weifang.gov.cn/xxgk/gb/doc_detail.html?xxid=5367216" TargetMode="External"/><Relationship Id="rId199" Type="http://schemas.openxmlformats.org/officeDocument/2006/relationships/hyperlink" Target="http://www.haiyan.gov.cn/art/2023/7/5/art_1229499157_2482591.html" TargetMode="External"/><Relationship Id="rId203" Type="http://schemas.openxmlformats.org/officeDocument/2006/relationships/hyperlink" Target="http://zfcxjst.gd.gov.cn/xxgk/wjtz/content/post_4208019.html" TargetMode="External"/><Relationship Id="rId385" Type="http://schemas.openxmlformats.org/officeDocument/2006/relationships/hyperlink" Target="https://www.deyang.gov.cn/gk/fjbm/jxj/zhengce/zcwj/1916099.htm" TargetMode="External"/><Relationship Id="rId19" Type="http://schemas.openxmlformats.org/officeDocument/2006/relationships/hyperlink" Target="http://www.shangdangqu.gov.cn/czxgk/zfxxgk/bmxxgk/zcbm/chnzfb/zfbgkml/chnl1999/201904/t20190409_1608107.html" TargetMode="External"/><Relationship Id="rId224" Type="http://schemas.openxmlformats.org/officeDocument/2006/relationships/hyperlink" Target="https://fgw.sz.gov.cn/zwgk/zcjzcjd/zc/content/post_11283945.html" TargetMode="External"/><Relationship Id="rId245" Type="http://schemas.openxmlformats.org/officeDocument/2006/relationships/hyperlink" Target="https://fzgg.tj.gov.cn/sy_47324/gabsycs/tzgggh/202406/t20240628_6663619.html" TargetMode="External"/><Relationship Id="rId266" Type="http://schemas.openxmlformats.org/officeDocument/2006/relationships/hyperlink" Target="http://jtyst.jl.gov.cn/zw_133208/tzgg/202408/t20240814_8945532.html" TargetMode="External"/><Relationship Id="rId287" Type="http://schemas.openxmlformats.org/officeDocument/2006/relationships/hyperlink" Target="https://kfqgw.beijing.gov.cn/zwgkkfq/2024zcwj/202411/t20241114_3941434.html" TargetMode="External"/><Relationship Id="rId410" Type="http://schemas.openxmlformats.org/officeDocument/2006/relationships/hyperlink" Target="https://cdjx.chengdu.gov.cn/cdsjxw/c132806/2025-11/05/content_5d26f18aa8c048de885cfbf04ea18465.shtml" TargetMode="External"/><Relationship Id="rId431" Type="http://schemas.openxmlformats.org/officeDocument/2006/relationships/hyperlink" Target="https://zjt.hunan.gov.cn/zjt/xxgk/xinxigongkaimulu/tzgg/tzgg2csjs/202603/t20260309_33929495.html" TargetMode="External"/><Relationship Id="rId30" Type="http://schemas.openxmlformats.org/officeDocument/2006/relationships/hyperlink" Target="http://www.changchun.gov.cn/zw_33994/zfwj/szfwj_108293/202011/t20201109_2531294.html" TargetMode="External"/><Relationship Id="rId105" Type="http://schemas.openxmlformats.org/officeDocument/2006/relationships/hyperlink" Target="http://www.nanhai.gov.cn/fsnh/wzjyh/fgj/zcwj/content/post_1466942.html" TargetMode="External"/><Relationship Id="rId126" Type="http://schemas.openxmlformats.org/officeDocument/2006/relationships/hyperlink" Target="http://wjbb.sft.henan.gov.cn/upload/HNGC/2022/04/14/20220414160710288.pdf" TargetMode="External"/><Relationship Id="rId147" Type="http://schemas.openxmlformats.org/officeDocument/2006/relationships/hyperlink" Target="https://www.fy.gov.cn/openness/detail/content/62c7a8388866888e4e8b4567.html" TargetMode="External"/><Relationship Id="rId168" Type="http://schemas.openxmlformats.org/officeDocument/2006/relationships/hyperlink" Target="http://sndrc.shaanxi.gov.cn/fgwj/2022nwj/jY32Qz.htm" TargetMode="External"/><Relationship Id="rId312" Type="http://schemas.openxmlformats.org/officeDocument/2006/relationships/hyperlink" Target="https://jtyst.henan.gov.cn/2025/01-20/3114241.html" TargetMode="External"/><Relationship Id="rId333" Type="http://schemas.openxmlformats.org/officeDocument/2006/relationships/hyperlink" Target="http://nyj.jl.gov.cn/zwgk/tzgg/202504/t20250425_3450937.html" TargetMode="External"/><Relationship Id="rId354" Type="http://schemas.openxmlformats.org/officeDocument/2006/relationships/hyperlink" Target="https://www.zzgx.gov.cn/tzgg/9400692.jhtml" TargetMode="External"/><Relationship Id="rId51" Type="http://schemas.openxmlformats.org/officeDocument/2006/relationships/hyperlink" Target="http://www.changshu.gov.cn/zgcs/c108192/202107/fc19c75d013444dbb04007942f8dcbf6.shtml" TargetMode="External"/><Relationship Id="rId72" Type="http://schemas.openxmlformats.org/officeDocument/2006/relationships/hyperlink" Target="http://www.luan.gov.cn/public/6608181/8594031.html" TargetMode="External"/><Relationship Id="rId93" Type="http://schemas.openxmlformats.org/officeDocument/2006/relationships/hyperlink" Target="http://www.hg.gov.cn/art/2020/11/13/art_13613_1346114.html" TargetMode="External"/><Relationship Id="rId189" Type="http://schemas.openxmlformats.org/officeDocument/2006/relationships/hyperlink" Target="https://pc.dl.gov.cn/art/2020/12/31/art_2481_510598.html" TargetMode="External"/><Relationship Id="rId375" Type="http://schemas.openxmlformats.org/officeDocument/2006/relationships/hyperlink" Target="https://jxgq.jiaxing.gov.cn/art/2025/8/26/art_1229398092_5588455.html" TargetMode="External"/><Relationship Id="rId396" Type="http://schemas.openxmlformats.org/officeDocument/2006/relationships/hyperlink" Target="https://jxj.beijing.gov.cn/zwgk/2024zcwj/202509/t20250930_4214616.html" TargetMode="External"/><Relationship Id="rId3" Type="http://schemas.openxmlformats.org/officeDocument/2006/relationships/hyperlink" Target="http://www.bjdx.gov.cn/bjsdxqrmzf/zwfw/zfwj67/zfwj/1453806/index.html" TargetMode="External"/><Relationship Id="rId214" Type="http://schemas.openxmlformats.org/officeDocument/2006/relationships/hyperlink" Target="https://www.zh.gov.cn/art/2024/4/3/art_1229034556_59321868.html" TargetMode="External"/><Relationship Id="rId235" Type="http://schemas.openxmlformats.org/officeDocument/2006/relationships/hyperlink" Target="https://sc.isd.gov.hk/TuniS/www.info.gov.hk/gia/general/202406/17/P2024061700421.htm?fontSize=1" TargetMode="External"/><Relationship Id="rId256" Type="http://schemas.openxmlformats.org/officeDocument/2006/relationships/hyperlink" Target="https://cdjx.chengdu.gov.cn/cdsjxw/c132827/2024-08/06/content_1935f02043fb463b9fbf1311c98435a1.shtml" TargetMode="External"/><Relationship Id="rId277" Type="http://schemas.openxmlformats.org/officeDocument/2006/relationships/hyperlink" Target="https://www.klmy.gov.cn/klmys/zdjcygk/202410/a9c6762cdf2e49579664556e81b848c8.shtml" TargetMode="External"/><Relationship Id="rId298" Type="http://schemas.openxmlformats.org/officeDocument/2006/relationships/hyperlink" Target="https://www.nanhai.gov.cn/fsnhq/bmdh/zfbm/qfgj/xxgkml/gzdt/content/post_5980067.html" TargetMode="External"/><Relationship Id="rId400" Type="http://schemas.openxmlformats.org/officeDocument/2006/relationships/hyperlink" Target="https://fgw.gz.gov.cn/tzgg/content/post_10469169.html" TargetMode="External"/><Relationship Id="rId421" Type="http://schemas.openxmlformats.org/officeDocument/2006/relationships/hyperlink" Target="https://jxj.wuhan.gov.cn/xwzx_9/tztg/202512/t20251215_2695336.html" TargetMode="External"/><Relationship Id="rId442" Type="http://schemas.openxmlformats.org/officeDocument/2006/relationships/hyperlink" Target="https://fgw.ningbo.gov.cn/col/col1229019928/art/2026/art_bc908174e7154990b74a1e0f7b0a7309.html" TargetMode="External"/><Relationship Id="rId116" Type="http://schemas.openxmlformats.org/officeDocument/2006/relationships/hyperlink" Target="http://www.lsz.gov.cn/xxgk/ghjh/zxghs/202109/t20210930_2027421.html" TargetMode="External"/><Relationship Id="rId137" Type="http://schemas.openxmlformats.org/officeDocument/2006/relationships/hyperlink" Target="http://new.tangshan.gov.cn/zhengwu/tssjhfa/20220607/1434235.html" TargetMode="External"/><Relationship Id="rId158" Type="http://schemas.openxmlformats.org/officeDocument/2006/relationships/hyperlink" Target="http://www.sheitc.sh.gov.cn/gg/20220113/2b19cb8ae7f24f669376bf4a9e1c31f1.html" TargetMode="External"/><Relationship Id="rId302" Type="http://schemas.openxmlformats.org/officeDocument/2006/relationships/hyperlink" Target="http://fgw.qinghai.gov.cn/zfxxgk/sdzdgknr/fgwwj/202412/t20241210_88260.html" TargetMode="External"/><Relationship Id="rId323" Type="http://schemas.openxmlformats.org/officeDocument/2006/relationships/hyperlink" Target="https://www.bjchp.gov.cn/cpqzf/xxgk2671/zcxwjyjzj/zjgg35/2025032409042713901/index.html" TargetMode="External"/><Relationship Id="rId344" Type="http://schemas.openxmlformats.org/officeDocument/2006/relationships/hyperlink" Target="https://www.nea.gov.cn/20250610/472b12c43f534aab9a95de81034dcd92/c.html" TargetMode="External"/><Relationship Id="rId20" Type="http://schemas.openxmlformats.org/officeDocument/2006/relationships/hyperlink" Target="http://www.dt.gov.cn/dtzww/szfwj1/202009/855ca69cf94b4d588a846f06d11af579.shtml" TargetMode="External"/><Relationship Id="rId41" Type="http://schemas.openxmlformats.org/officeDocument/2006/relationships/hyperlink" Target="https://www.lgxc.gov.cn/contents/25/34137.html" TargetMode="External"/><Relationship Id="rId62" Type="http://schemas.openxmlformats.org/officeDocument/2006/relationships/hyperlink" Target="http://www.jiaxing.gov.cn/art/2021/6/15/art_1229426374_2302539.html" TargetMode="External"/><Relationship Id="rId83" Type="http://schemas.openxmlformats.org/officeDocument/2006/relationships/hyperlink" Target="http://www.jining.gov.cn/art/2019/12/24/art_33386_2409266.html" TargetMode="External"/><Relationship Id="rId179" Type="http://schemas.openxmlformats.org/officeDocument/2006/relationships/hyperlink" Target="https://www.gz.gov.cn/gfxwj/qjgfxwj/hpq/qf/content/post_7329098.html" TargetMode="External"/><Relationship Id="rId365" Type="http://schemas.openxmlformats.org/officeDocument/2006/relationships/hyperlink" Target="https://www.nanhai.gov.cn/gkmlpt/content/6/6646/post_6646374.html" TargetMode="External"/><Relationship Id="rId386" Type="http://schemas.openxmlformats.org/officeDocument/2006/relationships/hyperlink" Target="https://jxj.beijing.gov.cn/zwgk/2024zcwj/202509/t20250917_4204166.html" TargetMode="External"/><Relationship Id="rId190" Type="http://schemas.openxmlformats.org/officeDocument/2006/relationships/hyperlink" Target="https://pc.dl.gov.cn/art/2021/4/12/art_2481_554091.html" TargetMode="External"/><Relationship Id="rId204" Type="http://schemas.openxmlformats.org/officeDocument/2006/relationships/hyperlink" Target="https://jjxxw.cq.gov.cn/zwgk_213/zcwj/qtwj/202003/t20200321_5932423_wap.html" TargetMode="External"/><Relationship Id="rId225" Type="http://schemas.openxmlformats.org/officeDocument/2006/relationships/hyperlink" Target="https://mp.weixin.qq.com/s/WoJDlwhjZUUC8MNnqXYO8w" TargetMode="External"/><Relationship Id="rId246" Type="http://schemas.openxmlformats.org/officeDocument/2006/relationships/hyperlink" Target="https://cdjx.chengdu.gov.cn/cdsjxw/c132827/2024-07/16/content_13a71697aa3b4978b5e043616535b739.shtml" TargetMode="External"/><Relationship Id="rId267" Type="http://schemas.openxmlformats.org/officeDocument/2006/relationships/hyperlink" Target="http://fgw.ningbo.gov.cn/art/2024/8/13/art_1229019928_58970128.html" TargetMode="External"/><Relationship Id="rId288" Type="http://schemas.openxmlformats.org/officeDocument/2006/relationships/hyperlink" Target="https://www.zhangye.gov.cn/zyszfxxgk/fdzdgknr_5657/qtfdzdgknr/zfgb/zfgb2023/zfgb11_2023/szfbgswj_202311/202401/t20240102_1165312.html" TargetMode="External"/><Relationship Id="rId411" Type="http://schemas.openxmlformats.org/officeDocument/2006/relationships/hyperlink" Target="https://fgw.gz.gov.cn/tzgg/content/post_10561425.html" TargetMode="External"/><Relationship Id="rId432" Type="http://schemas.openxmlformats.org/officeDocument/2006/relationships/hyperlink" Target="https://jst.sc.gov.cn/scjst/c101428/2025/4/14/11b9888637554369ae9a3945b8c3fd68.shtml" TargetMode="External"/><Relationship Id="rId106" Type="http://schemas.openxmlformats.org/officeDocument/2006/relationships/hyperlink" Target="http://www.nanhai.gov.cn/fsnhq/zwgk/xxgk/xxgkml/qrmzf/gzwj/qt/content/post_5041399.html" TargetMode="External"/><Relationship Id="rId127" Type="http://schemas.openxmlformats.org/officeDocument/2006/relationships/hyperlink" Target="https://www.yunfu.gov.cn/yfsrmzf/jcxxgk/zcfg/zfwj/content/post_3999.html" TargetMode="External"/><Relationship Id="rId313" Type="http://schemas.openxmlformats.org/officeDocument/2006/relationships/hyperlink" Target="https://www.zh.gov.cn/art/2025/1/17/art_1229821563_59374176.html" TargetMode="External"/><Relationship Id="rId10" Type="http://schemas.openxmlformats.org/officeDocument/2006/relationships/hyperlink" Target="http://hbdrc.hebei.gov.cn/web/web/xxgkcyfz/2c94738471165626017133be78c8417e.htm" TargetMode="External"/><Relationship Id="rId31" Type="http://schemas.openxmlformats.org/officeDocument/2006/relationships/hyperlink" Target="http://stcsm.sh.gov.cn/zwgk/ghjh/20170919/0016-20701.html" TargetMode="External"/><Relationship Id="rId52" Type="http://schemas.openxmlformats.org/officeDocument/2006/relationships/hyperlink" Target="http://www.zjg.gov.cn/zjg/zcfg1/201901/10fdbc99f2f64ebd8d2dee0ecc94c65d.shtml" TargetMode="External"/><Relationship Id="rId73" Type="http://schemas.openxmlformats.org/officeDocument/2006/relationships/hyperlink" Target="http://zjw.wuhu.gov.cn/xwzx/ztzl/rqgl/8262824.html" TargetMode="External"/><Relationship Id="rId94" Type="http://schemas.openxmlformats.org/officeDocument/2006/relationships/hyperlink" Target="http://www.lhk.gov.cn/gwgg/zfwj/201911/t20191119_1938081.shtml" TargetMode="External"/><Relationship Id="rId148" Type="http://schemas.openxmlformats.org/officeDocument/2006/relationships/hyperlink" Target="http://gxj.zhumadian.gov.cn/web/front/news/detail.php?newsid=31630" TargetMode="External"/><Relationship Id="rId169" Type="http://schemas.openxmlformats.org/officeDocument/2006/relationships/hyperlink" Target="https://fgw.sh.gov.cn/fgw_gjscy/20220826/d752e3ae307d42f5984a81491a8fea42.html" TargetMode="External"/><Relationship Id="rId334" Type="http://schemas.openxmlformats.org/officeDocument/2006/relationships/hyperlink" Target="https://jxj.wuhan.gov.cn/xwzx_9/tztg/202504/t20250429_2575270.html" TargetMode="External"/><Relationship Id="rId355" Type="http://schemas.openxmlformats.org/officeDocument/2006/relationships/hyperlink" Target="https://fgw.hubei.gov.cn/fbjd/xxgkml/jgzn/wgdw/nyj/nykjzbc/tzgg/202506/t20250613_5690136.shtml" TargetMode="External"/><Relationship Id="rId376" Type="http://schemas.openxmlformats.org/officeDocument/2006/relationships/hyperlink" Target="https://jxj.beijing.gov.cn/zwgk/2024zcwj/202509/t20250903_4190116.html" TargetMode="External"/><Relationship Id="rId397" Type="http://schemas.openxmlformats.org/officeDocument/2006/relationships/hyperlink" Target="http://www.rugao.gov.cn/rgsrmzf/szfwj/content/f4217b49-46c3-40fe-94c1-d56289c9321d.html" TargetMode="External"/><Relationship Id="rId4" Type="http://schemas.openxmlformats.org/officeDocument/2006/relationships/hyperlink" Target="http://www.bjchp.gov.cn/cpqzf/xxgkzl/fdzdgknr/lzyj/wbj55/qzfb59/cp5456161/index.html" TargetMode="External"/><Relationship Id="rId180" Type="http://schemas.openxmlformats.org/officeDocument/2006/relationships/hyperlink" Target="http://www.hp.gov.cn/gzjg/qzfgwhgzbm/qfzhggj/tzgg/content/post_8073970.html" TargetMode="External"/><Relationship Id="rId215" Type="http://schemas.openxmlformats.org/officeDocument/2006/relationships/hyperlink" Target="http://cgj.panzhihua.gov.cn/hdjl/yjzj/yjzj/10062612.shtml" TargetMode="External"/><Relationship Id="rId236" Type="http://schemas.openxmlformats.org/officeDocument/2006/relationships/hyperlink" Target="https://sheitc.sh.gov.cn/gg/20240604/a9687c3e61984872bd933bc33a7ec7a4.html" TargetMode="External"/><Relationship Id="rId257" Type="http://schemas.openxmlformats.org/officeDocument/2006/relationships/hyperlink" Target="https://scjgj.sc.gov.cn/scjgj/zcqtwj/2024/8/6/d2aff0e8dc364290bbb9eec7957fee19.shtml" TargetMode="External"/><Relationship Id="rId278" Type="http://schemas.openxmlformats.org/officeDocument/2006/relationships/hyperlink" Target="https://www.shanghai.gov.cn/gwk/search/content/4a0d56d427384947a4906d73c6562739" TargetMode="External"/><Relationship Id="rId401" Type="http://schemas.openxmlformats.org/officeDocument/2006/relationships/hyperlink" Target="https://www.haiyan.gov.cn/col/col1229436892/art/2025/art_7708d7dd629d464f8a1938e7812eec05.html" TargetMode="External"/><Relationship Id="rId422" Type="http://schemas.openxmlformats.org/officeDocument/2006/relationships/hyperlink" Target="https://law.moj.gov.tw/LawClass/LawAll.aspx?pcode=J0130098" TargetMode="External"/><Relationship Id="rId443" Type="http://schemas.openxmlformats.org/officeDocument/2006/relationships/hyperlink" Target="https://gxj.zhengzhou.gov.cn/tzgg/10059224.jhtml" TargetMode="External"/><Relationship Id="rId303" Type="http://schemas.openxmlformats.org/officeDocument/2006/relationships/hyperlink" Target="https://minyi.zjzwfw.gov.cn/dczjnewls/dczj/idea/topic_19587.html" TargetMode="External"/><Relationship Id="rId42" Type="http://schemas.openxmlformats.org/officeDocument/2006/relationships/hyperlink" Target="https://www.lgxc.gov.cn/contents/25/34971.html" TargetMode="External"/><Relationship Id="rId84" Type="http://schemas.openxmlformats.org/officeDocument/2006/relationships/hyperlink" Target="http://www.jining.gov.cn/art/2020/12/19/art_33386_2714795.html" TargetMode="External"/><Relationship Id="rId138" Type="http://schemas.openxmlformats.org/officeDocument/2006/relationships/hyperlink" Target="http://cdjx.chengdu.gov.cn/cdsjxw/c132827/2022-06/14/content_7571feb4555e4fe5b0b1c17b68b22564.shtml" TargetMode="External"/><Relationship Id="rId345" Type="http://schemas.openxmlformats.org/officeDocument/2006/relationships/hyperlink" Target="https://www.hunan.gov.cn/hnszf/szf/hnzb_18/202501/202511/szfbmwj_98721_88_1urmmqrurrdbvpccutqhrmsteguugvmdqkupkguegktvspfmfnnccnmvnkhnueqhqrmcrunhkbqgcqshkecsrgbn/202506/t20250613_33708445.html" TargetMode="External"/><Relationship Id="rId387" Type="http://schemas.openxmlformats.org/officeDocument/2006/relationships/hyperlink" Target="https://zjj.nanning.gov.cn/dtzx/tzgg/zhgl/t6421579.html" TargetMode="External"/><Relationship Id="rId191" Type="http://schemas.openxmlformats.org/officeDocument/2006/relationships/hyperlink" Target="https://pc.dl.gov.cn/art/2021/6/15/art_2480_701034.html" TargetMode="External"/><Relationship Id="rId205" Type="http://schemas.openxmlformats.org/officeDocument/2006/relationships/hyperlink" Target="https://www.cq.gov.cn/zwgk/zfxxgkml/szfwj/xzgfxwj/szfbgt/202111/t20211119_9998893.html" TargetMode="External"/><Relationship Id="rId247" Type="http://schemas.openxmlformats.org/officeDocument/2006/relationships/hyperlink" Target="https://www.hp.gov.cn/gzjg/qzfgwhgzbm/qfzhggj/tzgg/content/post_9672376.html" TargetMode="External"/><Relationship Id="rId412" Type="http://schemas.openxmlformats.org/officeDocument/2006/relationships/hyperlink" Target="https://jjxxw.cq.gov.cn/hdjl_213/yjzj/detail.html?id=7138" TargetMode="External"/><Relationship Id="rId107" Type="http://schemas.openxmlformats.org/officeDocument/2006/relationships/hyperlink" Target="http://fgw.sz.gov.cn/zwgk/qt/tzgg/content/post_9459760.html" TargetMode="External"/><Relationship Id="rId289" Type="http://schemas.openxmlformats.org/officeDocument/2006/relationships/hyperlink" Target="http://www.anshan.gov.cn/html/ASSZF/202108/0172301012141586.html" TargetMode="External"/><Relationship Id="rId11" Type="http://schemas.openxmlformats.org/officeDocument/2006/relationships/hyperlink" Target="http://hbdrc.hebei.gov.cn/web/web/xxgkxmtz/2c947384780f55a6017824c00eaa4b6d.htm" TargetMode="External"/><Relationship Id="rId53" Type="http://schemas.openxmlformats.org/officeDocument/2006/relationships/hyperlink" Target="http://www.zjg.gov.cn/zjg/gcgh/201906/5e6366ee30c043baa0327587f9185432.shtml" TargetMode="External"/><Relationship Id="rId149" Type="http://schemas.openxmlformats.org/officeDocument/2006/relationships/hyperlink" Target="http://new.tangshan.gov.cn/zhengwu/szfjbgswj/20220708/1442812.html" TargetMode="External"/><Relationship Id="rId314" Type="http://schemas.openxmlformats.org/officeDocument/2006/relationships/hyperlink" Target="https://www.klmy.gov.cn/klmys/szfbmxzgfxwj/202408/3381fc5f6420469abf82001aa9b98f5f.shtml" TargetMode="External"/><Relationship Id="rId356" Type="http://schemas.openxmlformats.org/officeDocument/2006/relationships/hyperlink" Target="https://drc.gd.gov.cn/snyj/tzgg/content/post_4732404.html" TargetMode="External"/><Relationship Id="rId398" Type="http://schemas.openxmlformats.org/officeDocument/2006/relationships/hyperlink" Target="http://www.ks.gov.cn/kss/lsdc/202009/30987555c4a54e64a3e38b25fb175edb.shtml" TargetMode="External"/><Relationship Id="rId95" Type="http://schemas.openxmlformats.org/officeDocument/2006/relationships/hyperlink" Target="http://www.lhk.gov.cn/gwgg/zfwj/201909/t20190929_1903110.shtml" TargetMode="External"/><Relationship Id="rId160" Type="http://schemas.openxmlformats.org/officeDocument/2006/relationships/hyperlink" Target="http://www.puyang.gov.cn/shownews.asp?id=1000004106" TargetMode="External"/><Relationship Id="rId216" Type="http://schemas.openxmlformats.org/officeDocument/2006/relationships/hyperlink" Target="https://kfqgw.beijing.gov.cn/zwgkkfq/tzgg/202404/t20240410_3615343.html" TargetMode="External"/><Relationship Id="rId423" Type="http://schemas.openxmlformats.org/officeDocument/2006/relationships/hyperlink" Target="https://www.moeaea.gov.tw/ECW/populace/content/Content.aspx?menu_id=26890" TargetMode="External"/><Relationship Id="rId258" Type="http://schemas.openxmlformats.org/officeDocument/2006/relationships/hyperlink" Target="http://fgw.shenyang.gov.cn/zwgk/fdzdgknr/bmwj/202407/t20240731_4708973.html" TargetMode="External"/><Relationship Id="rId22" Type="http://schemas.openxmlformats.org/officeDocument/2006/relationships/hyperlink" Target="https://www.nmg.gov.cn/zfbgt/zwgk/zzqwj/202203/t20220303_2012066.html" TargetMode="External"/><Relationship Id="rId64" Type="http://schemas.openxmlformats.org/officeDocument/2006/relationships/hyperlink" Target="http://jxj.jiaxing.gov.cn/art/2022/1/24/art_1599223_40.html" TargetMode="External"/><Relationship Id="rId118" Type="http://schemas.openxmlformats.org/officeDocument/2006/relationships/hyperlink" Target="http://www.nx.gov.cn/zwgk/gfxwj/202005/t20200506_2055453.html" TargetMode="External"/><Relationship Id="rId325" Type="http://schemas.openxmlformats.org/officeDocument/2006/relationships/hyperlink" Target="https://gxt.hunan.gov.cn/gxt/xxgk_71033/tzgg/202503/t20250328_33625229.html" TargetMode="External"/><Relationship Id="rId367" Type="http://schemas.openxmlformats.org/officeDocument/2006/relationships/hyperlink" Target="https://cdjx.chengdu.gov.cn/cdsjxw/c132827/2025-08/11/content_8647c0dee4654029b8f89af28260e7a7.shtml" TargetMode="External"/><Relationship Id="rId171" Type="http://schemas.openxmlformats.org/officeDocument/2006/relationships/hyperlink" Target="http://nyj.shandong.gov.cn/art/2021/4/13/art_59960_10286772.html" TargetMode="External"/><Relationship Id="rId227" Type="http://schemas.openxmlformats.org/officeDocument/2006/relationships/hyperlink" Target="https://fgw.yancheng.gov.cn/dczj/dczj/idea/topic_11419.html" TargetMode="External"/><Relationship Id="rId269" Type="http://schemas.openxmlformats.org/officeDocument/2006/relationships/hyperlink" Target="https://snamr.shaanxi.gov.cn/info/1822/30461.htm" TargetMode="External"/><Relationship Id="rId434" Type="http://schemas.openxmlformats.org/officeDocument/2006/relationships/hyperlink" Target="https://www.baotou.gov.cn/zfxxgk/zc/zc_xzgfxwj/zfjqbm/szfhcxjsj/202601/t20260108_72424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049DB-7D6A-4B33-B532-074C2F0B1E41}">
  <dimension ref="A1:IQ109"/>
  <sheetViews>
    <sheetView tabSelected="1" workbookViewId="0">
      <pane ySplit="1" topLeftCell="A2" activePane="bottomLeft" state="frozen"/>
      <selection pane="bottomLeft" activeCell="N25" sqref="N25"/>
    </sheetView>
  </sheetViews>
  <sheetFormatPr defaultColWidth="25.59765625" defaultRowHeight="30" customHeight="1" x14ac:dyDescent="0.3"/>
  <cols>
    <col min="1" max="1" width="5.59765625" style="128" customWidth="1"/>
    <col min="2" max="8" width="10.59765625" style="123" customWidth="1"/>
    <col min="9" max="10" width="30.46484375" style="123" customWidth="1"/>
    <col min="11" max="11" width="10.796875" style="123" customWidth="1"/>
    <col min="12" max="12" width="5.59765625" style="123" customWidth="1"/>
    <col min="13" max="13" width="25.59765625" style="129"/>
    <col min="14" max="251" width="25.59765625" style="123"/>
  </cols>
  <sheetData>
    <row r="1" spans="1:13" s="123" customFormat="1" ht="30" customHeight="1" x14ac:dyDescent="0.3">
      <c r="A1" s="122" t="s">
        <v>0</v>
      </c>
      <c r="B1" s="122" t="s">
        <v>597</v>
      </c>
      <c r="C1" s="122"/>
      <c r="D1" s="122" t="s">
        <v>3341</v>
      </c>
      <c r="E1" s="122" t="s">
        <v>3342</v>
      </c>
      <c r="F1" s="122" t="s">
        <v>3343</v>
      </c>
      <c r="G1" s="122" t="s">
        <v>3344</v>
      </c>
      <c r="H1" s="122" t="s">
        <v>3345</v>
      </c>
      <c r="I1" s="122" t="s">
        <v>302</v>
      </c>
      <c r="J1" s="122" t="s">
        <v>3346</v>
      </c>
      <c r="K1" s="122" t="s">
        <v>303</v>
      </c>
      <c r="L1" s="122"/>
      <c r="M1" s="122" t="s">
        <v>594</v>
      </c>
    </row>
    <row r="2" spans="1:13" s="123" customFormat="1" ht="30" customHeight="1" x14ac:dyDescent="0.3">
      <c r="A2" s="122"/>
      <c r="B2" s="122" t="s">
        <v>3347</v>
      </c>
      <c r="C2" s="122"/>
      <c r="D2" s="122"/>
      <c r="E2" s="122"/>
      <c r="F2" s="124">
        <v>96.1</v>
      </c>
      <c r="G2" s="124">
        <v>101.33</v>
      </c>
      <c r="H2" s="124">
        <v>110.05</v>
      </c>
      <c r="I2" s="122"/>
      <c r="J2" s="122"/>
      <c r="K2" s="122"/>
      <c r="L2" s="122"/>
      <c r="M2" s="122"/>
    </row>
    <row r="3" spans="1:13" s="127" customFormat="1" ht="30" customHeight="1" x14ac:dyDescent="0.3">
      <c r="A3" s="41">
        <v>1</v>
      </c>
      <c r="B3" s="41" t="s">
        <v>3348</v>
      </c>
      <c r="C3" s="41" t="s">
        <v>3349</v>
      </c>
      <c r="D3" s="41" t="s">
        <v>3350</v>
      </c>
      <c r="E3" s="41">
        <v>2050</v>
      </c>
      <c r="F3" s="41">
        <v>4.9400000000000004</v>
      </c>
      <c r="G3" s="41">
        <v>4.2300000000000004</v>
      </c>
      <c r="H3" s="41">
        <v>4.07</v>
      </c>
      <c r="I3" s="41" t="s">
        <v>3351</v>
      </c>
      <c r="J3" s="41" t="s">
        <v>3352</v>
      </c>
      <c r="K3" s="125">
        <v>43070</v>
      </c>
      <c r="L3" s="41"/>
      <c r="M3" s="126" t="s">
        <v>3353</v>
      </c>
    </row>
    <row r="4" spans="1:13" s="127" customFormat="1" ht="30" customHeight="1" x14ac:dyDescent="0.3">
      <c r="A4" s="41"/>
      <c r="B4" s="41"/>
      <c r="C4" s="41"/>
      <c r="D4" s="41"/>
      <c r="E4" s="41"/>
      <c r="F4" s="41"/>
      <c r="G4" s="41"/>
      <c r="H4" s="41"/>
      <c r="I4" s="41" t="s">
        <v>3354</v>
      </c>
      <c r="J4" s="41" t="s">
        <v>3355</v>
      </c>
      <c r="K4" s="125"/>
      <c r="L4" s="41"/>
      <c r="M4" s="126"/>
    </row>
    <row r="5" spans="1:13" s="127" customFormat="1" ht="30" customHeight="1" x14ac:dyDescent="0.3">
      <c r="A5" s="41"/>
      <c r="B5" s="41"/>
      <c r="C5" s="41"/>
      <c r="D5" s="41"/>
      <c r="E5" s="41"/>
      <c r="F5" s="41"/>
      <c r="G5" s="41"/>
      <c r="H5" s="41"/>
      <c r="I5" s="41" t="s">
        <v>3356</v>
      </c>
      <c r="J5" s="41" t="s">
        <v>3352</v>
      </c>
      <c r="K5" s="125">
        <v>45078</v>
      </c>
      <c r="L5" s="41"/>
      <c r="M5" s="126" t="s">
        <v>3357</v>
      </c>
    </row>
    <row r="6" spans="1:13" s="127" customFormat="1" ht="30" customHeight="1" x14ac:dyDescent="0.3">
      <c r="A6" s="41">
        <v>2</v>
      </c>
      <c r="B6" s="41" t="s">
        <v>3358</v>
      </c>
      <c r="C6" s="41" t="s">
        <v>3359</v>
      </c>
      <c r="D6" s="41" t="s">
        <v>3360</v>
      </c>
      <c r="E6" s="41">
        <v>2050</v>
      </c>
      <c r="F6" s="41" t="s">
        <v>3361</v>
      </c>
      <c r="G6" s="41">
        <v>2.78</v>
      </c>
      <c r="H6" s="41">
        <v>3.17</v>
      </c>
      <c r="I6" s="41" t="s">
        <v>3362</v>
      </c>
      <c r="J6" s="41" t="s">
        <v>3363</v>
      </c>
      <c r="K6" s="125">
        <v>43252</v>
      </c>
      <c r="L6" s="41"/>
      <c r="M6" s="126"/>
    </row>
    <row r="7" spans="1:13" s="127" customFormat="1" ht="30" customHeight="1" x14ac:dyDescent="0.3">
      <c r="A7" s="41"/>
      <c r="B7" s="41"/>
      <c r="C7" s="41"/>
      <c r="D7" s="41"/>
      <c r="E7" s="41"/>
      <c r="F7" s="41"/>
      <c r="G7" s="41"/>
      <c r="H7" s="41"/>
      <c r="I7" s="41" t="s">
        <v>3364</v>
      </c>
      <c r="J7" s="41" t="s">
        <v>3365</v>
      </c>
      <c r="K7" s="125">
        <v>44075</v>
      </c>
      <c r="L7" s="41"/>
      <c r="M7" s="126" t="s">
        <v>3366</v>
      </c>
    </row>
    <row r="8" spans="1:13" s="127" customFormat="1" ht="30" customHeight="1" x14ac:dyDescent="0.3">
      <c r="A8" s="41"/>
      <c r="B8" s="41"/>
      <c r="C8" s="41"/>
      <c r="D8" s="41"/>
      <c r="E8" s="41"/>
      <c r="F8" s="41"/>
      <c r="G8" s="41"/>
      <c r="H8" s="41"/>
      <c r="I8" s="41" t="s">
        <v>3367</v>
      </c>
      <c r="J8" s="41" t="s">
        <v>3368</v>
      </c>
      <c r="K8" s="125">
        <v>45748</v>
      </c>
      <c r="L8" s="41"/>
      <c r="M8" s="126" t="s">
        <v>3369</v>
      </c>
    </row>
    <row r="9" spans="1:13" s="127" customFormat="1" ht="30" customHeight="1" x14ac:dyDescent="0.3">
      <c r="A9" s="41">
        <v>3</v>
      </c>
      <c r="B9" s="41" t="s">
        <v>3370</v>
      </c>
      <c r="C9" s="41" t="s">
        <v>3371</v>
      </c>
      <c r="D9" s="41" t="s">
        <v>3350</v>
      </c>
      <c r="E9" s="41">
        <v>2050</v>
      </c>
      <c r="F9" s="41">
        <v>1.8</v>
      </c>
      <c r="G9" s="41">
        <v>1.67</v>
      </c>
      <c r="H9" s="41">
        <v>1.87</v>
      </c>
      <c r="I9" s="41" t="s">
        <v>3372</v>
      </c>
      <c r="J9" s="41" t="s">
        <v>3373</v>
      </c>
      <c r="K9" s="125">
        <v>43466</v>
      </c>
      <c r="L9" s="41"/>
      <c r="M9" s="126"/>
    </row>
    <row r="10" spans="1:13" s="127" customFormat="1" ht="30" customHeight="1" x14ac:dyDescent="0.3">
      <c r="A10" s="41"/>
      <c r="B10" s="41"/>
      <c r="C10" s="41"/>
      <c r="D10" s="41"/>
      <c r="E10" s="41"/>
      <c r="F10" s="41"/>
      <c r="G10" s="41"/>
      <c r="H10" s="41"/>
      <c r="I10" s="41" t="s">
        <v>3374</v>
      </c>
      <c r="J10" s="41" t="s">
        <v>3373</v>
      </c>
      <c r="K10" s="125">
        <v>44228</v>
      </c>
      <c r="L10" s="41"/>
      <c r="M10" s="126"/>
    </row>
    <row r="11" spans="1:13" s="127" customFormat="1" ht="30" customHeight="1" x14ac:dyDescent="0.3">
      <c r="A11" s="41"/>
      <c r="B11" s="41"/>
      <c r="C11" s="41"/>
      <c r="D11" s="41"/>
      <c r="E11" s="41"/>
      <c r="F11" s="41"/>
      <c r="G11" s="41"/>
      <c r="H11" s="41"/>
      <c r="I11" s="41" t="s">
        <v>3375</v>
      </c>
      <c r="J11" s="41" t="s">
        <v>3373</v>
      </c>
      <c r="K11" s="125">
        <v>44470</v>
      </c>
      <c r="L11" s="41"/>
      <c r="M11" s="126"/>
    </row>
    <row r="12" spans="1:13" s="127" customFormat="1" ht="30" customHeight="1" x14ac:dyDescent="0.3">
      <c r="A12" s="41">
        <v>4</v>
      </c>
      <c r="B12" s="41" t="s">
        <v>3376</v>
      </c>
      <c r="C12" s="41" t="s">
        <v>3377</v>
      </c>
      <c r="D12" s="41" t="s">
        <v>3378</v>
      </c>
      <c r="E12" s="41">
        <v>2050</v>
      </c>
      <c r="F12" s="41">
        <v>0.25</v>
      </c>
      <c r="G12" s="41">
        <v>0.25</v>
      </c>
      <c r="H12" s="41">
        <v>0.25</v>
      </c>
      <c r="I12" s="41" t="s">
        <v>3379</v>
      </c>
      <c r="J12" s="41" t="s">
        <v>3380</v>
      </c>
      <c r="K12" s="125">
        <v>43709</v>
      </c>
      <c r="L12" s="41"/>
      <c r="M12" s="126" t="s">
        <v>3381</v>
      </c>
    </row>
    <row r="13" spans="1:13" s="127" customFormat="1" ht="30" customHeight="1" x14ac:dyDescent="0.3">
      <c r="A13" s="41"/>
      <c r="B13" s="41"/>
      <c r="C13" s="41"/>
      <c r="D13" s="41"/>
      <c r="E13" s="41"/>
      <c r="F13" s="41"/>
      <c r="G13" s="41"/>
      <c r="H13" s="41"/>
      <c r="I13" s="41" t="s">
        <v>3382</v>
      </c>
      <c r="J13" s="41"/>
      <c r="K13" s="125">
        <v>45597</v>
      </c>
      <c r="L13" s="41"/>
      <c r="M13" s="126" t="s">
        <v>3383</v>
      </c>
    </row>
    <row r="14" spans="1:13" s="127" customFormat="1" ht="30" customHeight="1" x14ac:dyDescent="0.3">
      <c r="A14" s="41">
        <v>5</v>
      </c>
      <c r="B14" s="41" t="s">
        <v>3384</v>
      </c>
      <c r="C14" s="41" t="s">
        <v>3385</v>
      </c>
      <c r="D14" s="41" t="s">
        <v>3378</v>
      </c>
      <c r="E14" s="41">
        <v>2050</v>
      </c>
      <c r="F14" s="41">
        <v>1.54</v>
      </c>
      <c r="G14" s="41">
        <v>1.69</v>
      </c>
      <c r="H14" s="41">
        <v>1.8</v>
      </c>
      <c r="I14" s="41" t="s">
        <v>3386</v>
      </c>
      <c r="J14" s="41" t="s">
        <v>3387</v>
      </c>
      <c r="K14" s="125">
        <v>43770</v>
      </c>
      <c r="L14" s="41"/>
      <c r="M14" s="126" t="s">
        <v>3388</v>
      </c>
    </row>
    <row r="15" spans="1:13" s="127" customFormat="1" ht="30" customHeight="1" x14ac:dyDescent="0.3">
      <c r="A15" s="41"/>
      <c r="B15" s="41"/>
      <c r="C15" s="41"/>
      <c r="D15" s="41"/>
      <c r="E15" s="41"/>
      <c r="F15" s="41"/>
      <c r="G15" s="41"/>
      <c r="H15" s="41"/>
      <c r="I15" s="41" t="s">
        <v>3389</v>
      </c>
      <c r="J15" s="41" t="s">
        <v>3390</v>
      </c>
      <c r="K15" s="125">
        <v>45536</v>
      </c>
      <c r="L15" s="41"/>
      <c r="M15" s="126" t="s">
        <v>3391</v>
      </c>
    </row>
    <row r="16" spans="1:13" s="127" customFormat="1" ht="30" customHeight="1" x14ac:dyDescent="0.3">
      <c r="A16" s="41">
        <v>6</v>
      </c>
      <c r="B16" s="41" t="s">
        <v>3392</v>
      </c>
      <c r="C16" s="41" t="s">
        <v>3393</v>
      </c>
      <c r="D16" s="41" t="s">
        <v>3360</v>
      </c>
      <c r="E16" s="41"/>
      <c r="F16" s="41" t="s">
        <v>3361</v>
      </c>
      <c r="G16" s="41">
        <v>1.01</v>
      </c>
      <c r="H16" s="41">
        <v>1.22</v>
      </c>
      <c r="I16" s="41" t="s">
        <v>3386</v>
      </c>
      <c r="J16" s="41" t="s">
        <v>3394</v>
      </c>
      <c r="K16" s="125">
        <v>43922</v>
      </c>
      <c r="L16" s="41"/>
      <c r="M16" s="126" t="s">
        <v>3395</v>
      </c>
    </row>
    <row r="17" spans="1:13" s="127" customFormat="1" ht="30" customHeight="1" x14ac:dyDescent="0.3">
      <c r="A17" s="41">
        <v>7</v>
      </c>
      <c r="B17" s="41" t="s">
        <v>3396</v>
      </c>
      <c r="C17" s="41" t="s">
        <v>3397</v>
      </c>
      <c r="D17" s="41" t="s">
        <v>3360</v>
      </c>
      <c r="E17" s="41"/>
      <c r="F17" s="41">
        <v>0.48</v>
      </c>
      <c r="G17" s="41">
        <v>0.57999999999999996</v>
      </c>
      <c r="H17" s="41">
        <v>0.5</v>
      </c>
      <c r="I17" s="41" t="s">
        <v>3386</v>
      </c>
      <c r="J17" s="41" t="s">
        <v>3398</v>
      </c>
      <c r="K17" s="125">
        <v>43983</v>
      </c>
      <c r="L17" s="41"/>
      <c r="M17" s="126" t="s">
        <v>3399</v>
      </c>
    </row>
    <row r="18" spans="1:13" s="127" customFormat="1" ht="30" customHeight="1" x14ac:dyDescent="0.3">
      <c r="A18" s="41"/>
      <c r="B18" s="41"/>
      <c r="C18" s="41"/>
      <c r="D18" s="41"/>
      <c r="E18" s="41"/>
      <c r="F18" s="41"/>
      <c r="G18" s="41"/>
      <c r="H18" s="41"/>
      <c r="I18" s="41" t="s">
        <v>3400</v>
      </c>
      <c r="J18" s="41" t="s">
        <v>3401</v>
      </c>
      <c r="K18" s="125">
        <v>44348</v>
      </c>
      <c r="L18" s="41" t="s">
        <v>3402</v>
      </c>
      <c r="M18" s="126" t="s">
        <v>3403</v>
      </c>
    </row>
    <row r="19" spans="1:13" s="127" customFormat="1" ht="30" customHeight="1" x14ac:dyDescent="0.3">
      <c r="A19" s="41">
        <v>8</v>
      </c>
      <c r="B19" s="41" t="s">
        <v>3404</v>
      </c>
      <c r="C19" s="41" t="s">
        <v>3405</v>
      </c>
      <c r="D19" s="41" t="s">
        <v>3360</v>
      </c>
      <c r="E19" s="41">
        <v>2045</v>
      </c>
      <c r="F19" s="41" t="s">
        <v>3361</v>
      </c>
      <c r="G19" s="41">
        <v>4.08</v>
      </c>
      <c r="H19" s="41">
        <v>4.71</v>
      </c>
      <c r="I19" s="41" t="s">
        <v>3386</v>
      </c>
      <c r="J19" s="41" t="s">
        <v>3406</v>
      </c>
      <c r="K19" s="125">
        <v>43983</v>
      </c>
      <c r="L19" s="41"/>
      <c r="M19" s="126" t="s">
        <v>3407</v>
      </c>
    </row>
    <row r="20" spans="1:13" s="127" customFormat="1" ht="30" customHeight="1" x14ac:dyDescent="0.3">
      <c r="A20" s="41"/>
      <c r="B20" s="41"/>
      <c r="C20" s="41"/>
      <c r="D20" s="41"/>
      <c r="E20" s="41"/>
      <c r="F20" s="41"/>
      <c r="G20" s="41"/>
      <c r="H20" s="41"/>
      <c r="I20" s="41" t="s">
        <v>3408</v>
      </c>
      <c r="J20" s="41" t="s">
        <v>3409</v>
      </c>
      <c r="K20" s="125">
        <v>44378</v>
      </c>
      <c r="L20" s="41"/>
      <c r="M20" s="126" t="s">
        <v>3410</v>
      </c>
    </row>
    <row r="21" spans="1:13" s="127" customFormat="1" ht="30" customHeight="1" x14ac:dyDescent="0.3">
      <c r="A21" s="41"/>
      <c r="B21" s="41"/>
      <c r="C21" s="41"/>
      <c r="D21" s="41"/>
      <c r="E21" s="41"/>
      <c r="F21" s="41"/>
      <c r="G21" s="41"/>
      <c r="H21" s="41"/>
      <c r="I21" s="41" t="s">
        <v>3411</v>
      </c>
      <c r="J21" s="41" t="s">
        <v>3406</v>
      </c>
      <c r="K21" s="125">
        <v>45108</v>
      </c>
      <c r="L21" s="41"/>
      <c r="M21" s="126" t="s">
        <v>3412</v>
      </c>
    </row>
    <row r="22" spans="1:13" s="127" customFormat="1" ht="30" customHeight="1" x14ac:dyDescent="0.3">
      <c r="A22" s="41"/>
      <c r="B22" s="41"/>
      <c r="C22" s="41"/>
      <c r="D22" s="41"/>
      <c r="E22" s="41"/>
      <c r="F22" s="41"/>
      <c r="G22" s="41"/>
      <c r="H22" s="41"/>
      <c r="I22" s="41" t="s">
        <v>3413</v>
      </c>
      <c r="J22" s="41" t="s">
        <v>3406</v>
      </c>
      <c r="K22" s="125">
        <v>45413</v>
      </c>
      <c r="L22" s="41"/>
      <c r="M22" s="126" t="s">
        <v>3414</v>
      </c>
    </row>
    <row r="23" spans="1:13" s="127" customFormat="1" ht="30" customHeight="1" x14ac:dyDescent="0.3">
      <c r="A23" s="41"/>
      <c r="B23" s="41"/>
      <c r="C23" s="41"/>
      <c r="D23" s="41"/>
      <c r="E23" s="41"/>
      <c r="F23" s="41"/>
      <c r="G23" s="41"/>
      <c r="H23" s="41"/>
      <c r="I23" s="41" t="s">
        <v>3415</v>
      </c>
      <c r="J23" s="41" t="s">
        <v>3406</v>
      </c>
      <c r="K23" s="125">
        <v>45474</v>
      </c>
      <c r="L23" s="41"/>
      <c r="M23" s="126" t="s">
        <v>3416</v>
      </c>
    </row>
    <row r="24" spans="1:13" s="127" customFormat="1" ht="30" customHeight="1" x14ac:dyDescent="0.3">
      <c r="A24" s="41">
        <v>9</v>
      </c>
      <c r="B24" s="41" t="s">
        <v>3417</v>
      </c>
      <c r="C24" s="41" t="s">
        <v>3418</v>
      </c>
      <c r="D24" s="41" t="s">
        <v>3360</v>
      </c>
      <c r="E24" s="41">
        <v>2050</v>
      </c>
      <c r="F24" s="41"/>
      <c r="G24" s="41"/>
      <c r="H24" s="41"/>
      <c r="I24" s="41" t="s">
        <v>3419</v>
      </c>
      <c r="J24" s="41" t="s">
        <v>3420</v>
      </c>
      <c r="K24" s="125">
        <v>44013</v>
      </c>
      <c r="L24" s="41"/>
      <c r="M24" s="126" t="s">
        <v>3421</v>
      </c>
    </row>
    <row r="25" spans="1:13" s="127" customFormat="1" ht="30" customHeight="1" x14ac:dyDescent="0.3">
      <c r="A25" s="41">
        <v>10</v>
      </c>
      <c r="B25" s="41" t="s">
        <v>3422</v>
      </c>
      <c r="C25" s="41" t="s">
        <v>3423</v>
      </c>
      <c r="D25" s="41" t="s">
        <v>3360</v>
      </c>
      <c r="E25" s="41">
        <v>2050</v>
      </c>
      <c r="F25" s="41" t="s">
        <v>3361</v>
      </c>
      <c r="G25" s="41">
        <v>0.26</v>
      </c>
      <c r="H25" s="41">
        <v>0.3</v>
      </c>
      <c r="I25" s="41" t="s">
        <v>3424</v>
      </c>
      <c r="J25" s="41" t="s">
        <v>3425</v>
      </c>
      <c r="K25" s="125">
        <v>44013</v>
      </c>
      <c r="L25" s="41"/>
      <c r="M25" s="126" t="s">
        <v>3426</v>
      </c>
    </row>
    <row r="26" spans="1:13" s="127" customFormat="1" ht="30" customHeight="1" x14ac:dyDescent="0.3">
      <c r="A26" s="41">
        <v>11</v>
      </c>
      <c r="B26" s="41" t="s">
        <v>3427</v>
      </c>
      <c r="C26" s="41" t="s">
        <v>3428</v>
      </c>
      <c r="D26" s="41" t="s">
        <v>3360</v>
      </c>
      <c r="E26" s="41">
        <v>2050</v>
      </c>
      <c r="F26" s="41" t="s">
        <v>3361</v>
      </c>
      <c r="G26" s="41">
        <v>1.42</v>
      </c>
      <c r="H26" s="41">
        <v>1.73</v>
      </c>
      <c r="I26" s="41" t="s">
        <v>3429</v>
      </c>
      <c r="J26" s="41" t="s">
        <v>3430</v>
      </c>
      <c r="K26" s="125">
        <v>44105</v>
      </c>
      <c r="L26" s="41"/>
      <c r="M26" s="126" t="s">
        <v>3431</v>
      </c>
    </row>
    <row r="27" spans="1:13" s="127" customFormat="1" ht="30" customHeight="1" x14ac:dyDescent="0.3">
      <c r="A27" s="41">
        <v>12</v>
      </c>
      <c r="B27" s="41" t="s">
        <v>3432</v>
      </c>
      <c r="C27" s="41"/>
      <c r="D27" s="41" t="s">
        <v>3360</v>
      </c>
      <c r="E27" s="41">
        <v>2060</v>
      </c>
      <c r="F27" s="41">
        <v>1.78</v>
      </c>
      <c r="G27" s="41">
        <v>2.2400000000000002</v>
      </c>
      <c r="H27" s="41">
        <v>2.1800000000000002</v>
      </c>
      <c r="I27" s="41" t="s">
        <v>3433</v>
      </c>
      <c r="J27" s="41" t="s">
        <v>3434</v>
      </c>
      <c r="K27" s="125">
        <v>44105</v>
      </c>
      <c r="L27" s="41"/>
      <c r="M27" s="126" t="s">
        <v>3435</v>
      </c>
    </row>
    <row r="28" spans="1:13" s="127" customFormat="1" ht="30" customHeight="1" x14ac:dyDescent="0.3">
      <c r="A28" s="41"/>
      <c r="B28" s="41"/>
      <c r="C28" s="41"/>
      <c r="D28" s="41"/>
      <c r="E28" s="41"/>
      <c r="F28" s="41"/>
      <c r="G28" s="41"/>
      <c r="H28" s="41"/>
      <c r="I28" s="41" t="s">
        <v>3436</v>
      </c>
      <c r="J28" s="41" t="s">
        <v>3434</v>
      </c>
      <c r="K28" s="125">
        <v>44409</v>
      </c>
      <c r="L28" s="41"/>
      <c r="M28" s="126" t="s">
        <v>3437</v>
      </c>
    </row>
    <row r="29" spans="1:13" s="127" customFormat="1" ht="30" customHeight="1" x14ac:dyDescent="0.3">
      <c r="A29" s="41">
        <v>13</v>
      </c>
      <c r="B29" s="41" t="s">
        <v>3438</v>
      </c>
      <c r="C29" s="41"/>
      <c r="D29" s="41" t="s">
        <v>3439</v>
      </c>
      <c r="E29" s="41">
        <v>2050</v>
      </c>
      <c r="F29" s="41">
        <v>0.32</v>
      </c>
      <c r="G29" s="41">
        <v>0.3</v>
      </c>
      <c r="H29" s="41">
        <v>0.33</v>
      </c>
      <c r="I29" s="41" t="s">
        <v>3440</v>
      </c>
      <c r="J29" s="41" t="s">
        <v>3441</v>
      </c>
      <c r="K29" s="125">
        <v>44136</v>
      </c>
      <c r="L29" s="41"/>
      <c r="M29" s="126" t="s">
        <v>3442</v>
      </c>
    </row>
    <row r="30" spans="1:13" s="127" customFormat="1" ht="30" customHeight="1" x14ac:dyDescent="0.3">
      <c r="A30" s="41"/>
      <c r="B30" s="41"/>
      <c r="C30" s="41"/>
      <c r="D30" s="41"/>
      <c r="E30" s="41"/>
      <c r="F30" s="41"/>
      <c r="G30" s="41"/>
      <c r="H30" s="41"/>
      <c r="I30" s="41" t="s">
        <v>3443</v>
      </c>
      <c r="J30" s="41" t="s">
        <v>3444</v>
      </c>
      <c r="K30" s="125">
        <v>45383</v>
      </c>
      <c r="L30" s="41"/>
      <c r="M30" s="126" t="s">
        <v>3445</v>
      </c>
    </row>
    <row r="31" spans="1:13" s="127" customFormat="1" ht="30" customHeight="1" x14ac:dyDescent="0.3">
      <c r="A31" s="41">
        <v>14</v>
      </c>
      <c r="B31" s="41" t="s">
        <v>3446</v>
      </c>
      <c r="C31" s="41"/>
      <c r="D31" s="41" t="s">
        <v>3360</v>
      </c>
      <c r="E31" s="41">
        <v>2035</v>
      </c>
      <c r="F31" s="41" t="s">
        <v>3361</v>
      </c>
      <c r="G31" s="41">
        <v>0.28000000000000003</v>
      </c>
      <c r="H31" s="41">
        <v>0.31</v>
      </c>
      <c r="I31" s="41" t="s">
        <v>3447</v>
      </c>
      <c r="J31" s="41" t="s">
        <v>3448</v>
      </c>
      <c r="K31" s="125">
        <v>44136</v>
      </c>
      <c r="L31" s="41"/>
      <c r="M31" s="126" t="s">
        <v>3449</v>
      </c>
    </row>
    <row r="32" spans="1:13" s="127" customFormat="1" ht="30" customHeight="1" x14ac:dyDescent="0.3">
      <c r="A32" s="41">
        <v>15</v>
      </c>
      <c r="B32" s="41" t="s">
        <v>3450</v>
      </c>
      <c r="C32" s="41"/>
      <c r="D32" s="41" t="s">
        <v>3360</v>
      </c>
      <c r="E32" s="41">
        <v>2050</v>
      </c>
      <c r="F32" s="41" t="s">
        <v>3361</v>
      </c>
      <c r="G32" s="41">
        <v>2.0499999999999998</v>
      </c>
      <c r="H32" s="41">
        <v>2.38</v>
      </c>
      <c r="I32" s="41" t="s">
        <v>3451</v>
      </c>
      <c r="J32" s="41" t="s">
        <v>3452</v>
      </c>
      <c r="K32" s="125">
        <v>44136</v>
      </c>
      <c r="L32" s="41"/>
      <c r="M32" s="126" t="s">
        <v>3453</v>
      </c>
    </row>
    <row r="33" spans="1:13" s="127" customFormat="1" ht="30" customHeight="1" x14ac:dyDescent="0.3">
      <c r="A33" s="41"/>
      <c r="B33" s="41"/>
      <c r="C33" s="41"/>
      <c r="D33" s="41"/>
      <c r="E33" s="41"/>
      <c r="F33" s="41"/>
      <c r="G33" s="41"/>
      <c r="H33" s="41"/>
      <c r="I33" s="41" t="s">
        <v>3386</v>
      </c>
      <c r="J33" s="41"/>
      <c r="K33" s="125">
        <v>45597</v>
      </c>
      <c r="L33" s="41"/>
      <c r="M33" s="126" t="s">
        <v>3454</v>
      </c>
    </row>
    <row r="34" spans="1:13" s="127" customFormat="1" ht="30" customHeight="1" x14ac:dyDescent="0.3">
      <c r="A34" s="41">
        <v>16</v>
      </c>
      <c r="B34" s="41" t="s">
        <v>3455</v>
      </c>
      <c r="C34" s="41"/>
      <c r="D34" s="41" t="s">
        <v>3439</v>
      </c>
      <c r="E34" s="41">
        <v>2050</v>
      </c>
      <c r="F34" s="41">
        <v>1.99</v>
      </c>
      <c r="G34" s="41">
        <v>2.14</v>
      </c>
      <c r="H34" s="41">
        <v>2.21</v>
      </c>
      <c r="I34" s="41" t="s">
        <v>3456</v>
      </c>
      <c r="J34" s="41" t="s">
        <v>3457</v>
      </c>
      <c r="K34" s="125">
        <v>44166</v>
      </c>
      <c r="L34" s="41"/>
      <c r="M34" s="126" t="s">
        <v>3458</v>
      </c>
    </row>
    <row r="35" spans="1:13" s="127" customFormat="1" ht="30" customHeight="1" x14ac:dyDescent="0.3">
      <c r="A35" s="41">
        <v>17</v>
      </c>
      <c r="B35" s="41" t="s">
        <v>3459</v>
      </c>
      <c r="C35" s="41"/>
      <c r="D35" s="41" t="s">
        <v>3360</v>
      </c>
      <c r="E35" s="41">
        <v>2050</v>
      </c>
      <c r="F35" s="41" t="s">
        <v>3361</v>
      </c>
      <c r="G35" s="41">
        <v>0.18</v>
      </c>
      <c r="H35" s="41">
        <v>0.23</v>
      </c>
      <c r="I35" s="41" t="s">
        <v>3386</v>
      </c>
      <c r="J35" s="41" t="s">
        <v>3460</v>
      </c>
      <c r="K35" s="125">
        <v>44317</v>
      </c>
      <c r="L35" s="41"/>
      <c r="M35" s="126" t="s">
        <v>3461</v>
      </c>
    </row>
    <row r="36" spans="1:13" s="127" customFormat="1" ht="30" customHeight="1" x14ac:dyDescent="0.3">
      <c r="A36" s="41">
        <v>18</v>
      </c>
      <c r="B36" s="41" t="s">
        <v>3462</v>
      </c>
      <c r="C36" s="41"/>
      <c r="D36" s="41" t="s">
        <v>3360</v>
      </c>
      <c r="E36" s="41">
        <v>2050</v>
      </c>
      <c r="F36" s="41" t="s">
        <v>3361</v>
      </c>
      <c r="G36" s="41">
        <v>0.12</v>
      </c>
      <c r="H36" s="41">
        <v>0.14000000000000001</v>
      </c>
      <c r="I36" s="41" t="s">
        <v>3463</v>
      </c>
      <c r="J36" s="41" t="s">
        <v>3464</v>
      </c>
      <c r="K36" s="125">
        <v>44348</v>
      </c>
      <c r="L36" s="41" t="s">
        <v>3402</v>
      </c>
      <c r="M36" s="126" t="s">
        <v>3465</v>
      </c>
    </row>
    <row r="37" spans="1:13" s="127" customFormat="1" ht="30" customHeight="1" x14ac:dyDescent="0.3">
      <c r="A37" s="41">
        <v>19</v>
      </c>
      <c r="B37" s="41" t="s">
        <v>3466</v>
      </c>
      <c r="C37" s="41"/>
      <c r="D37" s="41" t="s">
        <v>3360</v>
      </c>
      <c r="E37" s="41">
        <v>2050</v>
      </c>
      <c r="F37" s="41" t="s">
        <v>3361</v>
      </c>
      <c r="G37" s="41">
        <v>0.28999999999999998</v>
      </c>
      <c r="H37" s="41">
        <v>0.34</v>
      </c>
      <c r="I37" s="41" t="s">
        <v>3386</v>
      </c>
      <c r="J37" s="41" t="s">
        <v>3467</v>
      </c>
      <c r="K37" s="125">
        <v>44378</v>
      </c>
      <c r="L37" s="41"/>
      <c r="M37" s="126" t="s">
        <v>3468</v>
      </c>
    </row>
    <row r="38" spans="1:13" s="127" customFormat="1" ht="30" customHeight="1" x14ac:dyDescent="0.3">
      <c r="A38" s="41"/>
      <c r="B38" s="41"/>
      <c r="C38" s="41"/>
      <c r="D38" s="41"/>
      <c r="E38" s="41"/>
      <c r="F38" s="41"/>
      <c r="G38" s="41"/>
      <c r="H38" s="41"/>
      <c r="I38" s="41" t="s">
        <v>3469</v>
      </c>
      <c r="J38" s="41"/>
      <c r="K38" s="125">
        <v>45474</v>
      </c>
      <c r="L38" s="41"/>
      <c r="M38" s="126" t="s">
        <v>3470</v>
      </c>
    </row>
    <row r="39" spans="1:13" s="127" customFormat="1" ht="30" customHeight="1" x14ac:dyDescent="0.3">
      <c r="A39" s="41">
        <v>20</v>
      </c>
      <c r="B39" s="41" t="s">
        <v>3471</v>
      </c>
      <c r="C39" s="41"/>
      <c r="D39" s="41" t="s">
        <v>3360</v>
      </c>
      <c r="E39" s="41">
        <v>2050</v>
      </c>
      <c r="F39" s="41">
        <v>3.19</v>
      </c>
      <c r="G39" s="41">
        <v>3.09</v>
      </c>
      <c r="H39" s="41">
        <v>3.59</v>
      </c>
      <c r="I39" s="41" t="s">
        <v>3386</v>
      </c>
      <c r="J39" s="41" t="s">
        <v>3472</v>
      </c>
      <c r="K39" s="125">
        <v>44409</v>
      </c>
      <c r="L39" s="41"/>
      <c r="M39" s="126" t="s">
        <v>3473</v>
      </c>
    </row>
    <row r="40" spans="1:13" s="127" customFormat="1" ht="30" customHeight="1" x14ac:dyDescent="0.3">
      <c r="A40" s="41"/>
      <c r="B40" s="41"/>
      <c r="C40" s="41"/>
      <c r="D40" s="41"/>
      <c r="E40" s="41"/>
      <c r="F40" s="41"/>
      <c r="G40" s="41"/>
      <c r="H40" s="41"/>
      <c r="I40" s="41" t="s">
        <v>3474</v>
      </c>
      <c r="J40" s="41" t="s">
        <v>3475</v>
      </c>
      <c r="K40" s="125">
        <v>44774</v>
      </c>
      <c r="L40" s="41"/>
      <c r="M40" s="126" t="s">
        <v>3476</v>
      </c>
    </row>
    <row r="41" spans="1:13" s="127" customFormat="1" ht="30" customHeight="1" x14ac:dyDescent="0.3">
      <c r="A41" s="41"/>
      <c r="B41" s="41"/>
      <c r="C41" s="41"/>
      <c r="D41" s="41"/>
      <c r="E41" s="41"/>
      <c r="F41" s="41"/>
      <c r="G41" s="41"/>
      <c r="H41" s="41"/>
      <c r="I41" s="41" t="s">
        <v>3477</v>
      </c>
      <c r="J41" s="41" t="s">
        <v>3472</v>
      </c>
      <c r="K41" s="125">
        <v>45627</v>
      </c>
      <c r="L41" s="41"/>
      <c r="M41" s="126" t="s">
        <v>3478</v>
      </c>
    </row>
    <row r="42" spans="1:13" s="127" customFormat="1" ht="30" customHeight="1" x14ac:dyDescent="0.3">
      <c r="A42" s="41">
        <v>21</v>
      </c>
      <c r="B42" s="41" t="s">
        <v>3479</v>
      </c>
      <c r="C42" s="41"/>
      <c r="D42" s="41" t="s">
        <v>3480</v>
      </c>
      <c r="E42" s="41"/>
      <c r="F42" s="41">
        <v>0.13</v>
      </c>
      <c r="G42" s="41">
        <v>0.13</v>
      </c>
      <c r="H42" s="41">
        <v>0.16</v>
      </c>
      <c r="I42" s="41" t="s">
        <v>3481</v>
      </c>
      <c r="J42" s="41" t="s">
        <v>3482</v>
      </c>
      <c r="K42" s="125">
        <v>44409</v>
      </c>
      <c r="L42" s="41"/>
      <c r="M42" s="126" t="s">
        <v>3483</v>
      </c>
    </row>
    <row r="43" spans="1:13" s="127" customFormat="1" ht="30" customHeight="1" x14ac:dyDescent="0.3">
      <c r="A43" s="41">
        <v>22</v>
      </c>
      <c r="B43" s="41" t="s">
        <v>3484</v>
      </c>
      <c r="C43" s="41"/>
      <c r="D43" s="41" t="s">
        <v>3360</v>
      </c>
      <c r="E43" s="41">
        <v>2050</v>
      </c>
      <c r="F43" s="41" t="s">
        <v>3361</v>
      </c>
      <c r="G43" s="41">
        <v>0.08</v>
      </c>
      <c r="H43" s="41">
        <v>0.09</v>
      </c>
      <c r="I43" s="41" t="s">
        <v>3485</v>
      </c>
      <c r="J43" s="41" t="s">
        <v>3486</v>
      </c>
      <c r="K43" s="125">
        <v>44440</v>
      </c>
      <c r="L43" s="41"/>
      <c r="M43" s="126" t="s">
        <v>3487</v>
      </c>
    </row>
    <row r="44" spans="1:13" s="127" customFormat="1" ht="30" customHeight="1" x14ac:dyDescent="0.3">
      <c r="A44" s="41">
        <v>23</v>
      </c>
      <c r="B44" s="41" t="s">
        <v>3488</v>
      </c>
      <c r="C44" s="41"/>
      <c r="D44" s="41" t="s">
        <v>3439</v>
      </c>
      <c r="E44" s="41"/>
      <c r="F44" s="41">
        <v>0.04</v>
      </c>
      <c r="G44" s="41">
        <v>0.04</v>
      </c>
      <c r="H44" s="41">
        <v>0.04</v>
      </c>
      <c r="I44" s="41" t="s">
        <v>3489</v>
      </c>
      <c r="J44" s="41"/>
      <c r="K44" s="125">
        <v>44440</v>
      </c>
      <c r="L44" s="41"/>
      <c r="M44" s="126" t="s">
        <v>3490</v>
      </c>
    </row>
    <row r="45" spans="1:13" s="127" customFormat="1" ht="30" customHeight="1" x14ac:dyDescent="0.3">
      <c r="A45" s="41">
        <v>24</v>
      </c>
      <c r="B45" s="41" t="s">
        <v>3491</v>
      </c>
      <c r="C45" s="41"/>
      <c r="D45" s="41" t="s">
        <v>3439</v>
      </c>
      <c r="E45" s="41">
        <v>2050</v>
      </c>
      <c r="F45" s="41">
        <v>0.31</v>
      </c>
      <c r="G45" s="41">
        <v>0.34</v>
      </c>
      <c r="H45" s="41">
        <v>0.42</v>
      </c>
      <c r="I45" s="41" t="s">
        <v>3386</v>
      </c>
      <c r="J45" s="41" t="s">
        <v>3492</v>
      </c>
      <c r="K45" s="125">
        <v>44470</v>
      </c>
      <c r="L45" s="41"/>
      <c r="M45" s="126" t="s">
        <v>3493</v>
      </c>
    </row>
    <row r="46" spans="1:13" s="127" customFormat="1" ht="30" customHeight="1" x14ac:dyDescent="0.3">
      <c r="A46" s="41">
        <v>25</v>
      </c>
      <c r="B46" s="41" t="s">
        <v>3494</v>
      </c>
      <c r="C46" s="41"/>
      <c r="D46" s="41" t="s">
        <v>3360</v>
      </c>
      <c r="E46" s="41">
        <v>2050</v>
      </c>
      <c r="F46" s="41" t="s">
        <v>3361</v>
      </c>
      <c r="G46" s="41">
        <v>0.57999999999999996</v>
      </c>
      <c r="H46" s="41">
        <v>0.66</v>
      </c>
      <c r="I46" s="41" t="s">
        <v>3495</v>
      </c>
      <c r="J46" s="41" t="s">
        <v>3496</v>
      </c>
      <c r="K46" s="125">
        <v>44501</v>
      </c>
      <c r="L46" s="41"/>
      <c r="M46" s="126" t="s">
        <v>3497</v>
      </c>
    </row>
    <row r="47" spans="1:13" s="127" customFormat="1" ht="30" customHeight="1" x14ac:dyDescent="0.3">
      <c r="A47" s="41">
        <v>26</v>
      </c>
      <c r="B47" s="41" t="s">
        <v>3498</v>
      </c>
      <c r="C47" s="41"/>
      <c r="D47" s="41" t="s">
        <v>3350</v>
      </c>
      <c r="E47" s="41">
        <v>2050</v>
      </c>
      <c r="F47" s="41">
        <v>0.4</v>
      </c>
      <c r="G47" s="41">
        <v>0.51</v>
      </c>
      <c r="H47" s="41">
        <v>0.55000000000000004</v>
      </c>
      <c r="I47" s="41" t="s">
        <v>3499</v>
      </c>
      <c r="J47" s="41" t="s">
        <v>3500</v>
      </c>
      <c r="K47" s="125">
        <v>44501</v>
      </c>
      <c r="L47" s="41"/>
      <c r="M47" s="126" t="s">
        <v>3501</v>
      </c>
    </row>
    <row r="48" spans="1:13" s="127" customFormat="1" ht="30" customHeight="1" x14ac:dyDescent="0.3">
      <c r="A48" s="41"/>
      <c r="B48" s="41"/>
      <c r="C48" s="41"/>
      <c r="D48" s="41"/>
      <c r="E48" s="41"/>
      <c r="F48" s="41"/>
      <c r="G48" s="41"/>
      <c r="H48" s="41"/>
      <c r="I48" s="41" t="s">
        <v>3502</v>
      </c>
      <c r="J48" s="41" t="s">
        <v>3500</v>
      </c>
      <c r="K48" s="125">
        <v>45139</v>
      </c>
      <c r="L48" s="41"/>
      <c r="M48" s="126" t="s">
        <v>3503</v>
      </c>
    </row>
    <row r="49" spans="1:13" s="127" customFormat="1" ht="30" customHeight="1" x14ac:dyDescent="0.3">
      <c r="A49" s="41">
        <v>27</v>
      </c>
      <c r="B49" s="41" t="s">
        <v>3504</v>
      </c>
      <c r="C49" s="41"/>
      <c r="D49" s="41" t="s">
        <v>3360</v>
      </c>
      <c r="E49" s="41">
        <v>2045</v>
      </c>
      <c r="F49" s="41" t="s">
        <v>3361</v>
      </c>
      <c r="G49" s="41">
        <v>0.59</v>
      </c>
      <c r="H49" s="41">
        <v>0.61</v>
      </c>
      <c r="I49" s="41" t="s">
        <v>3505</v>
      </c>
      <c r="J49" s="41" t="s">
        <v>3506</v>
      </c>
      <c r="K49" s="125">
        <v>44501</v>
      </c>
      <c r="L49" s="41"/>
      <c r="M49" s="126" t="s">
        <v>3507</v>
      </c>
    </row>
    <row r="50" spans="1:13" s="127" customFormat="1" ht="30" customHeight="1" x14ac:dyDescent="0.3">
      <c r="A50" s="41">
        <v>28</v>
      </c>
      <c r="B50" s="41" t="s">
        <v>3508</v>
      </c>
      <c r="C50" s="41"/>
      <c r="D50" s="41" t="s">
        <v>3360</v>
      </c>
      <c r="E50" s="41"/>
      <c r="F50" s="41" t="s">
        <v>3361</v>
      </c>
      <c r="G50" s="41">
        <v>0.69</v>
      </c>
      <c r="H50" s="41">
        <v>0.86</v>
      </c>
      <c r="I50" s="41" t="s">
        <v>3509</v>
      </c>
      <c r="J50" s="41" t="s">
        <v>3510</v>
      </c>
      <c r="K50" s="125">
        <v>44501</v>
      </c>
      <c r="L50" s="41"/>
      <c r="M50" s="126" t="s">
        <v>3511</v>
      </c>
    </row>
    <row r="51" spans="1:13" s="127" customFormat="1" ht="30" customHeight="1" x14ac:dyDescent="0.3">
      <c r="A51" s="41">
        <v>29</v>
      </c>
      <c r="B51" s="41" t="s">
        <v>3512</v>
      </c>
      <c r="C51" s="41"/>
      <c r="D51" s="41" t="s">
        <v>3439</v>
      </c>
      <c r="E51" s="41">
        <v>2050</v>
      </c>
      <c r="F51" s="41"/>
      <c r="G51" s="41">
        <v>0.08</v>
      </c>
      <c r="H51" s="41">
        <v>0.09</v>
      </c>
      <c r="I51" s="41" t="s">
        <v>3513</v>
      </c>
      <c r="J51" s="41"/>
      <c r="K51" s="125">
        <v>44562</v>
      </c>
      <c r="L51" s="41"/>
      <c r="M51" s="126" t="s">
        <v>3514</v>
      </c>
    </row>
    <row r="52" spans="1:13" s="127" customFormat="1" ht="30" customHeight="1" x14ac:dyDescent="0.3">
      <c r="A52" s="41"/>
      <c r="B52" s="41"/>
      <c r="C52" s="41"/>
      <c r="D52" s="41"/>
      <c r="E52" s="41"/>
      <c r="F52" s="41"/>
      <c r="G52" s="41"/>
      <c r="H52" s="41"/>
      <c r="I52" s="41" t="s">
        <v>3386</v>
      </c>
      <c r="J52" s="41"/>
      <c r="K52" s="125">
        <v>45139</v>
      </c>
      <c r="L52" s="41"/>
      <c r="M52" s="126" t="s">
        <v>3514</v>
      </c>
    </row>
    <row r="53" spans="1:13" s="127" customFormat="1" ht="30" customHeight="1" x14ac:dyDescent="0.3">
      <c r="A53" s="41">
        <v>30</v>
      </c>
      <c r="B53" s="41" t="s">
        <v>3515</v>
      </c>
      <c r="C53" s="41"/>
      <c r="D53" s="41" t="s">
        <v>3480</v>
      </c>
      <c r="E53" s="41">
        <v>2050</v>
      </c>
      <c r="F53" s="41"/>
      <c r="G53" s="41">
        <v>0.41</v>
      </c>
      <c r="H53" s="41">
        <v>0.4</v>
      </c>
      <c r="I53" s="41" t="s">
        <v>3516</v>
      </c>
      <c r="J53" s="41" t="s">
        <v>3517</v>
      </c>
      <c r="K53" s="125">
        <v>44593</v>
      </c>
      <c r="L53" s="41"/>
      <c r="M53" s="126" t="s">
        <v>3518</v>
      </c>
    </row>
    <row r="54" spans="1:13" s="127" customFormat="1" ht="30" customHeight="1" x14ac:dyDescent="0.3">
      <c r="A54" s="41">
        <v>31</v>
      </c>
      <c r="B54" s="41" t="s">
        <v>3519</v>
      </c>
      <c r="C54" s="41"/>
      <c r="D54" s="41" t="s">
        <v>3350</v>
      </c>
      <c r="E54" s="41">
        <v>2070</v>
      </c>
      <c r="F54" s="41"/>
      <c r="G54" s="41">
        <v>3.42</v>
      </c>
      <c r="H54" s="41">
        <v>3.89</v>
      </c>
      <c r="I54" s="41" t="s">
        <v>3520</v>
      </c>
      <c r="J54" s="41"/>
      <c r="K54" s="125">
        <v>44593</v>
      </c>
      <c r="L54" s="41"/>
      <c r="M54" s="126" t="s">
        <v>3521</v>
      </c>
    </row>
    <row r="55" spans="1:13" s="127" customFormat="1" ht="30" customHeight="1" x14ac:dyDescent="0.3">
      <c r="A55" s="41"/>
      <c r="B55" s="41"/>
      <c r="C55" s="41"/>
      <c r="D55" s="41"/>
      <c r="E55" s="41"/>
      <c r="F55" s="41"/>
      <c r="G55" s="41"/>
      <c r="H55" s="41"/>
      <c r="I55" s="41" t="s">
        <v>3522</v>
      </c>
      <c r="J55" s="41" t="s">
        <v>3523</v>
      </c>
      <c r="K55" s="125">
        <v>45108</v>
      </c>
      <c r="L55" s="41"/>
      <c r="M55" s="126" t="s">
        <v>3524</v>
      </c>
    </row>
    <row r="56" spans="1:13" s="127" customFormat="1" ht="30" customHeight="1" x14ac:dyDescent="0.3">
      <c r="A56" s="41"/>
      <c r="B56" s="41" t="s">
        <v>3519</v>
      </c>
      <c r="C56" s="41"/>
      <c r="D56" s="41" t="s">
        <v>3350</v>
      </c>
      <c r="E56" s="41"/>
      <c r="F56" s="41"/>
      <c r="G56" s="41"/>
      <c r="H56" s="41"/>
      <c r="I56" s="41" t="s">
        <v>3525</v>
      </c>
      <c r="J56" s="41" t="s">
        <v>3526</v>
      </c>
      <c r="K56" s="125">
        <v>45536</v>
      </c>
      <c r="L56" s="41"/>
      <c r="M56" s="126" t="s">
        <v>3527</v>
      </c>
    </row>
    <row r="57" spans="1:13" s="127" customFormat="1" ht="30" customHeight="1" x14ac:dyDescent="0.3">
      <c r="A57" s="41"/>
      <c r="B57" s="41" t="s">
        <v>3519</v>
      </c>
      <c r="C57" s="41"/>
      <c r="D57" s="41" t="s">
        <v>3350</v>
      </c>
      <c r="E57" s="41"/>
      <c r="F57" s="41"/>
      <c r="G57" s="41"/>
      <c r="H57" s="41"/>
      <c r="I57" s="41" t="s">
        <v>3528</v>
      </c>
      <c r="J57" s="41" t="s">
        <v>3529</v>
      </c>
      <c r="K57" s="125" t="s">
        <v>3530</v>
      </c>
      <c r="L57" s="41"/>
      <c r="M57" s="126" t="s">
        <v>3531</v>
      </c>
    </row>
    <row r="58" spans="1:13" s="127" customFormat="1" ht="30" customHeight="1" x14ac:dyDescent="0.3">
      <c r="A58" s="41">
        <v>32</v>
      </c>
      <c r="B58" s="41" t="s">
        <v>3532</v>
      </c>
      <c r="C58" s="41"/>
      <c r="D58" s="41" t="s">
        <v>3350</v>
      </c>
      <c r="E58" s="41">
        <v>2060</v>
      </c>
      <c r="F58" s="41"/>
      <c r="G58" s="41">
        <v>17.96</v>
      </c>
      <c r="H58" s="41">
        <v>19.489999999999998</v>
      </c>
      <c r="I58" s="41" t="s">
        <v>3533</v>
      </c>
      <c r="J58" s="41" t="s">
        <v>3534</v>
      </c>
      <c r="K58" s="125">
        <v>44621</v>
      </c>
      <c r="L58" s="41"/>
      <c r="M58" s="126" t="s">
        <v>3535</v>
      </c>
    </row>
    <row r="59" spans="1:13" s="127" customFormat="1" ht="30" customHeight="1" x14ac:dyDescent="0.3">
      <c r="A59" s="41">
        <v>33</v>
      </c>
      <c r="B59" s="41" t="s">
        <v>3536</v>
      </c>
      <c r="C59" s="41"/>
      <c r="D59" s="41" t="s">
        <v>3360</v>
      </c>
      <c r="E59" s="41">
        <v>2050</v>
      </c>
      <c r="F59" s="41"/>
      <c r="G59" s="41">
        <v>7.0000000000000007E-2</v>
      </c>
      <c r="H59" s="41">
        <v>0.09</v>
      </c>
      <c r="I59" s="41" t="s">
        <v>3537</v>
      </c>
      <c r="J59" s="41"/>
      <c r="K59" s="125">
        <v>44621</v>
      </c>
      <c r="L59" s="41" t="s">
        <v>3402</v>
      </c>
      <c r="M59" s="126" t="s">
        <v>3538</v>
      </c>
    </row>
    <row r="60" spans="1:13" s="127" customFormat="1" ht="30" customHeight="1" x14ac:dyDescent="0.3">
      <c r="A60" s="41">
        <v>34</v>
      </c>
      <c r="B60" s="41" t="s">
        <v>3539</v>
      </c>
      <c r="C60" s="41"/>
      <c r="D60" s="41" t="s">
        <v>3360</v>
      </c>
      <c r="E60" s="41">
        <v>2050</v>
      </c>
      <c r="F60" s="41"/>
      <c r="G60" s="41">
        <v>0.4</v>
      </c>
      <c r="H60" s="41">
        <v>0.4</v>
      </c>
      <c r="I60" s="41" t="s">
        <v>3540</v>
      </c>
      <c r="J60" s="41" t="s">
        <v>3541</v>
      </c>
      <c r="K60" s="125">
        <v>44621</v>
      </c>
      <c r="L60" s="41"/>
      <c r="M60" s="126" t="s">
        <v>3542</v>
      </c>
    </row>
    <row r="61" spans="1:13" s="127" customFormat="1" ht="30" customHeight="1" x14ac:dyDescent="0.3">
      <c r="A61" s="41"/>
      <c r="B61" s="41"/>
      <c r="C61" s="41"/>
      <c r="D61" s="41"/>
      <c r="E61" s="41"/>
      <c r="F61" s="41"/>
      <c r="G61" s="41"/>
      <c r="H61" s="41"/>
      <c r="I61" s="41" t="s">
        <v>3543</v>
      </c>
      <c r="J61" s="41"/>
      <c r="K61" s="125">
        <v>45383</v>
      </c>
      <c r="L61" s="41"/>
      <c r="M61" s="126" t="s">
        <v>3544</v>
      </c>
    </row>
    <row r="62" spans="1:13" s="127" customFormat="1" ht="30" customHeight="1" x14ac:dyDescent="0.3">
      <c r="A62" s="41">
        <v>35</v>
      </c>
      <c r="B62" s="41" t="s">
        <v>3545</v>
      </c>
      <c r="C62" s="41"/>
      <c r="D62" s="41" t="s">
        <v>3360</v>
      </c>
      <c r="E62" s="41">
        <v>2050</v>
      </c>
      <c r="F62" s="41"/>
      <c r="G62" s="41">
        <v>0.47</v>
      </c>
      <c r="H62" s="41">
        <v>0.54</v>
      </c>
      <c r="I62" s="41" t="s">
        <v>3546</v>
      </c>
      <c r="J62" s="41"/>
      <c r="K62" s="125">
        <v>44713</v>
      </c>
      <c r="L62" s="41"/>
      <c r="M62" s="126" t="s">
        <v>3547</v>
      </c>
    </row>
    <row r="63" spans="1:13" s="127" customFormat="1" ht="30" customHeight="1" x14ac:dyDescent="0.3">
      <c r="A63" s="41">
        <v>36</v>
      </c>
      <c r="B63" s="41" t="s">
        <v>3548</v>
      </c>
      <c r="C63" s="41"/>
      <c r="D63" s="41" t="s">
        <v>3439</v>
      </c>
      <c r="E63" s="41">
        <v>2050</v>
      </c>
      <c r="F63" s="41"/>
      <c r="G63" s="41">
        <v>7.0000000000000007E-2</v>
      </c>
      <c r="H63" s="41">
        <v>0.08</v>
      </c>
      <c r="I63" s="41" t="s">
        <v>3549</v>
      </c>
      <c r="J63" s="41"/>
      <c r="K63" s="125">
        <v>44713</v>
      </c>
      <c r="L63" s="41" t="s">
        <v>3550</v>
      </c>
      <c r="M63" s="126" t="s">
        <v>3551</v>
      </c>
    </row>
    <row r="64" spans="1:13" s="127" customFormat="1" ht="30" customHeight="1" x14ac:dyDescent="0.3">
      <c r="A64" s="41"/>
      <c r="B64" s="41"/>
      <c r="C64" s="41"/>
      <c r="D64" s="41"/>
      <c r="E64" s="41"/>
      <c r="F64" s="41"/>
      <c r="G64" s="41"/>
      <c r="H64" s="41"/>
      <c r="I64" s="41" t="s">
        <v>3552</v>
      </c>
      <c r="J64" s="41"/>
      <c r="K64" s="125">
        <v>45231</v>
      </c>
      <c r="L64" s="41" t="s">
        <v>3553</v>
      </c>
      <c r="M64" s="126"/>
    </row>
    <row r="65" spans="1:13" s="127" customFormat="1" ht="30" customHeight="1" x14ac:dyDescent="0.3">
      <c r="A65" s="41"/>
      <c r="B65" s="41"/>
      <c r="C65" s="41"/>
      <c r="D65" s="41"/>
      <c r="E65" s="41"/>
      <c r="F65" s="41"/>
      <c r="G65" s="41"/>
      <c r="H65" s="41"/>
      <c r="I65" s="41" t="s">
        <v>3554</v>
      </c>
      <c r="J65" s="41"/>
      <c r="K65" s="125">
        <v>45474</v>
      </c>
      <c r="L65" s="41"/>
      <c r="M65" s="126" t="s">
        <v>3555</v>
      </c>
    </row>
    <row r="66" spans="1:13" s="127" customFormat="1" ht="30" customHeight="1" x14ac:dyDescent="0.3">
      <c r="A66" s="41">
        <v>37</v>
      </c>
      <c r="B66" s="41" t="s">
        <v>3556</v>
      </c>
      <c r="C66" s="41"/>
      <c r="D66" s="41" t="s">
        <v>3439</v>
      </c>
      <c r="E66" s="41">
        <v>2050</v>
      </c>
      <c r="F66" s="41"/>
      <c r="G66" s="41">
        <v>25.74</v>
      </c>
      <c r="H66" s="41">
        <v>29.17</v>
      </c>
      <c r="I66" s="41" t="s">
        <v>3557</v>
      </c>
      <c r="J66" s="41" t="s">
        <v>3558</v>
      </c>
      <c r="K66" s="125">
        <v>45078</v>
      </c>
      <c r="L66" s="41"/>
      <c r="M66" s="126" t="s">
        <v>3559</v>
      </c>
    </row>
    <row r="67" spans="1:13" s="127" customFormat="1" ht="30" customHeight="1" x14ac:dyDescent="0.3">
      <c r="A67" s="41"/>
      <c r="B67" s="41"/>
      <c r="C67" s="41"/>
      <c r="D67" s="41"/>
      <c r="E67" s="41"/>
      <c r="F67" s="41"/>
      <c r="G67" s="41"/>
      <c r="H67" s="41"/>
      <c r="I67" s="41" t="s">
        <v>3560</v>
      </c>
      <c r="J67" s="41" t="s">
        <v>3558</v>
      </c>
      <c r="K67" s="125">
        <v>45413</v>
      </c>
      <c r="L67" s="41"/>
      <c r="M67" s="126" t="s">
        <v>3561</v>
      </c>
    </row>
    <row r="68" spans="1:13" s="127" customFormat="1" ht="30" customHeight="1" x14ac:dyDescent="0.3">
      <c r="A68" s="41"/>
      <c r="B68" s="41"/>
      <c r="C68" s="41"/>
      <c r="D68" s="41"/>
      <c r="E68" s="41"/>
      <c r="F68" s="41"/>
      <c r="G68" s="41"/>
      <c r="H68" s="41"/>
      <c r="I68" s="41" t="s">
        <v>3562</v>
      </c>
      <c r="J68" s="41" t="s">
        <v>3558</v>
      </c>
      <c r="K68" s="125">
        <v>44136</v>
      </c>
      <c r="L68" s="41"/>
      <c r="M68" s="126" t="s">
        <v>3563</v>
      </c>
    </row>
    <row r="69" spans="1:13" s="127" customFormat="1" ht="30" customHeight="1" x14ac:dyDescent="0.3">
      <c r="A69" s="41"/>
      <c r="B69" s="41" t="s">
        <v>3556</v>
      </c>
      <c r="C69" s="41"/>
      <c r="D69" s="41" t="s">
        <v>3439</v>
      </c>
      <c r="E69" s="41">
        <v>2050</v>
      </c>
      <c r="F69" s="41"/>
      <c r="G69" s="41"/>
      <c r="H69" s="41"/>
      <c r="I69" s="41" t="s">
        <v>3528</v>
      </c>
      <c r="J69" s="41" t="s">
        <v>3558</v>
      </c>
      <c r="K69" s="125">
        <v>37561</v>
      </c>
      <c r="L69" s="41"/>
      <c r="M69" s="126" t="s">
        <v>3564</v>
      </c>
    </row>
    <row r="70" spans="1:13" s="127" customFormat="1" ht="30" customHeight="1" x14ac:dyDescent="0.3">
      <c r="A70" s="41">
        <v>38</v>
      </c>
      <c r="B70" s="41" t="s">
        <v>3565</v>
      </c>
      <c r="C70" s="41"/>
      <c r="D70" s="41" t="s">
        <v>3350</v>
      </c>
      <c r="E70" s="41">
        <v>2050</v>
      </c>
      <c r="F70" s="41"/>
      <c r="G70" s="41">
        <v>0.47</v>
      </c>
      <c r="H70" s="41">
        <v>0.53</v>
      </c>
      <c r="I70" s="41" t="s">
        <v>3386</v>
      </c>
      <c r="J70" s="41"/>
      <c r="K70" s="125">
        <v>44835</v>
      </c>
      <c r="L70" s="41"/>
      <c r="M70" s="126" t="s">
        <v>3566</v>
      </c>
    </row>
    <row r="71" spans="1:13" s="127" customFormat="1" ht="30" customHeight="1" x14ac:dyDescent="0.3">
      <c r="A71" s="41">
        <v>39</v>
      </c>
      <c r="B71" s="41" t="s">
        <v>3567</v>
      </c>
      <c r="C71" s="41"/>
      <c r="D71" s="41" t="s">
        <v>3350</v>
      </c>
      <c r="E71" s="41">
        <v>2050</v>
      </c>
      <c r="F71" s="41"/>
      <c r="G71" s="41">
        <v>0.11</v>
      </c>
      <c r="H71" s="41">
        <v>0.11</v>
      </c>
      <c r="I71" s="41" t="s">
        <v>3440</v>
      </c>
      <c r="J71" s="41"/>
      <c r="K71" s="125">
        <v>44835</v>
      </c>
      <c r="L71" s="41" t="s">
        <v>3553</v>
      </c>
      <c r="M71" s="126"/>
    </row>
    <row r="72" spans="1:13" s="127" customFormat="1" ht="30" customHeight="1" x14ac:dyDescent="0.3">
      <c r="A72" s="41">
        <v>40</v>
      </c>
      <c r="B72" s="41" t="s">
        <v>3568</v>
      </c>
      <c r="C72" s="41"/>
      <c r="D72" s="41" t="s">
        <v>3439</v>
      </c>
      <c r="E72" s="41">
        <v>2050</v>
      </c>
      <c r="F72" s="41"/>
      <c r="G72" s="41">
        <v>0.03</v>
      </c>
      <c r="H72" s="41">
        <v>0.03</v>
      </c>
      <c r="I72" s="41" t="s">
        <v>3569</v>
      </c>
      <c r="J72" s="41"/>
      <c r="K72" s="125">
        <v>44896</v>
      </c>
      <c r="L72" s="41"/>
      <c r="M72" s="126" t="s">
        <v>3570</v>
      </c>
    </row>
    <row r="73" spans="1:13" s="127" customFormat="1" ht="30" customHeight="1" x14ac:dyDescent="0.3">
      <c r="A73" s="41">
        <v>41</v>
      </c>
      <c r="B73" s="41" t="s">
        <v>3571</v>
      </c>
      <c r="C73" s="41"/>
      <c r="D73" s="41" t="s">
        <v>3480</v>
      </c>
      <c r="E73" s="41">
        <v>2050</v>
      </c>
      <c r="F73" s="41"/>
      <c r="G73" s="41">
        <v>0.01</v>
      </c>
      <c r="H73" s="41">
        <v>0.01</v>
      </c>
      <c r="I73" s="41" t="s">
        <v>3572</v>
      </c>
      <c r="J73" s="41"/>
      <c r="K73" s="125">
        <v>44896</v>
      </c>
      <c r="L73" s="41"/>
      <c r="M73" s="126" t="s">
        <v>3573</v>
      </c>
    </row>
    <row r="74" spans="1:13" s="127" customFormat="1" ht="30" customHeight="1" x14ac:dyDescent="0.3">
      <c r="A74" s="41">
        <v>42</v>
      </c>
      <c r="B74" s="41" t="s">
        <v>3574</v>
      </c>
      <c r="C74" s="41"/>
      <c r="D74" s="41" t="s">
        <v>3350</v>
      </c>
      <c r="E74" s="41">
        <v>2053</v>
      </c>
      <c r="F74" s="41"/>
      <c r="G74" s="41">
        <v>0.91</v>
      </c>
      <c r="H74" s="41">
        <v>1.34</v>
      </c>
      <c r="I74" s="41" t="s">
        <v>3575</v>
      </c>
      <c r="J74" s="41"/>
      <c r="K74" s="125">
        <v>44927</v>
      </c>
      <c r="L74" s="41"/>
      <c r="M74" s="126"/>
    </row>
    <row r="75" spans="1:13" s="127" customFormat="1" ht="30" customHeight="1" x14ac:dyDescent="0.3">
      <c r="A75" s="41">
        <v>43</v>
      </c>
      <c r="B75" s="41" t="s">
        <v>3576</v>
      </c>
      <c r="C75" s="41"/>
      <c r="D75" s="41" t="s">
        <v>3360</v>
      </c>
      <c r="E75" s="41">
        <v>2050</v>
      </c>
      <c r="F75" s="41"/>
      <c r="G75" s="41">
        <v>0.04</v>
      </c>
      <c r="H75" s="41">
        <v>0.04</v>
      </c>
      <c r="I75" s="41" t="s">
        <v>3569</v>
      </c>
      <c r="J75" s="41" t="s">
        <v>3577</v>
      </c>
      <c r="K75" s="125">
        <v>45200</v>
      </c>
      <c r="L75" s="41"/>
      <c r="M75" s="126" t="s">
        <v>3578</v>
      </c>
    </row>
    <row r="76" spans="1:13" s="127" customFormat="1" ht="30" customHeight="1" x14ac:dyDescent="0.3">
      <c r="A76" s="41">
        <v>44</v>
      </c>
      <c r="B76" s="41" t="s">
        <v>3579</v>
      </c>
      <c r="C76" s="41"/>
      <c r="D76" s="41" t="s">
        <v>3360</v>
      </c>
      <c r="E76" s="41">
        <v>2050</v>
      </c>
      <c r="F76" s="41"/>
      <c r="G76" s="41">
        <v>0.3</v>
      </c>
      <c r="H76" s="41">
        <v>0.38</v>
      </c>
      <c r="I76" s="41" t="s">
        <v>3580</v>
      </c>
      <c r="J76" s="41"/>
      <c r="K76" s="125">
        <v>45047</v>
      </c>
      <c r="L76" s="41" t="s">
        <v>3553</v>
      </c>
      <c r="M76" s="126"/>
    </row>
    <row r="77" spans="1:13" s="127" customFormat="1" ht="30" customHeight="1" x14ac:dyDescent="0.3">
      <c r="A77" s="41">
        <v>45</v>
      </c>
      <c r="B77" s="41" t="s">
        <v>3581</v>
      </c>
      <c r="C77" s="41"/>
      <c r="D77" s="41" t="s">
        <v>3350</v>
      </c>
      <c r="E77" s="41">
        <v>2050</v>
      </c>
      <c r="F77" s="41"/>
      <c r="G77" s="41">
        <v>0.53</v>
      </c>
      <c r="H77" s="41">
        <v>0.53</v>
      </c>
      <c r="I77" s="41" t="s">
        <v>3582</v>
      </c>
      <c r="J77" s="41" t="s">
        <v>3583</v>
      </c>
      <c r="K77" s="125">
        <v>45047</v>
      </c>
      <c r="L77" s="41"/>
      <c r="M77" s="126" t="s">
        <v>3584</v>
      </c>
    </row>
    <row r="78" spans="1:13" s="127" customFormat="1" ht="30" customHeight="1" x14ac:dyDescent="0.3">
      <c r="A78" s="41">
        <v>46</v>
      </c>
      <c r="B78" s="41" t="s">
        <v>3585</v>
      </c>
      <c r="C78" s="41"/>
      <c r="D78" s="41" t="s">
        <v>3360</v>
      </c>
      <c r="E78" s="41">
        <v>2050</v>
      </c>
      <c r="F78" s="41"/>
      <c r="G78" s="41">
        <v>0.53</v>
      </c>
      <c r="H78" s="41">
        <v>0.56000000000000005</v>
      </c>
      <c r="I78" s="41" t="s">
        <v>3386</v>
      </c>
      <c r="J78" s="41"/>
      <c r="K78" s="125">
        <v>45108</v>
      </c>
      <c r="L78" s="41"/>
      <c r="M78" s="126" t="s">
        <v>3586</v>
      </c>
    </row>
    <row r="79" spans="1:13" s="127" customFormat="1" ht="30" customHeight="1" x14ac:dyDescent="0.3">
      <c r="A79" s="41">
        <v>47</v>
      </c>
      <c r="B79" s="41" t="s">
        <v>3587</v>
      </c>
      <c r="C79" s="41"/>
      <c r="D79" s="41" t="s">
        <v>3439</v>
      </c>
      <c r="E79" s="41">
        <v>2050</v>
      </c>
      <c r="F79" s="41"/>
      <c r="G79" s="41">
        <v>0.12</v>
      </c>
      <c r="H79" s="41">
        <v>0.12</v>
      </c>
      <c r="I79" s="41" t="s">
        <v>3588</v>
      </c>
      <c r="J79" s="41" t="s">
        <v>3589</v>
      </c>
      <c r="K79" s="125">
        <v>45108</v>
      </c>
      <c r="L79" s="41" t="s">
        <v>3402</v>
      </c>
      <c r="M79" s="126" t="s">
        <v>3590</v>
      </c>
    </row>
    <row r="80" spans="1:13" s="127" customFormat="1" ht="30" customHeight="1" x14ac:dyDescent="0.3">
      <c r="A80" s="41">
        <v>48</v>
      </c>
      <c r="B80" s="41" t="s">
        <v>3591</v>
      </c>
      <c r="C80" s="41"/>
      <c r="D80" s="41" t="s">
        <v>3350</v>
      </c>
      <c r="E80" s="41">
        <v>2050</v>
      </c>
      <c r="F80" s="41"/>
      <c r="G80" s="41">
        <v>7.0000000000000007E-2</v>
      </c>
      <c r="H80" s="41">
        <v>7.0000000000000007E-2</v>
      </c>
      <c r="I80" s="41" t="s">
        <v>3528</v>
      </c>
      <c r="J80" s="41"/>
      <c r="K80" s="125">
        <v>45139</v>
      </c>
      <c r="L80" s="41"/>
      <c r="M80" s="126" t="s">
        <v>3592</v>
      </c>
    </row>
    <row r="81" spans="1:13" s="127" customFormat="1" ht="30" customHeight="1" x14ac:dyDescent="0.3">
      <c r="A81" s="41">
        <v>49</v>
      </c>
      <c r="B81" s="41" t="s">
        <v>3593</v>
      </c>
      <c r="C81" s="41"/>
      <c r="D81" s="41" t="s">
        <v>3439</v>
      </c>
      <c r="E81" s="41">
        <v>2050</v>
      </c>
      <c r="F81" s="41"/>
      <c r="G81" s="41">
        <v>1.92</v>
      </c>
      <c r="H81" s="41">
        <v>2.19</v>
      </c>
      <c r="I81" s="41" t="s">
        <v>3594</v>
      </c>
      <c r="J81" s="41" t="s">
        <v>3595</v>
      </c>
      <c r="K81" s="125">
        <v>45170</v>
      </c>
      <c r="L81" s="41"/>
      <c r="M81" s="126" t="s">
        <v>3596</v>
      </c>
    </row>
    <row r="82" spans="1:13" s="127" customFormat="1" ht="30" customHeight="1" x14ac:dyDescent="0.3">
      <c r="A82" s="41">
        <v>50</v>
      </c>
      <c r="B82" s="41" t="s">
        <v>3597</v>
      </c>
      <c r="C82" s="41"/>
      <c r="D82" s="41" t="s">
        <v>3439</v>
      </c>
      <c r="E82" s="41">
        <v>2050</v>
      </c>
      <c r="F82" s="41"/>
      <c r="G82" s="41">
        <v>0.63</v>
      </c>
      <c r="H82" s="41">
        <v>0.6</v>
      </c>
      <c r="I82" s="41" t="s">
        <v>3598</v>
      </c>
      <c r="J82" s="41" t="s">
        <v>3558</v>
      </c>
      <c r="K82" s="125">
        <v>45170</v>
      </c>
      <c r="L82" s="41"/>
      <c r="M82" s="126" t="s">
        <v>3599</v>
      </c>
    </row>
    <row r="83" spans="1:13" s="127" customFormat="1" ht="30" customHeight="1" x14ac:dyDescent="0.3">
      <c r="A83" s="41">
        <v>51</v>
      </c>
      <c r="B83" s="41" t="s">
        <v>3600</v>
      </c>
      <c r="C83" s="41"/>
      <c r="D83" s="41" t="s">
        <v>3480</v>
      </c>
      <c r="E83" s="41"/>
      <c r="F83" s="41"/>
      <c r="G83" s="41">
        <v>0.11</v>
      </c>
      <c r="H83" s="41">
        <v>0.12</v>
      </c>
      <c r="I83" s="41" t="s">
        <v>3601</v>
      </c>
      <c r="J83" s="41" t="s">
        <v>3602</v>
      </c>
      <c r="K83" s="125">
        <v>45170</v>
      </c>
      <c r="L83" s="41"/>
      <c r="M83" s="126" t="s">
        <v>3603</v>
      </c>
    </row>
    <row r="84" spans="1:13" s="127" customFormat="1" ht="30" customHeight="1" x14ac:dyDescent="0.3">
      <c r="A84" s="41">
        <v>52</v>
      </c>
      <c r="B84" s="41" t="s">
        <v>3604</v>
      </c>
      <c r="C84" s="41"/>
      <c r="D84" s="41" t="s">
        <v>3350</v>
      </c>
      <c r="E84" s="41">
        <v>2050</v>
      </c>
      <c r="F84" s="41"/>
      <c r="G84" s="41">
        <v>0.41</v>
      </c>
      <c r="H84" s="41">
        <v>0.44</v>
      </c>
      <c r="I84" s="41" t="s">
        <v>3605</v>
      </c>
      <c r="J84" s="41" t="s">
        <v>3606</v>
      </c>
      <c r="K84" s="125">
        <v>45200</v>
      </c>
      <c r="L84" s="41"/>
      <c r="M84" s="126" t="s">
        <v>3607</v>
      </c>
    </row>
    <row r="85" spans="1:13" s="127" customFormat="1" ht="30" customHeight="1" x14ac:dyDescent="0.3">
      <c r="A85" s="41">
        <v>53</v>
      </c>
      <c r="B85" s="41" t="s">
        <v>3608</v>
      </c>
      <c r="C85" s="41"/>
      <c r="D85" s="41" t="s">
        <v>3350</v>
      </c>
      <c r="E85" s="41"/>
      <c r="F85" s="41"/>
      <c r="G85" s="41"/>
      <c r="H85" s="41">
        <v>1.4</v>
      </c>
      <c r="I85" s="41" t="s">
        <v>3528</v>
      </c>
      <c r="J85" s="41"/>
      <c r="K85" s="125">
        <v>45261</v>
      </c>
      <c r="L85" s="41"/>
      <c r="M85" s="126"/>
    </row>
    <row r="86" spans="1:13" s="127" customFormat="1" ht="30" customHeight="1" x14ac:dyDescent="0.3">
      <c r="A86" s="41"/>
      <c r="B86" s="41"/>
      <c r="C86" s="41"/>
      <c r="D86" s="41"/>
      <c r="E86" s="41"/>
      <c r="F86" s="41"/>
      <c r="G86" s="41"/>
      <c r="H86" s="41"/>
      <c r="I86" s="41" t="s">
        <v>3609</v>
      </c>
      <c r="J86" s="41"/>
      <c r="K86" s="125">
        <v>45748</v>
      </c>
      <c r="L86" s="41"/>
      <c r="M86" s="126" t="s">
        <v>3610</v>
      </c>
    </row>
    <row r="87" spans="1:13" s="127" customFormat="1" ht="30" customHeight="1" x14ac:dyDescent="0.3">
      <c r="A87" s="41">
        <v>54</v>
      </c>
      <c r="B87" s="41" t="s">
        <v>3611</v>
      </c>
      <c r="C87" s="41"/>
      <c r="D87" s="41" t="s">
        <v>3350</v>
      </c>
      <c r="E87" s="41"/>
      <c r="F87" s="41"/>
      <c r="G87" s="41"/>
      <c r="H87" s="41">
        <v>0.47</v>
      </c>
      <c r="I87" s="41" t="s">
        <v>3612</v>
      </c>
      <c r="J87" s="41" t="s">
        <v>3613</v>
      </c>
      <c r="K87" s="125">
        <v>45323</v>
      </c>
      <c r="L87" s="41"/>
      <c r="M87" s="126" t="s">
        <v>3614</v>
      </c>
    </row>
    <row r="88" spans="1:13" s="127" customFormat="1" ht="30" customHeight="1" x14ac:dyDescent="0.3">
      <c r="A88" s="41">
        <v>55</v>
      </c>
      <c r="B88" s="41" t="s">
        <v>3615</v>
      </c>
      <c r="C88" s="41"/>
      <c r="D88" s="41" t="s">
        <v>3360</v>
      </c>
      <c r="E88" s="41"/>
      <c r="F88" s="41"/>
      <c r="G88" s="41"/>
      <c r="H88" s="41">
        <v>0.08</v>
      </c>
      <c r="I88" s="41" t="s">
        <v>3616</v>
      </c>
      <c r="J88" s="41"/>
      <c r="K88" s="125">
        <v>45383</v>
      </c>
      <c r="L88" s="41"/>
      <c r="M88" s="126" t="s">
        <v>3617</v>
      </c>
    </row>
    <row r="89" spans="1:13" s="127" customFormat="1" ht="30" customHeight="1" x14ac:dyDescent="0.3">
      <c r="A89" s="41">
        <v>56</v>
      </c>
      <c r="B89" s="41" t="s">
        <v>3618</v>
      </c>
      <c r="C89" s="41"/>
      <c r="D89" s="41" t="s">
        <v>3360</v>
      </c>
      <c r="E89" s="41"/>
      <c r="F89" s="41"/>
      <c r="G89" s="41"/>
      <c r="H89" s="41">
        <v>0.03</v>
      </c>
      <c r="I89" s="41" t="s">
        <v>3619</v>
      </c>
      <c r="J89" s="41" t="s">
        <v>3620</v>
      </c>
      <c r="K89" s="125">
        <v>45383</v>
      </c>
      <c r="L89" s="41"/>
      <c r="M89" s="126" t="s">
        <v>3621</v>
      </c>
    </row>
    <row r="90" spans="1:13" s="127" customFormat="1" ht="30" customHeight="1" x14ac:dyDescent="0.3">
      <c r="A90" s="41">
        <v>57</v>
      </c>
      <c r="B90" s="41" t="s">
        <v>3622</v>
      </c>
      <c r="C90" s="41"/>
      <c r="D90" s="41" t="s">
        <v>3480</v>
      </c>
      <c r="E90" s="41"/>
      <c r="F90" s="41"/>
      <c r="G90" s="41"/>
      <c r="H90" s="41">
        <v>0.05</v>
      </c>
      <c r="I90" s="41" t="s">
        <v>3623</v>
      </c>
      <c r="J90" s="41" t="s">
        <v>3624</v>
      </c>
      <c r="K90" s="125">
        <v>45413</v>
      </c>
      <c r="L90" s="41"/>
      <c r="M90" s="126" t="s">
        <v>3625</v>
      </c>
    </row>
    <row r="91" spans="1:13" s="127" customFormat="1" ht="30" customHeight="1" x14ac:dyDescent="0.3">
      <c r="A91" s="41">
        <v>58</v>
      </c>
      <c r="B91" s="41" t="s">
        <v>3626</v>
      </c>
      <c r="C91" s="41"/>
      <c r="D91" s="41" t="s">
        <v>3350</v>
      </c>
      <c r="E91" s="41"/>
      <c r="F91" s="41"/>
      <c r="G91" s="41"/>
      <c r="H91" s="41">
        <v>0.28999999999999998</v>
      </c>
      <c r="I91" s="41" t="s">
        <v>3627</v>
      </c>
      <c r="J91" s="41"/>
      <c r="K91" s="125">
        <v>45413</v>
      </c>
      <c r="L91" s="41"/>
      <c r="M91" s="126" t="s">
        <v>3628</v>
      </c>
    </row>
    <row r="92" spans="1:13" s="127" customFormat="1" ht="30" customHeight="1" x14ac:dyDescent="0.3">
      <c r="A92" s="41">
        <v>59</v>
      </c>
      <c r="B92" s="41" t="s">
        <v>3629</v>
      </c>
      <c r="C92" s="41"/>
      <c r="D92" s="41" t="s">
        <v>3350</v>
      </c>
      <c r="E92" s="41"/>
      <c r="F92" s="41"/>
      <c r="G92" s="41"/>
      <c r="H92" s="41">
        <v>0.01</v>
      </c>
      <c r="I92" s="41" t="s">
        <v>3630</v>
      </c>
      <c r="J92" s="41" t="s">
        <v>3613</v>
      </c>
      <c r="K92" s="125">
        <v>45444</v>
      </c>
      <c r="L92" s="41"/>
      <c r="M92" s="126" t="s">
        <v>3631</v>
      </c>
    </row>
    <row r="93" spans="1:13" s="127" customFormat="1" ht="30" customHeight="1" x14ac:dyDescent="0.3">
      <c r="A93" s="41">
        <v>60</v>
      </c>
      <c r="B93" s="41" t="s">
        <v>3632</v>
      </c>
      <c r="C93" s="41"/>
      <c r="D93" s="41" t="s">
        <v>3360</v>
      </c>
      <c r="E93" s="41"/>
      <c r="F93" s="41"/>
      <c r="G93" s="41"/>
      <c r="H93" s="41">
        <v>0.11</v>
      </c>
      <c r="I93" s="41" t="s">
        <v>3633</v>
      </c>
      <c r="J93" s="41" t="s">
        <v>3613</v>
      </c>
      <c r="K93" s="125">
        <v>45474</v>
      </c>
      <c r="L93" s="41"/>
      <c r="M93" s="126" t="s">
        <v>3634</v>
      </c>
    </row>
    <row r="94" spans="1:13" s="127" customFormat="1" ht="30" customHeight="1" x14ac:dyDescent="0.3">
      <c r="A94" s="41">
        <v>61</v>
      </c>
      <c r="B94" s="41" t="s">
        <v>3635</v>
      </c>
      <c r="C94" s="41"/>
      <c r="D94" s="41" t="s">
        <v>3480</v>
      </c>
      <c r="E94" s="41"/>
      <c r="F94" s="41"/>
      <c r="G94" s="41"/>
      <c r="H94" s="41">
        <v>0.38</v>
      </c>
      <c r="I94" s="41" t="s">
        <v>3636</v>
      </c>
      <c r="J94" s="41" t="s">
        <v>3613</v>
      </c>
      <c r="K94" s="125">
        <v>45505</v>
      </c>
      <c r="L94" s="41"/>
      <c r="M94" s="126" t="s">
        <v>3637</v>
      </c>
    </row>
    <row r="95" spans="1:13" s="127" customFormat="1" ht="30" customHeight="1" x14ac:dyDescent="0.3">
      <c r="A95" s="41">
        <v>62</v>
      </c>
      <c r="B95" s="41" t="s">
        <v>3638</v>
      </c>
      <c r="C95" s="41"/>
      <c r="D95" s="41" t="s">
        <v>3439</v>
      </c>
      <c r="E95" s="41"/>
      <c r="F95" s="41"/>
      <c r="G95" s="41"/>
      <c r="H95" s="41">
        <v>0.05</v>
      </c>
      <c r="I95" s="41" t="s">
        <v>3386</v>
      </c>
      <c r="J95" s="41"/>
      <c r="K95" s="125">
        <v>45597</v>
      </c>
      <c r="L95" s="41"/>
      <c r="M95" s="126" t="s">
        <v>3639</v>
      </c>
    </row>
    <row r="96" spans="1:13" s="127" customFormat="1" ht="30" customHeight="1" x14ac:dyDescent="0.3">
      <c r="A96" s="41">
        <v>63</v>
      </c>
      <c r="B96" s="41" t="s">
        <v>3640</v>
      </c>
      <c r="C96" s="41"/>
      <c r="D96" s="41"/>
      <c r="E96" s="41"/>
      <c r="F96" s="41"/>
      <c r="G96" s="41"/>
      <c r="H96" s="41">
        <v>7.0000000000000007E-2</v>
      </c>
      <c r="I96" s="41" t="s">
        <v>3641</v>
      </c>
      <c r="J96" s="41" t="s">
        <v>3613</v>
      </c>
      <c r="K96" s="125">
        <v>45597</v>
      </c>
      <c r="L96" s="41"/>
      <c r="M96" s="126" t="s">
        <v>3642</v>
      </c>
    </row>
    <row r="97" spans="1:13" s="127" customFormat="1" ht="30" customHeight="1" x14ac:dyDescent="0.3">
      <c r="A97" s="41">
        <v>64</v>
      </c>
      <c r="B97" s="41" t="s">
        <v>3643</v>
      </c>
      <c r="C97" s="41"/>
      <c r="D97" s="41" t="s">
        <v>3360</v>
      </c>
      <c r="E97" s="41"/>
      <c r="F97" s="41"/>
      <c r="G97" s="41"/>
      <c r="H97" s="41">
        <v>0.88</v>
      </c>
      <c r="I97" s="41" t="s">
        <v>3386</v>
      </c>
      <c r="J97" s="41" t="s">
        <v>3644</v>
      </c>
      <c r="K97" s="125">
        <v>45627</v>
      </c>
      <c r="L97" s="41"/>
      <c r="M97" s="126" t="s">
        <v>3645</v>
      </c>
    </row>
    <row r="98" spans="1:13" s="127" customFormat="1" ht="30" customHeight="1" x14ac:dyDescent="0.3">
      <c r="A98" s="41">
        <v>65</v>
      </c>
      <c r="B98" s="41" t="s">
        <v>3646</v>
      </c>
      <c r="C98" s="41"/>
      <c r="D98" s="41" t="s">
        <v>3350</v>
      </c>
      <c r="E98" s="41"/>
      <c r="F98" s="41"/>
      <c r="G98" s="41"/>
      <c r="H98" s="41">
        <v>0.02</v>
      </c>
      <c r="I98" s="41" t="s">
        <v>3647</v>
      </c>
      <c r="J98" s="41"/>
      <c r="K98" s="125">
        <v>45748</v>
      </c>
      <c r="L98" s="41"/>
      <c r="M98" s="126" t="s">
        <v>3648</v>
      </c>
    </row>
    <row r="99" spans="1:13" s="127" customFormat="1" ht="30" customHeight="1" x14ac:dyDescent="0.3">
      <c r="A99" s="41">
        <v>66</v>
      </c>
      <c r="B99" s="41" t="s">
        <v>3649</v>
      </c>
      <c r="C99" s="41"/>
      <c r="D99" s="41" t="s">
        <v>3360</v>
      </c>
      <c r="E99" s="41"/>
      <c r="F99" s="41"/>
      <c r="G99" s="41"/>
      <c r="H99" s="41">
        <v>0.04</v>
      </c>
      <c r="I99" s="41" t="s">
        <v>3386</v>
      </c>
      <c r="J99" s="41"/>
      <c r="K99" s="125">
        <v>45809</v>
      </c>
      <c r="L99" s="41"/>
      <c r="M99" s="126" t="s">
        <v>3650</v>
      </c>
    </row>
    <row r="100" spans="1:13" s="127" customFormat="1" ht="30" customHeight="1" x14ac:dyDescent="0.3">
      <c r="A100" s="41"/>
      <c r="B100" s="41"/>
      <c r="C100" s="41"/>
      <c r="D100" s="41"/>
      <c r="E100" s="41"/>
      <c r="F100" s="41"/>
      <c r="G100" s="41"/>
      <c r="H100" s="41"/>
      <c r="I100" s="41"/>
      <c r="J100" s="41"/>
      <c r="K100" s="125"/>
      <c r="L100" s="41"/>
      <c r="M100" s="126"/>
    </row>
    <row r="101" spans="1:13" s="127" customFormat="1" ht="30" customHeight="1" x14ac:dyDescent="0.3">
      <c r="A101" s="41"/>
      <c r="B101" s="41"/>
      <c r="C101" s="41"/>
      <c r="D101" s="41"/>
      <c r="E101" s="41"/>
      <c r="F101" s="41"/>
      <c r="G101" s="41"/>
      <c r="H101" s="41"/>
      <c r="I101" s="41"/>
      <c r="J101" s="41"/>
      <c r="K101" s="125"/>
      <c r="L101" s="41"/>
      <c r="M101" s="126"/>
    </row>
    <row r="102" spans="1:13" s="127" customFormat="1" ht="30" customHeight="1" x14ac:dyDescent="0.3">
      <c r="A102" s="41"/>
      <c r="B102" s="41"/>
      <c r="C102" s="41"/>
      <c r="D102" s="41"/>
      <c r="E102" s="41"/>
      <c r="F102" s="41"/>
      <c r="G102" s="41"/>
      <c r="H102" s="41"/>
      <c r="I102" s="41"/>
      <c r="J102" s="41"/>
      <c r="K102" s="125"/>
      <c r="L102" s="41"/>
      <c r="M102" s="126"/>
    </row>
    <row r="103" spans="1:13" s="127" customFormat="1" ht="30" customHeight="1" x14ac:dyDescent="0.3">
      <c r="A103" s="41"/>
      <c r="B103" s="41"/>
      <c r="C103" s="41"/>
      <c r="D103" s="41"/>
      <c r="E103" s="41"/>
      <c r="F103" s="41"/>
      <c r="G103" s="41"/>
      <c r="H103" s="41"/>
      <c r="I103" s="41"/>
      <c r="J103" s="41"/>
      <c r="K103" s="125"/>
      <c r="L103" s="41"/>
      <c r="M103" s="126"/>
    </row>
    <row r="104" spans="1:13" s="127" customFormat="1" ht="30" customHeight="1" x14ac:dyDescent="0.3">
      <c r="A104" s="41"/>
      <c r="B104" s="41"/>
      <c r="C104" s="41"/>
      <c r="D104" s="41"/>
      <c r="E104" s="41"/>
      <c r="F104" s="41"/>
      <c r="G104" s="41"/>
      <c r="H104" s="41"/>
      <c r="I104" s="41"/>
      <c r="J104" s="41"/>
      <c r="K104" s="125"/>
      <c r="L104" s="41"/>
      <c r="M104" s="126"/>
    </row>
    <row r="105" spans="1:13" s="127" customFormat="1" ht="30" customHeight="1" x14ac:dyDescent="0.3">
      <c r="A105" s="41"/>
      <c r="B105" s="41"/>
      <c r="C105" s="41"/>
      <c r="D105" s="41"/>
      <c r="E105" s="41"/>
      <c r="F105" s="41"/>
      <c r="G105" s="41"/>
      <c r="H105" s="41"/>
      <c r="I105" s="41"/>
      <c r="J105" s="41"/>
      <c r="K105" s="125"/>
      <c r="L105" s="41"/>
      <c r="M105" s="126"/>
    </row>
    <row r="106" spans="1:13" s="127" customFormat="1" ht="30" customHeight="1" x14ac:dyDescent="0.3">
      <c r="A106" s="41"/>
      <c r="B106" s="41"/>
      <c r="C106" s="41"/>
      <c r="D106" s="41"/>
      <c r="E106" s="41"/>
      <c r="F106" s="41"/>
      <c r="G106" s="41"/>
      <c r="H106" s="41"/>
      <c r="I106" s="41"/>
      <c r="J106" s="41"/>
      <c r="K106" s="125"/>
      <c r="L106" s="41"/>
      <c r="M106" s="126"/>
    </row>
    <row r="107" spans="1:13" s="127" customFormat="1" ht="30" customHeight="1" x14ac:dyDescent="0.3">
      <c r="A107" s="41"/>
      <c r="B107" s="41"/>
      <c r="C107" s="41"/>
      <c r="D107" s="41"/>
      <c r="E107" s="41"/>
      <c r="F107" s="41"/>
      <c r="G107" s="41"/>
      <c r="H107" s="41"/>
      <c r="I107" s="41"/>
      <c r="J107" s="41"/>
      <c r="K107" s="125"/>
      <c r="L107" s="41"/>
      <c r="M107" s="126"/>
    </row>
    <row r="108" spans="1:13" s="127" customFormat="1" ht="30" customHeight="1" x14ac:dyDescent="0.3">
      <c r="A108" s="41"/>
      <c r="B108" s="41"/>
      <c r="C108" s="41"/>
      <c r="D108" s="41"/>
      <c r="E108" s="41"/>
      <c r="F108" s="41"/>
      <c r="G108" s="41"/>
      <c r="H108" s="41"/>
      <c r="I108" s="41"/>
      <c r="J108" s="41"/>
      <c r="K108" s="125"/>
      <c r="L108" s="41"/>
      <c r="M108" s="126"/>
    </row>
    <row r="109" spans="1:13" s="127" customFormat="1" ht="30" customHeight="1" x14ac:dyDescent="0.3">
      <c r="A109" s="41"/>
      <c r="B109" s="41"/>
      <c r="C109" s="41"/>
      <c r="D109" s="41"/>
      <c r="E109" s="41"/>
      <c r="F109" s="41"/>
      <c r="G109" s="41"/>
      <c r="H109" s="41"/>
      <c r="I109" s="41"/>
      <c r="J109" s="41"/>
      <c r="K109" s="125"/>
      <c r="L109" s="41"/>
      <c r="M109" s="126"/>
    </row>
  </sheetData>
  <autoFilter ref="A1:M99" xr:uid="{00000000-0009-0000-0000-000008000000}"/>
  <phoneticPr fontId="2" type="noConversion"/>
  <hyperlinks>
    <hyperlink ref="M36" r:id="rId1" xr:uid="{45BC556A-CBBA-408E-AA0A-7A527FC922D7}"/>
    <hyperlink ref="M45" r:id="rId2" xr:uid="{FE48C1D1-C803-4AC1-9B46-FD189E945D73}"/>
    <hyperlink ref="M7" r:id="rId3" xr:uid="{40783FFF-A191-4FBD-BC44-43FE7CA774C5}"/>
    <hyperlink ref="M3" r:id="rId4" xr:uid="{2A0B59EA-96B6-467A-BF27-70FCDA0F793B}"/>
    <hyperlink ref="M12" r:id="rId5" xr:uid="{42124318-817C-43C4-919C-D82E6A433855}"/>
    <hyperlink ref="M14" r:id="rId6" xr:uid="{58815B5D-7597-4E55-8BD9-E88B4EA6B887}"/>
    <hyperlink ref="M16" r:id="rId7" xr:uid="{3425CB87-3903-4AA9-94DE-6A98BC223CDA}"/>
    <hyperlink ref="M19" r:id="rId8" xr:uid="{1236C3F0-EF6E-4109-BEF7-2309C1EBFE73}"/>
    <hyperlink ref="M26" r:id="rId9" xr:uid="{68C1A129-A467-4B04-BA18-F569F91D6142}"/>
    <hyperlink ref="M25" r:id="rId10" xr:uid="{42B7D0E9-EB28-46B4-B121-89A27FC775E8}"/>
    <hyperlink ref="M37" r:id="rId11" xr:uid="{94731B42-2B58-4896-AB85-E174BEAAC7B6}"/>
    <hyperlink ref="M31" r:id="rId12" xr:uid="{C2573F9F-EF54-4518-A3BF-A3DACBF6F68A}"/>
    <hyperlink ref="M34" r:id="rId13" xr:uid="{1AFF7987-4086-43DB-8632-75060A514D1A}"/>
    <hyperlink ref="M29" r:id="rId14" xr:uid="{A2A896B2-C205-4F90-9259-E8EC34F2167E}"/>
    <hyperlink ref="M68" r:id="rId15" xr:uid="{3E53A357-D788-40A1-A128-3B96C1E952A8}"/>
    <hyperlink ref="M69" r:id="rId16" xr:uid="{44869731-F020-43A8-B313-B6F900EDCFB6}"/>
    <hyperlink ref="M39" r:id="rId17" xr:uid="{B389F2EF-7457-4853-A77D-BFEAEF816B89}"/>
    <hyperlink ref="M53" r:id="rId18" xr:uid="{8D3D49D9-87EB-4B72-B17F-AD5A2E2B0E8F}"/>
    <hyperlink ref="M35" r:id="rId19" xr:uid="{1FE9965E-BA59-4FD4-8DA2-F64E256D3002}"/>
    <hyperlink ref="M43" r:id="rId20" xr:uid="{7E457FAC-5440-466B-B7C9-7F6AEF6F73FF}"/>
    <hyperlink ref="M58" r:id="rId21" xr:uid="{47A34B70-4621-4259-B8ED-E3BA274F00DA}"/>
    <hyperlink ref="M20" r:id="rId22" xr:uid="{1EDFD74C-76E5-4BF7-B2A9-1269FE8FFC48}"/>
    <hyperlink ref="M32" r:id="rId23" xr:uid="{7B62FAF1-B5A8-40FA-B40B-3DA39269D026}"/>
    <hyperlink ref="M57" r:id="rId24" xr:uid="{010059F8-8CC2-46BF-B42E-C8A6DA1B0D8E}"/>
    <hyperlink ref="M27" r:id="rId25" xr:uid="{79E682FD-D38A-44AA-A2FF-DEC82C83E111}"/>
    <hyperlink ref="M28" r:id="rId26" xr:uid="{068A5156-B049-4E00-9CF3-3C5D534E1178}"/>
    <hyperlink ref="M42" r:id="rId27" xr:uid="{ECCD2AD8-B126-4592-B275-9E7AEA954338}"/>
    <hyperlink ref="M46" r:id="rId28" xr:uid="{78422590-21F1-4428-A0BB-8234FDD07BD4}"/>
    <hyperlink ref="M44" r:id="rId29" xr:uid="{B72AD452-7D3D-474D-959C-F8F8DB242E6E}"/>
    <hyperlink ref="M50" r:id="rId30" xr:uid="{C817FCF4-E803-4451-B742-41ECD1BFB427}"/>
    <hyperlink ref="M18" r:id="rId31" xr:uid="{5A1DA5FC-15CC-41B2-8657-B6754FBE3A00}"/>
    <hyperlink ref="M17" r:id="rId32" xr:uid="{6AAF7C85-E20D-406A-8016-F34AB1C195D0}"/>
    <hyperlink ref="M59" r:id="rId33" xr:uid="{802F54D7-221E-4141-ADFC-EA92C9137E13}"/>
    <hyperlink ref="M62" r:id="rId34" xr:uid="{5AB457E1-493E-4D06-BBAB-49A9706A1AF8}"/>
    <hyperlink ref="M40" r:id="rId35" xr:uid="{9CDCDF23-1C80-43D0-A3B3-9B0F01BF2C5B}"/>
    <hyperlink ref="M60" r:id="rId36" xr:uid="{FC4CEAE7-C706-4C8F-8399-84668D75FD1F}"/>
    <hyperlink ref="M49" r:id="rId37" xr:uid="{1A91DB7B-DAF1-4B5F-BF9F-5B2AFEEE5993}"/>
    <hyperlink ref="M72" r:id="rId38" xr:uid="{5281443A-1237-420A-9D4E-1D1612514E20}"/>
    <hyperlink ref="M73" r:id="rId39" xr:uid="{7917589B-D3C1-4199-B4F8-46952367E6FC}"/>
    <hyperlink ref="M51" r:id="rId40" xr:uid="{88384E96-296F-41FE-BD1B-A7639F511305}"/>
    <hyperlink ref="M5" r:id="rId41" tooltip="https://www.meti.go.jp/shingikai/enecho/shoene_shinene/suiso_seisaku/pdf/20230606_2.pdf" xr:uid="{3BFC22AA-DB4C-4BB6-96C3-7B394AF597EC}"/>
    <hyperlink ref="M21" r:id="rId42" xr:uid="{9729D1A0-5068-491E-8A1D-B4C81D205544}"/>
    <hyperlink ref="M66" r:id="rId43" xr:uid="{047A5D66-3FDA-493E-91CE-2168E130B412}"/>
    <hyperlink ref="M54" r:id="rId44" xr:uid="{5DA4DB4E-6705-46A7-BD3A-62A34598B115}"/>
    <hyperlink ref="M81" r:id="rId45" xr:uid="{3794791E-A599-4CF9-B1B5-23B194AECE34}"/>
    <hyperlink ref="M80" r:id="rId46" xr:uid="{6DD8FA3C-BD46-4713-9857-7E9B3E7E96B0}"/>
    <hyperlink ref="M84" r:id="rId47" xr:uid="{FF6DCB99-9D5D-4112-B41B-D750CEF10FFE}"/>
    <hyperlink ref="M55" r:id="rId48" xr:uid="{D1C17146-383D-4A26-A3B5-DB7A3BF0427D}"/>
    <hyperlink ref="M82" r:id="rId49" xr:uid="{F5C63A26-1DD9-4539-A298-444AA9834114}"/>
    <hyperlink ref="M79" r:id="rId50" xr:uid="{DCB7612B-9DF9-433D-AF05-7687737B3396}"/>
    <hyperlink ref="M83" r:id="rId51" xr:uid="{BFD8F202-D64D-4D63-9D5C-2144C0F28DB6}"/>
    <hyperlink ref="M52" r:id="rId52" xr:uid="{0C5FBAA8-43B3-46E2-9658-C3179C02C9D3}"/>
    <hyperlink ref="M63" r:id="rId53" xr:uid="{3A19EDDD-939B-4EE0-AFBC-5638747D9F76}"/>
    <hyperlink ref="M30" r:id="rId54" xr:uid="{83D15077-8B3A-44B1-B8DE-0B945E7F158D}"/>
    <hyperlink ref="M22" r:id="rId55" xr:uid="{229E7718-A69B-444B-AF05-2F85E335E6B8}"/>
    <hyperlink ref="M88" r:id="rId56" xr:uid="{7A0740B4-9687-4BD8-A234-42815B47EF58}"/>
    <hyperlink ref="M65" r:id="rId57" xr:uid="{4F826DCC-CE26-43D4-BA0E-0E5CBDE65D4F}"/>
    <hyperlink ref="M23" r:id="rId58" xr:uid="{96F98FFA-8740-4B6A-8DF7-768F6FBFDF53}"/>
    <hyperlink ref="M92" r:id="rId59" xr:uid="{00C9672E-5B5A-4232-AB04-E3D25F98E281}"/>
    <hyperlink ref="M67" r:id="rId60" xr:uid="{342A0192-66D5-48D6-A2BA-F8C8B9C2BD58}"/>
    <hyperlink ref="M94" r:id="rId61" xr:uid="{FFEAB80E-2FF6-499C-BA32-BEC666B0FCEB}"/>
    <hyperlink ref="M93" r:id="rId62" xr:uid="{D8759071-4D97-4D1B-A8F5-26247E77297A}"/>
    <hyperlink ref="M87" r:id="rId63" tooltip="https://thuvienphapluat.vn/van-ban/Tai-nguyen-Moi-truong/Quyet-dinh-165-QD-TTg-2024-Chien-luoc-phat-trien-nang-luong-hydrogen-Viet-Nam-den-2030-tam-nhin-2050-598438.aspx" xr:uid="{240400A1-F5A2-4966-954A-89B1D3C598BC}"/>
    <hyperlink ref="M15" r:id="rId64" tooltip="https://www.dcceew.gov.au/sites/default/files/documents/national-hydrogen-strategy-2024.pdf" xr:uid="{89509228-3C57-4F56-BE70-72CBE2491E01}"/>
    <hyperlink ref="M38" r:id="rId65" xr:uid="{FB7799EB-416D-4054-876F-5AA8F8CB8EFD}"/>
    <hyperlink ref="M61" r:id="rId66" tooltip="https://www.kefm.dk/Media/638478420542283365/%C3%98konomiske rammevilk%C3%A5r for brintinfrastruktur -2. delaftale om r%C3%B8rbunden brintinfrastruktur_april 2024.pdf" xr:uid="{FDFB5D35-8495-4A7F-A994-C785A7D96903}"/>
    <hyperlink ref="M89" r:id="rId67" xr:uid="{0A25359B-2EEC-4124-852C-18B79D874E11}"/>
    <hyperlink ref="M90" r:id="rId68" xr:uid="{A171D410-185A-460C-B0AD-4663925D08B6}"/>
    <hyperlink ref="M97" r:id="rId69" tooltip="https://www.admin.ch/gov/de/start/dokumentation/medienmitteilungen.msg-id-103544.html#:~:text=Die%20Wasserstoffstrategie%20geht%20davon%20aus,inl%C3%A4ndische%20Produktion%20gedeckt%20werden%20kann." xr:uid="{4AA5497C-D7E3-46A6-A4EF-17791682DB9E}"/>
    <hyperlink ref="M95" r:id="rId70" xr:uid="{26DDA0C6-5343-4BD9-BF86-D22EC78B52C7}"/>
    <hyperlink ref="M8" r:id="rId71" xr:uid="{DA52535C-3BA7-4E62-B4FC-A7EFA8DA46AC}"/>
    <hyperlink ref="M99" r:id="rId72" xr:uid="{4242690F-E0F0-4CDC-862C-564851CD5D24}"/>
    <hyperlink ref="M86" r:id="rId73" xr:uid="{560278F8-3282-4D24-9105-8883BE829BBB}"/>
    <hyperlink ref="M98" r:id="rId74" xr:uid="{32517F43-C99C-4FCA-94B8-FADD374BFCE5}"/>
    <hyperlink ref="M96" r:id="rId75" xr:uid="{3B2FB980-7179-4A12-91D7-813CFE17F428}"/>
    <hyperlink ref="M91" r:id="rId76" xr:uid="{FB75266A-07C6-4DEC-B0D6-51B6EE1C083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04F1C-BEA4-4EDE-A7CE-6EDC9E59D4CB}">
  <dimension ref="B1:L34"/>
  <sheetViews>
    <sheetView zoomScale="70" zoomScaleNormal="70" workbookViewId="0">
      <selection activeCell="F11" sqref="F11"/>
    </sheetView>
  </sheetViews>
  <sheetFormatPr defaultColWidth="35.59765625" defaultRowHeight="30" customHeight="1" x14ac:dyDescent="0.3"/>
  <cols>
    <col min="1" max="1" width="4.1328125" style="4" customWidth="1"/>
    <col min="2" max="2" width="5.59765625" style="4" customWidth="1"/>
    <col min="3" max="3" width="20.59765625" style="4" customWidth="1"/>
    <col min="4" max="4" width="5.59765625" style="4" customWidth="1"/>
    <col min="5" max="5" width="255.59765625" style="13" bestFit="1" customWidth="1"/>
    <col min="6" max="6" width="85" style="13" bestFit="1" customWidth="1"/>
    <col min="7" max="7" width="49.33203125" style="13" bestFit="1" customWidth="1"/>
    <col min="8" max="8" width="114.9296875" style="13" bestFit="1" customWidth="1"/>
    <col min="9" max="9" width="98.33203125" style="13" bestFit="1" customWidth="1"/>
    <col min="10" max="10" width="149.796875" style="13" bestFit="1" customWidth="1"/>
    <col min="11" max="11" width="113.3984375" style="13" bestFit="1" customWidth="1"/>
    <col min="12" max="12" width="35.46484375" style="4" customWidth="1"/>
    <col min="13" max="16384" width="35.59765625" style="4"/>
  </cols>
  <sheetData>
    <row r="1" spans="2:12" ht="30" customHeight="1" x14ac:dyDescent="0.3">
      <c r="B1" s="1" t="s">
        <v>0</v>
      </c>
      <c r="C1" s="2" t="s">
        <v>1</v>
      </c>
      <c r="D1" s="2"/>
      <c r="E1" s="3" t="s">
        <v>2</v>
      </c>
      <c r="F1" s="3" t="s">
        <v>3</v>
      </c>
      <c r="G1" s="3" t="s">
        <v>4</v>
      </c>
      <c r="H1" s="3" t="s">
        <v>5</v>
      </c>
      <c r="I1" s="3" t="s">
        <v>6</v>
      </c>
      <c r="J1" s="3" t="s">
        <v>7</v>
      </c>
      <c r="K1" s="3" t="s">
        <v>8</v>
      </c>
      <c r="L1" s="3" t="s">
        <v>9</v>
      </c>
    </row>
    <row r="2" spans="2:12" ht="30" customHeight="1" x14ac:dyDescent="0.3">
      <c r="B2" s="2">
        <v>1</v>
      </c>
      <c r="C2" s="2" t="s">
        <v>10</v>
      </c>
      <c r="D2" s="2"/>
      <c r="E2" s="5" t="s">
        <v>11</v>
      </c>
      <c r="F2" s="5" t="s">
        <v>12</v>
      </c>
      <c r="G2" s="5" t="s">
        <v>13</v>
      </c>
      <c r="H2" s="5" t="s">
        <v>13</v>
      </c>
      <c r="I2" s="5" t="s">
        <v>13</v>
      </c>
      <c r="J2" s="5" t="s">
        <v>14</v>
      </c>
      <c r="K2" s="5" t="s">
        <v>13</v>
      </c>
      <c r="L2" s="5" t="s">
        <v>15</v>
      </c>
    </row>
    <row r="3" spans="2:12" ht="30" customHeight="1" x14ac:dyDescent="0.3">
      <c r="B3" s="6">
        <v>2</v>
      </c>
      <c r="C3" s="6" t="s">
        <v>16</v>
      </c>
      <c r="D3" s="6"/>
      <c r="E3" s="7" t="s">
        <v>17</v>
      </c>
      <c r="F3" s="8" t="s">
        <v>18</v>
      </c>
      <c r="G3" s="7" t="s">
        <v>19</v>
      </c>
      <c r="H3" s="8" t="s">
        <v>20</v>
      </c>
      <c r="I3" s="8" t="s">
        <v>21</v>
      </c>
      <c r="J3" s="8" t="s">
        <v>22</v>
      </c>
      <c r="K3" s="8" t="s">
        <v>23</v>
      </c>
      <c r="L3" s="9" t="s">
        <v>24</v>
      </c>
    </row>
    <row r="4" spans="2:12" ht="30" customHeight="1" x14ac:dyDescent="0.3">
      <c r="B4" s="2">
        <v>3</v>
      </c>
      <c r="C4" s="2" t="s">
        <v>25</v>
      </c>
      <c r="D4" s="2"/>
      <c r="E4" s="8" t="s">
        <v>26</v>
      </c>
      <c r="F4" s="10" t="s">
        <v>17</v>
      </c>
      <c r="G4" s="8" t="s">
        <v>27</v>
      </c>
      <c r="H4" s="10" t="s">
        <v>28</v>
      </c>
      <c r="I4" s="10" t="s">
        <v>29</v>
      </c>
      <c r="J4" s="10" t="s">
        <v>19</v>
      </c>
      <c r="K4" s="11" t="s">
        <v>17</v>
      </c>
      <c r="L4" s="11" t="s">
        <v>30</v>
      </c>
    </row>
    <row r="5" spans="2:12" ht="30" customHeight="1" x14ac:dyDescent="0.3">
      <c r="B5" s="2">
        <v>4</v>
      </c>
      <c r="C5" s="2" t="s">
        <v>31</v>
      </c>
      <c r="D5" s="2"/>
      <c r="E5" s="8" t="s">
        <v>32</v>
      </c>
      <c r="F5" s="8" t="s">
        <v>33</v>
      </c>
      <c r="G5" s="8" t="s">
        <v>34</v>
      </c>
      <c r="H5" s="8" t="s">
        <v>35</v>
      </c>
      <c r="I5" s="8" t="s">
        <v>36</v>
      </c>
      <c r="J5" s="8" t="s">
        <v>37</v>
      </c>
      <c r="K5" s="8" t="s">
        <v>38</v>
      </c>
      <c r="L5" s="11" t="s">
        <v>30</v>
      </c>
    </row>
    <row r="6" spans="2:12" ht="30" customHeight="1" x14ac:dyDescent="0.3">
      <c r="B6" s="2">
        <v>5</v>
      </c>
      <c r="C6" s="2" t="s">
        <v>39</v>
      </c>
      <c r="D6" s="2"/>
      <c r="E6" s="8" t="s">
        <v>40</v>
      </c>
      <c r="F6" s="8" t="s">
        <v>41</v>
      </c>
      <c r="G6" s="8" t="s">
        <v>42</v>
      </c>
      <c r="H6" s="8" t="s">
        <v>43</v>
      </c>
      <c r="I6" s="8" t="s">
        <v>44</v>
      </c>
      <c r="J6" s="8" t="s">
        <v>45</v>
      </c>
      <c r="K6" s="8" t="s">
        <v>46</v>
      </c>
      <c r="L6" s="9" t="s">
        <v>47</v>
      </c>
    </row>
    <row r="7" spans="2:12" ht="30" customHeight="1" x14ac:dyDescent="0.3">
      <c r="B7" s="2">
        <v>6</v>
      </c>
      <c r="C7" s="2" t="s">
        <v>48</v>
      </c>
      <c r="D7" s="2"/>
      <c r="E7" s="10" t="s">
        <v>30</v>
      </c>
      <c r="F7" s="8" t="s">
        <v>49</v>
      </c>
      <c r="G7" s="8" t="s">
        <v>50</v>
      </c>
      <c r="H7" s="8" t="s">
        <v>51</v>
      </c>
      <c r="I7" s="8" t="s">
        <v>52</v>
      </c>
      <c r="J7" s="8" t="s">
        <v>53</v>
      </c>
      <c r="K7" s="8" t="s">
        <v>54</v>
      </c>
      <c r="L7" s="9" t="s">
        <v>55</v>
      </c>
    </row>
    <row r="8" spans="2:12" ht="30" customHeight="1" x14ac:dyDescent="0.3">
      <c r="B8" s="2">
        <v>7</v>
      </c>
      <c r="C8" s="2" t="s">
        <v>56</v>
      </c>
      <c r="D8" s="2"/>
      <c r="E8" s="10" t="s">
        <v>57</v>
      </c>
      <c r="F8" s="10" t="s">
        <v>17</v>
      </c>
      <c r="G8" s="8" t="s">
        <v>58</v>
      </c>
      <c r="H8" s="8" t="s">
        <v>59</v>
      </c>
      <c r="I8" s="8" t="s">
        <v>60</v>
      </c>
      <c r="J8" s="8" t="s">
        <v>61</v>
      </c>
      <c r="K8" s="8" t="s">
        <v>62</v>
      </c>
      <c r="L8" s="9" t="s">
        <v>63</v>
      </c>
    </row>
    <row r="9" spans="2:12" ht="30" customHeight="1" x14ac:dyDescent="0.3">
      <c r="B9" s="2">
        <v>8</v>
      </c>
      <c r="C9" s="2" t="s">
        <v>64</v>
      </c>
      <c r="D9" s="2"/>
      <c r="E9" s="8" t="s">
        <v>65</v>
      </c>
      <c r="F9" s="8" t="s">
        <v>66</v>
      </c>
      <c r="G9" s="10" t="s">
        <v>67</v>
      </c>
      <c r="H9" s="8" t="s">
        <v>68</v>
      </c>
      <c r="I9" s="8" t="s">
        <v>69</v>
      </c>
      <c r="J9" s="8" t="s">
        <v>70</v>
      </c>
      <c r="K9" s="8" t="s">
        <v>71</v>
      </c>
      <c r="L9" s="9" t="s">
        <v>72</v>
      </c>
    </row>
    <row r="10" spans="2:12" ht="30" customHeight="1" x14ac:dyDescent="0.3">
      <c r="B10" s="2">
        <v>9</v>
      </c>
      <c r="C10" s="2" t="s">
        <v>73</v>
      </c>
      <c r="D10" s="2"/>
      <c r="E10" s="10" t="s">
        <v>17</v>
      </c>
      <c r="F10" s="10" t="s">
        <v>67</v>
      </c>
      <c r="G10" s="10" t="s">
        <v>74</v>
      </c>
      <c r="H10" s="7" t="s">
        <v>19</v>
      </c>
      <c r="I10" s="7" t="s">
        <v>67</v>
      </c>
      <c r="J10" s="10" t="s">
        <v>75</v>
      </c>
      <c r="K10" s="8" t="s">
        <v>76</v>
      </c>
      <c r="L10" s="9" t="s">
        <v>77</v>
      </c>
    </row>
    <row r="11" spans="2:12" ht="30" customHeight="1" x14ac:dyDescent="0.3">
      <c r="B11" s="2">
        <v>10</v>
      </c>
      <c r="C11" s="2" t="s">
        <v>78</v>
      </c>
      <c r="D11" s="2"/>
      <c r="E11" s="10" t="s">
        <v>79</v>
      </c>
      <c r="F11" s="10" t="s">
        <v>80</v>
      </c>
      <c r="G11" s="10" t="s">
        <v>75</v>
      </c>
      <c r="H11" s="8" t="s">
        <v>81</v>
      </c>
      <c r="I11" s="8" t="s">
        <v>82</v>
      </c>
      <c r="J11" s="10" t="s">
        <v>19</v>
      </c>
      <c r="K11" s="8" t="s">
        <v>83</v>
      </c>
      <c r="L11" s="9" t="s">
        <v>84</v>
      </c>
    </row>
    <row r="12" spans="2:12" ht="30" customHeight="1" x14ac:dyDescent="0.3">
      <c r="B12" s="2">
        <v>11</v>
      </c>
      <c r="C12" s="2" t="s">
        <v>85</v>
      </c>
      <c r="D12" s="2"/>
      <c r="E12" s="10" t="s">
        <v>17</v>
      </c>
      <c r="F12" s="10" t="s">
        <v>86</v>
      </c>
      <c r="G12" s="10" t="s">
        <v>30</v>
      </c>
      <c r="H12" s="8" t="s">
        <v>87</v>
      </c>
      <c r="I12" s="8" t="s">
        <v>88</v>
      </c>
      <c r="J12" s="8" t="s">
        <v>89</v>
      </c>
      <c r="K12" s="11" t="s">
        <v>90</v>
      </c>
      <c r="L12" s="9" t="s">
        <v>91</v>
      </c>
    </row>
    <row r="13" spans="2:12" ht="30" customHeight="1" x14ac:dyDescent="0.3">
      <c r="B13" s="2">
        <v>12</v>
      </c>
      <c r="C13" s="2" t="s">
        <v>92</v>
      </c>
      <c r="D13" s="2"/>
      <c r="E13" s="8" t="s">
        <v>93</v>
      </c>
      <c r="F13" s="8" t="s">
        <v>94</v>
      </c>
      <c r="G13" s="10" t="s">
        <v>30</v>
      </c>
      <c r="H13" s="7" t="s">
        <v>95</v>
      </c>
      <c r="I13" s="10" t="s">
        <v>67</v>
      </c>
      <c r="J13" s="10" t="s">
        <v>19</v>
      </c>
      <c r="K13" s="10" t="s">
        <v>17</v>
      </c>
      <c r="L13" s="10" t="s">
        <v>17</v>
      </c>
    </row>
    <row r="14" spans="2:12" ht="30" customHeight="1" x14ac:dyDescent="0.3">
      <c r="B14" s="2">
        <v>13</v>
      </c>
      <c r="C14" s="2" t="s">
        <v>96</v>
      </c>
      <c r="D14" s="2"/>
      <c r="E14" s="10" t="s">
        <v>17</v>
      </c>
      <c r="F14" s="10" t="s">
        <v>67</v>
      </c>
      <c r="G14" s="10" t="s">
        <v>97</v>
      </c>
      <c r="H14" s="7" t="s">
        <v>95</v>
      </c>
      <c r="I14" s="8" t="s">
        <v>98</v>
      </c>
      <c r="J14" s="8" t="s">
        <v>99</v>
      </c>
      <c r="K14" s="10" t="s">
        <v>100</v>
      </c>
      <c r="L14" s="9" t="s">
        <v>101</v>
      </c>
    </row>
    <row r="15" spans="2:12" ht="30" customHeight="1" x14ac:dyDescent="0.3">
      <c r="B15" s="2">
        <v>14</v>
      </c>
      <c r="C15" s="2" t="s">
        <v>102</v>
      </c>
      <c r="D15" s="2"/>
      <c r="E15" s="10" t="s">
        <v>17</v>
      </c>
      <c r="F15" s="10" t="s">
        <v>29</v>
      </c>
      <c r="G15" s="10" t="s">
        <v>75</v>
      </c>
      <c r="H15" s="8" t="s">
        <v>103</v>
      </c>
      <c r="I15" s="10" t="s">
        <v>29</v>
      </c>
      <c r="J15" s="8" t="s">
        <v>104</v>
      </c>
      <c r="K15" s="8" t="s">
        <v>105</v>
      </c>
      <c r="L15" s="9" t="s">
        <v>106</v>
      </c>
    </row>
    <row r="16" spans="2:12" ht="30" customHeight="1" x14ac:dyDescent="0.3">
      <c r="B16" s="2">
        <v>15</v>
      </c>
      <c r="C16" s="2" t="s">
        <v>107</v>
      </c>
      <c r="D16" s="2"/>
      <c r="E16" s="10" t="s">
        <v>79</v>
      </c>
      <c r="F16" s="10" t="s">
        <v>86</v>
      </c>
      <c r="G16" s="10" t="s">
        <v>30</v>
      </c>
      <c r="H16" s="8" t="s">
        <v>108</v>
      </c>
      <c r="I16" s="10" t="s">
        <v>29</v>
      </c>
      <c r="J16" s="10" t="s">
        <v>19</v>
      </c>
      <c r="K16" s="8" t="s">
        <v>109</v>
      </c>
      <c r="L16" s="9" t="s">
        <v>110</v>
      </c>
    </row>
    <row r="17" spans="2:12" ht="30" customHeight="1" x14ac:dyDescent="0.3">
      <c r="B17" s="2">
        <v>16</v>
      </c>
      <c r="C17" s="2" t="s">
        <v>111</v>
      </c>
      <c r="D17" s="2"/>
      <c r="E17" s="10" t="s">
        <v>112</v>
      </c>
      <c r="F17" s="8" t="s">
        <v>113</v>
      </c>
      <c r="G17" s="8" t="s">
        <v>114</v>
      </c>
      <c r="H17" s="8" t="s">
        <v>115</v>
      </c>
      <c r="I17" s="8" t="s">
        <v>116</v>
      </c>
      <c r="J17" s="8" t="s">
        <v>117</v>
      </c>
      <c r="K17" s="11" t="s">
        <v>100</v>
      </c>
      <c r="L17" s="9" t="s">
        <v>118</v>
      </c>
    </row>
    <row r="18" spans="2:12" ht="30" customHeight="1" x14ac:dyDescent="0.3">
      <c r="B18" s="2">
        <v>17</v>
      </c>
      <c r="C18" s="2" t="s">
        <v>119</v>
      </c>
      <c r="D18" s="2"/>
      <c r="E18" s="8" t="s">
        <v>120</v>
      </c>
      <c r="F18" s="10" t="s">
        <v>121</v>
      </c>
      <c r="G18" s="8" t="s">
        <v>122</v>
      </c>
      <c r="H18" s="8" t="s">
        <v>123</v>
      </c>
      <c r="I18" s="8" t="s">
        <v>124</v>
      </c>
      <c r="J18" s="8" t="s">
        <v>125</v>
      </c>
      <c r="K18" s="8" t="s">
        <v>126</v>
      </c>
      <c r="L18" s="10" t="s">
        <v>30</v>
      </c>
    </row>
    <row r="19" spans="2:12" ht="30" customHeight="1" x14ac:dyDescent="0.3">
      <c r="B19" s="2">
        <v>18</v>
      </c>
      <c r="C19" s="2" t="s">
        <v>127</v>
      </c>
      <c r="D19" s="2"/>
      <c r="E19" s="10" t="s">
        <v>17</v>
      </c>
      <c r="F19" s="10" t="s">
        <v>67</v>
      </c>
      <c r="G19" s="10" t="s">
        <v>75</v>
      </c>
      <c r="H19" s="8" t="s">
        <v>128</v>
      </c>
      <c r="I19" s="10" t="s">
        <v>129</v>
      </c>
      <c r="J19" s="8" t="s">
        <v>130</v>
      </c>
      <c r="K19" s="8" t="s">
        <v>131</v>
      </c>
      <c r="L19" s="9" t="s">
        <v>132</v>
      </c>
    </row>
    <row r="20" spans="2:12" ht="30" customHeight="1" x14ac:dyDescent="0.3">
      <c r="B20" s="2">
        <v>19</v>
      </c>
      <c r="C20" s="2" t="s">
        <v>133</v>
      </c>
      <c r="D20" s="2"/>
      <c r="E20" s="10" t="s">
        <v>30</v>
      </c>
      <c r="F20" s="10" t="s">
        <v>129</v>
      </c>
      <c r="G20" s="10" t="s">
        <v>134</v>
      </c>
      <c r="H20" s="7" t="s">
        <v>95</v>
      </c>
      <c r="I20" s="8" t="s">
        <v>135</v>
      </c>
      <c r="J20" s="8" t="s">
        <v>136</v>
      </c>
      <c r="K20" s="8" t="s">
        <v>137</v>
      </c>
      <c r="L20" s="10" t="s">
        <v>138</v>
      </c>
    </row>
    <row r="21" spans="2:12" ht="30" customHeight="1" x14ac:dyDescent="0.3">
      <c r="B21" s="2">
        <v>20</v>
      </c>
      <c r="C21" s="2" t="s">
        <v>139</v>
      </c>
      <c r="D21" s="2"/>
      <c r="E21" s="8" t="s">
        <v>140</v>
      </c>
      <c r="F21" s="8" t="s">
        <v>141</v>
      </c>
      <c r="G21" s="8" t="s">
        <v>142</v>
      </c>
      <c r="H21" s="8" t="s">
        <v>143</v>
      </c>
      <c r="I21" s="10" t="s">
        <v>67</v>
      </c>
      <c r="J21" s="8" t="s">
        <v>144</v>
      </c>
      <c r="K21" s="11" t="s">
        <v>86</v>
      </c>
      <c r="L21" s="9" t="s">
        <v>145</v>
      </c>
    </row>
    <row r="22" spans="2:12" ht="30" customHeight="1" x14ac:dyDescent="0.3">
      <c r="B22" s="2">
        <v>21</v>
      </c>
      <c r="C22" s="2" t="s">
        <v>146</v>
      </c>
      <c r="D22" s="2"/>
      <c r="E22" s="10" t="s">
        <v>30</v>
      </c>
      <c r="F22" s="10" t="s">
        <v>67</v>
      </c>
      <c r="G22" s="10" t="s">
        <v>147</v>
      </c>
      <c r="H22" s="7" t="s">
        <v>95</v>
      </c>
      <c r="I22" s="8" t="s">
        <v>148</v>
      </c>
      <c r="J22" s="10" t="s">
        <v>149</v>
      </c>
      <c r="K22" s="11" t="s">
        <v>129</v>
      </c>
      <c r="L22" s="9" t="s">
        <v>150</v>
      </c>
    </row>
    <row r="23" spans="2:12" ht="30" customHeight="1" x14ac:dyDescent="0.3">
      <c r="B23" s="2">
        <v>22</v>
      </c>
      <c r="C23" s="2" t="s">
        <v>151</v>
      </c>
      <c r="D23" s="2"/>
      <c r="E23" s="10" t="s">
        <v>79</v>
      </c>
      <c r="F23" s="10" t="s">
        <v>149</v>
      </c>
      <c r="G23" s="10" t="s">
        <v>75</v>
      </c>
      <c r="H23" s="7" t="s">
        <v>147</v>
      </c>
      <c r="I23" s="10" t="s">
        <v>129</v>
      </c>
      <c r="J23" s="8" t="s">
        <v>152</v>
      </c>
      <c r="K23" s="8" t="s">
        <v>153</v>
      </c>
      <c r="L23" s="9" t="s">
        <v>154</v>
      </c>
    </row>
    <row r="24" spans="2:12" ht="30" customHeight="1" x14ac:dyDescent="0.3">
      <c r="B24" s="2">
        <v>23</v>
      </c>
      <c r="C24" s="2" t="s">
        <v>155</v>
      </c>
      <c r="D24" s="2"/>
      <c r="E24" s="10" t="s">
        <v>79</v>
      </c>
      <c r="F24" s="10" t="s">
        <v>29</v>
      </c>
      <c r="G24" s="8" t="s">
        <v>156</v>
      </c>
      <c r="H24" s="8" t="s">
        <v>157</v>
      </c>
      <c r="I24" s="8" t="s">
        <v>158</v>
      </c>
      <c r="J24" s="8" t="s">
        <v>159</v>
      </c>
      <c r="K24" s="8" t="s">
        <v>160</v>
      </c>
      <c r="L24" s="9" t="s">
        <v>161</v>
      </c>
    </row>
    <row r="25" spans="2:12" ht="30" customHeight="1" x14ac:dyDescent="0.3">
      <c r="B25" s="2">
        <v>24</v>
      </c>
      <c r="C25" s="2" t="s">
        <v>162</v>
      </c>
      <c r="D25" s="2"/>
      <c r="E25" s="8" t="s">
        <v>163</v>
      </c>
      <c r="F25" s="10" t="s">
        <v>164</v>
      </c>
      <c r="G25" s="10" t="s">
        <v>165</v>
      </c>
      <c r="H25" s="8" t="s">
        <v>166</v>
      </c>
      <c r="I25" s="8" t="s">
        <v>167</v>
      </c>
      <c r="J25" s="8" t="s">
        <v>168</v>
      </c>
      <c r="K25" s="8" t="s">
        <v>169</v>
      </c>
      <c r="L25" s="9" t="s">
        <v>170</v>
      </c>
    </row>
    <row r="26" spans="2:12" ht="30" customHeight="1" x14ac:dyDescent="0.3">
      <c r="B26" s="2">
        <v>25</v>
      </c>
      <c r="C26" s="2" t="s">
        <v>171</v>
      </c>
      <c r="D26" s="2"/>
      <c r="E26" s="10" t="s">
        <v>79</v>
      </c>
      <c r="F26" s="10" t="s">
        <v>86</v>
      </c>
      <c r="G26" s="10" t="s">
        <v>134</v>
      </c>
      <c r="H26" s="7" t="s">
        <v>100</v>
      </c>
      <c r="I26" s="10" t="s">
        <v>129</v>
      </c>
      <c r="J26" s="10" t="s">
        <v>75</v>
      </c>
      <c r="K26" s="11" t="s">
        <v>90</v>
      </c>
      <c r="L26" s="10" t="s">
        <v>79</v>
      </c>
    </row>
    <row r="27" spans="2:12" ht="30" customHeight="1" x14ac:dyDescent="0.3">
      <c r="B27" s="2">
        <v>26</v>
      </c>
      <c r="C27" s="2" t="s">
        <v>172</v>
      </c>
      <c r="D27" s="2"/>
      <c r="E27" s="8" t="s">
        <v>173</v>
      </c>
      <c r="F27" s="10" t="s">
        <v>174</v>
      </c>
      <c r="G27" s="8" t="s">
        <v>175</v>
      </c>
      <c r="H27" s="7" t="s">
        <v>100</v>
      </c>
      <c r="I27" s="10" t="s">
        <v>29</v>
      </c>
      <c r="J27" s="8" t="s">
        <v>176</v>
      </c>
      <c r="K27" s="8" t="s">
        <v>177</v>
      </c>
      <c r="L27" s="9" t="s">
        <v>178</v>
      </c>
    </row>
    <row r="28" spans="2:12" ht="30" customHeight="1" x14ac:dyDescent="0.3">
      <c r="B28" s="2">
        <v>27</v>
      </c>
      <c r="C28" s="2" t="s">
        <v>179</v>
      </c>
      <c r="D28" s="2"/>
      <c r="E28" s="10" t="s">
        <v>121</v>
      </c>
      <c r="F28" s="10" t="s">
        <v>180</v>
      </c>
      <c r="G28" s="10" t="s">
        <v>100</v>
      </c>
      <c r="H28" s="7" t="s">
        <v>181</v>
      </c>
      <c r="I28" s="10" t="s">
        <v>129</v>
      </c>
      <c r="J28" s="10" t="s">
        <v>180</v>
      </c>
      <c r="K28" s="8" t="s">
        <v>182</v>
      </c>
      <c r="L28" s="9" t="s">
        <v>183</v>
      </c>
    </row>
    <row r="29" spans="2:12" ht="30" customHeight="1" x14ac:dyDescent="0.3">
      <c r="B29" s="2">
        <v>28</v>
      </c>
      <c r="C29" s="2" t="s">
        <v>184</v>
      </c>
      <c r="D29" s="2"/>
      <c r="E29" s="10" t="s">
        <v>79</v>
      </c>
      <c r="F29" s="10" t="s">
        <v>86</v>
      </c>
      <c r="G29" s="8" t="s">
        <v>185</v>
      </c>
      <c r="H29" s="8" t="s">
        <v>186</v>
      </c>
      <c r="I29" s="8" t="s">
        <v>187</v>
      </c>
      <c r="J29" s="8" t="s">
        <v>188</v>
      </c>
      <c r="K29" s="8" t="s">
        <v>189</v>
      </c>
      <c r="L29" s="9" t="s">
        <v>190</v>
      </c>
    </row>
    <row r="30" spans="2:12" ht="30" customHeight="1" x14ac:dyDescent="0.3">
      <c r="B30" s="2">
        <v>29</v>
      </c>
      <c r="C30" s="2" t="s">
        <v>191</v>
      </c>
      <c r="D30" s="2"/>
      <c r="E30" s="10" t="s">
        <v>30</v>
      </c>
      <c r="F30" s="10" t="s">
        <v>121</v>
      </c>
      <c r="G30" s="8" t="s">
        <v>192</v>
      </c>
      <c r="H30" s="10" t="s">
        <v>95</v>
      </c>
      <c r="I30" s="8" t="s">
        <v>193</v>
      </c>
      <c r="J30" s="7" t="s">
        <v>19</v>
      </c>
      <c r="K30" s="8" t="s">
        <v>194</v>
      </c>
      <c r="L30" s="9" t="s">
        <v>195</v>
      </c>
    </row>
    <row r="31" spans="2:12" ht="30" customHeight="1" x14ac:dyDescent="0.3">
      <c r="B31" s="2">
        <v>30</v>
      </c>
      <c r="C31" s="2" t="s">
        <v>196</v>
      </c>
      <c r="D31" s="2"/>
      <c r="E31" s="10" t="s">
        <v>79</v>
      </c>
      <c r="F31" s="8" t="s">
        <v>197</v>
      </c>
      <c r="G31" s="10" t="s">
        <v>165</v>
      </c>
      <c r="H31" s="10" t="s">
        <v>147</v>
      </c>
      <c r="I31" s="8" t="s">
        <v>198</v>
      </c>
      <c r="J31" s="8" t="s">
        <v>199</v>
      </c>
      <c r="K31" s="8" t="s">
        <v>200</v>
      </c>
      <c r="L31" s="9" t="s">
        <v>201</v>
      </c>
    </row>
    <row r="32" spans="2:12" ht="30" customHeight="1" x14ac:dyDescent="0.3">
      <c r="B32" s="2">
        <v>31</v>
      </c>
      <c r="C32" s="2" t="s">
        <v>202</v>
      </c>
      <c r="D32" s="2"/>
      <c r="E32" s="10" t="s">
        <v>79</v>
      </c>
      <c r="F32" s="10" t="s">
        <v>29</v>
      </c>
      <c r="G32" s="10" t="s">
        <v>203</v>
      </c>
      <c r="H32" s="8" t="s">
        <v>204</v>
      </c>
      <c r="I32" s="8" t="s">
        <v>205</v>
      </c>
      <c r="J32" s="8" t="s">
        <v>206</v>
      </c>
      <c r="K32" s="8" t="s">
        <v>207</v>
      </c>
      <c r="L32" s="9" t="s">
        <v>208</v>
      </c>
    </row>
    <row r="33" spans="2:12" ht="30" customHeight="1" x14ac:dyDescent="0.3">
      <c r="B33" s="2">
        <v>32</v>
      </c>
      <c r="C33" s="2" t="s">
        <v>209</v>
      </c>
      <c r="D33" s="2"/>
      <c r="E33" s="10" t="s">
        <v>17</v>
      </c>
      <c r="F33" s="10" t="s">
        <v>210</v>
      </c>
      <c r="G33" s="8" t="s">
        <v>211</v>
      </c>
      <c r="H33" s="8" t="s">
        <v>212</v>
      </c>
      <c r="I33" s="10" t="s">
        <v>17</v>
      </c>
      <c r="J33" s="10" t="s">
        <v>17</v>
      </c>
      <c r="K33" s="8" t="s">
        <v>213</v>
      </c>
      <c r="L33" s="10" t="s">
        <v>79</v>
      </c>
    </row>
    <row r="34" spans="2:12" ht="30" customHeight="1" x14ac:dyDescent="0.3">
      <c r="B34" s="2"/>
      <c r="C34" s="2" t="s">
        <v>214</v>
      </c>
      <c r="D34" s="2"/>
      <c r="E34" s="12">
        <v>9</v>
      </c>
      <c r="F34" s="12">
        <v>9</v>
      </c>
      <c r="G34" s="12">
        <v>13</v>
      </c>
      <c r="H34" s="12">
        <v>16</v>
      </c>
      <c r="I34" s="12">
        <v>19</v>
      </c>
      <c r="J34" s="12">
        <v>21</v>
      </c>
      <c r="K34" s="12">
        <v>23</v>
      </c>
      <c r="L34" s="12">
        <v>24</v>
      </c>
    </row>
  </sheetData>
  <autoFilter ref="A1:P34" xr:uid="{00000000-0009-0000-0000-00001D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579B-6072-405F-AA66-48DBF0EC16EE}">
  <dimension ref="A1:O58"/>
  <sheetViews>
    <sheetView workbookViewId="0">
      <selection activeCell="F11" sqref="F11"/>
    </sheetView>
  </sheetViews>
  <sheetFormatPr defaultColWidth="25.59765625" defaultRowHeight="35.1" customHeight="1" x14ac:dyDescent="0.3"/>
  <cols>
    <col min="1" max="1" width="5.59765625" customWidth="1"/>
    <col min="2" max="3" width="8.59765625" customWidth="1"/>
    <col min="4" max="8" width="20.59765625" customWidth="1"/>
    <col min="9" max="9" width="10.59765625" customWidth="1"/>
    <col min="10" max="11" width="12.59765625" customWidth="1"/>
    <col min="12" max="12" width="120.59765625" customWidth="1"/>
    <col min="13" max="15" width="10.59765625" customWidth="1"/>
    <col min="16" max="16" width="25.59765625" customWidth="1"/>
  </cols>
  <sheetData>
    <row r="1" spans="1:15" ht="35.1" customHeight="1" x14ac:dyDescent="0.3">
      <c r="A1" s="14" t="s">
        <v>0</v>
      </c>
      <c r="B1" s="111" t="s">
        <v>215</v>
      </c>
      <c r="C1" s="112"/>
      <c r="D1" s="14" t="s">
        <v>216</v>
      </c>
      <c r="E1" s="14" t="s">
        <v>217</v>
      </c>
      <c r="F1" s="14" t="s">
        <v>218</v>
      </c>
      <c r="G1" s="14" t="s">
        <v>219</v>
      </c>
      <c r="H1" s="14" t="s">
        <v>220</v>
      </c>
      <c r="J1" s="15" t="s">
        <v>221</v>
      </c>
      <c r="K1" s="15" t="s">
        <v>222</v>
      </c>
      <c r="L1" s="15" t="s">
        <v>223</v>
      </c>
      <c r="M1" s="15" t="s">
        <v>224</v>
      </c>
      <c r="N1" s="15" t="s">
        <v>225</v>
      </c>
      <c r="O1" s="15" t="s">
        <v>226</v>
      </c>
    </row>
    <row r="2" spans="1:15" ht="35.1" customHeight="1" x14ac:dyDescent="0.3">
      <c r="A2" s="111" t="s">
        <v>220</v>
      </c>
      <c r="B2" s="113"/>
      <c r="C2" s="112"/>
      <c r="D2" s="16">
        <v>114219</v>
      </c>
      <c r="E2" s="16">
        <v>162465</v>
      </c>
      <c r="F2" s="16">
        <v>234282</v>
      </c>
      <c r="G2" s="16">
        <v>257030</v>
      </c>
      <c r="H2" s="17">
        <f>SUM(D2:G2)</f>
        <v>767996</v>
      </c>
      <c r="J2" s="15" t="s">
        <v>227</v>
      </c>
      <c r="K2" s="18" t="s">
        <v>228</v>
      </c>
      <c r="L2" s="18" t="s">
        <v>229</v>
      </c>
      <c r="M2" s="18">
        <v>49</v>
      </c>
      <c r="N2" s="18">
        <v>5300</v>
      </c>
      <c r="O2" s="18">
        <v>30</v>
      </c>
    </row>
    <row r="3" spans="1:15" ht="35.1" customHeight="1" x14ac:dyDescent="0.3">
      <c r="A3" s="107">
        <v>1</v>
      </c>
      <c r="B3" s="107" t="s">
        <v>230</v>
      </c>
      <c r="C3" s="16" t="s">
        <v>231</v>
      </c>
      <c r="D3" s="16">
        <v>29786</v>
      </c>
      <c r="E3" s="16">
        <v>24308</v>
      </c>
      <c r="F3" s="16">
        <v>45006</v>
      </c>
      <c r="G3" s="16">
        <v>17858</v>
      </c>
      <c r="H3" s="17">
        <f t="shared" ref="H3:H58" si="0">SUM(D3:G3)</f>
        <v>116958</v>
      </c>
      <c r="J3" s="15" t="s">
        <v>232</v>
      </c>
      <c r="K3" s="18" t="s">
        <v>78</v>
      </c>
      <c r="L3" s="18" t="s">
        <v>233</v>
      </c>
      <c r="M3" s="18">
        <v>73</v>
      </c>
      <c r="N3" s="18">
        <v>5000</v>
      </c>
      <c r="O3" s="18">
        <v>35</v>
      </c>
    </row>
    <row r="4" spans="1:15" ht="35.1" customHeight="1" x14ac:dyDescent="0.3">
      <c r="A4" s="109"/>
      <c r="B4" s="109"/>
      <c r="C4" s="19" t="s">
        <v>234</v>
      </c>
      <c r="D4" s="19">
        <v>15435</v>
      </c>
      <c r="E4" s="19">
        <v>10863</v>
      </c>
      <c r="F4" s="19">
        <v>24382</v>
      </c>
      <c r="G4" s="19">
        <v>11681</v>
      </c>
      <c r="H4" s="17">
        <f t="shared" si="0"/>
        <v>62361</v>
      </c>
      <c r="J4" s="15" t="s">
        <v>235</v>
      </c>
      <c r="K4" s="18" t="s">
        <v>236</v>
      </c>
      <c r="L4" s="18" t="s">
        <v>237</v>
      </c>
      <c r="M4" s="18">
        <v>227</v>
      </c>
      <c r="N4" s="18">
        <v>12715</v>
      </c>
      <c r="O4" s="18">
        <v>30</v>
      </c>
    </row>
    <row r="5" spans="1:15" ht="35.1" customHeight="1" x14ac:dyDescent="0.3">
      <c r="A5" s="109"/>
      <c r="B5" s="109"/>
      <c r="C5" s="19" t="s">
        <v>238</v>
      </c>
      <c r="D5" s="19">
        <v>3502</v>
      </c>
      <c r="E5" s="19">
        <v>4073</v>
      </c>
      <c r="F5" s="19">
        <v>2539</v>
      </c>
      <c r="G5" s="19">
        <v>1472</v>
      </c>
      <c r="H5" s="17">
        <f t="shared" si="0"/>
        <v>11586</v>
      </c>
      <c r="J5" s="15" t="s">
        <v>239</v>
      </c>
      <c r="K5" s="18" t="s">
        <v>240</v>
      </c>
      <c r="L5" s="18" t="s">
        <v>241</v>
      </c>
      <c r="M5" s="18">
        <v>82</v>
      </c>
      <c r="N5" s="18">
        <v>4445</v>
      </c>
      <c r="O5" s="18">
        <v>35</v>
      </c>
    </row>
    <row r="6" spans="1:15" ht="35.1" customHeight="1" x14ac:dyDescent="0.3">
      <c r="A6" s="109"/>
      <c r="B6" s="109"/>
      <c r="C6" s="19" t="s">
        <v>242</v>
      </c>
      <c r="D6" s="19">
        <v>1543</v>
      </c>
      <c r="E6" s="19">
        <v>2278</v>
      </c>
      <c r="F6" s="19">
        <v>7355</v>
      </c>
      <c r="G6" s="19">
        <v>254</v>
      </c>
      <c r="H6" s="17">
        <f t="shared" si="0"/>
        <v>11430</v>
      </c>
      <c r="J6" s="15" t="s">
        <v>243</v>
      </c>
      <c r="K6" s="18" t="s">
        <v>244</v>
      </c>
      <c r="L6" s="18" t="s">
        <v>245</v>
      </c>
      <c r="M6" s="18">
        <v>86</v>
      </c>
      <c r="N6" s="18">
        <v>7710</v>
      </c>
      <c r="O6" s="18">
        <v>30</v>
      </c>
    </row>
    <row r="7" spans="1:15" ht="35.1" customHeight="1" x14ac:dyDescent="0.3">
      <c r="A7" s="109"/>
      <c r="B7" s="109"/>
      <c r="C7" s="19" t="s">
        <v>246</v>
      </c>
      <c r="D7" s="19">
        <v>554</v>
      </c>
      <c r="E7" s="19">
        <v>2068</v>
      </c>
      <c r="F7" s="19">
        <v>6955</v>
      </c>
      <c r="G7" s="19">
        <v>898</v>
      </c>
      <c r="H7" s="17">
        <f t="shared" si="0"/>
        <v>10475</v>
      </c>
    </row>
    <row r="8" spans="1:15" ht="35.1" customHeight="1" x14ac:dyDescent="0.3">
      <c r="A8" s="109"/>
      <c r="B8" s="109"/>
      <c r="C8" s="19" t="s">
        <v>247</v>
      </c>
      <c r="D8" s="19">
        <v>8752</v>
      </c>
      <c r="E8" s="19">
        <v>1307</v>
      </c>
      <c r="F8" s="19">
        <v>691</v>
      </c>
      <c r="G8" s="19">
        <v>1778</v>
      </c>
      <c r="H8" s="17">
        <f t="shared" si="0"/>
        <v>12528</v>
      </c>
    </row>
    <row r="9" spans="1:15" ht="35.1" customHeight="1" x14ac:dyDescent="0.3">
      <c r="A9" s="109"/>
      <c r="B9" s="109"/>
      <c r="C9" s="19" t="s">
        <v>248</v>
      </c>
      <c r="D9" s="19">
        <v>0</v>
      </c>
      <c r="E9" s="19">
        <v>3719</v>
      </c>
      <c r="F9" s="19">
        <v>1852</v>
      </c>
      <c r="G9" s="19">
        <v>398</v>
      </c>
      <c r="H9" s="17">
        <f t="shared" si="0"/>
        <v>5969</v>
      </c>
    </row>
    <row r="10" spans="1:15" ht="35.1" customHeight="1" x14ac:dyDescent="0.3">
      <c r="A10" s="109"/>
      <c r="B10" s="109"/>
      <c r="C10" s="19" t="s">
        <v>249</v>
      </c>
      <c r="D10" s="19">
        <v>0</v>
      </c>
      <c r="E10" s="19">
        <v>0</v>
      </c>
      <c r="F10" s="19">
        <v>1232</v>
      </c>
      <c r="G10" s="19">
        <v>1377</v>
      </c>
      <c r="H10" s="17">
        <f t="shared" si="0"/>
        <v>2609</v>
      </c>
      <c r="J10" s="15" t="s">
        <v>221</v>
      </c>
      <c r="K10" s="15" t="s">
        <v>222</v>
      </c>
      <c r="L10" s="15" t="s">
        <v>223</v>
      </c>
    </row>
    <row r="11" spans="1:15" ht="35.1" customHeight="1" x14ac:dyDescent="0.3">
      <c r="A11" s="107">
        <v>2</v>
      </c>
      <c r="B11" s="107" t="s">
        <v>250</v>
      </c>
      <c r="C11" s="16" t="s">
        <v>231</v>
      </c>
      <c r="D11" s="16">
        <v>1583</v>
      </c>
      <c r="E11" s="16">
        <v>11207</v>
      </c>
      <c r="F11" s="16">
        <v>16783</v>
      </c>
      <c r="G11" s="16">
        <v>1842</v>
      </c>
      <c r="H11" s="17">
        <f t="shared" si="0"/>
        <v>31415</v>
      </c>
      <c r="J11" s="15" t="s">
        <v>227</v>
      </c>
      <c r="K11" s="18" t="s">
        <v>228</v>
      </c>
      <c r="L11" s="18" t="s">
        <v>229</v>
      </c>
    </row>
    <row r="12" spans="1:15" ht="35.1" customHeight="1" x14ac:dyDescent="0.3">
      <c r="A12" s="108"/>
      <c r="B12" s="108"/>
      <c r="C12" s="19" t="s">
        <v>251</v>
      </c>
      <c r="D12" s="19">
        <v>1583</v>
      </c>
      <c r="E12" s="19">
        <v>11207</v>
      </c>
      <c r="F12" s="19">
        <v>16783</v>
      </c>
      <c r="G12" s="19">
        <v>1842</v>
      </c>
      <c r="H12" s="17">
        <f t="shared" si="0"/>
        <v>31415</v>
      </c>
      <c r="J12" s="15" t="s">
        <v>232</v>
      </c>
      <c r="K12" s="18" t="s">
        <v>78</v>
      </c>
      <c r="L12" s="18" t="s">
        <v>233</v>
      </c>
    </row>
    <row r="13" spans="1:15" ht="35.1" customHeight="1" x14ac:dyDescent="0.3">
      <c r="A13" s="107">
        <v>3</v>
      </c>
      <c r="B13" s="107" t="s">
        <v>252</v>
      </c>
      <c r="C13" s="16" t="s">
        <v>231</v>
      </c>
      <c r="D13" s="16">
        <v>17164</v>
      </c>
      <c r="E13" s="16">
        <v>49708</v>
      </c>
      <c r="F13" s="16">
        <v>79340</v>
      </c>
      <c r="G13" s="16">
        <v>21454</v>
      </c>
      <c r="H13" s="17">
        <f t="shared" si="0"/>
        <v>167666</v>
      </c>
      <c r="J13" s="15" t="s">
        <v>235</v>
      </c>
      <c r="K13" s="18" t="s">
        <v>236</v>
      </c>
      <c r="L13" s="18" t="s">
        <v>253</v>
      </c>
    </row>
    <row r="14" spans="1:15" ht="35.1" customHeight="1" x14ac:dyDescent="0.3">
      <c r="A14" s="109"/>
      <c r="B14" s="109"/>
      <c r="C14" s="19" t="s">
        <v>254</v>
      </c>
      <c r="D14" s="19">
        <v>655</v>
      </c>
      <c r="E14" s="19">
        <v>2897</v>
      </c>
      <c r="F14" s="19">
        <v>11219</v>
      </c>
      <c r="G14" s="19">
        <v>2056</v>
      </c>
      <c r="H14" s="17">
        <f t="shared" si="0"/>
        <v>16827</v>
      </c>
      <c r="J14" s="15" t="s">
        <v>239</v>
      </c>
      <c r="K14" s="18" t="s">
        <v>240</v>
      </c>
      <c r="L14" s="18" t="s">
        <v>255</v>
      </c>
    </row>
    <row r="15" spans="1:15" ht="35.1" customHeight="1" x14ac:dyDescent="0.3">
      <c r="A15" s="109"/>
      <c r="B15" s="109"/>
      <c r="C15" s="19" t="s">
        <v>256</v>
      </c>
      <c r="D15" s="19">
        <v>13960</v>
      </c>
      <c r="E15" s="19">
        <v>39830</v>
      </c>
      <c r="F15" s="19">
        <v>47887</v>
      </c>
      <c r="G15" s="19">
        <v>9844</v>
      </c>
      <c r="H15" s="17">
        <f t="shared" si="0"/>
        <v>111521</v>
      </c>
      <c r="J15" s="15" t="s">
        <v>243</v>
      </c>
      <c r="K15" s="18" t="s">
        <v>244</v>
      </c>
      <c r="L15" s="18" t="s">
        <v>257</v>
      </c>
    </row>
    <row r="16" spans="1:15" ht="35.1" customHeight="1" x14ac:dyDescent="0.3">
      <c r="A16" s="109"/>
      <c r="B16" s="109"/>
      <c r="C16" s="19" t="s">
        <v>258</v>
      </c>
      <c r="D16" s="19">
        <v>2541</v>
      </c>
      <c r="E16" s="19">
        <v>4273</v>
      </c>
      <c r="F16" s="19">
        <v>14770</v>
      </c>
      <c r="G16" s="19">
        <v>6815</v>
      </c>
      <c r="H16" s="17">
        <f t="shared" si="0"/>
        <v>28399</v>
      </c>
    </row>
    <row r="17" spans="1:8" ht="35.1" customHeight="1" x14ac:dyDescent="0.3">
      <c r="A17" s="109"/>
      <c r="B17" s="109"/>
      <c r="C17" s="19" t="s">
        <v>259</v>
      </c>
      <c r="D17" s="19">
        <v>0</v>
      </c>
      <c r="E17" s="19">
        <v>2268</v>
      </c>
      <c r="F17" s="19">
        <v>2595</v>
      </c>
      <c r="G17" s="19">
        <v>326</v>
      </c>
      <c r="H17" s="17">
        <f t="shared" si="0"/>
        <v>5189</v>
      </c>
    </row>
    <row r="18" spans="1:8" ht="35.1" customHeight="1" x14ac:dyDescent="0.3">
      <c r="A18" s="109"/>
      <c r="B18" s="109"/>
      <c r="C18" s="19" t="s">
        <v>260</v>
      </c>
      <c r="D18" s="19">
        <v>0</v>
      </c>
      <c r="E18" s="19">
        <v>252</v>
      </c>
      <c r="F18" s="19">
        <v>2163</v>
      </c>
      <c r="G18" s="19">
        <v>26</v>
      </c>
      <c r="H18" s="17">
        <f t="shared" si="0"/>
        <v>2441</v>
      </c>
    </row>
    <row r="19" spans="1:8" ht="35.1" customHeight="1" x14ac:dyDescent="0.3">
      <c r="A19" s="109"/>
      <c r="B19" s="109"/>
      <c r="C19" s="19" t="s">
        <v>261</v>
      </c>
      <c r="D19" s="19">
        <v>8</v>
      </c>
      <c r="E19" s="19">
        <v>188</v>
      </c>
      <c r="F19" s="19">
        <v>497</v>
      </c>
      <c r="G19" s="19">
        <v>171</v>
      </c>
      <c r="H19" s="17">
        <f t="shared" si="0"/>
        <v>864</v>
      </c>
    </row>
    <row r="20" spans="1:8" ht="35.1" customHeight="1" x14ac:dyDescent="0.3">
      <c r="A20" s="109"/>
      <c r="B20" s="109"/>
      <c r="C20" s="19" t="s">
        <v>262</v>
      </c>
      <c r="D20" s="19">
        <v>0</v>
      </c>
      <c r="E20" s="19">
        <v>0</v>
      </c>
      <c r="F20" s="19">
        <v>209</v>
      </c>
      <c r="G20" s="19">
        <v>0</v>
      </c>
      <c r="H20" s="17">
        <f t="shared" si="0"/>
        <v>209</v>
      </c>
    </row>
    <row r="21" spans="1:8" ht="35.1" customHeight="1" x14ac:dyDescent="0.3">
      <c r="A21" s="109"/>
      <c r="B21" s="109"/>
      <c r="C21" s="19" t="s">
        <v>263</v>
      </c>
      <c r="D21" s="19" t="s">
        <v>264</v>
      </c>
      <c r="E21" s="19" t="s">
        <v>264</v>
      </c>
      <c r="F21" s="19" t="s">
        <v>264</v>
      </c>
      <c r="G21" s="19">
        <v>216</v>
      </c>
      <c r="H21" s="17">
        <f t="shared" si="0"/>
        <v>216</v>
      </c>
    </row>
    <row r="22" spans="1:8" ht="35.1" customHeight="1" x14ac:dyDescent="0.3">
      <c r="A22" s="109">
        <v>4</v>
      </c>
      <c r="B22" s="110" t="s">
        <v>265</v>
      </c>
      <c r="C22" s="16" t="s">
        <v>231</v>
      </c>
      <c r="D22" s="16" t="s">
        <v>264</v>
      </c>
      <c r="E22" s="16" t="s">
        <v>264</v>
      </c>
      <c r="F22" s="16" t="s">
        <v>264</v>
      </c>
      <c r="G22" s="16">
        <v>21961</v>
      </c>
      <c r="H22" s="17">
        <f t="shared" si="0"/>
        <v>21961</v>
      </c>
    </row>
    <row r="23" spans="1:8" ht="35.1" customHeight="1" x14ac:dyDescent="0.3">
      <c r="A23" s="109"/>
      <c r="B23" s="110"/>
      <c r="C23" s="19" t="s">
        <v>266</v>
      </c>
      <c r="D23" s="19" t="s">
        <v>264</v>
      </c>
      <c r="E23" s="19" t="s">
        <v>264</v>
      </c>
      <c r="F23" s="19" t="s">
        <v>264</v>
      </c>
      <c r="G23" s="19">
        <v>21964</v>
      </c>
      <c r="H23" s="17">
        <f t="shared" si="0"/>
        <v>21964</v>
      </c>
    </row>
    <row r="24" spans="1:8" ht="35.1" customHeight="1" x14ac:dyDescent="0.3">
      <c r="A24" s="107">
        <v>5</v>
      </c>
      <c r="B24" s="107" t="s">
        <v>267</v>
      </c>
      <c r="C24" s="16" t="s">
        <v>231</v>
      </c>
      <c r="D24" s="16">
        <v>1519</v>
      </c>
      <c r="E24" s="16">
        <v>504</v>
      </c>
      <c r="F24" s="16">
        <v>3420</v>
      </c>
      <c r="G24" s="16">
        <v>2529</v>
      </c>
      <c r="H24" s="17">
        <f t="shared" si="0"/>
        <v>7972</v>
      </c>
    </row>
    <row r="25" spans="1:8" ht="35.1" customHeight="1" x14ac:dyDescent="0.3">
      <c r="A25" s="109"/>
      <c r="B25" s="109"/>
      <c r="C25" s="19" t="s">
        <v>268</v>
      </c>
      <c r="D25" s="19">
        <v>4</v>
      </c>
      <c r="E25" s="19">
        <v>0</v>
      </c>
      <c r="F25" s="19">
        <v>2265</v>
      </c>
      <c r="G25" s="19">
        <v>0</v>
      </c>
      <c r="H25" s="17">
        <f t="shared" si="0"/>
        <v>2269</v>
      </c>
    </row>
    <row r="26" spans="1:8" ht="35.1" customHeight="1" x14ac:dyDescent="0.3">
      <c r="A26" s="109"/>
      <c r="B26" s="109"/>
      <c r="C26" s="19" t="s">
        <v>269</v>
      </c>
      <c r="D26" s="19">
        <v>1515</v>
      </c>
      <c r="E26" s="19">
        <v>504</v>
      </c>
      <c r="F26" s="19">
        <v>1155</v>
      </c>
      <c r="G26" s="19">
        <v>1525</v>
      </c>
      <c r="H26" s="17">
        <f t="shared" si="0"/>
        <v>4699</v>
      </c>
    </row>
    <row r="27" spans="1:8" ht="35.1" customHeight="1" x14ac:dyDescent="0.3">
      <c r="A27" s="109"/>
      <c r="B27" s="109"/>
      <c r="C27" s="19" t="s">
        <v>270</v>
      </c>
      <c r="D27" s="19">
        <v>0</v>
      </c>
      <c r="E27" s="19">
        <v>0</v>
      </c>
      <c r="F27" s="19">
        <v>0</v>
      </c>
      <c r="G27" s="19">
        <v>1004</v>
      </c>
      <c r="H27" s="17">
        <f t="shared" si="0"/>
        <v>1004</v>
      </c>
    </row>
    <row r="28" spans="1:8" ht="35.1" customHeight="1" x14ac:dyDescent="0.3">
      <c r="A28" s="110">
        <v>6</v>
      </c>
      <c r="B28" s="110" t="s">
        <v>271</v>
      </c>
      <c r="C28" s="16" t="s">
        <v>231</v>
      </c>
      <c r="D28" s="16" t="s">
        <v>264</v>
      </c>
      <c r="E28" s="16" t="s">
        <v>264</v>
      </c>
      <c r="F28" s="16" t="s">
        <v>264</v>
      </c>
      <c r="G28" s="16">
        <v>707</v>
      </c>
      <c r="H28" s="17">
        <f t="shared" si="0"/>
        <v>707</v>
      </c>
    </row>
    <row r="29" spans="1:8" ht="35.1" customHeight="1" x14ac:dyDescent="0.3">
      <c r="A29" s="110"/>
      <c r="B29" s="110"/>
      <c r="C29" s="19" t="s">
        <v>272</v>
      </c>
      <c r="D29" s="19" t="s">
        <v>264</v>
      </c>
      <c r="E29" s="19" t="s">
        <v>264</v>
      </c>
      <c r="F29" s="19" t="s">
        <v>264</v>
      </c>
      <c r="G29" s="19">
        <v>707</v>
      </c>
      <c r="H29" s="17">
        <f t="shared" si="0"/>
        <v>707</v>
      </c>
    </row>
    <row r="30" spans="1:8" ht="35.1" customHeight="1" x14ac:dyDescent="0.3">
      <c r="A30" s="107">
        <v>7</v>
      </c>
      <c r="B30" s="107" t="s">
        <v>273</v>
      </c>
      <c r="C30" s="16" t="s">
        <v>231</v>
      </c>
      <c r="D30" s="16">
        <v>30366</v>
      </c>
      <c r="E30" s="16">
        <v>31349</v>
      </c>
      <c r="F30" s="16">
        <v>41941</v>
      </c>
      <c r="G30" s="16">
        <v>18796</v>
      </c>
      <c r="H30" s="17">
        <f t="shared" si="0"/>
        <v>122452</v>
      </c>
    </row>
    <row r="31" spans="1:8" ht="35.1" customHeight="1" x14ac:dyDescent="0.3">
      <c r="A31" s="108"/>
      <c r="B31" s="108"/>
      <c r="C31" s="19" t="s">
        <v>273</v>
      </c>
      <c r="D31" s="19">
        <v>30366</v>
      </c>
      <c r="E31" s="19">
        <v>31349</v>
      </c>
      <c r="F31" s="19">
        <v>41941</v>
      </c>
      <c r="G31" s="19">
        <v>18796</v>
      </c>
      <c r="H31" s="17">
        <f t="shared" si="0"/>
        <v>122452</v>
      </c>
    </row>
    <row r="32" spans="1:8" ht="35.1" customHeight="1" x14ac:dyDescent="0.3">
      <c r="A32" s="107">
        <v>8</v>
      </c>
      <c r="B32" s="107" t="s">
        <v>274</v>
      </c>
      <c r="C32" s="16" t="s">
        <v>231</v>
      </c>
      <c r="D32" s="16">
        <v>0</v>
      </c>
      <c r="E32" s="16">
        <v>87</v>
      </c>
      <c r="F32" s="16">
        <v>4</v>
      </c>
      <c r="G32" s="16">
        <v>416</v>
      </c>
      <c r="H32" s="17">
        <f t="shared" si="0"/>
        <v>507</v>
      </c>
    </row>
    <row r="33" spans="1:8" ht="35.1" customHeight="1" x14ac:dyDescent="0.3">
      <c r="A33" s="108"/>
      <c r="B33" s="108"/>
      <c r="C33" s="19" t="s">
        <v>275</v>
      </c>
      <c r="D33" s="19">
        <v>0</v>
      </c>
      <c r="E33" s="19">
        <v>87</v>
      </c>
      <c r="F33" s="19">
        <v>4</v>
      </c>
      <c r="G33" s="19">
        <v>416</v>
      </c>
      <c r="H33" s="17">
        <f t="shared" si="0"/>
        <v>507</v>
      </c>
    </row>
    <row r="34" spans="1:8" ht="35.1" customHeight="1" x14ac:dyDescent="0.3">
      <c r="A34" s="107">
        <v>9</v>
      </c>
      <c r="B34" s="107" t="s">
        <v>276</v>
      </c>
      <c r="C34" s="16" t="s">
        <v>231</v>
      </c>
      <c r="D34" s="16">
        <v>884</v>
      </c>
      <c r="E34" s="16">
        <v>7579</v>
      </c>
      <c r="F34" s="16">
        <v>2836</v>
      </c>
      <c r="G34" s="16">
        <v>3769</v>
      </c>
      <c r="H34" s="17">
        <f t="shared" si="0"/>
        <v>15068</v>
      </c>
    </row>
    <row r="35" spans="1:8" ht="35.1" customHeight="1" x14ac:dyDescent="0.3">
      <c r="A35" s="108"/>
      <c r="B35" s="108"/>
      <c r="C35" s="19" t="s">
        <v>277</v>
      </c>
      <c r="D35" s="19">
        <v>884</v>
      </c>
      <c r="E35" s="19">
        <v>7579</v>
      </c>
      <c r="F35" s="19">
        <v>2836</v>
      </c>
      <c r="G35" s="19">
        <v>3769</v>
      </c>
      <c r="H35" s="17">
        <f t="shared" si="0"/>
        <v>15068</v>
      </c>
    </row>
    <row r="36" spans="1:8" ht="35.1" customHeight="1" x14ac:dyDescent="0.3">
      <c r="A36" s="107">
        <v>10</v>
      </c>
      <c r="B36" s="107" t="s">
        <v>278</v>
      </c>
      <c r="C36" s="16" t="s">
        <v>231</v>
      </c>
      <c r="D36" s="16">
        <v>262</v>
      </c>
      <c r="E36" s="16">
        <v>0</v>
      </c>
      <c r="F36" s="16">
        <v>0</v>
      </c>
      <c r="G36" s="16">
        <v>1021</v>
      </c>
      <c r="H36" s="17">
        <f t="shared" si="0"/>
        <v>1283</v>
      </c>
    </row>
    <row r="37" spans="1:8" ht="35.1" customHeight="1" x14ac:dyDescent="0.3">
      <c r="A37" s="108"/>
      <c r="B37" s="108"/>
      <c r="C37" s="19" t="s">
        <v>279</v>
      </c>
      <c r="D37" s="19">
        <v>262</v>
      </c>
      <c r="E37" s="19">
        <v>0</v>
      </c>
      <c r="F37" s="19">
        <v>0</v>
      </c>
      <c r="G37" s="19">
        <v>1021</v>
      </c>
      <c r="H37" s="17">
        <f t="shared" si="0"/>
        <v>1283</v>
      </c>
    </row>
    <row r="38" spans="1:8" ht="35.1" customHeight="1" x14ac:dyDescent="0.3">
      <c r="A38" s="107">
        <v>11</v>
      </c>
      <c r="B38" s="107" t="s">
        <v>280</v>
      </c>
      <c r="C38" s="16" t="s">
        <v>231</v>
      </c>
      <c r="D38" s="16">
        <v>1205</v>
      </c>
      <c r="E38" s="16">
        <v>2868</v>
      </c>
      <c r="F38" s="16">
        <v>1733</v>
      </c>
      <c r="G38" s="16">
        <v>2007</v>
      </c>
      <c r="H38" s="17">
        <f t="shared" si="0"/>
        <v>7813</v>
      </c>
    </row>
    <row r="39" spans="1:8" ht="35.1" customHeight="1" x14ac:dyDescent="0.3">
      <c r="A39" s="109"/>
      <c r="B39" s="109"/>
      <c r="C39" s="19" t="s">
        <v>281</v>
      </c>
      <c r="D39" s="19">
        <v>1205</v>
      </c>
      <c r="E39" s="19">
        <v>2868</v>
      </c>
      <c r="F39" s="19">
        <v>1719</v>
      </c>
      <c r="G39" s="19">
        <v>1933</v>
      </c>
      <c r="H39" s="17">
        <f t="shared" si="0"/>
        <v>7725</v>
      </c>
    </row>
    <row r="40" spans="1:8" ht="35.1" customHeight="1" x14ac:dyDescent="0.3">
      <c r="A40" s="109"/>
      <c r="B40" s="109"/>
      <c r="C40" s="19" t="s">
        <v>282</v>
      </c>
      <c r="D40" s="19">
        <v>0</v>
      </c>
      <c r="E40" s="19">
        <v>0</v>
      </c>
      <c r="F40" s="19">
        <v>14</v>
      </c>
      <c r="G40" s="19">
        <v>74</v>
      </c>
      <c r="H40" s="17">
        <f t="shared" si="0"/>
        <v>88</v>
      </c>
    </row>
    <row r="41" spans="1:8" ht="35.1" customHeight="1" x14ac:dyDescent="0.3">
      <c r="A41" s="107">
        <v>12</v>
      </c>
      <c r="B41" s="107" t="s">
        <v>283</v>
      </c>
      <c r="C41" s="16" t="s">
        <v>231</v>
      </c>
      <c r="D41" s="16">
        <v>23763</v>
      </c>
      <c r="E41" s="16">
        <v>34341</v>
      </c>
      <c r="F41" s="16">
        <v>42014</v>
      </c>
      <c r="G41" s="16">
        <v>43898</v>
      </c>
      <c r="H41" s="17">
        <f t="shared" si="0"/>
        <v>144016</v>
      </c>
    </row>
    <row r="42" spans="1:8" ht="35.1" customHeight="1" x14ac:dyDescent="0.3">
      <c r="A42" s="109"/>
      <c r="B42" s="109"/>
      <c r="C42" s="19" t="s">
        <v>284</v>
      </c>
      <c r="D42" s="19">
        <v>20350</v>
      </c>
      <c r="E42" s="19">
        <v>26368</v>
      </c>
      <c r="F42" s="19">
        <v>25873</v>
      </c>
      <c r="G42" s="19">
        <v>35816</v>
      </c>
      <c r="H42" s="17">
        <f t="shared" si="0"/>
        <v>108407</v>
      </c>
    </row>
    <row r="43" spans="1:8" ht="35.1" customHeight="1" x14ac:dyDescent="0.3">
      <c r="A43" s="109"/>
      <c r="B43" s="109"/>
      <c r="C43" s="19" t="s">
        <v>285</v>
      </c>
      <c r="D43" s="19">
        <v>0</v>
      </c>
      <c r="E43" s="19">
        <v>2284</v>
      </c>
      <c r="F43" s="19">
        <v>1049</v>
      </c>
      <c r="G43" s="19">
        <v>117</v>
      </c>
      <c r="H43" s="17">
        <f t="shared" si="0"/>
        <v>3450</v>
      </c>
    </row>
    <row r="44" spans="1:8" ht="35.1" customHeight="1" x14ac:dyDescent="0.3">
      <c r="A44" s="109"/>
      <c r="B44" s="109"/>
      <c r="C44" s="19" t="s">
        <v>286</v>
      </c>
      <c r="D44" s="19">
        <v>1803</v>
      </c>
      <c r="E44" s="19">
        <v>3464</v>
      </c>
      <c r="F44" s="19">
        <v>13225</v>
      </c>
      <c r="G44" s="19">
        <v>969</v>
      </c>
      <c r="H44" s="17">
        <f t="shared" si="0"/>
        <v>19461</v>
      </c>
    </row>
    <row r="45" spans="1:8" ht="35.1" customHeight="1" x14ac:dyDescent="0.3">
      <c r="A45" s="109"/>
      <c r="B45" s="109"/>
      <c r="C45" s="19" t="s">
        <v>287</v>
      </c>
      <c r="D45" s="19">
        <v>0</v>
      </c>
      <c r="E45" s="19">
        <v>422</v>
      </c>
      <c r="F45" s="19">
        <v>1863</v>
      </c>
      <c r="G45" s="19">
        <v>25</v>
      </c>
      <c r="H45" s="17">
        <f t="shared" si="0"/>
        <v>2310</v>
      </c>
    </row>
    <row r="46" spans="1:8" ht="35.1" customHeight="1" x14ac:dyDescent="0.3">
      <c r="A46" s="109"/>
      <c r="B46" s="109"/>
      <c r="C46" s="19" t="s">
        <v>288</v>
      </c>
      <c r="D46" s="19">
        <v>957</v>
      </c>
      <c r="E46" s="19">
        <v>795</v>
      </c>
      <c r="F46" s="19">
        <v>4</v>
      </c>
      <c r="G46" s="19">
        <v>2059</v>
      </c>
      <c r="H46" s="17">
        <f t="shared" si="0"/>
        <v>3815</v>
      </c>
    </row>
    <row r="47" spans="1:8" ht="35.1" customHeight="1" x14ac:dyDescent="0.3">
      <c r="A47" s="109"/>
      <c r="B47" s="109"/>
      <c r="C47" s="19" t="s">
        <v>289</v>
      </c>
      <c r="D47" s="19">
        <v>653</v>
      </c>
      <c r="E47" s="19">
        <v>1008</v>
      </c>
      <c r="F47" s="19">
        <v>0</v>
      </c>
      <c r="G47" s="19">
        <v>0</v>
      </c>
      <c r="H47" s="17">
        <f t="shared" si="0"/>
        <v>1661</v>
      </c>
    </row>
    <row r="48" spans="1:8" ht="35.1" customHeight="1" x14ac:dyDescent="0.3">
      <c r="A48" s="109"/>
      <c r="B48" s="109"/>
      <c r="C48" s="19" t="s">
        <v>290</v>
      </c>
      <c r="D48" s="19" t="s">
        <v>264</v>
      </c>
      <c r="E48" s="19" t="s">
        <v>264</v>
      </c>
      <c r="F48" s="19" t="s">
        <v>264</v>
      </c>
      <c r="G48" s="19">
        <v>2751</v>
      </c>
      <c r="H48" s="17">
        <f t="shared" si="0"/>
        <v>2751</v>
      </c>
    </row>
    <row r="49" spans="1:8" ht="35.1" customHeight="1" x14ac:dyDescent="0.3">
      <c r="A49" s="109"/>
      <c r="B49" s="109"/>
      <c r="C49" s="19" t="s">
        <v>291</v>
      </c>
      <c r="D49" s="19" t="s">
        <v>264</v>
      </c>
      <c r="E49" s="19" t="s">
        <v>264</v>
      </c>
      <c r="F49" s="19" t="s">
        <v>264</v>
      </c>
      <c r="G49" s="19">
        <v>2161</v>
      </c>
      <c r="H49" s="17">
        <f t="shared" si="0"/>
        <v>2161</v>
      </c>
    </row>
    <row r="50" spans="1:8" ht="35.1" customHeight="1" x14ac:dyDescent="0.3">
      <c r="A50" s="107">
        <v>13</v>
      </c>
      <c r="B50" s="107" t="s">
        <v>292</v>
      </c>
      <c r="C50" s="16" t="s">
        <v>231</v>
      </c>
      <c r="D50" s="16">
        <v>7687</v>
      </c>
      <c r="E50" s="16">
        <v>0</v>
      </c>
      <c r="F50" s="16">
        <v>0</v>
      </c>
      <c r="G50" s="16">
        <v>104934</v>
      </c>
      <c r="H50" s="17">
        <f t="shared" si="0"/>
        <v>112621</v>
      </c>
    </row>
    <row r="51" spans="1:8" ht="35.1" customHeight="1" x14ac:dyDescent="0.3">
      <c r="A51" s="109"/>
      <c r="B51" s="109"/>
      <c r="C51" s="19" t="s">
        <v>293</v>
      </c>
      <c r="D51" s="19">
        <v>5026</v>
      </c>
      <c r="E51" s="19">
        <v>0</v>
      </c>
      <c r="F51" s="19">
        <v>0</v>
      </c>
      <c r="G51" s="19">
        <v>92490</v>
      </c>
      <c r="H51" s="17">
        <f t="shared" si="0"/>
        <v>97516</v>
      </c>
    </row>
    <row r="52" spans="1:8" ht="35.1" customHeight="1" x14ac:dyDescent="0.3">
      <c r="A52" s="109"/>
      <c r="B52" s="109"/>
      <c r="C52" s="19" t="s">
        <v>294</v>
      </c>
      <c r="D52" s="19">
        <v>2660</v>
      </c>
      <c r="E52" s="19">
        <v>0</v>
      </c>
      <c r="F52" s="19">
        <v>0</v>
      </c>
      <c r="G52" s="19">
        <v>12092</v>
      </c>
      <c r="H52" s="17">
        <f t="shared" si="0"/>
        <v>14752</v>
      </c>
    </row>
    <row r="53" spans="1:8" ht="35.1" customHeight="1" x14ac:dyDescent="0.3">
      <c r="A53" s="109"/>
      <c r="B53" s="109"/>
      <c r="C53" s="19" t="s">
        <v>295</v>
      </c>
      <c r="D53" s="19">
        <v>1</v>
      </c>
      <c r="E53" s="19">
        <v>0</v>
      </c>
      <c r="F53" s="19">
        <v>0</v>
      </c>
      <c r="G53" s="19">
        <v>0</v>
      </c>
      <c r="H53" s="17">
        <f t="shared" si="0"/>
        <v>1</v>
      </c>
    </row>
    <row r="54" spans="1:8" ht="35.1" customHeight="1" x14ac:dyDescent="0.3">
      <c r="A54" s="109"/>
      <c r="B54" s="109"/>
      <c r="C54" s="19" t="s">
        <v>296</v>
      </c>
      <c r="D54" s="19">
        <v>0</v>
      </c>
      <c r="E54" s="19">
        <v>0</v>
      </c>
      <c r="F54" s="19">
        <v>0</v>
      </c>
      <c r="G54" s="19">
        <v>352</v>
      </c>
      <c r="H54" s="17">
        <f t="shared" si="0"/>
        <v>352</v>
      </c>
    </row>
    <row r="55" spans="1:8" ht="35.1" customHeight="1" x14ac:dyDescent="0.3">
      <c r="A55" s="107">
        <v>14</v>
      </c>
      <c r="B55" s="107" t="s">
        <v>297</v>
      </c>
      <c r="C55" s="16" t="s">
        <v>231</v>
      </c>
      <c r="D55" s="16">
        <v>0</v>
      </c>
      <c r="E55" s="16">
        <v>514</v>
      </c>
      <c r="F55" s="16">
        <v>1205</v>
      </c>
      <c r="G55" s="16">
        <v>211</v>
      </c>
      <c r="H55" s="17">
        <f t="shared" si="0"/>
        <v>1930</v>
      </c>
    </row>
    <row r="56" spans="1:8" ht="35.1" customHeight="1" x14ac:dyDescent="0.3">
      <c r="A56" s="108"/>
      <c r="B56" s="108"/>
      <c r="C56" s="19" t="s">
        <v>298</v>
      </c>
      <c r="D56" s="19">
        <v>0</v>
      </c>
      <c r="E56" s="19">
        <v>514</v>
      </c>
      <c r="F56" s="19">
        <v>1205</v>
      </c>
      <c r="G56" s="19">
        <v>211</v>
      </c>
      <c r="H56" s="17">
        <f t="shared" si="0"/>
        <v>1930</v>
      </c>
    </row>
    <row r="57" spans="1:8" ht="35.1" customHeight="1" x14ac:dyDescent="0.3">
      <c r="A57" s="107">
        <v>15</v>
      </c>
      <c r="B57" s="107" t="s">
        <v>299</v>
      </c>
      <c r="C57" s="16" t="s">
        <v>231</v>
      </c>
      <c r="D57" s="16" t="s">
        <v>264</v>
      </c>
      <c r="E57" s="16" t="s">
        <v>264</v>
      </c>
      <c r="F57" s="16" t="s">
        <v>264</v>
      </c>
      <c r="G57" s="16">
        <v>15627</v>
      </c>
      <c r="H57" s="17">
        <f t="shared" si="0"/>
        <v>15627</v>
      </c>
    </row>
    <row r="58" spans="1:8" ht="35.1" customHeight="1" x14ac:dyDescent="0.3">
      <c r="A58" s="108"/>
      <c r="B58" s="108"/>
      <c r="C58" s="19" t="s">
        <v>300</v>
      </c>
      <c r="D58" s="19" t="s">
        <v>264</v>
      </c>
      <c r="E58" s="19" t="s">
        <v>264</v>
      </c>
      <c r="F58" s="19" t="s">
        <v>264</v>
      </c>
      <c r="G58" s="19">
        <v>15627</v>
      </c>
      <c r="H58" s="17">
        <f t="shared" si="0"/>
        <v>15627</v>
      </c>
    </row>
  </sheetData>
  <mergeCells count="32">
    <mergeCell ref="B1:C1"/>
    <mergeCell ref="A2:C2"/>
    <mergeCell ref="A3:A10"/>
    <mergeCell ref="B3:B10"/>
    <mergeCell ref="A11:A12"/>
    <mergeCell ref="B11:B12"/>
    <mergeCell ref="A13:A21"/>
    <mergeCell ref="B13:B21"/>
    <mergeCell ref="A22:A23"/>
    <mergeCell ref="B22:B23"/>
    <mergeCell ref="A24:A27"/>
    <mergeCell ref="B24:B27"/>
    <mergeCell ref="A28:A29"/>
    <mergeCell ref="B28:B29"/>
    <mergeCell ref="A30:A31"/>
    <mergeCell ref="B30:B31"/>
    <mergeCell ref="A32:A33"/>
    <mergeCell ref="B32:B33"/>
    <mergeCell ref="A34:A35"/>
    <mergeCell ref="B34:B35"/>
    <mergeCell ref="A36:A37"/>
    <mergeCell ref="B36:B37"/>
    <mergeCell ref="A38:A40"/>
    <mergeCell ref="B38:B40"/>
    <mergeCell ref="A57:A58"/>
    <mergeCell ref="B57:B58"/>
    <mergeCell ref="A41:A49"/>
    <mergeCell ref="B41:B49"/>
    <mergeCell ref="A50:A54"/>
    <mergeCell ref="B50:B54"/>
    <mergeCell ref="A55:A56"/>
    <mergeCell ref="B55:B56"/>
  </mergeCells>
  <phoneticPr fontId="2" type="noConversion"/>
  <conditionalFormatting sqref="A30:B30">
    <cfRule type="expression" dxfId="20" priority="10" stopIfTrue="1">
      <formula>#REF!="Confidential"</formula>
    </cfRule>
  </conditionalFormatting>
  <conditionalFormatting sqref="A32:B32">
    <cfRule type="expression" dxfId="19" priority="9" stopIfTrue="1">
      <formula>#REF!="Confidential"</formula>
    </cfRule>
  </conditionalFormatting>
  <conditionalFormatting sqref="A34:B34">
    <cfRule type="expression" dxfId="18" priority="17" stopIfTrue="1">
      <formula>#REF!="Confidential"</formula>
    </cfRule>
  </conditionalFormatting>
  <conditionalFormatting sqref="A36:B36">
    <cfRule type="expression" dxfId="17" priority="16" stopIfTrue="1">
      <formula>#REF!="Confidential"</formula>
    </cfRule>
  </conditionalFormatting>
  <conditionalFormatting sqref="A38:B38">
    <cfRule type="expression" dxfId="16" priority="14" stopIfTrue="1">
      <formula>#REF!="Confidential"</formula>
    </cfRule>
  </conditionalFormatting>
  <conditionalFormatting sqref="A55:B55">
    <cfRule type="expression" dxfId="15" priority="8" stopIfTrue="1">
      <formula>#REF!="Confidential"</formula>
    </cfRule>
  </conditionalFormatting>
  <conditionalFormatting sqref="A57:B57">
    <cfRule type="expression" dxfId="14" priority="3" stopIfTrue="1">
      <formula>#REF!="Confidential"</formula>
    </cfRule>
  </conditionalFormatting>
  <conditionalFormatting sqref="A3:D3">
    <cfRule type="expression" dxfId="13" priority="11" stopIfTrue="1">
      <formula>#REF!="Confidential"</formula>
    </cfRule>
  </conditionalFormatting>
  <conditionalFormatting sqref="A11:D11">
    <cfRule type="expression" dxfId="12" priority="20" stopIfTrue="1">
      <formula>#REF!="Confidential"</formula>
    </cfRule>
  </conditionalFormatting>
  <conditionalFormatting sqref="A13:D13">
    <cfRule type="expression" dxfId="11" priority="19" stopIfTrue="1">
      <formula>#REF!="Confidential"</formula>
    </cfRule>
  </conditionalFormatting>
  <conditionalFormatting sqref="A24:D24">
    <cfRule type="expression" dxfId="10" priority="18" stopIfTrue="1">
      <formula>#REF!="Confidential"</formula>
    </cfRule>
  </conditionalFormatting>
  <conditionalFormatting sqref="A41:D41">
    <cfRule type="expression" dxfId="9" priority="13" stopIfTrue="1">
      <formula>#REF!="Confidential"</formula>
    </cfRule>
  </conditionalFormatting>
  <conditionalFormatting sqref="A50:D50">
    <cfRule type="expression" dxfId="8" priority="12" stopIfTrue="1">
      <formula>#REF!="Confidential"</formula>
    </cfRule>
  </conditionalFormatting>
  <conditionalFormatting sqref="C14:D23">
    <cfRule type="expression" dxfId="7" priority="5" stopIfTrue="1">
      <formula>#REF!="Confidential"</formula>
    </cfRule>
  </conditionalFormatting>
  <conditionalFormatting sqref="C25:D40">
    <cfRule type="expression" dxfId="6" priority="4" stopIfTrue="1">
      <formula>#REF!="Confidential"</formula>
    </cfRule>
  </conditionalFormatting>
  <conditionalFormatting sqref="C42:D49">
    <cfRule type="expression" dxfId="5" priority="15" stopIfTrue="1">
      <formula>#REF!="Confidential"</formula>
    </cfRule>
  </conditionalFormatting>
  <conditionalFormatting sqref="C51:D58">
    <cfRule type="expression" dxfId="4" priority="2" stopIfTrue="1">
      <formula>#REF!="Confidential"</formula>
    </cfRule>
  </conditionalFormatting>
  <conditionalFormatting sqref="D2 C4:D10 C12:D12">
    <cfRule type="expression" dxfId="3" priority="21" stopIfTrue="1">
      <formula>#REF!="Confidential"</formula>
    </cfRule>
  </conditionalFormatting>
  <conditionalFormatting sqref="E2:H58">
    <cfRule type="expression" dxfId="2" priority="1" stopIfTrue="1">
      <formula>#REF!="Confidential"</formula>
    </cfRule>
  </conditionalFormatting>
  <conditionalFormatting sqref="K11:L15">
    <cfRule type="expression" dxfId="1" priority="6" stopIfTrue="1">
      <formula>#REF!="Confidential"</formula>
    </cfRule>
  </conditionalFormatting>
  <conditionalFormatting sqref="K2:O6">
    <cfRule type="expression" dxfId="0" priority="7" stopIfTrue="1">
      <formula>#REF!="Confidential"</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3461-E8CF-4DFF-9831-0CBD06E22A39}">
  <dimension ref="A1:G35"/>
  <sheetViews>
    <sheetView topLeftCell="B1" workbookViewId="0">
      <selection activeCell="F11" sqref="F11"/>
    </sheetView>
  </sheetViews>
  <sheetFormatPr defaultColWidth="35.59765625" defaultRowHeight="45" customHeight="1" x14ac:dyDescent="0.3"/>
  <cols>
    <col min="1" max="1" width="15.59765625" customWidth="1"/>
    <col min="2" max="2" width="20.59765625" customWidth="1"/>
    <col min="3" max="4" width="15.59765625" customWidth="1"/>
    <col min="5" max="5" width="55.59765625" customWidth="1"/>
    <col min="6" max="6" width="15.59765625" customWidth="1"/>
    <col min="7" max="7" width="80.59765625" style="24" customWidth="1"/>
    <col min="8" max="8" width="35.59765625" customWidth="1"/>
  </cols>
  <sheetData>
    <row r="1" spans="1:7" ht="45" customHeight="1" x14ac:dyDescent="0.3">
      <c r="A1" s="14"/>
      <c r="B1" s="14" t="s">
        <v>301</v>
      </c>
      <c r="C1" s="14"/>
      <c r="D1" s="14"/>
      <c r="E1" s="14" t="s">
        <v>302</v>
      </c>
      <c r="F1" s="14" t="s">
        <v>303</v>
      </c>
      <c r="G1" s="14" t="s">
        <v>304</v>
      </c>
    </row>
    <row r="2" spans="1:7" ht="45" customHeight="1" x14ac:dyDescent="0.3">
      <c r="A2" s="20"/>
      <c r="B2" s="20" t="s">
        <v>111</v>
      </c>
      <c r="C2" s="20"/>
      <c r="D2" s="20"/>
      <c r="E2" s="20" t="s">
        <v>305</v>
      </c>
      <c r="F2" s="21">
        <v>44621</v>
      </c>
      <c r="G2" s="22" t="s">
        <v>306</v>
      </c>
    </row>
    <row r="3" spans="1:7" ht="45" customHeight="1" x14ac:dyDescent="0.3">
      <c r="A3" s="20"/>
      <c r="B3" s="20" t="s">
        <v>307</v>
      </c>
      <c r="C3" s="20"/>
      <c r="D3" s="20"/>
      <c r="E3" s="20" t="s">
        <v>308</v>
      </c>
      <c r="F3" s="21">
        <v>44621</v>
      </c>
      <c r="G3" s="22" t="s">
        <v>309</v>
      </c>
    </row>
    <row r="4" spans="1:7" ht="45" customHeight="1" x14ac:dyDescent="0.3">
      <c r="A4" s="20"/>
      <c r="B4" s="20" t="s">
        <v>310</v>
      </c>
      <c r="C4" s="20" t="s">
        <v>252</v>
      </c>
      <c r="D4" s="20" t="s">
        <v>256</v>
      </c>
      <c r="E4" s="20" t="s">
        <v>311</v>
      </c>
      <c r="F4" s="21">
        <v>44682</v>
      </c>
      <c r="G4" s="22" t="s">
        <v>312</v>
      </c>
    </row>
    <row r="5" spans="1:7" ht="45" customHeight="1" x14ac:dyDescent="0.3">
      <c r="A5" s="20"/>
      <c r="B5" s="20" t="s">
        <v>313</v>
      </c>
      <c r="C5" s="20"/>
      <c r="D5" s="20"/>
      <c r="E5" s="20" t="s">
        <v>314</v>
      </c>
      <c r="F5" s="21">
        <v>44774</v>
      </c>
      <c r="G5" s="22" t="s">
        <v>315</v>
      </c>
    </row>
    <row r="6" spans="1:7" ht="45" customHeight="1" x14ac:dyDescent="0.3">
      <c r="A6" s="20"/>
      <c r="B6" s="20" t="s">
        <v>139</v>
      </c>
      <c r="C6" s="20" t="s">
        <v>292</v>
      </c>
      <c r="D6" s="20"/>
      <c r="E6" s="20" t="s">
        <v>316</v>
      </c>
      <c r="F6" s="21">
        <v>45078</v>
      </c>
      <c r="G6" s="22" t="s">
        <v>317</v>
      </c>
    </row>
    <row r="7" spans="1:7" ht="45" customHeight="1" x14ac:dyDescent="0.3">
      <c r="A7" s="20"/>
      <c r="B7" s="20" t="s">
        <v>318</v>
      </c>
      <c r="C7" s="20" t="s">
        <v>273</v>
      </c>
      <c r="D7" s="20" t="s">
        <v>319</v>
      </c>
      <c r="E7" s="20" t="s">
        <v>320</v>
      </c>
      <c r="F7" s="21">
        <v>45078</v>
      </c>
      <c r="G7" s="22" t="s">
        <v>321</v>
      </c>
    </row>
    <row r="8" spans="1:7" ht="45" customHeight="1" x14ac:dyDescent="0.3">
      <c r="A8" s="20"/>
      <c r="B8" s="20" t="s">
        <v>31</v>
      </c>
      <c r="C8" s="20" t="s">
        <v>252</v>
      </c>
      <c r="D8" s="20"/>
      <c r="E8" s="20" t="s">
        <v>322</v>
      </c>
      <c r="F8" s="21">
        <v>45078</v>
      </c>
      <c r="G8" s="22" t="s">
        <v>323</v>
      </c>
    </row>
    <row r="9" spans="1:7" ht="45" customHeight="1" x14ac:dyDescent="0.3">
      <c r="A9" s="20"/>
      <c r="B9" s="20" t="s">
        <v>324</v>
      </c>
      <c r="C9" s="20" t="s">
        <v>280</v>
      </c>
      <c r="D9" s="20"/>
      <c r="E9" s="23" t="s">
        <v>325</v>
      </c>
      <c r="F9" s="21">
        <v>45200</v>
      </c>
      <c r="G9" s="22" t="s">
        <v>326</v>
      </c>
    </row>
    <row r="10" spans="1:7" ht="45" customHeight="1" x14ac:dyDescent="0.3">
      <c r="A10" s="20"/>
      <c r="B10" s="20" t="s">
        <v>64</v>
      </c>
      <c r="C10" s="20" t="s">
        <v>327</v>
      </c>
      <c r="D10" s="20"/>
      <c r="E10" s="20" t="s">
        <v>328</v>
      </c>
      <c r="F10" s="21">
        <v>45231</v>
      </c>
      <c r="G10" s="22" t="s">
        <v>329</v>
      </c>
    </row>
    <row r="11" spans="1:7" ht="45" customHeight="1" x14ac:dyDescent="0.3">
      <c r="A11" s="20"/>
      <c r="B11" s="20" t="s">
        <v>330</v>
      </c>
      <c r="C11" s="20" t="s">
        <v>299</v>
      </c>
      <c r="D11" s="20" t="s">
        <v>331</v>
      </c>
      <c r="E11" s="20" t="s">
        <v>332</v>
      </c>
      <c r="F11" s="21">
        <v>45231</v>
      </c>
      <c r="G11" s="22" t="s">
        <v>333</v>
      </c>
    </row>
    <row r="12" spans="1:7" ht="45" customHeight="1" x14ac:dyDescent="0.3">
      <c r="A12" s="20"/>
      <c r="B12" s="20" t="s">
        <v>334</v>
      </c>
      <c r="C12" s="20" t="s">
        <v>271</v>
      </c>
      <c r="D12" s="20" t="s">
        <v>335</v>
      </c>
      <c r="E12" s="20" t="s">
        <v>336</v>
      </c>
      <c r="F12" s="21">
        <v>45261</v>
      </c>
      <c r="G12" s="22" t="s">
        <v>337</v>
      </c>
    </row>
    <row r="13" spans="1:7" ht="45" customHeight="1" x14ac:dyDescent="0.3">
      <c r="A13" s="20"/>
      <c r="B13" s="20" t="s">
        <v>151</v>
      </c>
      <c r="C13" s="20" t="s">
        <v>338</v>
      </c>
      <c r="D13" s="20"/>
      <c r="E13" s="20" t="s">
        <v>339</v>
      </c>
      <c r="F13" s="21">
        <v>45292</v>
      </c>
      <c r="G13" s="22" t="s">
        <v>340</v>
      </c>
    </row>
    <row r="14" spans="1:7" ht="45" customHeight="1" x14ac:dyDescent="0.3">
      <c r="A14" s="20"/>
      <c r="B14" s="20" t="s">
        <v>48</v>
      </c>
      <c r="C14" s="20" t="s">
        <v>267</v>
      </c>
      <c r="D14" s="20"/>
      <c r="E14" s="20" t="s">
        <v>341</v>
      </c>
      <c r="F14" s="21">
        <v>45323</v>
      </c>
      <c r="G14" s="22" t="s">
        <v>342</v>
      </c>
    </row>
    <row r="15" spans="1:7" ht="45" customHeight="1" x14ac:dyDescent="0.3">
      <c r="A15" s="20"/>
      <c r="B15" s="20" t="s">
        <v>209</v>
      </c>
      <c r="C15" s="20" t="s">
        <v>299</v>
      </c>
      <c r="D15" s="20"/>
      <c r="E15" s="20" t="s">
        <v>341</v>
      </c>
      <c r="F15" s="21">
        <v>45352</v>
      </c>
      <c r="G15" s="22" t="s">
        <v>342</v>
      </c>
    </row>
    <row r="16" spans="1:7" ht="45" customHeight="1" x14ac:dyDescent="0.3">
      <c r="A16" s="20"/>
      <c r="B16" s="20" t="s">
        <v>343</v>
      </c>
      <c r="C16" s="20" t="s">
        <v>338</v>
      </c>
      <c r="D16" s="20" t="s">
        <v>344</v>
      </c>
      <c r="E16" s="20" t="s">
        <v>345</v>
      </c>
      <c r="F16" s="21">
        <v>45352</v>
      </c>
      <c r="G16" s="22" t="s">
        <v>346</v>
      </c>
    </row>
    <row r="17" spans="1:7" ht="45" customHeight="1" x14ac:dyDescent="0.3">
      <c r="A17" s="20"/>
      <c r="B17" s="20" t="s">
        <v>244</v>
      </c>
      <c r="C17" s="20" t="s">
        <v>283</v>
      </c>
      <c r="D17" s="20" t="s">
        <v>284</v>
      </c>
      <c r="E17" s="20" t="s">
        <v>347</v>
      </c>
      <c r="F17" s="21">
        <v>45352</v>
      </c>
      <c r="G17" s="22" t="s">
        <v>348</v>
      </c>
    </row>
    <row r="18" spans="1:7" ht="45" customHeight="1" x14ac:dyDescent="0.3">
      <c r="A18" s="20"/>
      <c r="B18" s="20" t="s">
        <v>349</v>
      </c>
      <c r="C18" s="20" t="s">
        <v>278</v>
      </c>
      <c r="D18" s="20" t="s">
        <v>279</v>
      </c>
      <c r="E18" s="20" t="s">
        <v>350</v>
      </c>
      <c r="F18" s="21">
        <v>45444</v>
      </c>
      <c r="G18" s="22" t="s">
        <v>351</v>
      </c>
    </row>
    <row r="19" spans="1:7" ht="45" customHeight="1" x14ac:dyDescent="0.3">
      <c r="A19" s="20"/>
      <c r="B19" s="20" t="s">
        <v>107</v>
      </c>
      <c r="C19" s="20" t="s">
        <v>352</v>
      </c>
      <c r="D19" s="20"/>
      <c r="E19" s="20" t="s">
        <v>353</v>
      </c>
      <c r="F19" s="21">
        <v>45505</v>
      </c>
      <c r="G19" s="22" t="s">
        <v>354</v>
      </c>
    </row>
    <row r="20" spans="1:7" ht="45" customHeight="1" x14ac:dyDescent="0.3">
      <c r="A20" s="20"/>
      <c r="B20" s="20" t="s">
        <v>355</v>
      </c>
      <c r="C20" s="20" t="s">
        <v>265</v>
      </c>
      <c r="D20" s="20" t="s">
        <v>266</v>
      </c>
      <c r="E20" s="20" t="s">
        <v>356</v>
      </c>
      <c r="F20" s="21">
        <v>45505</v>
      </c>
      <c r="G20" s="22" t="s">
        <v>357</v>
      </c>
    </row>
    <row r="21" spans="1:7" ht="45" customHeight="1" x14ac:dyDescent="0.3">
      <c r="A21" s="20"/>
      <c r="B21" s="20" t="s">
        <v>358</v>
      </c>
      <c r="C21" s="20" t="s">
        <v>276</v>
      </c>
      <c r="D21" s="20" t="s">
        <v>277</v>
      </c>
      <c r="E21" s="20" t="s">
        <v>359</v>
      </c>
      <c r="F21" s="21">
        <v>45536</v>
      </c>
      <c r="G21" s="22" t="s">
        <v>360</v>
      </c>
    </row>
    <row r="22" spans="1:7" ht="45" customHeight="1" x14ac:dyDescent="0.3">
      <c r="A22" s="20"/>
      <c r="B22" s="20" t="s">
        <v>133</v>
      </c>
      <c r="C22" s="20" t="s">
        <v>338</v>
      </c>
      <c r="D22" s="20"/>
      <c r="E22" s="20" t="s">
        <v>361</v>
      </c>
      <c r="F22" s="21">
        <v>45536</v>
      </c>
      <c r="G22" s="22" t="s">
        <v>362</v>
      </c>
    </row>
    <row r="23" spans="1:7" ht="45" customHeight="1" x14ac:dyDescent="0.3">
      <c r="A23" s="20"/>
      <c r="B23" s="20" t="s">
        <v>363</v>
      </c>
      <c r="C23" s="20" t="s">
        <v>364</v>
      </c>
      <c r="D23" s="20" t="s">
        <v>365</v>
      </c>
      <c r="E23" s="20" t="s">
        <v>366</v>
      </c>
      <c r="F23" s="21">
        <v>45566</v>
      </c>
      <c r="G23" s="22" t="s">
        <v>367</v>
      </c>
    </row>
    <row r="24" spans="1:7" ht="45" customHeight="1" x14ac:dyDescent="0.3">
      <c r="A24" s="20"/>
      <c r="B24" s="20" t="s">
        <v>127</v>
      </c>
      <c r="C24" s="20" t="s">
        <v>368</v>
      </c>
      <c r="D24" s="20"/>
      <c r="E24" s="20" t="s">
        <v>369</v>
      </c>
      <c r="F24" s="21">
        <v>45566</v>
      </c>
      <c r="G24" s="22" t="s">
        <v>370</v>
      </c>
    </row>
    <row r="25" spans="1:7" ht="45" customHeight="1" x14ac:dyDescent="0.3">
      <c r="A25" s="20"/>
      <c r="B25" s="20" t="s">
        <v>196</v>
      </c>
      <c r="C25" s="20" t="s">
        <v>371</v>
      </c>
      <c r="D25" s="20"/>
      <c r="E25" s="20" t="s">
        <v>372</v>
      </c>
      <c r="F25" s="21">
        <v>45597</v>
      </c>
      <c r="G25" s="22" t="s">
        <v>373</v>
      </c>
    </row>
    <row r="26" spans="1:7" ht="45" customHeight="1" x14ac:dyDescent="0.3">
      <c r="A26" s="20"/>
      <c r="B26" s="20" t="s">
        <v>374</v>
      </c>
      <c r="C26" s="20" t="s">
        <v>267</v>
      </c>
      <c r="D26" s="20" t="s">
        <v>269</v>
      </c>
      <c r="E26" s="20" t="s">
        <v>375</v>
      </c>
      <c r="F26" s="21">
        <v>45627</v>
      </c>
      <c r="G26" s="22" t="s">
        <v>376</v>
      </c>
    </row>
    <row r="27" spans="1:7" ht="45" customHeight="1" x14ac:dyDescent="0.3">
      <c r="A27" s="20"/>
      <c r="B27" s="20" t="s">
        <v>146</v>
      </c>
      <c r="C27" s="20" t="s">
        <v>377</v>
      </c>
      <c r="D27" s="20"/>
      <c r="E27" s="20" t="s">
        <v>378</v>
      </c>
      <c r="F27" s="21">
        <v>45627</v>
      </c>
      <c r="G27" s="22" t="s">
        <v>379</v>
      </c>
    </row>
    <row r="28" spans="1:7" ht="45" customHeight="1" x14ac:dyDescent="0.3">
      <c r="A28" s="20"/>
      <c r="B28" s="20" t="s">
        <v>96</v>
      </c>
      <c r="C28" s="20" t="s">
        <v>278</v>
      </c>
      <c r="D28" s="20"/>
      <c r="E28" s="20" t="s">
        <v>380</v>
      </c>
      <c r="F28" s="21">
        <v>45689</v>
      </c>
      <c r="G28" s="22" t="s">
        <v>381</v>
      </c>
    </row>
    <row r="29" spans="1:7" ht="45" customHeight="1" x14ac:dyDescent="0.3">
      <c r="A29" s="20"/>
      <c r="B29" s="20" t="s">
        <v>85</v>
      </c>
      <c r="C29" s="20" t="s">
        <v>274</v>
      </c>
      <c r="D29" s="20"/>
      <c r="E29" s="20" t="s">
        <v>382</v>
      </c>
      <c r="F29" s="21">
        <v>45689</v>
      </c>
      <c r="G29" s="22" t="s">
        <v>383</v>
      </c>
    </row>
    <row r="30" spans="1:7" ht="45" customHeight="1" x14ac:dyDescent="0.3">
      <c r="A30" s="20"/>
      <c r="B30" s="20" t="s">
        <v>162</v>
      </c>
      <c r="C30" s="20" t="s">
        <v>384</v>
      </c>
      <c r="D30" s="20"/>
      <c r="E30" s="20" t="s">
        <v>385</v>
      </c>
      <c r="F30" s="21">
        <v>45748</v>
      </c>
      <c r="G30" s="22" t="s">
        <v>386</v>
      </c>
    </row>
    <row r="31" spans="1:7" ht="45" customHeight="1" x14ac:dyDescent="0.3">
      <c r="A31" s="20"/>
      <c r="B31" s="20" t="s">
        <v>387</v>
      </c>
      <c r="C31" s="20" t="s">
        <v>271</v>
      </c>
      <c r="D31" s="20" t="s">
        <v>388</v>
      </c>
      <c r="E31" s="20" t="s">
        <v>389</v>
      </c>
      <c r="F31" s="21">
        <v>45870</v>
      </c>
      <c r="G31" s="22" t="s">
        <v>390</v>
      </c>
    </row>
    <row r="32" spans="1:7" ht="45" customHeight="1" x14ac:dyDescent="0.3">
      <c r="A32" s="20"/>
      <c r="B32" s="20" t="s">
        <v>391</v>
      </c>
      <c r="C32" s="20" t="s">
        <v>392</v>
      </c>
      <c r="D32" s="20" t="s">
        <v>393</v>
      </c>
      <c r="E32" s="20" t="s">
        <v>394</v>
      </c>
      <c r="F32" s="21">
        <v>45901</v>
      </c>
      <c r="G32" s="22" t="s">
        <v>395</v>
      </c>
    </row>
    <row r="33" spans="1:7" ht="45" customHeight="1" x14ac:dyDescent="0.3">
      <c r="A33" s="20"/>
      <c r="B33" s="20" t="s">
        <v>396</v>
      </c>
      <c r="C33" s="20" t="s">
        <v>368</v>
      </c>
      <c r="D33" s="20" t="s">
        <v>397</v>
      </c>
      <c r="E33" s="20" t="s">
        <v>398</v>
      </c>
      <c r="F33" s="21">
        <v>45901</v>
      </c>
      <c r="G33" s="22" t="s">
        <v>399</v>
      </c>
    </row>
    <row r="34" spans="1:7" ht="45" customHeight="1" x14ac:dyDescent="0.3">
      <c r="A34" s="20"/>
      <c r="B34" s="20" t="s">
        <v>400</v>
      </c>
      <c r="C34" s="20" t="s">
        <v>377</v>
      </c>
      <c r="D34" s="20" t="s">
        <v>401</v>
      </c>
      <c r="E34" s="20" t="s">
        <v>402</v>
      </c>
      <c r="F34" s="21">
        <v>45901</v>
      </c>
      <c r="G34" s="22" t="s">
        <v>403</v>
      </c>
    </row>
    <row r="35" spans="1:7" ht="45" customHeight="1" x14ac:dyDescent="0.3">
      <c r="A35" s="20"/>
      <c r="B35" s="20" t="s">
        <v>404</v>
      </c>
      <c r="C35" s="20" t="s">
        <v>384</v>
      </c>
      <c r="D35" s="20" t="s">
        <v>405</v>
      </c>
      <c r="E35" s="20" t="s">
        <v>406</v>
      </c>
      <c r="F35" s="21">
        <v>45901</v>
      </c>
      <c r="G35" s="22" t="s">
        <v>407</v>
      </c>
    </row>
  </sheetData>
  <autoFilter ref="A1:F35" xr:uid="{00000000-0009-0000-0000-00001F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19BB9-1CD0-4D73-8DD5-EAC85C8C5954}">
  <dimension ref="A1:F17"/>
  <sheetViews>
    <sheetView workbookViewId="0">
      <selection activeCell="F11" sqref="F11"/>
    </sheetView>
  </sheetViews>
  <sheetFormatPr defaultColWidth="35.59765625" defaultRowHeight="39.950000000000003" customHeight="1" x14ac:dyDescent="0.3"/>
  <cols>
    <col min="1" max="2" width="10.59765625" customWidth="1"/>
    <col min="3" max="3" width="65.59765625" customWidth="1"/>
    <col min="4" max="4" width="80.59765625" style="24" customWidth="1"/>
    <col min="5" max="5" width="20.59765625" customWidth="1"/>
  </cols>
  <sheetData>
    <row r="1" spans="1:6" ht="39.950000000000003" customHeight="1" x14ac:dyDescent="0.3">
      <c r="A1" s="14" t="s">
        <v>303</v>
      </c>
      <c r="B1" s="14" t="s">
        <v>301</v>
      </c>
      <c r="C1" s="14" t="s">
        <v>302</v>
      </c>
      <c r="D1" s="14" t="s">
        <v>304</v>
      </c>
      <c r="E1" s="14" t="s">
        <v>408</v>
      </c>
    </row>
    <row r="2" spans="1:6" ht="39.950000000000003" customHeight="1" x14ac:dyDescent="0.3">
      <c r="A2" s="21">
        <v>45323</v>
      </c>
      <c r="B2" s="20" t="s">
        <v>111</v>
      </c>
      <c r="C2" s="23" t="s">
        <v>409</v>
      </c>
      <c r="D2" s="22" t="s">
        <v>410</v>
      </c>
      <c r="E2" s="21" t="s">
        <v>411</v>
      </c>
    </row>
    <row r="3" spans="1:6" ht="39.950000000000003" customHeight="1" x14ac:dyDescent="0.3">
      <c r="A3" s="21">
        <v>45413</v>
      </c>
      <c r="B3" s="20" t="s">
        <v>412</v>
      </c>
      <c r="C3" s="23" t="s">
        <v>413</v>
      </c>
      <c r="D3" s="22" t="s">
        <v>414</v>
      </c>
      <c r="E3" s="21" t="s">
        <v>415</v>
      </c>
    </row>
    <row r="4" spans="1:6" ht="39.950000000000003" customHeight="1" x14ac:dyDescent="0.3">
      <c r="A4" s="21">
        <v>45413</v>
      </c>
      <c r="B4" s="20" t="s">
        <v>404</v>
      </c>
      <c r="C4" s="23" t="s">
        <v>416</v>
      </c>
      <c r="D4" s="22" t="s">
        <v>417</v>
      </c>
      <c r="E4" s="21"/>
    </row>
    <row r="5" spans="1:6" ht="39.950000000000003" customHeight="1" x14ac:dyDescent="0.3">
      <c r="A5" s="21">
        <v>45505</v>
      </c>
      <c r="B5" s="20" t="s">
        <v>64</v>
      </c>
      <c r="C5" s="23" t="s">
        <v>418</v>
      </c>
      <c r="D5" s="22" t="s">
        <v>419</v>
      </c>
      <c r="E5" s="21" t="s">
        <v>420</v>
      </c>
    </row>
    <row r="6" spans="1:6" ht="39.950000000000003" customHeight="1" x14ac:dyDescent="0.3">
      <c r="A6" s="21">
        <v>45505</v>
      </c>
      <c r="B6" s="20" t="s">
        <v>184</v>
      </c>
      <c r="C6" s="23" t="s">
        <v>421</v>
      </c>
      <c r="D6" s="22" t="s">
        <v>422</v>
      </c>
      <c r="E6" s="21" t="s">
        <v>423</v>
      </c>
    </row>
    <row r="7" spans="1:6" ht="39.950000000000003" customHeight="1" x14ac:dyDescent="0.3">
      <c r="A7" s="21">
        <v>45505</v>
      </c>
      <c r="B7" s="20" t="s">
        <v>355</v>
      </c>
      <c r="C7" s="23" t="s">
        <v>356</v>
      </c>
      <c r="D7" s="22" t="s">
        <v>424</v>
      </c>
      <c r="E7" s="21" t="s">
        <v>425</v>
      </c>
    </row>
    <row r="8" spans="1:6" ht="39.950000000000003" customHeight="1" x14ac:dyDescent="0.3">
      <c r="A8" s="21">
        <v>45566</v>
      </c>
      <c r="B8" s="20" t="s">
        <v>127</v>
      </c>
      <c r="C8" s="23" t="s">
        <v>369</v>
      </c>
      <c r="D8" s="22" t="s">
        <v>426</v>
      </c>
      <c r="E8" s="21"/>
    </row>
    <row r="9" spans="1:6" ht="39.950000000000003" customHeight="1" x14ac:dyDescent="0.3">
      <c r="A9" s="21">
        <v>45597</v>
      </c>
      <c r="B9" s="20" t="s">
        <v>162</v>
      </c>
      <c r="C9" s="23" t="s">
        <v>427</v>
      </c>
      <c r="D9" s="22" t="s">
        <v>428</v>
      </c>
      <c r="E9" s="21"/>
    </row>
    <row r="10" spans="1:6" ht="39.950000000000003" customHeight="1" x14ac:dyDescent="0.3">
      <c r="A10" s="21">
        <v>45627</v>
      </c>
      <c r="B10" s="20" t="s">
        <v>196</v>
      </c>
      <c r="C10" s="23" t="s">
        <v>429</v>
      </c>
      <c r="D10" s="22" t="s">
        <v>430</v>
      </c>
      <c r="E10" s="21" t="s">
        <v>431</v>
      </c>
    </row>
    <row r="11" spans="1:6" s="28" customFormat="1" ht="39.950000000000003" customHeight="1" x14ac:dyDescent="0.3">
      <c r="A11" s="25">
        <v>45627</v>
      </c>
      <c r="B11" s="26" t="s">
        <v>432</v>
      </c>
      <c r="C11" s="26" t="s">
        <v>433</v>
      </c>
      <c r="D11" s="27" t="s">
        <v>434</v>
      </c>
      <c r="E11" s="25"/>
      <c r="F11" s="28" t="s">
        <v>435</v>
      </c>
    </row>
    <row r="12" spans="1:6" ht="39.950000000000003" customHeight="1" x14ac:dyDescent="0.3">
      <c r="A12" s="21">
        <v>45658</v>
      </c>
      <c r="B12" s="20" t="s">
        <v>119</v>
      </c>
      <c r="C12" s="23" t="s">
        <v>436</v>
      </c>
      <c r="D12" s="22" t="s">
        <v>437</v>
      </c>
      <c r="E12" s="21" t="s">
        <v>438</v>
      </c>
    </row>
    <row r="13" spans="1:6" ht="39.950000000000003" customHeight="1" x14ac:dyDescent="0.3">
      <c r="A13" s="21">
        <v>45778</v>
      </c>
      <c r="B13" s="20" t="s">
        <v>56</v>
      </c>
      <c r="C13" s="23" t="s">
        <v>439</v>
      </c>
      <c r="D13" s="22" t="s">
        <v>440</v>
      </c>
      <c r="E13" s="21" t="s">
        <v>441</v>
      </c>
    </row>
    <row r="14" spans="1:6" ht="39.950000000000003" customHeight="1" x14ac:dyDescent="0.3">
      <c r="A14" s="21">
        <v>45778</v>
      </c>
      <c r="B14" s="20" t="s">
        <v>39</v>
      </c>
      <c r="C14" s="23" t="s">
        <v>442</v>
      </c>
      <c r="D14" s="22" t="s">
        <v>443</v>
      </c>
      <c r="E14" s="21" t="s">
        <v>444</v>
      </c>
    </row>
    <row r="15" spans="1:6" s="28" customFormat="1" ht="39.950000000000003" customHeight="1" x14ac:dyDescent="0.3">
      <c r="A15" s="25">
        <v>45778</v>
      </c>
      <c r="B15" s="26" t="s">
        <v>133</v>
      </c>
      <c r="C15" s="26" t="s">
        <v>445</v>
      </c>
      <c r="D15" s="27" t="s">
        <v>446</v>
      </c>
      <c r="E15" s="25"/>
      <c r="F15" s="28" t="s">
        <v>435</v>
      </c>
    </row>
    <row r="16" spans="1:6" ht="39.950000000000003" customHeight="1" x14ac:dyDescent="0.3">
      <c r="A16" s="21">
        <v>45839</v>
      </c>
      <c r="B16" s="20" t="s">
        <v>447</v>
      </c>
      <c r="C16" s="23" t="s">
        <v>448</v>
      </c>
      <c r="D16" s="22" t="s">
        <v>449</v>
      </c>
      <c r="E16" s="21"/>
    </row>
    <row r="17" spans="1:5" s="32" customFormat="1" ht="39.950000000000003" customHeight="1" x14ac:dyDescent="0.3">
      <c r="A17" s="29">
        <v>46143</v>
      </c>
      <c r="B17" s="30" t="s">
        <v>127</v>
      </c>
      <c r="C17" s="30" t="s">
        <v>450</v>
      </c>
      <c r="D17" s="31" t="s">
        <v>451</v>
      </c>
      <c r="E17" s="29" t="s">
        <v>452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5BCE-8687-4D0F-8945-043954D83849}">
  <dimension ref="A1:I62"/>
  <sheetViews>
    <sheetView workbookViewId="0">
      <selection activeCell="F11" sqref="F11"/>
    </sheetView>
  </sheetViews>
  <sheetFormatPr defaultColWidth="25.59765625" defaultRowHeight="24.95" customHeight="1" x14ac:dyDescent="0.3"/>
  <cols>
    <col min="1" max="5" width="10.59765625" customWidth="1"/>
    <col min="6" max="6" width="50.59765625" customWidth="1"/>
    <col min="7" max="9" width="20.59765625" customWidth="1"/>
  </cols>
  <sheetData>
    <row r="1" spans="1:9" ht="24.95" customHeight="1" x14ac:dyDescent="0.3">
      <c r="A1" s="114" t="s">
        <v>453</v>
      </c>
      <c r="B1" s="115"/>
      <c r="C1" s="115"/>
      <c r="D1" s="115"/>
      <c r="E1" s="115"/>
      <c r="F1" s="115"/>
      <c r="G1" s="115"/>
      <c r="H1" s="115"/>
      <c r="I1" s="115"/>
    </row>
    <row r="2" spans="1:9" ht="24.95" customHeight="1" x14ac:dyDescent="0.3">
      <c r="A2" s="33" t="s">
        <v>0</v>
      </c>
      <c r="B2" s="116" t="s">
        <v>454</v>
      </c>
      <c r="C2" s="117"/>
      <c r="D2" s="118"/>
      <c r="E2" s="34"/>
      <c r="F2" s="33" t="s">
        <v>455</v>
      </c>
      <c r="G2" s="33" t="s">
        <v>456</v>
      </c>
      <c r="H2" s="33" t="s">
        <v>457</v>
      </c>
      <c r="I2" s="35" t="s">
        <v>457</v>
      </c>
    </row>
    <row r="3" spans="1:9" ht="24.95" customHeight="1" x14ac:dyDescent="0.3">
      <c r="A3" s="36">
        <f>ROW()-2</f>
        <v>1</v>
      </c>
      <c r="B3" s="36" t="s">
        <v>292</v>
      </c>
      <c r="C3" s="36" t="s">
        <v>294</v>
      </c>
      <c r="D3" s="36"/>
      <c r="E3" s="36"/>
      <c r="F3" s="36" t="s">
        <v>458</v>
      </c>
      <c r="G3" s="36">
        <v>2017.11</v>
      </c>
      <c r="H3" s="36" t="s">
        <v>459</v>
      </c>
      <c r="I3" s="36" t="s">
        <v>459</v>
      </c>
    </row>
    <row r="4" spans="1:9" ht="24.95" customHeight="1" x14ac:dyDescent="0.3">
      <c r="A4" s="36">
        <f t="shared" ref="A4:A62" si="0">ROW()-2</f>
        <v>2</v>
      </c>
      <c r="B4" s="36" t="s">
        <v>368</v>
      </c>
      <c r="C4" s="36" t="s">
        <v>397</v>
      </c>
      <c r="D4" s="36" t="s">
        <v>460</v>
      </c>
      <c r="E4" s="36"/>
      <c r="F4" s="36" t="s">
        <v>461</v>
      </c>
      <c r="G4" s="36">
        <v>2018.04</v>
      </c>
      <c r="H4" s="36" t="s">
        <v>462</v>
      </c>
      <c r="I4" s="36" t="s">
        <v>462</v>
      </c>
    </row>
    <row r="5" spans="1:9" ht="24.95" customHeight="1" x14ac:dyDescent="0.3">
      <c r="A5" s="36">
        <f t="shared" si="0"/>
        <v>3</v>
      </c>
      <c r="B5" s="36" t="s">
        <v>280</v>
      </c>
      <c r="C5" s="36" t="s">
        <v>463</v>
      </c>
      <c r="D5" s="36"/>
      <c r="E5" s="36"/>
      <c r="F5" s="36" t="s">
        <v>464</v>
      </c>
      <c r="G5" s="36">
        <v>2019.05</v>
      </c>
      <c r="H5" s="36" t="s">
        <v>465</v>
      </c>
      <c r="I5" s="36" t="s">
        <v>462</v>
      </c>
    </row>
    <row r="6" spans="1:9" ht="24.95" customHeight="1" x14ac:dyDescent="0.3">
      <c r="A6" s="36">
        <f t="shared" si="0"/>
        <v>4</v>
      </c>
      <c r="B6" s="36" t="s">
        <v>368</v>
      </c>
      <c r="C6" s="36" t="s">
        <v>466</v>
      </c>
      <c r="D6" s="36"/>
      <c r="E6" s="36"/>
      <c r="F6" s="36" t="s">
        <v>467</v>
      </c>
      <c r="G6" s="36">
        <v>2019.08</v>
      </c>
      <c r="H6" s="36" t="s">
        <v>468</v>
      </c>
      <c r="I6" s="36" t="s">
        <v>459</v>
      </c>
    </row>
    <row r="7" spans="1:9" ht="24.95" customHeight="1" x14ac:dyDescent="0.3">
      <c r="A7" s="36">
        <f t="shared" si="0"/>
        <v>5</v>
      </c>
      <c r="B7" s="36" t="s">
        <v>280</v>
      </c>
      <c r="C7" s="36" t="s">
        <v>469</v>
      </c>
      <c r="D7" s="36"/>
      <c r="E7" s="36"/>
      <c r="F7" s="36" t="s">
        <v>470</v>
      </c>
      <c r="G7" s="36">
        <v>2019.11</v>
      </c>
      <c r="H7" s="36" t="s">
        <v>471</v>
      </c>
      <c r="I7" s="36" t="s">
        <v>459</v>
      </c>
    </row>
    <row r="8" spans="1:9" ht="24.95" customHeight="1" x14ac:dyDescent="0.3">
      <c r="A8" s="36">
        <f t="shared" si="0"/>
        <v>6</v>
      </c>
      <c r="B8" s="36" t="s">
        <v>267</v>
      </c>
      <c r="C8" s="36" t="s">
        <v>268</v>
      </c>
      <c r="D8" s="36"/>
      <c r="E8" s="36"/>
      <c r="F8" s="36" t="s">
        <v>472</v>
      </c>
      <c r="G8" s="36">
        <v>2020.01</v>
      </c>
      <c r="H8" s="36" t="s">
        <v>468</v>
      </c>
      <c r="I8" s="36" t="s">
        <v>459</v>
      </c>
    </row>
    <row r="9" spans="1:9" ht="24.95" customHeight="1" x14ac:dyDescent="0.3">
      <c r="A9" s="36">
        <f t="shared" si="0"/>
        <v>7</v>
      </c>
      <c r="B9" s="36" t="s">
        <v>252</v>
      </c>
      <c r="C9" s="36" t="s">
        <v>258</v>
      </c>
      <c r="D9" s="36"/>
      <c r="E9" s="36"/>
      <c r="F9" s="36" t="s">
        <v>473</v>
      </c>
      <c r="G9" s="36">
        <v>2020.09</v>
      </c>
      <c r="H9" s="36" t="s">
        <v>465</v>
      </c>
      <c r="I9" s="36" t="s">
        <v>462</v>
      </c>
    </row>
    <row r="10" spans="1:9" ht="24.95" customHeight="1" x14ac:dyDescent="0.3">
      <c r="A10" s="36">
        <f t="shared" si="0"/>
        <v>8</v>
      </c>
      <c r="B10" s="36" t="s">
        <v>280</v>
      </c>
      <c r="C10" s="36"/>
      <c r="D10" s="36"/>
      <c r="E10" s="36" t="s">
        <v>474</v>
      </c>
      <c r="F10" s="36" t="s">
        <v>475</v>
      </c>
      <c r="G10" s="37">
        <v>2020.1</v>
      </c>
      <c r="H10" s="36" t="s">
        <v>476</v>
      </c>
      <c r="I10" s="36" t="s">
        <v>477</v>
      </c>
    </row>
    <row r="11" spans="1:9" ht="24.95" customHeight="1" x14ac:dyDescent="0.3">
      <c r="A11" s="36">
        <f t="shared" si="0"/>
        <v>9</v>
      </c>
      <c r="B11" s="36" t="s">
        <v>327</v>
      </c>
      <c r="C11" s="36" t="s">
        <v>478</v>
      </c>
      <c r="D11" s="36"/>
      <c r="E11" s="36"/>
      <c r="F11" s="36" t="s">
        <v>479</v>
      </c>
      <c r="G11" s="37">
        <v>2020.1</v>
      </c>
      <c r="H11" s="36" t="s">
        <v>480</v>
      </c>
      <c r="I11" s="36" t="s">
        <v>459</v>
      </c>
    </row>
    <row r="12" spans="1:9" ht="24.95" customHeight="1" x14ac:dyDescent="0.3">
      <c r="A12" s="36">
        <f t="shared" si="0"/>
        <v>10</v>
      </c>
      <c r="B12" s="36" t="s">
        <v>252</v>
      </c>
      <c r="C12" s="36" t="s">
        <v>261</v>
      </c>
      <c r="D12" s="36"/>
      <c r="E12" s="36"/>
      <c r="F12" s="36" t="s">
        <v>481</v>
      </c>
      <c r="G12" s="37">
        <v>2020.1</v>
      </c>
      <c r="H12" s="36" t="s">
        <v>465</v>
      </c>
      <c r="I12" s="36" t="s">
        <v>462</v>
      </c>
    </row>
    <row r="13" spans="1:9" ht="24.95" customHeight="1" x14ac:dyDescent="0.3">
      <c r="A13" s="36">
        <f t="shared" si="0"/>
        <v>11</v>
      </c>
      <c r="B13" s="36" t="s">
        <v>267</v>
      </c>
      <c r="C13" s="36" t="s">
        <v>482</v>
      </c>
      <c r="D13" s="36"/>
      <c r="E13" s="36"/>
      <c r="F13" s="36" t="s">
        <v>483</v>
      </c>
      <c r="G13" s="37">
        <v>2020.11</v>
      </c>
      <c r="H13" s="36" t="s">
        <v>468</v>
      </c>
      <c r="I13" s="36" t="s">
        <v>459</v>
      </c>
    </row>
    <row r="14" spans="1:9" ht="24.95" customHeight="1" x14ac:dyDescent="0.3">
      <c r="A14" s="36">
        <f t="shared" si="0"/>
        <v>12</v>
      </c>
      <c r="B14" s="36" t="s">
        <v>392</v>
      </c>
      <c r="C14" s="36" t="s">
        <v>484</v>
      </c>
      <c r="D14" s="36"/>
      <c r="E14" s="36"/>
      <c r="F14" s="36" t="s">
        <v>485</v>
      </c>
      <c r="G14" s="37">
        <v>2020.11</v>
      </c>
      <c r="H14" s="36" t="s">
        <v>486</v>
      </c>
      <c r="I14" s="36" t="s">
        <v>487</v>
      </c>
    </row>
    <row r="15" spans="1:9" ht="24.95" customHeight="1" x14ac:dyDescent="0.3">
      <c r="A15" s="36">
        <f t="shared" si="0"/>
        <v>13</v>
      </c>
      <c r="B15" s="36" t="s">
        <v>278</v>
      </c>
      <c r="C15" s="36" t="s">
        <v>488</v>
      </c>
      <c r="D15" s="36"/>
      <c r="E15" s="36"/>
      <c r="F15" s="36" t="s">
        <v>489</v>
      </c>
      <c r="G15" s="37">
        <v>2020.12</v>
      </c>
      <c r="H15" s="36" t="s">
        <v>468</v>
      </c>
      <c r="I15" s="36" t="s">
        <v>459</v>
      </c>
    </row>
    <row r="16" spans="1:9" ht="24.95" customHeight="1" x14ac:dyDescent="0.3">
      <c r="A16" s="36">
        <f t="shared" si="0"/>
        <v>14</v>
      </c>
      <c r="B16" s="36" t="s">
        <v>338</v>
      </c>
      <c r="C16" s="36"/>
      <c r="D16" s="36"/>
      <c r="E16" s="36" t="s">
        <v>474</v>
      </c>
      <c r="F16" s="36" t="s">
        <v>490</v>
      </c>
      <c r="G16" s="37">
        <v>2020.12</v>
      </c>
      <c r="H16" s="36" t="s">
        <v>491</v>
      </c>
      <c r="I16" s="36" t="s">
        <v>491</v>
      </c>
    </row>
    <row r="17" spans="1:9" ht="24.95" customHeight="1" x14ac:dyDescent="0.3">
      <c r="A17" s="36">
        <f t="shared" si="0"/>
        <v>15</v>
      </c>
      <c r="B17" s="36" t="s">
        <v>384</v>
      </c>
      <c r="C17" s="36" t="s">
        <v>405</v>
      </c>
      <c r="D17" s="36"/>
      <c r="E17" s="36"/>
      <c r="F17" s="36" t="s">
        <v>492</v>
      </c>
      <c r="G17" s="37">
        <v>2021.03</v>
      </c>
      <c r="H17" s="36" t="s">
        <v>493</v>
      </c>
      <c r="I17" s="36" t="s">
        <v>494</v>
      </c>
    </row>
    <row r="18" spans="1:9" ht="24.95" customHeight="1" x14ac:dyDescent="0.3">
      <c r="A18" s="36">
        <f t="shared" si="0"/>
        <v>16</v>
      </c>
      <c r="B18" s="36" t="s">
        <v>265</v>
      </c>
      <c r="C18" s="36" t="s">
        <v>495</v>
      </c>
      <c r="D18" s="36"/>
      <c r="E18" s="36"/>
      <c r="F18" s="36" t="s">
        <v>496</v>
      </c>
      <c r="G18" s="37">
        <v>2021.07</v>
      </c>
      <c r="H18" s="36" t="s">
        <v>468</v>
      </c>
      <c r="I18" s="36" t="s">
        <v>459</v>
      </c>
    </row>
    <row r="19" spans="1:9" ht="24.95" customHeight="1" x14ac:dyDescent="0.3">
      <c r="A19" s="36">
        <f t="shared" si="0"/>
        <v>17</v>
      </c>
      <c r="B19" s="36" t="s">
        <v>274</v>
      </c>
      <c r="C19" s="36" t="s">
        <v>275</v>
      </c>
      <c r="D19" s="36"/>
      <c r="E19" s="36"/>
      <c r="F19" s="36" t="s">
        <v>497</v>
      </c>
      <c r="G19" s="37">
        <v>2021.08</v>
      </c>
      <c r="H19" s="36" t="s">
        <v>498</v>
      </c>
      <c r="I19" s="36" t="s">
        <v>487</v>
      </c>
    </row>
    <row r="20" spans="1:9" ht="24.95" customHeight="1" x14ac:dyDescent="0.3">
      <c r="A20" s="36">
        <f t="shared" si="0"/>
        <v>18</v>
      </c>
      <c r="B20" s="36" t="s">
        <v>499</v>
      </c>
      <c r="C20" s="36" t="s">
        <v>500</v>
      </c>
      <c r="D20" s="36"/>
      <c r="E20" s="36"/>
      <c r="F20" s="36" t="s">
        <v>501</v>
      </c>
      <c r="G20" s="37">
        <v>2021.08</v>
      </c>
      <c r="H20" s="36" t="s">
        <v>502</v>
      </c>
      <c r="I20" s="36" t="s">
        <v>503</v>
      </c>
    </row>
    <row r="21" spans="1:9" ht="24.95" customHeight="1" x14ac:dyDescent="0.3">
      <c r="A21" s="36">
        <f t="shared" si="0"/>
        <v>19</v>
      </c>
      <c r="B21" s="36" t="s">
        <v>274</v>
      </c>
      <c r="C21" s="36" t="s">
        <v>504</v>
      </c>
      <c r="D21" s="36"/>
      <c r="E21" s="36"/>
      <c r="F21" s="36" t="s">
        <v>505</v>
      </c>
      <c r="G21" s="37">
        <v>2021.09</v>
      </c>
      <c r="H21" s="36" t="s">
        <v>487</v>
      </c>
      <c r="I21" s="36" t="s">
        <v>487</v>
      </c>
    </row>
    <row r="22" spans="1:9" ht="24.95" customHeight="1" x14ac:dyDescent="0.3">
      <c r="A22" s="36">
        <f t="shared" si="0"/>
        <v>20</v>
      </c>
      <c r="B22" s="36" t="s">
        <v>265</v>
      </c>
      <c r="C22" s="36" t="s">
        <v>506</v>
      </c>
      <c r="D22" s="36"/>
      <c r="E22" s="36"/>
      <c r="F22" s="36" t="s">
        <v>507</v>
      </c>
      <c r="G22" s="37">
        <v>2021.1</v>
      </c>
      <c r="H22" s="36" t="s">
        <v>459</v>
      </c>
      <c r="I22" s="36" t="s">
        <v>459</v>
      </c>
    </row>
    <row r="23" spans="1:9" ht="24.95" customHeight="1" x14ac:dyDescent="0.3">
      <c r="A23" s="36">
        <f t="shared" si="0"/>
        <v>21</v>
      </c>
      <c r="B23" s="36" t="s">
        <v>273</v>
      </c>
      <c r="C23" s="36" t="s">
        <v>508</v>
      </c>
      <c r="D23" s="36" t="s">
        <v>509</v>
      </c>
      <c r="E23" s="36"/>
      <c r="F23" s="36" t="s">
        <v>510</v>
      </c>
      <c r="G23" s="37">
        <v>2021.12</v>
      </c>
      <c r="H23" s="36" t="s">
        <v>511</v>
      </c>
      <c r="I23" s="36" t="s">
        <v>512</v>
      </c>
    </row>
    <row r="24" spans="1:9" ht="24.95" customHeight="1" x14ac:dyDescent="0.3">
      <c r="A24" s="36">
        <f t="shared" si="0"/>
        <v>22</v>
      </c>
      <c r="B24" s="36" t="s">
        <v>273</v>
      </c>
      <c r="C24" s="36"/>
      <c r="D24" s="36"/>
      <c r="E24" s="36" t="s">
        <v>474</v>
      </c>
      <c r="F24" s="36" t="s">
        <v>513</v>
      </c>
      <c r="G24" s="37">
        <v>2022.01</v>
      </c>
      <c r="H24" s="36" t="s">
        <v>514</v>
      </c>
      <c r="I24" s="36" t="s">
        <v>459</v>
      </c>
    </row>
    <row r="25" spans="1:9" ht="24.95" customHeight="1" x14ac:dyDescent="0.3">
      <c r="A25" s="36">
        <f t="shared" si="0"/>
        <v>23</v>
      </c>
      <c r="B25" s="36" t="s">
        <v>283</v>
      </c>
      <c r="C25" s="36" t="s">
        <v>291</v>
      </c>
      <c r="D25" s="36"/>
      <c r="E25" s="36"/>
      <c r="F25" s="36" t="s">
        <v>515</v>
      </c>
      <c r="G25" s="37">
        <v>2022.03</v>
      </c>
      <c r="H25" s="36" t="s">
        <v>465</v>
      </c>
      <c r="I25" s="36" t="s">
        <v>462</v>
      </c>
    </row>
    <row r="26" spans="1:9" ht="24.95" customHeight="1" x14ac:dyDescent="0.3">
      <c r="A26" s="36">
        <f t="shared" si="0"/>
        <v>24</v>
      </c>
      <c r="B26" s="36" t="s">
        <v>283</v>
      </c>
      <c r="C26" s="36" t="s">
        <v>288</v>
      </c>
      <c r="D26" s="36"/>
      <c r="E26" s="36"/>
      <c r="F26" s="36" t="s">
        <v>516</v>
      </c>
      <c r="G26" s="36">
        <v>2022.03</v>
      </c>
      <c r="H26" s="36" t="s">
        <v>465</v>
      </c>
      <c r="I26" s="36" t="s">
        <v>462</v>
      </c>
    </row>
    <row r="27" spans="1:9" ht="24.95" customHeight="1" x14ac:dyDescent="0.3">
      <c r="A27" s="36">
        <f t="shared" si="0"/>
        <v>25</v>
      </c>
      <c r="B27" s="36" t="s">
        <v>292</v>
      </c>
      <c r="C27" s="36" t="s">
        <v>293</v>
      </c>
      <c r="D27" s="36"/>
      <c r="E27" s="36"/>
      <c r="F27" s="36" t="s">
        <v>517</v>
      </c>
      <c r="G27" s="36">
        <v>2022.05</v>
      </c>
      <c r="H27" s="36" t="s">
        <v>465</v>
      </c>
      <c r="I27" s="36" t="s">
        <v>462</v>
      </c>
    </row>
    <row r="28" spans="1:9" ht="24.95" customHeight="1" x14ac:dyDescent="0.3">
      <c r="A28" s="36">
        <f t="shared" si="0"/>
        <v>26</v>
      </c>
      <c r="B28" s="36" t="s">
        <v>265</v>
      </c>
      <c r="C28" s="36" t="s">
        <v>266</v>
      </c>
      <c r="D28" s="36"/>
      <c r="E28" s="36"/>
      <c r="F28" s="36" t="s">
        <v>518</v>
      </c>
      <c r="G28" s="36">
        <v>2022.06</v>
      </c>
      <c r="H28" s="36" t="s">
        <v>519</v>
      </c>
      <c r="I28" s="36" t="s">
        <v>477</v>
      </c>
    </row>
    <row r="29" spans="1:9" ht="24.95" customHeight="1" x14ac:dyDescent="0.3">
      <c r="A29" s="36">
        <f t="shared" si="0"/>
        <v>27</v>
      </c>
      <c r="B29" s="36" t="s">
        <v>274</v>
      </c>
      <c r="C29" s="36" t="s">
        <v>520</v>
      </c>
      <c r="D29" s="36"/>
      <c r="E29" s="36"/>
      <c r="F29" s="36" t="s">
        <v>521</v>
      </c>
      <c r="G29" s="36">
        <v>2022.06</v>
      </c>
      <c r="H29" s="36" t="s">
        <v>522</v>
      </c>
      <c r="I29" s="36" t="s">
        <v>523</v>
      </c>
    </row>
    <row r="30" spans="1:9" ht="24.95" customHeight="1" x14ac:dyDescent="0.3">
      <c r="A30" s="36">
        <f t="shared" si="0"/>
        <v>28</v>
      </c>
      <c r="B30" s="36" t="s">
        <v>283</v>
      </c>
      <c r="C30" s="36" t="s">
        <v>284</v>
      </c>
      <c r="D30" s="36"/>
      <c r="E30" s="36"/>
      <c r="F30" s="36" t="s">
        <v>524</v>
      </c>
      <c r="G30" s="36">
        <v>2022.07</v>
      </c>
      <c r="H30" s="36" t="s">
        <v>525</v>
      </c>
      <c r="I30" s="36" t="s">
        <v>526</v>
      </c>
    </row>
    <row r="31" spans="1:9" ht="24.95" customHeight="1" x14ac:dyDescent="0.3">
      <c r="A31" s="36">
        <f t="shared" si="0"/>
        <v>29</v>
      </c>
      <c r="B31" s="36" t="s">
        <v>384</v>
      </c>
      <c r="C31" s="36" t="s">
        <v>527</v>
      </c>
      <c r="D31" s="36"/>
      <c r="E31" s="36"/>
      <c r="F31" s="36" t="s">
        <v>528</v>
      </c>
      <c r="G31" s="36">
        <v>2022.07</v>
      </c>
      <c r="H31" s="36" t="s">
        <v>462</v>
      </c>
      <c r="I31" s="36" t="s">
        <v>462</v>
      </c>
    </row>
    <row r="32" spans="1:9" ht="24.95" customHeight="1" x14ac:dyDescent="0.3">
      <c r="A32" s="36">
        <f t="shared" si="0"/>
        <v>30</v>
      </c>
      <c r="B32" s="36" t="s">
        <v>283</v>
      </c>
      <c r="C32" s="36" t="s">
        <v>256</v>
      </c>
      <c r="D32" s="36"/>
      <c r="E32" s="36"/>
      <c r="F32" s="36" t="s">
        <v>529</v>
      </c>
      <c r="G32" s="36">
        <v>2022.07</v>
      </c>
      <c r="H32" s="36" t="s">
        <v>459</v>
      </c>
      <c r="I32" s="36" t="s">
        <v>459</v>
      </c>
    </row>
    <row r="33" spans="1:9" ht="24.95" customHeight="1" x14ac:dyDescent="0.3">
      <c r="A33" s="36">
        <f t="shared" si="0"/>
        <v>31</v>
      </c>
      <c r="B33" s="36" t="s">
        <v>280</v>
      </c>
      <c r="C33" s="36" t="s">
        <v>281</v>
      </c>
      <c r="D33" s="36"/>
      <c r="E33" s="36"/>
      <c r="F33" s="36" t="s">
        <v>530</v>
      </c>
      <c r="G33" s="37">
        <v>2022.1</v>
      </c>
      <c r="H33" s="36" t="s">
        <v>531</v>
      </c>
      <c r="I33" s="36" t="s">
        <v>459</v>
      </c>
    </row>
    <row r="34" spans="1:9" ht="24.95" customHeight="1" x14ac:dyDescent="0.3">
      <c r="A34" s="36">
        <f t="shared" si="0"/>
        <v>32</v>
      </c>
      <c r="B34" s="36" t="s">
        <v>368</v>
      </c>
      <c r="C34" s="36" t="s">
        <v>397</v>
      </c>
      <c r="D34" s="36"/>
      <c r="E34" s="36"/>
      <c r="F34" s="36" t="s">
        <v>532</v>
      </c>
      <c r="G34" s="37">
        <v>2022.1</v>
      </c>
      <c r="H34" s="36" t="s">
        <v>462</v>
      </c>
      <c r="I34" s="36" t="s">
        <v>462</v>
      </c>
    </row>
    <row r="35" spans="1:9" ht="24.95" customHeight="1" x14ac:dyDescent="0.3">
      <c r="A35" s="36">
        <f t="shared" si="0"/>
        <v>33</v>
      </c>
      <c r="B35" s="36" t="s">
        <v>327</v>
      </c>
      <c r="C35" s="36" t="s">
        <v>533</v>
      </c>
      <c r="D35" s="36"/>
      <c r="E35" s="36"/>
      <c r="F35" s="36" t="s">
        <v>534</v>
      </c>
      <c r="G35" s="37">
        <v>2022.11</v>
      </c>
      <c r="H35" s="36" t="s">
        <v>531</v>
      </c>
      <c r="I35" s="36" t="s">
        <v>459</v>
      </c>
    </row>
    <row r="36" spans="1:9" ht="24.95" customHeight="1" x14ac:dyDescent="0.3">
      <c r="A36" s="36">
        <f t="shared" si="0"/>
        <v>34</v>
      </c>
      <c r="B36" s="36" t="s">
        <v>267</v>
      </c>
      <c r="C36" s="36"/>
      <c r="D36" s="36"/>
      <c r="E36" s="36" t="s">
        <v>474</v>
      </c>
      <c r="F36" s="36" t="s">
        <v>535</v>
      </c>
      <c r="G36" s="37">
        <v>2023.01</v>
      </c>
      <c r="H36" s="36" t="s">
        <v>536</v>
      </c>
      <c r="I36" s="36" t="s">
        <v>537</v>
      </c>
    </row>
    <row r="37" spans="1:9" ht="24.95" customHeight="1" x14ac:dyDescent="0.3">
      <c r="A37" s="36">
        <f t="shared" si="0"/>
        <v>35</v>
      </c>
      <c r="B37" s="36" t="s">
        <v>283</v>
      </c>
      <c r="C37" s="36" t="s">
        <v>286</v>
      </c>
      <c r="D37" s="36"/>
      <c r="E37" s="36"/>
      <c r="F37" s="36" t="s">
        <v>538</v>
      </c>
      <c r="G37" s="37">
        <v>2023.01</v>
      </c>
      <c r="H37" s="36" t="s">
        <v>525</v>
      </c>
      <c r="I37" s="36" t="s">
        <v>526</v>
      </c>
    </row>
    <row r="38" spans="1:9" ht="24.95" customHeight="1" x14ac:dyDescent="0.3">
      <c r="A38" s="36">
        <f t="shared" si="0"/>
        <v>36</v>
      </c>
      <c r="B38" s="36" t="s">
        <v>280</v>
      </c>
      <c r="C38" s="36" t="s">
        <v>539</v>
      </c>
      <c r="D38" s="36"/>
      <c r="E38" s="36"/>
      <c r="F38" s="36" t="s">
        <v>540</v>
      </c>
      <c r="G38" s="37">
        <v>2023.03</v>
      </c>
      <c r="H38" s="36" t="s">
        <v>459</v>
      </c>
      <c r="I38" s="36" t="s">
        <v>459</v>
      </c>
    </row>
    <row r="39" spans="1:9" ht="24.95" customHeight="1" x14ac:dyDescent="0.3">
      <c r="A39" s="36">
        <f t="shared" si="0"/>
        <v>37</v>
      </c>
      <c r="B39" s="36" t="s">
        <v>292</v>
      </c>
      <c r="C39" s="36"/>
      <c r="D39" s="36"/>
      <c r="E39" s="36" t="s">
        <v>474</v>
      </c>
      <c r="F39" s="36" t="s">
        <v>541</v>
      </c>
      <c r="G39" s="37">
        <v>2023.06</v>
      </c>
      <c r="H39" s="36" t="s">
        <v>531</v>
      </c>
      <c r="I39" s="36" t="s">
        <v>459</v>
      </c>
    </row>
    <row r="40" spans="1:9" ht="24.95" customHeight="1" x14ac:dyDescent="0.3">
      <c r="A40" s="36">
        <f t="shared" si="0"/>
        <v>38</v>
      </c>
      <c r="B40" s="36" t="s">
        <v>280</v>
      </c>
      <c r="C40" s="36" t="s">
        <v>542</v>
      </c>
      <c r="D40" s="36"/>
      <c r="E40" s="36"/>
      <c r="F40" s="36" t="s">
        <v>543</v>
      </c>
      <c r="G40" s="37">
        <v>2023.06</v>
      </c>
      <c r="H40" s="36" t="s">
        <v>462</v>
      </c>
      <c r="I40" s="36" t="s">
        <v>462</v>
      </c>
    </row>
    <row r="41" spans="1:9" ht="24.95" customHeight="1" x14ac:dyDescent="0.3">
      <c r="A41" s="36">
        <f t="shared" si="0"/>
        <v>39</v>
      </c>
      <c r="B41" s="36" t="s">
        <v>283</v>
      </c>
      <c r="C41" s="36" t="s">
        <v>287</v>
      </c>
      <c r="D41" s="36"/>
      <c r="E41" s="36"/>
      <c r="F41" s="36" t="s">
        <v>544</v>
      </c>
      <c r="G41" s="37">
        <v>2023.08</v>
      </c>
      <c r="H41" s="36" t="s">
        <v>465</v>
      </c>
      <c r="I41" s="36" t="s">
        <v>462</v>
      </c>
    </row>
    <row r="42" spans="1:9" ht="24.95" customHeight="1" x14ac:dyDescent="0.3">
      <c r="A42" s="36">
        <f t="shared" si="0"/>
        <v>40</v>
      </c>
      <c r="B42" s="36" t="s">
        <v>276</v>
      </c>
      <c r="C42" s="36" t="s">
        <v>277</v>
      </c>
      <c r="D42" s="36"/>
      <c r="E42" s="36"/>
      <c r="F42" s="36" t="s">
        <v>545</v>
      </c>
      <c r="G42" s="37">
        <v>2023.09</v>
      </c>
      <c r="H42" s="36" t="s">
        <v>531</v>
      </c>
      <c r="I42" s="36" t="s">
        <v>459</v>
      </c>
    </row>
    <row r="43" spans="1:9" ht="24.95" customHeight="1" x14ac:dyDescent="0.3">
      <c r="A43" s="36">
        <f t="shared" si="0"/>
        <v>41</v>
      </c>
      <c r="B43" s="36" t="s">
        <v>299</v>
      </c>
      <c r="C43" s="36" t="s">
        <v>300</v>
      </c>
      <c r="D43" s="36"/>
      <c r="E43" s="36"/>
      <c r="F43" s="36" t="s">
        <v>546</v>
      </c>
      <c r="G43" s="37">
        <v>2023.09</v>
      </c>
      <c r="H43" s="36" t="s">
        <v>459</v>
      </c>
      <c r="I43" s="36" t="s">
        <v>459</v>
      </c>
    </row>
    <row r="44" spans="1:9" ht="24.95" customHeight="1" x14ac:dyDescent="0.3">
      <c r="A44" s="36">
        <f t="shared" si="0"/>
        <v>42</v>
      </c>
      <c r="B44" s="36" t="s">
        <v>252</v>
      </c>
      <c r="C44" s="36"/>
      <c r="D44" s="36"/>
      <c r="E44" s="36" t="s">
        <v>474</v>
      </c>
      <c r="F44" s="36" t="s">
        <v>547</v>
      </c>
      <c r="G44" s="37">
        <v>2023.1</v>
      </c>
      <c r="H44" s="36" t="s">
        <v>531</v>
      </c>
      <c r="I44" s="36" t="s">
        <v>459</v>
      </c>
    </row>
    <row r="45" spans="1:9" ht="24.95" customHeight="1" x14ac:dyDescent="0.3">
      <c r="A45" s="36">
        <f t="shared" si="0"/>
        <v>43</v>
      </c>
      <c r="B45" s="36" t="s">
        <v>299</v>
      </c>
      <c r="C45" s="36" t="s">
        <v>548</v>
      </c>
      <c r="D45" s="36" t="s">
        <v>549</v>
      </c>
      <c r="E45" s="36"/>
      <c r="F45" s="36" t="s">
        <v>550</v>
      </c>
      <c r="G45" s="37">
        <v>2023.11</v>
      </c>
      <c r="H45" s="36" t="s">
        <v>468</v>
      </c>
      <c r="I45" s="36" t="s">
        <v>459</v>
      </c>
    </row>
    <row r="46" spans="1:9" ht="24.95" customHeight="1" x14ac:dyDescent="0.3">
      <c r="A46" s="36">
        <f t="shared" si="0"/>
        <v>44</v>
      </c>
      <c r="B46" s="36" t="s">
        <v>276</v>
      </c>
      <c r="C46" s="36"/>
      <c r="D46" s="36"/>
      <c r="E46" s="36" t="s">
        <v>474</v>
      </c>
      <c r="F46" s="36" t="s">
        <v>551</v>
      </c>
      <c r="G46" s="37">
        <v>2023.11</v>
      </c>
      <c r="H46" s="36" t="s">
        <v>525</v>
      </c>
      <c r="I46" s="36" t="s">
        <v>526</v>
      </c>
    </row>
    <row r="47" spans="1:9" ht="24.95" customHeight="1" x14ac:dyDescent="0.3">
      <c r="A47" s="36">
        <f t="shared" si="0"/>
        <v>45</v>
      </c>
      <c r="B47" s="36" t="s">
        <v>327</v>
      </c>
      <c r="C47" s="36"/>
      <c r="D47" s="36"/>
      <c r="E47" s="36" t="s">
        <v>474</v>
      </c>
      <c r="F47" s="36" t="s">
        <v>552</v>
      </c>
      <c r="G47" s="37">
        <v>2023.11</v>
      </c>
      <c r="H47" s="36" t="s">
        <v>459</v>
      </c>
      <c r="I47" s="36" t="s">
        <v>459</v>
      </c>
    </row>
    <row r="48" spans="1:9" ht="24.95" customHeight="1" x14ac:dyDescent="0.3">
      <c r="A48" s="36">
        <f t="shared" si="0"/>
        <v>46</v>
      </c>
      <c r="B48" s="36" t="s">
        <v>271</v>
      </c>
      <c r="C48" s="36" t="s">
        <v>272</v>
      </c>
      <c r="D48" s="36"/>
      <c r="E48" s="36"/>
      <c r="F48" s="36" t="s">
        <v>553</v>
      </c>
      <c r="G48" s="37">
        <v>2023.11</v>
      </c>
      <c r="H48" s="36" t="s">
        <v>459</v>
      </c>
      <c r="I48" s="36" t="s">
        <v>459</v>
      </c>
    </row>
    <row r="49" spans="1:9" ht="24.95" customHeight="1" x14ac:dyDescent="0.3">
      <c r="A49" s="36">
        <f t="shared" si="0"/>
        <v>47</v>
      </c>
      <c r="B49" s="36" t="s">
        <v>280</v>
      </c>
      <c r="C49" s="36" t="s">
        <v>554</v>
      </c>
      <c r="D49" s="36"/>
      <c r="E49" s="36"/>
      <c r="F49" s="36" t="s">
        <v>555</v>
      </c>
      <c r="G49" s="37">
        <v>2023.12</v>
      </c>
      <c r="H49" s="36" t="s">
        <v>459</v>
      </c>
      <c r="I49" s="36" t="s">
        <v>459</v>
      </c>
    </row>
    <row r="50" spans="1:9" ht="24.95" customHeight="1" x14ac:dyDescent="0.3">
      <c r="A50" s="36">
        <f t="shared" si="0"/>
        <v>48</v>
      </c>
      <c r="B50" s="36" t="s">
        <v>384</v>
      </c>
      <c r="C50" s="36" t="s">
        <v>556</v>
      </c>
      <c r="D50" s="36"/>
      <c r="E50" s="36"/>
      <c r="F50" s="36" t="s">
        <v>557</v>
      </c>
      <c r="G50" s="37">
        <v>2024.01</v>
      </c>
      <c r="H50" s="36" t="s">
        <v>493</v>
      </c>
      <c r="I50" s="36" t="s">
        <v>494</v>
      </c>
    </row>
    <row r="51" spans="1:9" ht="24.95" customHeight="1" x14ac:dyDescent="0.3">
      <c r="A51" s="36">
        <f t="shared" si="0"/>
        <v>49</v>
      </c>
      <c r="B51" s="36" t="s">
        <v>252</v>
      </c>
      <c r="C51" s="36" t="s">
        <v>263</v>
      </c>
      <c r="D51" s="36"/>
      <c r="E51" s="36"/>
      <c r="F51" s="36" t="s">
        <v>558</v>
      </c>
      <c r="G51" s="37">
        <v>2024.07</v>
      </c>
      <c r="H51" s="36" t="s">
        <v>525</v>
      </c>
      <c r="I51" s="36" t="s">
        <v>526</v>
      </c>
    </row>
    <row r="52" spans="1:9" ht="24.95" customHeight="1" x14ac:dyDescent="0.3">
      <c r="A52" s="36">
        <f t="shared" si="0"/>
        <v>50</v>
      </c>
      <c r="B52" s="36" t="s">
        <v>230</v>
      </c>
      <c r="C52" s="36"/>
      <c r="D52" s="36"/>
      <c r="E52" s="36" t="s">
        <v>474</v>
      </c>
      <c r="F52" s="36" t="s">
        <v>559</v>
      </c>
      <c r="G52" s="37">
        <v>2024.07</v>
      </c>
      <c r="H52" s="36" t="s">
        <v>560</v>
      </c>
      <c r="I52" s="36" t="s">
        <v>462</v>
      </c>
    </row>
    <row r="53" spans="1:9" ht="24.95" customHeight="1" x14ac:dyDescent="0.3">
      <c r="A53" s="36">
        <f t="shared" si="0"/>
        <v>51</v>
      </c>
      <c r="B53" s="36" t="s">
        <v>278</v>
      </c>
      <c r="C53" s="36" t="s">
        <v>279</v>
      </c>
      <c r="D53" s="36"/>
      <c r="E53" s="36"/>
      <c r="F53" s="36" t="s">
        <v>561</v>
      </c>
      <c r="G53" s="37">
        <v>2024.1</v>
      </c>
      <c r="H53" s="36" t="s">
        <v>459</v>
      </c>
      <c r="I53" s="36" t="s">
        <v>459</v>
      </c>
    </row>
    <row r="54" spans="1:9" ht="24.95" customHeight="1" x14ac:dyDescent="0.3">
      <c r="A54" s="36">
        <f t="shared" si="0"/>
        <v>52</v>
      </c>
      <c r="B54" s="36" t="s">
        <v>278</v>
      </c>
      <c r="C54" s="36"/>
      <c r="D54" s="36"/>
      <c r="E54" s="36" t="s">
        <v>474</v>
      </c>
      <c r="F54" s="36" t="s">
        <v>562</v>
      </c>
      <c r="G54" s="37">
        <v>2025.02</v>
      </c>
      <c r="H54" s="36" t="s">
        <v>563</v>
      </c>
      <c r="I54" s="36" t="s">
        <v>564</v>
      </c>
    </row>
    <row r="55" spans="1:9" ht="24.95" customHeight="1" x14ac:dyDescent="0.3">
      <c r="A55" s="36">
        <f t="shared" si="0"/>
        <v>53</v>
      </c>
      <c r="B55" s="36" t="s">
        <v>384</v>
      </c>
      <c r="C55" s="36"/>
      <c r="D55" s="36"/>
      <c r="E55" s="36" t="s">
        <v>474</v>
      </c>
      <c r="F55" s="36" t="s">
        <v>565</v>
      </c>
      <c r="G55" s="37">
        <v>2025.04</v>
      </c>
      <c r="H55" s="36" t="s">
        <v>459</v>
      </c>
      <c r="I55" s="36" t="s">
        <v>459</v>
      </c>
    </row>
    <row r="56" spans="1:9" ht="24.95" customHeight="1" x14ac:dyDescent="0.3">
      <c r="A56" s="36">
        <f t="shared" si="0"/>
        <v>54</v>
      </c>
      <c r="B56" s="36" t="s">
        <v>566</v>
      </c>
      <c r="C56" s="36" t="s">
        <v>567</v>
      </c>
      <c r="D56" s="36"/>
      <c r="E56" s="36"/>
      <c r="F56" s="36" t="s">
        <v>568</v>
      </c>
      <c r="G56" s="37">
        <v>2025.05</v>
      </c>
      <c r="H56" s="36" t="s">
        <v>525</v>
      </c>
      <c r="I56" s="36" t="s">
        <v>526</v>
      </c>
    </row>
    <row r="57" spans="1:9" ht="24.95" customHeight="1" x14ac:dyDescent="0.3">
      <c r="A57" s="36">
        <f t="shared" si="0"/>
        <v>55</v>
      </c>
      <c r="B57" s="36" t="s">
        <v>276</v>
      </c>
      <c r="C57" s="36" t="s">
        <v>569</v>
      </c>
      <c r="D57" s="36"/>
      <c r="E57" s="36"/>
      <c r="F57" s="36" t="s">
        <v>570</v>
      </c>
      <c r="G57" s="37">
        <v>2025.06</v>
      </c>
      <c r="H57" s="36" t="s">
        <v>468</v>
      </c>
      <c r="I57" s="36" t="s">
        <v>459</v>
      </c>
    </row>
    <row r="58" spans="1:9" ht="24.95" customHeight="1" x14ac:dyDescent="0.3">
      <c r="A58" s="36">
        <f t="shared" si="0"/>
        <v>56</v>
      </c>
      <c r="B58" s="36" t="s">
        <v>377</v>
      </c>
      <c r="C58" s="36" t="s">
        <v>401</v>
      </c>
      <c r="D58" s="36"/>
      <c r="E58" s="36"/>
      <c r="F58" s="36" t="s">
        <v>571</v>
      </c>
      <c r="G58" s="37">
        <v>2025.09</v>
      </c>
      <c r="H58" s="36" t="s">
        <v>459</v>
      </c>
      <c r="I58" s="36" t="s">
        <v>459</v>
      </c>
    </row>
    <row r="59" spans="1:9" ht="24.95" customHeight="1" x14ac:dyDescent="0.3">
      <c r="A59" s="36">
        <f t="shared" si="0"/>
        <v>57</v>
      </c>
      <c r="B59" s="36" t="s">
        <v>572</v>
      </c>
      <c r="C59" s="36"/>
      <c r="D59" s="36"/>
      <c r="E59" s="36"/>
      <c r="F59" s="36" t="s">
        <v>573</v>
      </c>
      <c r="G59" s="37">
        <v>2025.11</v>
      </c>
      <c r="H59" s="36" t="s">
        <v>574</v>
      </c>
      <c r="I59" s="36" t="s">
        <v>494</v>
      </c>
    </row>
    <row r="60" spans="1:9" ht="24.95" customHeight="1" x14ac:dyDescent="0.3">
      <c r="A60" s="36">
        <f t="shared" si="0"/>
        <v>58</v>
      </c>
      <c r="B60" s="36" t="s">
        <v>392</v>
      </c>
      <c r="C60" s="36" t="s">
        <v>393</v>
      </c>
      <c r="D60" s="36"/>
      <c r="E60" s="36"/>
      <c r="F60" s="36" t="s">
        <v>575</v>
      </c>
      <c r="G60" s="37">
        <v>2025.12</v>
      </c>
      <c r="H60" s="36" t="s">
        <v>563</v>
      </c>
      <c r="I60" s="36" t="s">
        <v>564</v>
      </c>
    </row>
    <row r="61" spans="1:9" ht="24.95" customHeight="1" x14ac:dyDescent="0.3">
      <c r="A61" s="36">
        <f t="shared" si="0"/>
        <v>59</v>
      </c>
      <c r="B61" s="36" t="s">
        <v>576</v>
      </c>
      <c r="C61" s="36"/>
      <c r="D61" s="36"/>
      <c r="E61" s="36" t="s">
        <v>474</v>
      </c>
      <c r="F61" s="36" t="s">
        <v>577</v>
      </c>
      <c r="G61" s="37">
        <v>2026.03</v>
      </c>
      <c r="H61" s="36" t="s">
        <v>564</v>
      </c>
      <c r="I61" s="36" t="s">
        <v>564</v>
      </c>
    </row>
    <row r="62" spans="1:9" ht="24.95" customHeight="1" x14ac:dyDescent="0.3">
      <c r="A62" s="36">
        <f t="shared" si="0"/>
        <v>60</v>
      </c>
      <c r="B62" s="36" t="s">
        <v>377</v>
      </c>
      <c r="C62" s="36" t="s">
        <v>578</v>
      </c>
      <c r="D62" s="36"/>
      <c r="E62" s="36"/>
      <c r="F62" s="36" t="s">
        <v>579</v>
      </c>
      <c r="G62" s="37">
        <v>2026.04</v>
      </c>
      <c r="H62" s="36" t="s">
        <v>580</v>
      </c>
      <c r="I62" s="36" t="s">
        <v>580</v>
      </c>
    </row>
  </sheetData>
  <autoFilter ref="A2:I62" xr:uid="{00000000-0009-0000-0000-000021000000}"/>
  <mergeCells count="2">
    <mergeCell ref="A1:I1"/>
    <mergeCell ref="B2:D2"/>
  </mergeCells>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57EB9-8381-4037-9F7F-7DD0986F5B85}">
  <dimension ref="A1:T915"/>
  <sheetViews>
    <sheetView topLeftCell="C1" workbookViewId="0">
      <selection activeCell="F11" sqref="F11"/>
    </sheetView>
  </sheetViews>
  <sheetFormatPr defaultColWidth="9" defaultRowHeight="25.05" customHeight="1" x14ac:dyDescent="0.3"/>
  <cols>
    <col min="1" max="1" width="5.59765625" customWidth="1"/>
    <col min="2" max="2" width="15.59765625" customWidth="1"/>
    <col min="3" max="3" width="10.59765625" customWidth="1"/>
    <col min="4" max="4" width="55.59765625" customWidth="1"/>
    <col min="6" max="15" width="12.59765625" customWidth="1"/>
    <col min="16" max="20" width="25.59765625" customWidth="1"/>
  </cols>
  <sheetData>
    <row r="1" spans="1:20" ht="25.05" customHeight="1" x14ac:dyDescent="0.3">
      <c r="A1" s="15"/>
      <c r="B1" s="15"/>
      <c r="C1" s="15"/>
      <c r="D1" s="15" t="s">
        <v>581</v>
      </c>
      <c r="E1" s="38"/>
      <c r="F1" s="2" t="s">
        <v>582</v>
      </c>
      <c r="G1" s="2" t="s">
        <v>583</v>
      </c>
      <c r="H1" s="2" t="s">
        <v>584</v>
      </c>
      <c r="I1" s="15" t="s">
        <v>585</v>
      </c>
      <c r="J1" s="15" t="s">
        <v>586</v>
      </c>
      <c r="K1" s="15" t="s">
        <v>587</v>
      </c>
      <c r="L1" s="39" t="s">
        <v>588</v>
      </c>
      <c r="M1" s="15" t="s">
        <v>589</v>
      </c>
      <c r="N1" s="15" t="s">
        <v>303</v>
      </c>
      <c r="O1" s="15" t="s">
        <v>590</v>
      </c>
      <c r="P1" s="39" t="s">
        <v>591</v>
      </c>
      <c r="Q1" s="39" t="s">
        <v>592</v>
      </c>
      <c r="R1" s="15" t="s">
        <v>593</v>
      </c>
      <c r="S1" s="40" t="s">
        <v>594</v>
      </c>
      <c r="T1" s="15" t="s">
        <v>595</v>
      </c>
    </row>
    <row r="2" spans="1:20" ht="25.05" customHeight="1" x14ac:dyDescent="0.3">
      <c r="A2" s="15"/>
      <c r="B2" s="15"/>
      <c r="C2" s="15"/>
      <c r="D2" s="15"/>
      <c r="E2" s="38"/>
      <c r="F2" s="2"/>
      <c r="G2" s="2"/>
      <c r="H2" s="2"/>
      <c r="I2" s="15"/>
      <c r="J2" s="15"/>
      <c r="K2" s="15"/>
      <c r="L2" s="39"/>
      <c r="M2" s="15"/>
      <c r="N2" s="15"/>
      <c r="O2" s="39"/>
      <c r="P2" s="39"/>
      <c r="Q2" s="39"/>
      <c r="R2" s="15"/>
      <c r="S2" s="40"/>
      <c r="T2" s="15"/>
    </row>
    <row r="3" spans="1:20" s="44" customFormat="1" ht="25.05" customHeight="1" x14ac:dyDescent="0.3">
      <c r="A3" s="41"/>
      <c r="B3" s="41"/>
      <c r="C3" s="41"/>
      <c r="D3" s="41" t="s">
        <v>596</v>
      </c>
      <c r="E3" s="41"/>
      <c r="F3" s="2" t="s">
        <v>597</v>
      </c>
      <c r="G3" s="2"/>
      <c r="H3" s="2"/>
      <c r="I3" s="41" t="s">
        <v>598</v>
      </c>
      <c r="J3" s="41" t="s">
        <v>597</v>
      </c>
      <c r="K3" s="41" t="s">
        <v>599</v>
      </c>
      <c r="L3" s="41" t="s">
        <v>600</v>
      </c>
      <c r="M3" s="42">
        <v>44090</v>
      </c>
      <c r="N3" s="42">
        <v>44090</v>
      </c>
      <c r="O3" s="41"/>
      <c r="P3" s="41" t="s">
        <v>601</v>
      </c>
      <c r="Q3" s="41"/>
      <c r="R3" s="41" t="s">
        <v>602</v>
      </c>
      <c r="S3" s="43" t="s">
        <v>603</v>
      </c>
      <c r="T3" s="41"/>
    </row>
    <row r="4" spans="1:20" s="44" customFormat="1" ht="25.05" customHeight="1" x14ac:dyDescent="0.3">
      <c r="A4" s="41"/>
      <c r="B4" s="41"/>
      <c r="C4" s="41"/>
      <c r="D4" s="45" t="s">
        <v>604</v>
      </c>
      <c r="E4" s="45"/>
      <c r="F4" s="2" t="s">
        <v>597</v>
      </c>
      <c r="G4" s="46"/>
      <c r="H4" s="46"/>
      <c r="I4" s="45" t="s">
        <v>598</v>
      </c>
      <c r="J4" s="45" t="s">
        <v>597</v>
      </c>
      <c r="K4" s="45" t="s">
        <v>605</v>
      </c>
      <c r="L4" s="45" t="s">
        <v>606</v>
      </c>
      <c r="M4" s="47">
        <v>44427</v>
      </c>
      <c r="N4" s="47"/>
      <c r="O4" s="45"/>
      <c r="P4" s="45" t="s">
        <v>601</v>
      </c>
      <c r="Q4" s="45"/>
      <c r="R4" s="45" t="s">
        <v>607</v>
      </c>
      <c r="S4" s="48"/>
      <c r="T4" s="47"/>
    </row>
    <row r="5" spans="1:20" s="44" customFormat="1" ht="25.05" customHeight="1" x14ac:dyDescent="0.3">
      <c r="A5" s="41"/>
      <c r="B5" s="41"/>
      <c r="C5" s="41"/>
      <c r="D5" s="45" t="s">
        <v>608</v>
      </c>
      <c r="E5" s="45"/>
      <c r="F5" s="2" t="s">
        <v>597</v>
      </c>
      <c r="G5" s="46"/>
      <c r="H5" s="46"/>
      <c r="I5" s="45" t="s">
        <v>598</v>
      </c>
      <c r="J5" s="45" t="s">
        <v>597</v>
      </c>
      <c r="K5" s="45" t="s">
        <v>605</v>
      </c>
      <c r="L5" s="45" t="s">
        <v>606</v>
      </c>
      <c r="M5" s="47">
        <v>44553</v>
      </c>
      <c r="N5" s="47"/>
      <c r="O5" s="45"/>
      <c r="P5" s="45" t="s">
        <v>601</v>
      </c>
      <c r="Q5" s="45"/>
      <c r="R5" s="45" t="s">
        <v>609</v>
      </c>
      <c r="S5" s="48"/>
      <c r="T5" s="47"/>
    </row>
    <row r="6" spans="1:20" s="44" customFormat="1" ht="25.05" customHeight="1" x14ac:dyDescent="0.3">
      <c r="A6" s="41"/>
      <c r="B6" s="41"/>
      <c r="C6" s="41"/>
      <c r="D6" s="41" t="s">
        <v>610</v>
      </c>
      <c r="E6" s="41"/>
      <c r="F6" s="2" t="s">
        <v>597</v>
      </c>
      <c r="G6" s="2"/>
      <c r="H6" s="2"/>
      <c r="I6" s="41" t="s">
        <v>598</v>
      </c>
      <c r="J6" s="41" t="s">
        <v>597</v>
      </c>
      <c r="K6" s="41" t="s">
        <v>611</v>
      </c>
      <c r="L6" s="41" t="s">
        <v>600</v>
      </c>
      <c r="M6" s="42"/>
      <c r="N6" s="42">
        <v>44643</v>
      </c>
      <c r="O6" s="41"/>
      <c r="P6" s="41" t="s">
        <v>612</v>
      </c>
      <c r="Q6" s="41"/>
      <c r="R6" s="41"/>
      <c r="S6" s="43" t="s">
        <v>613</v>
      </c>
      <c r="T6" s="41"/>
    </row>
    <row r="7" spans="1:20" s="44" customFormat="1" ht="25.05" customHeight="1" x14ac:dyDescent="0.3">
      <c r="A7" s="41"/>
      <c r="B7" s="41"/>
      <c r="C7" s="41"/>
      <c r="D7" s="41" t="s">
        <v>614</v>
      </c>
      <c r="E7" s="41"/>
      <c r="F7" s="2" t="s">
        <v>597</v>
      </c>
      <c r="G7" s="2"/>
      <c r="H7" s="2"/>
      <c r="I7" s="41" t="s">
        <v>598</v>
      </c>
      <c r="J7" s="41" t="s">
        <v>597</v>
      </c>
      <c r="K7" s="41" t="s">
        <v>615</v>
      </c>
      <c r="L7" s="41" t="s">
        <v>600</v>
      </c>
      <c r="M7" s="42">
        <v>45126</v>
      </c>
      <c r="N7" s="42">
        <v>45126</v>
      </c>
      <c r="O7" s="41"/>
      <c r="P7" s="41" t="s">
        <v>616</v>
      </c>
      <c r="Q7" s="41"/>
      <c r="R7" s="41" t="s">
        <v>617</v>
      </c>
      <c r="S7" s="43" t="s">
        <v>618</v>
      </c>
      <c r="T7" s="41"/>
    </row>
    <row r="8" spans="1:20" s="44" customFormat="1" ht="25.05" customHeight="1" x14ac:dyDescent="0.3">
      <c r="A8" s="41"/>
      <c r="B8" s="41"/>
      <c r="C8" s="41"/>
      <c r="D8" s="45" t="s">
        <v>619</v>
      </c>
      <c r="E8" s="45"/>
      <c r="F8" s="2" t="s">
        <v>597</v>
      </c>
      <c r="G8" s="46"/>
      <c r="H8" s="46"/>
      <c r="I8" s="45" t="s">
        <v>598</v>
      </c>
      <c r="J8" s="45" t="s">
        <v>597</v>
      </c>
      <c r="K8" s="45" t="s">
        <v>599</v>
      </c>
      <c r="L8" s="45" t="s">
        <v>606</v>
      </c>
      <c r="M8" s="47">
        <v>45395</v>
      </c>
      <c r="N8" s="47"/>
      <c r="O8" s="45"/>
      <c r="P8" s="45" t="s">
        <v>620</v>
      </c>
      <c r="Q8" s="45"/>
      <c r="R8" s="45" t="s">
        <v>621</v>
      </c>
      <c r="S8" s="48"/>
      <c r="T8" s="47"/>
    </row>
    <row r="9" spans="1:20" s="44" customFormat="1" ht="25.05" customHeight="1" x14ac:dyDescent="0.3">
      <c r="A9" s="41"/>
      <c r="B9" s="41"/>
      <c r="C9" s="41"/>
      <c r="D9" s="41" t="s">
        <v>622</v>
      </c>
      <c r="E9" s="41"/>
      <c r="F9" s="2" t="s">
        <v>597</v>
      </c>
      <c r="G9" s="2"/>
      <c r="H9" s="2"/>
      <c r="I9" s="41" t="s">
        <v>598</v>
      </c>
      <c r="J9" s="41" t="s">
        <v>597</v>
      </c>
      <c r="K9" s="41" t="s">
        <v>599</v>
      </c>
      <c r="L9" s="41" t="s">
        <v>600</v>
      </c>
      <c r="M9" s="42">
        <v>45656</v>
      </c>
      <c r="N9" s="42">
        <v>45657</v>
      </c>
      <c r="O9" s="41"/>
      <c r="P9" s="41" t="s">
        <v>623</v>
      </c>
      <c r="Q9" s="41"/>
      <c r="R9" s="41" t="s">
        <v>624</v>
      </c>
      <c r="S9" s="43" t="s">
        <v>625</v>
      </c>
      <c r="T9" s="41"/>
    </row>
    <row r="10" spans="1:20" s="44" customFormat="1" ht="25.05" customHeight="1" x14ac:dyDescent="0.3">
      <c r="A10" s="41"/>
      <c r="B10" s="41"/>
      <c r="C10" s="41"/>
      <c r="D10" s="45" t="s">
        <v>626</v>
      </c>
      <c r="E10" s="45"/>
      <c r="F10" s="2" t="s">
        <v>597</v>
      </c>
      <c r="G10" s="46"/>
      <c r="H10" s="46"/>
      <c r="I10" s="45" t="s">
        <v>598</v>
      </c>
      <c r="J10" s="45" t="s">
        <v>597</v>
      </c>
      <c r="K10" s="45" t="s">
        <v>599</v>
      </c>
      <c r="L10" s="45" t="s">
        <v>606</v>
      </c>
      <c r="M10" s="47">
        <v>45775</v>
      </c>
      <c r="N10" s="47">
        <v>45777</v>
      </c>
      <c r="O10" s="45"/>
      <c r="P10" s="45" t="s">
        <v>627</v>
      </c>
      <c r="Q10" s="45"/>
      <c r="R10" s="45" t="s">
        <v>628</v>
      </c>
      <c r="S10" s="48"/>
      <c r="T10" s="47"/>
    </row>
    <row r="11" spans="1:20" s="44" customFormat="1" ht="25.05" customHeight="1" x14ac:dyDescent="0.3">
      <c r="A11" s="41"/>
      <c r="B11" s="41"/>
      <c r="C11" s="41"/>
      <c r="D11" s="45" t="s">
        <v>629</v>
      </c>
      <c r="E11" s="45"/>
      <c r="F11" s="2" t="s">
        <v>597</v>
      </c>
      <c r="G11" s="46"/>
      <c r="H11" s="46"/>
      <c r="I11" s="45" t="s">
        <v>598</v>
      </c>
      <c r="J11" s="45" t="s">
        <v>597</v>
      </c>
      <c r="K11" s="45" t="s">
        <v>599</v>
      </c>
      <c r="L11" s="45" t="s">
        <v>600</v>
      </c>
      <c r="M11" s="47">
        <v>45812</v>
      </c>
      <c r="N11" s="47">
        <v>45818</v>
      </c>
      <c r="O11" s="45"/>
      <c r="P11" s="45" t="s">
        <v>630</v>
      </c>
      <c r="Q11" s="45"/>
      <c r="R11" s="45" t="s">
        <v>631</v>
      </c>
      <c r="S11" s="48" t="s">
        <v>632</v>
      </c>
      <c r="T11" s="47"/>
    </row>
    <row r="12" spans="1:20" s="44" customFormat="1" ht="25.05" customHeight="1" x14ac:dyDescent="0.3">
      <c r="A12" s="41"/>
      <c r="B12" s="41"/>
      <c r="C12" s="41"/>
      <c r="D12" s="41" t="s">
        <v>633</v>
      </c>
      <c r="E12" s="41"/>
      <c r="F12" s="2" t="s">
        <v>597</v>
      </c>
      <c r="G12" s="2"/>
      <c r="H12" s="2"/>
      <c r="I12" s="41" t="s">
        <v>598</v>
      </c>
      <c r="J12" s="41" t="s">
        <v>597</v>
      </c>
      <c r="K12" s="41" t="s">
        <v>599</v>
      </c>
      <c r="L12" s="41" t="s">
        <v>600</v>
      </c>
      <c r="M12" s="42">
        <v>45896</v>
      </c>
      <c r="N12" s="42">
        <v>45896</v>
      </c>
      <c r="O12" s="41"/>
      <c r="P12" s="41" t="s">
        <v>630</v>
      </c>
      <c r="Q12" s="41"/>
      <c r="R12" s="41" t="s">
        <v>634</v>
      </c>
      <c r="S12" s="43" t="s">
        <v>635</v>
      </c>
      <c r="T12" s="41"/>
    </row>
    <row r="13" spans="1:20" s="44" customFormat="1" ht="25.05" customHeight="1" x14ac:dyDescent="0.3">
      <c r="A13" s="41"/>
      <c r="B13" s="41"/>
      <c r="C13" s="41"/>
      <c r="D13" s="41" t="s">
        <v>636</v>
      </c>
      <c r="E13" s="41"/>
      <c r="F13" s="2" t="s">
        <v>597</v>
      </c>
      <c r="G13" s="2"/>
      <c r="H13" s="2"/>
      <c r="I13" s="41" t="s">
        <v>598</v>
      </c>
      <c r="J13" s="41" t="s">
        <v>597</v>
      </c>
      <c r="K13" s="41" t="s">
        <v>599</v>
      </c>
      <c r="L13" s="41" t="s">
        <v>600</v>
      </c>
      <c r="M13" s="42">
        <v>45995</v>
      </c>
      <c r="N13" s="42">
        <v>45995</v>
      </c>
      <c r="O13" s="41"/>
      <c r="P13" s="41" t="s">
        <v>627</v>
      </c>
      <c r="Q13" s="41"/>
      <c r="R13" s="41"/>
      <c r="S13" s="43" t="s">
        <v>637</v>
      </c>
      <c r="T13" s="41"/>
    </row>
    <row r="14" spans="1:20" s="44" customFormat="1" ht="25.05" customHeight="1" x14ac:dyDescent="0.3">
      <c r="A14" s="41"/>
      <c r="B14" s="41"/>
      <c r="C14" s="41"/>
      <c r="D14" s="41" t="s">
        <v>638</v>
      </c>
      <c r="E14" s="41"/>
      <c r="F14" s="2" t="s">
        <v>597</v>
      </c>
      <c r="G14" s="2"/>
      <c r="H14" s="2"/>
      <c r="I14" s="41" t="s">
        <v>598</v>
      </c>
      <c r="J14" s="41" t="s">
        <v>597</v>
      </c>
      <c r="K14" s="41" t="s">
        <v>599</v>
      </c>
      <c r="L14" s="41" t="s">
        <v>639</v>
      </c>
      <c r="M14" s="42">
        <v>46087</v>
      </c>
      <c r="N14" s="42">
        <v>46097</v>
      </c>
      <c r="O14" s="41"/>
      <c r="P14" s="41" t="s">
        <v>640</v>
      </c>
      <c r="Q14" s="41"/>
      <c r="R14" s="41" t="s">
        <v>641</v>
      </c>
      <c r="S14" s="43" t="s">
        <v>642</v>
      </c>
      <c r="T14" s="41"/>
    </row>
    <row r="15" spans="1:20" ht="25.05" customHeight="1" x14ac:dyDescent="0.3">
      <c r="A15" s="15"/>
      <c r="B15" s="15"/>
      <c r="C15" s="15"/>
      <c r="D15" s="15"/>
      <c r="E15" s="38"/>
      <c r="F15" s="2"/>
      <c r="G15" s="2"/>
      <c r="H15" s="2"/>
      <c r="I15" s="15"/>
      <c r="J15" s="15"/>
      <c r="K15" s="15"/>
      <c r="L15" s="39"/>
      <c r="M15" s="15"/>
      <c r="N15" s="15"/>
      <c r="O15" s="39"/>
      <c r="P15" s="39"/>
      <c r="Q15" s="39"/>
      <c r="R15" s="15"/>
      <c r="S15" s="40"/>
      <c r="T15" s="15"/>
    </row>
    <row r="16" spans="1:20" s="44" customFormat="1" ht="25.05" customHeight="1" x14ac:dyDescent="0.3">
      <c r="A16" s="41"/>
      <c r="B16" s="41"/>
      <c r="C16" s="41"/>
      <c r="D16" s="49"/>
      <c r="E16" s="49"/>
      <c r="F16" s="3" t="s">
        <v>230</v>
      </c>
      <c r="G16" s="49"/>
      <c r="H16" s="49"/>
      <c r="I16" s="49"/>
      <c r="J16" s="49"/>
      <c r="K16" s="49"/>
      <c r="L16" s="49"/>
      <c r="M16" s="49"/>
      <c r="N16" s="49"/>
      <c r="O16" s="49"/>
      <c r="P16" s="49"/>
      <c r="Q16" s="49"/>
      <c r="R16" s="49"/>
      <c r="S16" s="50"/>
      <c r="T16" s="49"/>
    </row>
    <row r="17" spans="1:20" s="44" customFormat="1" ht="25.05" customHeight="1" x14ac:dyDescent="0.3">
      <c r="A17" s="41">
        <v>1</v>
      </c>
      <c r="B17" s="41"/>
      <c r="C17" s="51" t="str">
        <f>VLOOKUP(F17,[1]VLOOKUP!$A$2:$B$35,2,FALSE)</f>
        <v>华北</v>
      </c>
      <c r="D17" s="41" t="s">
        <v>643</v>
      </c>
      <c r="E17" s="41"/>
      <c r="F17" s="2" t="s">
        <v>230</v>
      </c>
      <c r="G17" s="2"/>
      <c r="H17" s="2"/>
      <c r="I17" s="41" t="s">
        <v>474</v>
      </c>
      <c r="J17" s="41" t="s">
        <v>230</v>
      </c>
      <c r="K17" s="41" t="s">
        <v>611</v>
      </c>
      <c r="L17" s="41" t="s">
        <v>600</v>
      </c>
      <c r="M17" s="42">
        <v>44133</v>
      </c>
      <c r="N17" s="42">
        <v>44134</v>
      </c>
      <c r="O17" s="42">
        <v>46022</v>
      </c>
      <c r="P17" s="41" t="s">
        <v>644</v>
      </c>
      <c r="Q17" s="41" t="s">
        <v>645</v>
      </c>
      <c r="R17" s="41"/>
      <c r="S17" s="43" t="s">
        <v>646</v>
      </c>
      <c r="T17" s="41"/>
    </row>
    <row r="18" spans="1:20" s="44" customFormat="1" ht="25.05" customHeight="1" x14ac:dyDescent="0.3">
      <c r="A18" s="41">
        <v>1</v>
      </c>
      <c r="B18" s="41"/>
      <c r="C18" s="51" t="str">
        <f>VLOOKUP(F18,[1]VLOOKUP!$A$2:$B$35,2,FALSE)</f>
        <v>华北</v>
      </c>
      <c r="D18" s="41" t="s">
        <v>647</v>
      </c>
      <c r="E18" s="41"/>
      <c r="F18" s="2" t="s">
        <v>230</v>
      </c>
      <c r="G18" s="2"/>
      <c r="H18" s="2"/>
      <c r="I18" s="41" t="s">
        <v>474</v>
      </c>
      <c r="J18" s="41" t="s">
        <v>230</v>
      </c>
      <c r="K18" s="41" t="s">
        <v>611</v>
      </c>
      <c r="L18" s="41" t="s">
        <v>600</v>
      </c>
      <c r="M18" s="42">
        <v>44424</v>
      </c>
      <c r="N18" s="42">
        <v>44424</v>
      </c>
      <c r="O18" s="42">
        <v>46022</v>
      </c>
      <c r="P18" s="41" t="s">
        <v>644</v>
      </c>
      <c r="Q18" s="41" t="s">
        <v>645</v>
      </c>
      <c r="R18" s="41" t="s">
        <v>648</v>
      </c>
      <c r="S18" s="43" t="s">
        <v>649</v>
      </c>
      <c r="T18" s="41"/>
    </row>
    <row r="19" spans="1:20" s="44" customFormat="1" ht="25.05" customHeight="1" x14ac:dyDescent="0.3">
      <c r="A19" s="41"/>
      <c r="B19" s="41"/>
      <c r="C19" s="41"/>
      <c r="D19" s="45" t="s">
        <v>650</v>
      </c>
      <c r="E19" s="45"/>
      <c r="F19" s="2" t="s">
        <v>230</v>
      </c>
      <c r="G19" s="2"/>
      <c r="H19" s="2"/>
      <c r="I19" s="45" t="s">
        <v>474</v>
      </c>
      <c r="J19" s="45" t="s">
        <v>230</v>
      </c>
      <c r="K19" s="45" t="s">
        <v>605</v>
      </c>
      <c r="L19" s="45" t="s">
        <v>606</v>
      </c>
      <c r="M19" s="47"/>
      <c r="N19" s="47"/>
      <c r="O19" s="45"/>
      <c r="P19" s="45" t="s">
        <v>644</v>
      </c>
      <c r="Q19" s="45" t="s">
        <v>645</v>
      </c>
      <c r="R19" s="45" t="s">
        <v>651</v>
      </c>
      <c r="S19" s="48"/>
      <c r="T19" s="47"/>
    </row>
    <row r="20" spans="1:20" s="44" customFormat="1" ht="25.05" customHeight="1" x14ac:dyDescent="0.3">
      <c r="A20" s="41"/>
      <c r="B20" s="41"/>
      <c r="C20" s="41"/>
      <c r="D20" s="45" t="s">
        <v>652</v>
      </c>
      <c r="E20" s="45"/>
      <c r="F20" s="2" t="s">
        <v>230</v>
      </c>
      <c r="G20" s="2"/>
      <c r="H20" s="2"/>
      <c r="I20" s="45" t="s">
        <v>474</v>
      </c>
      <c r="J20" s="45" t="s">
        <v>230</v>
      </c>
      <c r="K20" s="45" t="s">
        <v>605</v>
      </c>
      <c r="L20" s="45" t="s">
        <v>606</v>
      </c>
      <c r="M20" s="47"/>
      <c r="N20" s="47"/>
      <c r="O20" s="45"/>
      <c r="P20" s="45" t="s">
        <v>653</v>
      </c>
      <c r="Q20" s="45" t="s">
        <v>654</v>
      </c>
      <c r="R20" s="45" t="s">
        <v>655</v>
      </c>
      <c r="S20" s="48"/>
      <c r="T20" s="47"/>
    </row>
    <row r="21" spans="1:20" s="44" customFormat="1" ht="25.05" customHeight="1" x14ac:dyDescent="0.3">
      <c r="A21" s="41"/>
      <c r="B21" s="41"/>
      <c r="C21" s="41"/>
      <c r="D21" s="45" t="s">
        <v>656</v>
      </c>
      <c r="E21" s="45"/>
      <c r="F21" s="2" t="s">
        <v>230</v>
      </c>
      <c r="G21" s="2"/>
      <c r="H21" s="2"/>
      <c r="I21" s="45" t="s">
        <v>474</v>
      </c>
      <c r="J21" s="45" t="s">
        <v>230</v>
      </c>
      <c r="K21" s="45" t="s">
        <v>605</v>
      </c>
      <c r="L21" s="45" t="s">
        <v>606</v>
      </c>
      <c r="M21" s="47"/>
      <c r="N21" s="47"/>
      <c r="O21" s="45"/>
      <c r="P21" s="45" t="s">
        <v>653</v>
      </c>
      <c r="Q21" s="45" t="s">
        <v>654</v>
      </c>
      <c r="R21" s="45" t="s">
        <v>657</v>
      </c>
      <c r="S21" s="48"/>
      <c r="T21" s="47"/>
    </row>
    <row r="22" spans="1:20" s="44" customFormat="1" ht="25.05" customHeight="1" x14ac:dyDescent="0.3">
      <c r="A22" s="41"/>
      <c r="B22" s="41"/>
      <c r="C22" s="41"/>
      <c r="D22" s="45" t="s">
        <v>658</v>
      </c>
      <c r="E22" s="45"/>
      <c r="F22" s="2" t="s">
        <v>230</v>
      </c>
      <c r="G22" s="2"/>
      <c r="H22" s="2"/>
      <c r="I22" s="45" t="s">
        <v>474</v>
      </c>
      <c r="J22" s="45" t="s">
        <v>230</v>
      </c>
      <c r="K22" s="45" t="s">
        <v>611</v>
      </c>
      <c r="L22" s="45" t="s">
        <v>606</v>
      </c>
      <c r="M22" s="47"/>
      <c r="N22" s="47"/>
      <c r="O22" s="45"/>
      <c r="P22" s="45" t="s">
        <v>653</v>
      </c>
      <c r="Q22" s="45" t="s">
        <v>654</v>
      </c>
      <c r="R22" s="45" t="s">
        <v>659</v>
      </c>
      <c r="S22" s="48"/>
      <c r="T22" s="47"/>
    </row>
    <row r="23" spans="1:20" s="44" customFormat="1" ht="25.05" customHeight="1" x14ac:dyDescent="0.3">
      <c r="A23" s="41"/>
      <c r="B23" s="41"/>
      <c r="C23" s="41"/>
      <c r="D23" s="45" t="s">
        <v>660</v>
      </c>
      <c r="E23" s="45"/>
      <c r="F23" s="2" t="s">
        <v>230</v>
      </c>
      <c r="G23" s="2"/>
      <c r="H23" s="2"/>
      <c r="I23" s="45" t="s">
        <v>474</v>
      </c>
      <c r="J23" s="45" t="s">
        <v>230</v>
      </c>
      <c r="K23" s="45" t="s">
        <v>611</v>
      </c>
      <c r="L23" s="45" t="s">
        <v>606</v>
      </c>
      <c r="M23" s="47"/>
      <c r="N23" s="47"/>
      <c r="O23" s="45"/>
      <c r="P23" s="45" t="s">
        <v>653</v>
      </c>
      <c r="Q23" s="45" t="s">
        <v>654</v>
      </c>
      <c r="R23" s="45" t="s">
        <v>661</v>
      </c>
      <c r="S23" s="48"/>
      <c r="T23" s="47"/>
    </row>
    <row r="24" spans="1:20" s="44" customFormat="1" ht="25.05" customHeight="1" x14ac:dyDescent="0.3">
      <c r="A24" s="41">
        <v>1</v>
      </c>
      <c r="B24" s="41"/>
      <c r="C24" s="51" t="str">
        <f>VLOOKUP(F24,[1]VLOOKUP!$A$2:$B$35,2,FALSE)</f>
        <v>华北</v>
      </c>
      <c r="D24" s="52" t="s">
        <v>662</v>
      </c>
      <c r="E24" s="52"/>
      <c r="F24" s="2" t="s">
        <v>230</v>
      </c>
      <c r="G24" s="2"/>
      <c r="H24" s="2"/>
      <c r="I24" s="52" t="s">
        <v>474</v>
      </c>
      <c r="J24" s="52" t="s">
        <v>230</v>
      </c>
      <c r="K24" s="52" t="s">
        <v>599</v>
      </c>
      <c r="L24" s="52" t="s">
        <v>663</v>
      </c>
      <c r="M24" s="52">
        <v>44417</v>
      </c>
      <c r="N24" s="52">
        <v>44417</v>
      </c>
      <c r="O24" s="52">
        <v>44454</v>
      </c>
      <c r="P24" s="52" t="s">
        <v>644</v>
      </c>
      <c r="Q24" s="52" t="s">
        <v>645</v>
      </c>
      <c r="R24" s="52"/>
      <c r="S24" s="53" t="s">
        <v>664</v>
      </c>
      <c r="T24" s="52"/>
    </row>
    <row r="25" spans="1:20" s="44" customFormat="1" ht="25.05" customHeight="1" x14ac:dyDescent="0.3">
      <c r="A25" s="41">
        <v>1</v>
      </c>
      <c r="B25" s="41"/>
      <c r="C25" s="51" t="str">
        <f>VLOOKUP(F25,[1]VLOOKUP!$A$2:$B$35,2,FALSE)</f>
        <v>华北</v>
      </c>
      <c r="D25" s="52" t="s">
        <v>665</v>
      </c>
      <c r="E25" s="52"/>
      <c r="F25" s="2" t="s">
        <v>230</v>
      </c>
      <c r="G25" s="2"/>
      <c r="H25" s="2"/>
      <c r="I25" s="52" t="s">
        <v>474</v>
      </c>
      <c r="J25" s="52" t="s">
        <v>230</v>
      </c>
      <c r="K25" s="52" t="s">
        <v>599</v>
      </c>
      <c r="L25" s="52" t="s">
        <v>663</v>
      </c>
      <c r="M25" s="52">
        <v>44659</v>
      </c>
      <c r="N25" s="52">
        <v>44659</v>
      </c>
      <c r="O25" s="52">
        <v>44673</v>
      </c>
      <c r="P25" s="52" t="s">
        <v>644</v>
      </c>
      <c r="Q25" s="52" t="s">
        <v>645</v>
      </c>
      <c r="R25" s="52" t="s">
        <v>666</v>
      </c>
      <c r="S25" s="53" t="s">
        <v>667</v>
      </c>
      <c r="T25" s="52"/>
    </row>
    <row r="26" spans="1:20" s="44" customFormat="1" ht="25.05" customHeight="1" x14ac:dyDescent="0.3">
      <c r="A26" s="41">
        <v>1</v>
      </c>
      <c r="B26" s="41"/>
      <c r="C26" s="51" t="str">
        <f>VLOOKUP(F26,[1]VLOOKUP!$A$2:$B$35,2,FALSE)</f>
        <v>华北</v>
      </c>
      <c r="D26" s="52" t="s">
        <v>668</v>
      </c>
      <c r="E26" s="52"/>
      <c r="F26" s="2" t="s">
        <v>230</v>
      </c>
      <c r="G26" s="2"/>
      <c r="H26" s="2"/>
      <c r="I26" s="52" t="s">
        <v>474</v>
      </c>
      <c r="J26" s="52" t="s">
        <v>230</v>
      </c>
      <c r="K26" s="52" t="s">
        <v>599</v>
      </c>
      <c r="L26" s="52" t="s">
        <v>663</v>
      </c>
      <c r="M26" s="52">
        <v>45027</v>
      </c>
      <c r="N26" s="52">
        <v>45028</v>
      </c>
      <c r="O26" s="52">
        <v>45041</v>
      </c>
      <c r="P26" s="52" t="s">
        <v>644</v>
      </c>
      <c r="Q26" s="52" t="s">
        <v>645</v>
      </c>
      <c r="R26" s="52" t="s">
        <v>669</v>
      </c>
      <c r="S26" s="53" t="s">
        <v>670</v>
      </c>
      <c r="T26" s="52"/>
    </row>
    <row r="27" spans="1:20" s="44" customFormat="1" ht="25.05" customHeight="1" x14ac:dyDescent="0.3">
      <c r="A27" s="41">
        <v>1</v>
      </c>
      <c r="B27" s="41"/>
      <c r="C27" s="51" t="str">
        <f>VLOOKUP(F27,[1]VLOOKUP!$A$2:$B$35,2,FALSE)</f>
        <v>华北</v>
      </c>
      <c r="D27" s="52" t="s">
        <v>671</v>
      </c>
      <c r="E27" s="52"/>
      <c r="F27" s="2" t="s">
        <v>230</v>
      </c>
      <c r="G27" s="2"/>
      <c r="H27" s="2"/>
      <c r="I27" s="52" t="s">
        <v>474</v>
      </c>
      <c r="J27" s="52" t="s">
        <v>230</v>
      </c>
      <c r="K27" s="52" t="s">
        <v>599</v>
      </c>
      <c r="L27" s="52" t="s">
        <v>663</v>
      </c>
      <c r="M27" s="52">
        <v>45398</v>
      </c>
      <c r="N27" s="52">
        <v>45398</v>
      </c>
      <c r="O27" s="52">
        <v>45412</v>
      </c>
      <c r="P27" s="52" t="s">
        <v>644</v>
      </c>
      <c r="Q27" s="52" t="s">
        <v>645</v>
      </c>
      <c r="R27" s="52" t="s">
        <v>672</v>
      </c>
      <c r="S27" s="53" t="s">
        <v>673</v>
      </c>
      <c r="T27" s="52"/>
    </row>
    <row r="28" spans="1:20" s="44" customFormat="1" ht="25.05" customHeight="1" x14ac:dyDescent="0.3">
      <c r="A28" s="41">
        <v>1</v>
      </c>
      <c r="B28" s="41"/>
      <c r="C28" s="51" t="str">
        <f>VLOOKUP(F28,[1]VLOOKUP!$A$2:$B$35,2,FALSE)</f>
        <v>华北</v>
      </c>
      <c r="D28" s="54" t="s">
        <v>674</v>
      </c>
      <c r="E28" s="54"/>
      <c r="F28" s="2" t="s">
        <v>230</v>
      </c>
      <c r="G28" s="2"/>
      <c r="H28" s="2"/>
      <c r="I28" s="54" t="s">
        <v>474</v>
      </c>
      <c r="J28" s="54" t="s">
        <v>230</v>
      </c>
      <c r="K28" s="54" t="s">
        <v>599</v>
      </c>
      <c r="L28" s="54" t="s">
        <v>600</v>
      </c>
      <c r="M28" s="54">
        <v>44687</v>
      </c>
      <c r="N28" s="54">
        <v>44687</v>
      </c>
      <c r="O28" s="54">
        <v>44692</v>
      </c>
      <c r="P28" s="54" t="s">
        <v>644</v>
      </c>
      <c r="Q28" s="54" t="s">
        <v>645</v>
      </c>
      <c r="R28" s="54"/>
      <c r="S28" s="55" t="s">
        <v>675</v>
      </c>
      <c r="T28" s="54"/>
    </row>
    <row r="29" spans="1:20" s="44" customFormat="1" ht="25.05" customHeight="1" x14ac:dyDescent="0.3">
      <c r="A29" s="41">
        <v>1</v>
      </c>
      <c r="B29" s="41"/>
      <c r="C29" s="51" t="str">
        <f>VLOOKUP(F29,[1]VLOOKUP!$A$2:$B$35,2,FALSE)</f>
        <v>华北</v>
      </c>
      <c r="D29" s="54" t="s">
        <v>676</v>
      </c>
      <c r="E29" s="54"/>
      <c r="F29" s="2" t="s">
        <v>230</v>
      </c>
      <c r="G29" s="2"/>
      <c r="H29" s="2"/>
      <c r="I29" s="54" t="s">
        <v>474</v>
      </c>
      <c r="J29" s="54" t="s">
        <v>230</v>
      </c>
      <c r="K29" s="54" t="s">
        <v>599</v>
      </c>
      <c r="L29" s="54" t="s">
        <v>600</v>
      </c>
      <c r="M29" s="54">
        <v>45056</v>
      </c>
      <c r="N29" s="54">
        <v>45057</v>
      </c>
      <c r="O29" s="54">
        <v>45057</v>
      </c>
      <c r="P29" s="54" t="s">
        <v>644</v>
      </c>
      <c r="Q29" s="54" t="s">
        <v>645</v>
      </c>
      <c r="R29" s="54"/>
      <c r="S29" s="55" t="s">
        <v>677</v>
      </c>
      <c r="T29" s="54"/>
    </row>
    <row r="30" spans="1:20" s="44" customFormat="1" ht="25.05" customHeight="1" x14ac:dyDescent="0.3">
      <c r="A30" s="41">
        <v>1</v>
      </c>
      <c r="B30" s="41"/>
      <c r="C30" s="51" t="str">
        <f>VLOOKUP(F30,[1]VLOOKUP!$A$2:$B$35,2,FALSE)</f>
        <v>华北</v>
      </c>
      <c r="D30" s="54" t="s">
        <v>678</v>
      </c>
      <c r="E30" s="54"/>
      <c r="F30" s="2" t="s">
        <v>230</v>
      </c>
      <c r="G30" s="2"/>
      <c r="H30" s="2"/>
      <c r="I30" s="54" t="s">
        <v>474</v>
      </c>
      <c r="J30" s="54" t="s">
        <v>230</v>
      </c>
      <c r="K30" s="54" t="s">
        <v>599</v>
      </c>
      <c r="L30" s="54" t="s">
        <v>600</v>
      </c>
      <c r="M30" s="54">
        <v>45450</v>
      </c>
      <c r="N30" s="54">
        <v>45450</v>
      </c>
      <c r="O30" s="54">
        <v>45457</v>
      </c>
      <c r="P30" s="54" t="s">
        <v>644</v>
      </c>
      <c r="Q30" s="54" t="s">
        <v>645</v>
      </c>
      <c r="R30" s="54"/>
      <c r="S30" s="55" t="s">
        <v>679</v>
      </c>
      <c r="T30" s="54"/>
    </row>
    <row r="31" spans="1:20" s="44" customFormat="1" ht="25.05" customHeight="1" x14ac:dyDescent="0.3">
      <c r="A31" s="41">
        <v>1</v>
      </c>
      <c r="B31" s="41"/>
      <c r="C31" s="51" t="str">
        <f>VLOOKUP(F31,[1]VLOOKUP!$A$2:$B$35,2,FALSE)</f>
        <v>华北</v>
      </c>
      <c r="D31" s="54" t="s">
        <v>680</v>
      </c>
      <c r="E31" s="54"/>
      <c r="F31" s="2" t="s">
        <v>230</v>
      </c>
      <c r="G31" s="2"/>
      <c r="H31" s="2"/>
      <c r="I31" s="54" t="s">
        <v>474</v>
      </c>
      <c r="J31" s="54" t="s">
        <v>230</v>
      </c>
      <c r="K31" s="54" t="s">
        <v>599</v>
      </c>
      <c r="L31" s="54" t="s">
        <v>600</v>
      </c>
      <c r="M31" s="54">
        <v>45954</v>
      </c>
      <c r="N31" s="54">
        <v>45954</v>
      </c>
      <c r="O31" s="54">
        <v>45960</v>
      </c>
      <c r="P31" s="54" t="s">
        <v>644</v>
      </c>
      <c r="Q31" s="54" t="s">
        <v>645</v>
      </c>
      <c r="R31" s="54"/>
      <c r="S31" s="55" t="s">
        <v>681</v>
      </c>
      <c r="T31" s="54"/>
    </row>
    <row r="32" spans="1:20" s="44" customFormat="1" ht="25.05" customHeight="1" x14ac:dyDescent="0.3">
      <c r="A32" s="41">
        <v>1</v>
      </c>
      <c r="B32" s="41"/>
      <c r="C32" s="51" t="str">
        <f>VLOOKUP(F32,[1]VLOOKUP!$A$2:$B$35,2,FALSE)</f>
        <v>华北</v>
      </c>
      <c r="D32" s="41" t="s">
        <v>559</v>
      </c>
      <c r="E32" s="41"/>
      <c r="F32" s="2" t="s">
        <v>230</v>
      </c>
      <c r="G32" s="2"/>
      <c r="H32" s="2"/>
      <c r="I32" s="41" t="s">
        <v>474</v>
      </c>
      <c r="J32" s="41" t="s">
        <v>230</v>
      </c>
      <c r="K32" s="41" t="s">
        <v>682</v>
      </c>
      <c r="L32" s="41" t="s">
        <v>600</v>
      </c>
      <c r="M32" s="42">
        <v>45491</v>
      </c>
      <c r="N32" s="42">
        <v>45512</v>
      </c>
      <c r="O32" s="42">
        <v>49674</v>
      </c>
      <c r="P32" s="41" t="s">
        <v>683</v>
      </c>
      <c r="Q32" s="41" t="s">
        <v>684</v>
      </c>
      <c r="R32" s="41" t="s">
        <v>685</v>
      </c>
      <c r="S32" s="43" t="s">
        <v>686</v>
      </c>
      <c r="T32" s="41"/>
    </row>
    <row r="33" spans="1:20" s="44" customFormat="1" ht="25.05" customHeight="1" x14ac:dyDescent="0.3">
      <c r="A33" s="41">
        <v>1</v>
      </c>
      <c r="B33" s="41"/>
      <c r="C33" s="51" t="str">
        <f>VLOOKUP(F33,[1]VLOOKUP!$A$2:$B$35,2,FALSE)</f>
        <v>华北</v>
      </c>
      <c r="D33" s="54" t="s">
        <v>687</v>
      </c>
      <c r="E33" s="54"/>
      <c r="F33" s="2" t="s">
        <v>230</v>
      </c>
      <c r="G33" s="2"/>
      <c r="H33" s="2"/>
      <c r="I33" s="54" t="s">
        <v>474</v>
      </c>
      <c r="J33" s="54" t="s">
        <v>230</v>
      </c>
      <c r="K33" s="54" t="s">
        <v>599</v>
      </c>
      <c r="L33" s="54" t="s">
        <v>600</v>
      </c>
      <c r="M33" s="54">
        <v>44769</v>
      </c>
      <c r="N33" s="54">
        <v>44769</v>
      </c>
      <c r="O33" s="54">
        <v>44775</v>
      </c>
      <c r="P33" s="54" t="s">
        <v>644</v>
      </c>
      <c r="Q33" s="54" t="s">
        <v>645</v>
      </c>
      <c r="R33" s="54"/>
      <c r="S33" s="55" t="s">
        <v>688</v>
      </c>
      <c r="T33" s="54"/>
    </row>
    <row r="34" spans="1:20" s="44" customFormat="1" ht="25.05" customHeight="1" x14ac:dyDescent="0.3">
      <c r="A34" s="41">
        <v>1</v>
      </c>
      <c r="B34" s="41"/>
      <c r="C34" s="51" t="str">
        <f>VLOOKUP(F34,[1]VLOOKUP!$A$2:$B$35,2,FALSE)</f>
        <v>华北</v>
      </c>
      <c r="D34" s="52" t="s">
        <v>689</v>
      </c>
      <c r="E34" s="52"/>
      <c r="F34" s="2" t="s">
        <v>230</v>
      </c>
      <c r="G34" s="2"/>
      <c r="H34" s="2"/>
      <c r="I34" s="52" t="s">
        <v>474</v>
      </c>
      <c r="J34" s="52" t="s">
        <v>230</v>
      </c>
      <c r="K34" s="52" t="s">
        <v>599</v>
      </c>
      <c r="L34" s="52" t="s">
        <v>663</v>
      </c>
      <c r="M34" s="52">
        <v>44784</v>
      </c>
      <c r="N34" s="52">
        <v>44784</v>
      </c>
      <c r="O34" s="52">
        <v>45880</v>
      </c>
      <c r="P34" s="52" t="s">
        <v>644</v>
      </c>
      <c r="Q34" s="52" t="s">
        <v>645</v>
      </c>
      <c r="R34" s="52" t="s">
        <v>690</v>
      </c>
      <c r="S34" s="53" t="s">
        <v>691</v>
      </c>
      <c r="T34" s="52"/>
    </row>
    <row r="35" spans="1:20" s="44" customFormat="1" ht="25.05" customHeight="1" x14ac:dyDescent="0.3">
      <c r="A35" s="41">
        <v>1</v>
      </c>
      <c r="B35" s="41"/>
      <c r="C35" s="51" t="str">
        <f>VLOOKUP(F35,[1]VLOOKUP!$A$2:$B$35,2,FALSE)</f>
        <v>华北</v>
      </c>
      <c r="D35" s="41" t="s">
        <v>692</v>
      </c>
      <c r="E35" s="41"/>
      <c r="F35" s="2" t="s">
        <v>230</v>
      </c>
      <c r="G35" s="2"/>
      <c r="H35" s="2"/>
      <c r="I35" s="41" t="s">
        <v>474</v>
      </c>
      <c r="J35" s="41" t="s">
        <v>230</v>
      </c>
      <c r="K35" s="41" t="s">
        <v>599</v>
      </c>
      <c r="L35" s="41" t="s">
        <v>600</v>
      </c>
      <c r="M35" s="42">
        <v>45643</v>
      </c>
      <c r="N35" s="42">
        <v>45643</v>
      </c>
      <c r="O35" s="42">
        <v>45900</v>
      </c>
      <c r="P35" s="41" t="s">
        <v>644</v>
      </c>
      <c r="Q35" s="41" t="s">
        <v>645</v>
      </c>
      <c r="R35" s="41" t="s">
        <v>693</v>
      </c>
      <c r="S35" s="43" t="s">
        <v>694</v>
      </c>
      <c r="T35" s="41"/>
    </row>
    <row r="36" spans="1:20" s="44" customFormat="1" ht="25.05" customHeight="1" x14ac:dyDescent="0.3">
      <c r="A36" s="41">
        <v>1</v>
      </c>
      <c r="B36" s="41"/>
      <c r="C36" s="51" t="str">
        <f>VLOOKUP(F36,[1]VLOOKUP!$A$2:$B$35,2,FALSE)</f>
        <v>华北</v>
      </c>
      <c r="D36" s="41" t="s">
        <v>695</v>
      </c>
      <c r="E36" s="41"/>
      <c r="F36" s="2" t="s">
        <v>230</v>
      </c>
      <c r="G36" s="2"/>
      <c r="H36" s="2"/>
      <c r="I36" s="41" t="s">
        <v>474</v>
      </c>
      <c r="J36" s="41" t="s">
        <v>230</v>
      </c>
      <c r="K36" s="41" t="s">
        <v>611</v>
      </c>
      <c r="L36" s="41" t="s">
        <v>600</v>
      </c>
      <c r="M36" s="42">
        <v>44875</v>
      </c>
      <c r="N36" s="42">
        <v>44887</v>
      </c>
      <c r="O36" s="42">
        <v>46022</v>
      </c>
      <c r="P36" s="41" t="s">
        <v>653</v>
      </c>
      <c r="Q36" s="41" t="s">
        <v>654</v>
      </c>
      <c r="R36" s="41" t="s">
        <v>696</v>
      </c>
      <c r="S36" s="43" t="s">
        <v>697</v>
      </c>
      <c r="T36" s="41"/>
    </row>
    <row r="37" spans="1:20" s="44" customFormat="1" ht="25.05" customHeight="1" x14ac:dyDescent="0.3">
      <c r="A37" s="41">
        <v>1</v>
      </c>
      <c r="B37" s="41"/>
      <c r="C37" s="51" t="str">
        <f>VLOOKUP(F37,[1]VLOOKUP!$A$2:$B$35,2,FALSE)</f>
        <v>华北</v>
      </c>
      <c r="D37" s="41" t="s">
        <v>698</v>
      </c>
      <c r="E37" s="41"/>
      <c r="F37" s="2" t="s">
        <v>230</v>
      </c>
      <c r="G37" s="2"/>
      <c r="H37" s="2"/>
      <c r="I37" s="41" t="s">
        <v>474</v>
      </c>
      <c r="J37" s="41" t="s">
        <v>230</v>
      </c>
      <c r="K37" s="41" t="s">
        <v>615</v>
      </c>
      <c r="L37" s="41" t="s">
        <v>600</v>
      </c>
      <c r="M37" s="42">
        <v>44847</v>
      </c>
      <c r="N37" s="42">
        <v>44895</v>
      </c>
      <c r="O37" s="42">
        <v>46022</v>
      </c>
      <c r="P37" s="41" t="s">
        <v>699</v>
      </c>
      <c r="Q37" s="41" t="s">
        <v>700</v>
      </c>
      <c r="R37" s="41" t="s">
        <v>701</v>
      </c>
      <c r="S37" s="43" t="s">
        <v>702</v>
      </c>
      <c r="T37" s="41"/>
    </row>
    <row r="38" spans="1:20" s="44" customFormat="1" ht="25.05" customHeight="1" x14ac:dyDescent="0.3">
      <c r="A38" s="41">
        <v>1</v>
      </c>
      <c r="B38" s="41"/>
      <c r="C38" s="51" t="str">
        <f>VLOOKUP(F38,[1]VLOOKUP!$A$2:$B$35,2,FALSE)</f>
        <v>华北</v>
      </c>
      <c r="D38" s="41" t="s">
        <v>703</v>
      </c>
      <c r="E38" s="41"/>
      <c r="F38" s="2" t="s">
        <v>230</v>
      </c>
      <c r="G38" s="2"/>
      <c r="H38" s="2"/>
      <c r="I38" s="41" t="s">
        <v>474</v>
      </c>
      <c r="J38" s="41" t="s">
        <v>230</v>
      </c>
      <c r="K38" s="41" t="s">
        <v>615</v>
      </c>
      <c r="L38" s="41" t="s">
        <v>600</v>
      </c>
      <c r="M38" s="42">
        <v>45903</v>
      </c>
      <c r="N38" s="42">
        <v>45903</v>
      </c>
      <c r="O38" s="42">
        <v>49674</v>
      </c>
      <c r="P38" s="41" t="s">
        <v>699</v>
      </c>
      <c r="Q38" s="41" t="s">
        <v>700</v>
      </c>
      <c r="R38" s="41" t="s">
        <v>704</v>
      </c>
      <c r="S38" s="43" t="s">
        <v>705</v>
      </c>
      <c r="T38" s="41"/>
    </row>
    <row r="39" spans="1:20" s="44" customFormat="1" ht="25.05" customHeight="1" x14ac:dyDescent="0.3">
      <c r="A39" s="41">
        <v>1</v>
      </c>
      <c r="B39" s="41"/>
      <c r="C39" s="51" t="str">
        <f>VLOOKUP(F39,[1]VLOOKUP!$A$2:$B$35,2,FALSE)</f>
        <v>华北</v>
      </c>
      <c r="D39" s="41" t="s">
        <v>706</v>
      </c>
      <c r="E39" s="41"/>
      <c r="F39" s="2" t="s">
        <v>230</v>
      </c>
      <c r="G39" s="2"/>
      <c r="H39" s="2"/>
      <c r="I39" s="41" t="s">
        <v>474</v>
      </c>
      <c r="J39" s="41" t="s">
        <v>230</v>
      </c>
      <c r="K39" s="41" t="s">
        <v>599</v>
      </c>
      <c r="L39" s="41" t="s">
        <v>600</v>
      </c>
      <c r="M39" s="42">
        <v>45917</v>
      </c>
      <c r="N39" s="42">
        <v>45917</v>
      </c>
      <c r="O39" s="42">
        <v>45929</v>
      </c>
      <c r="P39" s="41" t="s">
        <v>644</v>
      </c>
      <c r="Q39" s="41" t="s">
        <v>645</v>
      </c>
      <c r="R39" s="41"/>
      <c r="S39" s="43" t="s">
        <v>707</v>
      </c>
      <c r="T39" s="41"/>
    </row>
    <row r="40" spans="1:20" s="44" customFormat="1" ht="25.05" customHeight="1" x14ac:dyDescent="0.3">
      <c r="A40" s="41">
        <v>1</v>
      </c>
      <c r="B40" s="41"/>
      <c r="C40" s="51" t="str">
        <f>VLOOKUP(F40,[1]VLOOKUP!$A$2:$B$35,2,FALSE)</f>
        <v>华北</v>
      </c>
      <c r="D40" s="41" t="s">
        <v>708</v>
      </c>
      <c r="E40" s="41"/>
      <c r="F40" s="2" t="s">
        <v>230</v>
      </c>
      <c r="G40" s="2"/>
      <c r="H40" s="2"/>
      <c r="I40" s="41" t="s">
        <v>474</v>
      </c>
      <c r="J40" s="41" t="s">
        <v>230</v>
      </c>
      <c r="K40" s="41" t="s">
        <v>599</v>
      </c>
      <c r="L40" s="41" t="s">
        <v>600</v>
      </c>
      <c r="M40" s="42">
        <v>45930</v>
      </c>
      <c r="N40" s="42">
        <v>45930</v>
      </c>
      <c r="O40" s="42">
        <v>45941</v>
      </c>
      <c r="P40" s="41" t="s">
        <v>644</v>
      </c>
      <c r="Q40" s="41" t="s">
        <v>645</v>
      </c>
      <c r="R40" s="41"/>
      <c r="S40" s="43" t="s">
        <v>709</v>
      </c>
      <c r="T40" s="41"/>
    </row>
    <row r="41" spans="1:20" s="44" customFormat="1" ht="25.05" customHeight="1" x14ac:dyDescent="0.3">
      <c r="A41" s="41">
        <v>1</v>
      </c>
      <c r="B41" s="41"/>
      <c r="C41" s="51" t="str">
        <f>VLOOKUP(F41,[1]VLOOKUP!$A$2:$B$35,2,FALSE)</f>
        <v>华北</v>
      </c>
      <c r="D41" s="41" t="s">
        <v>710</v>
      </c>
      <c r="E41" s="41"/>
      <c r="F41" s="2" t="s">
        <v>230</v>
      </c>
      <c r="G41" s="2"/>
      <c r="H41" s="2"/>
      <c r="I41" s="41" t="s">
        <v>474</v>
      </c>
      <c r="J41" s="41" t="s">
        <v>230</v>
      </c>
      <c r="K41" s="41" t="s">
        <v>605</v>
      </c>
      <c r="L41" s="41" t="s">
        <v>600</v>
      </c>
      <c r="M41" s="42">
        <v>45131</v>
      </c>
      <c r="N41" s="42">
        <v>45131</v>
      </c>
      <c r="O41" s="42">
        <v>45138</v>
      </c>
      <c r="P41" s="41" t="s">
        <v>653</v>
      </c>
      <c r="Q41" s="41" t="s">
        <v>654</v>
      </c>
      <c r="R41" s="41"/>
      <c r="S41" s="43" t="s">
        <v>711</v>
      </c>
      <c r="T41" s="41"/>
    </row>
    <row r="42" spans="1:20" s="44" customFormat="1" ht="25.05" customHeight="1" x14ac:dyDescent="0.3">
      <c r="A42" s="41">
        <v>1</v>
      </c>
      <c r="B42" s="41"/>
      <c r="C42" s="51" t="str">
        <f>VLOOKUP(F42,[1]VLOOKUP!$A$2:$B$35,2,FALSE)</f>
        <v>华北</v>
      </c>
      <c r="D42" s="41" t="s">
        <v>712</v>
      </c>
      <c r="E42" s="41"/>
      <c r="F42" s="2" t="s">
        <v>230</v>
      </c>
      <c r="G42" s="2"/>
      <c r="H42" s="2"/>
      <c r="I42" s="41" t="s">
        <v>474</v>
      </c>
      <c r="J42" s="41" t="s">
        <v>230</v>
      </c>
      <c r="K42" s="41" t="s">
        <v>605</v>
      </c>
      <c r="L42" s="41" t="s">
        <v>600</v>
      </c>
      <c r="M42" s="42">
        <v>45580</v>
      </c>
      <c r="N42" s="42">
        <v>45580</v>
      </c>
      <c r="O42" s="42">
        <v>45587</v>
      </c>
      <c r="P42" s="41" t="s">
        <v>653</v>
      </c>
      <c r="Q42" s="41" t="s">
        <v>654</v>
      </c>
      <c r="R42" s="41"/>
      <c r="S42" s="43" t="s">
        <v>713</v>
      </c>
      <c r="T42" s="41"/>
    </row>
    <row r="43" spans="1:20" s="44" customFormat="1" ht="25.05" customHeight="1" x14ac:dyDescent="0.3">
      <c r="A43" s="41">
        <v>1</v>
      </c>
      <c r="B43" s="41"/>
      <c r="C43" s="51" t="str">
        <f>VLOOKUP(F43,[1]VLOOKUP!$A$2:$B$35,2,FALSE)</f>
        <v>华北</v>
      </c>
      <c r="D43" s="41" t="s">
        <v>714</v>
      </c>
      <c r="E43" s="41"/>
      <c r="F43" s="2" t="s">
        <v>230</v>
      </c>
      <c r="G43" s="2"/>
      <c r="H43" s="2"/>
      <c r="I43" s="41" t="s">
        <v>474</v>
      </c>
      <c r="J43" s="41" t="s">
        <v>230</v>
      </c>
      <c r="K43" s="41" t="s">
        <v>599</v>
      </c>
      <c r="L43" s="41" t="s">
        <v>600</v>
      </c>
      <c r="M43" s="42">
        <v>45821</v>
      </c>
      <c r="N43" s="42">
        <v>45824</v>
      </c>
      <c r="O43" s="42">
        <v>45842</v>
      </c>
      <c r="P43" s="41" t="s">
        <v>715</v>
      </c>
      <c r="Q43" s="41" t="s">
        <v>716</v>
      </c>
      <c r="R43" s="41" t="s">
        <v>717</v>
      </c>
      <c r="S43" s="43" t="s">
        <v>718</v>
      </c>
      <c r="T43" s="41"/>
    </row>
    <row r="44" spans="1:20" s="44" customFormat="1" ht="25.05" customHeight="1" x14ac:dyDescent="0.3">
      <c r="A44" s="41">
        <v>1</v>
      </c>
      <c r="B44" s="41"/>
      <c r="C44" s="51" t="str">
        <f>VLOOKUP(F44,[1]VLOOKUP!$A$2:$B$35,2,FALSE)</f>
        <v>华北</v>
      </c>
      <c r="D44" s="45" t="s">
        <v>719</v>
      </c>
      <c r="E44" s="45"/>
      <c r="F44" s="2" t="s">
        <v>230</v>
      </c>
      <c r="G44" s="2" t="s">
        <v>242</v>
      </c>
      <c r="H44" s="2"/>
      <c r="I44" s="45" t="s">
        <v>720</v>
      </c>
      <c r="J44" s="45" t="s">
        <v>230</v>
      </c>
      <c r="K44" s="45" t="s">
        <v>611</v>
      </c>
      <c r="L44" s="56" t="s">
        <v>600</v>
      </c>
      <c r="M44" s="47">
        <v>44337</v>
      </c>
      <c r="N44" s="47">
        <v>44337</v>
      </c>
      <c r="O44" s="47">
        <v>47848</v>
      </c>
      <c r="P44" s="45" t="s">
        <v>721</v>
      </c>
      <c r="Q44" s="45" t="s">
        <v>645</v>
      </c>
      <c r="R44" s="45"/>
      <c r="S44" s="48"/>
      <c r="T44" s="45"/>
    </row>
    <row r="45" spans="1:20" s="44" customFormat="1" ht="25.05" customHeight="1" x14ac:dyDescent="0.3">
      <c r="A45" s="41">
        <v>1</v>
      </c>
      <c r="B45" s="41"/>
      <c r="C45" s="51" t="str">
        <f>VLOOKUP(F45,[1]VLOOKUP!$A$2:$B$35,2,FALSE)</f>
        <v>华北</v>
      </c>
      <c r="D45" s="52" t="s">
        <v>722</v>
      </c>
      <c r="E45" s="52"/>
      <c r="F45" s="2" t="s">
        <v>230</v>
      </c>
      <c r="G45" s="2" t="s">
        <v>234</v>
      </c>
      <c r="H45" s="2"/>
      <c r="I45" s="52" t="s">
        <v>720</v>
      </c>
      <c r="J45" s="52" t="s">
        <v>230</v>
      </c>
      <c r="K45" s="52" t="s">
        <v>605</v>
      </c>
      <c r="L45" s="52" t="s">
        <v>663</v>
      </c>
      <c r="M45" s="52">
        <v>44168</v>
      </c>
      <c r="N45" s="52">
        <v>44181</v>
      </c>
      <c r="O45" s="52">
        <v>44660</v>
      </c>
      <c r="P45" s="52" t="s">
        <v>723</v>
      </c>
      <c r="Q45" s="52" t="s">
        <v>724</v>
      </c>
      <c r="R45" s="52" t="s">
        <v>725</v>
      </c>
      <c r="S45" s="53" t="s">
        <v>726</v>
      </c>
      <c r="T45" s="52"/>
    </row>
    <row r="46" spans="1:20" s="44" customFormat="1" ht="25.05" customHeight="1" x14ac:dyDescent="0.3">
      <c r="A46" s="41">
        <v>1</v>
      </c>
      <c r="B46" s="41"/>
      <c r="C46" s="51" t="str">
        <f>VLOOKUP(F46,[1]VLOOKUP!$A$2:$B$35,2,FALSE)</f>
        <v>华北</v>
      </c>
      <c r="D46" s="41" t="s">
        <v>727</v>
      </c>
      <c r="E46" s="41"/>
      <c r="F46" s="2" t="s">
        <v>230</v>
      </c>
      <c r="G46" s="2" t="s">
        <v>234</v>
      </c>
      <c r="H46" s="2"/>
      <c r="I46" s="41" t="s">
        <v>720</v>
      </c>
      <c r="J46" s="41" t="s">
        <v>230</v>
      </c>
      <c r="K46" s="41" t="s">
        <v>605</v>
      </c>
      <c r="L46" s="41" t="s">
        <v>600</v>
      </c>
      <c r="M46" s="42">
        <v>44651</v>
      </c>
      <c r="N46" s="42">
        <v>44660</v>
      </c>
      <c r="O46" s="42">
        <v>45881</v>
      </c>
      <c r="P46" s="41" t="s">
        <v>723</v>
      </c>
      <c r="Q46" s="41" t="s">
        <v>724</v>
      </c>
      <c r="R46" s="41" t="s">
        <v>728</v>
      </c>
      <c r="S46" s="43" t="s">
        <v>729</v>
      </c>
      <c r="T46" s="41"/>
    </row>
    <row r="47" spans="1:20" s="44" customFormat="1" ht="25.05" customHeight="1" x14ac:dyDescent="0.3">
      <c r="A47" s="41">
        <v>1</v>
      </c>
      <c r="B47" s="41"/>
      <c r="C47" s="51" t="str">
        <f>VLOOKUP(F47,[1]VLOOKUP!$A$2:$B$35,2,FALSE)</f>
        <v>华北</v>
      </c>
      <c r="D47" s="41" t="s">
        <v>730</v>
      </c>
      <c r="E47" s="41"/>
      <c r="F47" s="2" t="s">
        <v>230</v>
      </c>
      <c r="G47" s="2" t="s">
        <v>234</v>
      </c>
      <c r="H47" s="2"/>
      <c r="I47" s="41" t="s">
        <v>720</v>
      </c>
      <c r="J47" s="41" t="s">
        <v>230</v>
      </c>
      <c r="K47" s="41" t="s">
        <v>611</v>
      </c>
      <c r="L47" s="41" t="s">
        <v>600</v>
      </c>
      <c r="M47" s="42">
        <v>44849</v>
      </c>
      <c r="N47" s="42">
        <v>44858</v>
      </c>
      <c r="O47" s="42">
        <v>46022</v>
      </c>
      <c r="P47" s="41" t="s">
        <v>731</v>
      </c>
      <c r="Q47" s="41" t="s">
        <v>645</v>
      </c>
      <c r="R47" s="41" t="s">
        <v>732</v>
      </c>
      <c r="S47" s="43" t="s">
        <v>733</v>
      </c>
      <c r="T47" s="41"/>
    </row>
    <row r="48" spans="1:20" s="44" customFormat="1" ht="25.05" customHeight="1" x14ac:dyDescent="0.3">
      <c r="A48" s="41">
        <v>1</v>
      </c>
      <c r="B48" s="41"/>
      <c r="C48" s="51" t="str">
        <f>VLOOKUP(F48,[1]VLOOKUP!$A$2:$B$35,2,FALSE)</f>
        <v>华北</v>
      </c>
      <c r="D48" s="54" t="s">
        <v>734</v>
      </c>
      <c r="E48" s="54"/>
      <c r="F48" s="2" t="s">
        <v>230</v>
      </c>
      <c r="G48" s="2" t="s">
        <v>234</v>
      </c>
      <c r="H48" s="2"/>
      <c r="I48" s="54" t="s">
        <v>720</v>
      </c>
      <c r="J48" s="54" t="s">
        <v>230</v>
      </c>
      <c r="K48" s="54" t="s">
        <v>599</v>
      </c>
      <c r="L48" s="54" t="s">
        <v>600</v>
      </c>
      <c r="M48" s="54">
        <v>44900</v>
      </c>
      <c r="N48" s="54">
        <v>44900</v>
      </c>
      <c r="O48" s="54">
        <v>44904</v>
      </c>
      <c r="P48" s="54" t="s">
        <v>731</v>
      </c>
      <c r="Q48" s="54" t="s">
        <v>645</v>
      </c>
      <c r="R48" s="54"/>
      <c r="S48" s="55" t="s">
        <v>735</v>
      </c>
      <c r="T48" s="54"/>
    </row>
    <row r="49" spans="1:20" s="44" customFormat="1" ht="25.05" customHeight="1" x14ac:dyDescent="0.3">
      <c r="A49" s="41">
        <v>1</v>
      </c>
      <c r="B49" s="41"/>
      <c r="C49" s="51" t="str">
        <f>VLOOKUP(F49,[1]VLOOKUP!$A$2:$B$35,2,FALSE)</f>
        <v>华北</v>
      </c>
      <c r="D49" s="52" t="s">
        <v>736</v>
      </c>
      <c r="E49" s="52"/>
      <c r="F49" s="2" t="s">
        <v>230</v>
      </c>
      <c r="G49" s="2" t="s">
        <v>234</v>
      </c>
      <c r="H49" s="2"/>
      <c r="I49" s="52" t="s">
        <v>720</v>
      </c>
      <c r="J49" s="52" t="s">
        <v>230</v>
      </c>
      <c r="K49" s="52" t="s">
        <v>605</v>
      </c>
      <c r="L49" s="52" t="s">
        <v>663</v>
      </c>
      <c r="M49" s="52">
        <v>45352</v>
      </c>
      <c r="N49" s="52">
        <v>45352</v>
      </c>
      <c r="O49" s="52">
        <v>45373</v>
      </c>
      <c r="P49" s="52" t="s">
        <v>731</v>
      </c>
      <c r="Q49" s="52" t="s">
        <v>645</v>
      </c>
      <c r="R49" s="52"/>
      <c r="S49" s="53" t="s">
        <v>737</v>
      </c>
      <c r="T49" s="52"/>
    </row>
    <row r="50" spans="1:20" s="44" customFormat="1" ht="25.05" customHeight="1" x14ac:dyDescent="0.3">
      <c r="A50" s="41">
        <v>1</v>
      </c>
      <c r="B50" s="41"/>
      <c r="C50" s="51" t="str">
        <f>VLOOKUP(F50,[1]VLOOKUP!$A$2:$B$35,2,FALSE)</f>
        <v>华北</v>
      </c>
      <c r="D50" s="41" t="s">
        <v>738</v>
      </c>
      <c r="E50" s="41"/>
      <c r="F50" s="2" t="s">
        <v>230</v>
      </c>
      <c r="G50" s="2" t="s">
        <v>234</v>
      </c>
      <c r="H50" s="2"/>
      <c r="I50" s="41" t="s">
        <v>720</v>
      </c>
      <c r="J50" s="41" t="s">
        <v>230</v>
      </c>
      <c r="K50" s="41" t="s">
        <v>605</v>
      </c>
      <c r="L50" s="41" t="s">
        <v>600</v>
      </c>
      <c r="M50" s="42">
        <v>45268</v>
      </c>
      <c r="N50" s="42">
        <v>45268</v>
      </c>
      <c r="O50" s="42">
        <v>45274</v>
      </c>
      <c r="P50" s="41" t="s">
        <v>731</v>
      </c>
      <c r="Q50" s="41" t="s">
        <v>645</v>
      </c>
      <c r="R50" s="41"/>
      <c r="S50" s="43" t="s">
        <v>739</v>
      </c>
      <c r="T50" s="41"/>
    </row>
    <row r="51" spans="1:20" s="44" customFormat="1" ht="25.05" customHeight="1" x14ac:dyDescent="0.3">
      <c r="A51" s="41">
        <v>1</v>
      </c>
      <c r="B51" s="41"/>
      <c r="C51" s="51" t="str">
        <f>VLOOKUP(F51,[1]VLOOKUP!$A$2:$B$35,2,FALSE)</f>
        <v>华北</v>
      </c>
      <c r="D51" s="41" t="s">
        <v>740</v>
      </c>
      <c r="E51" s="41"/>
      <c r="F51" s="2" t="s">
        <v>230</v>
      </c>
      <c r="G51" s="2" t="s">
        <v>234</v>
      </c>
      <c r="H51" s="2"/>
      <c r="I51" s="41" t="s">
        <v>720</v>
      </c>
      <c r="J51" s="41" t="s">
        <v>230</v>
      </c>
      <c r="K51" s="41" t="s">
        <v>605</v>
      </c>
      <c r="L51" s="41" t="s">
        <v>600</v>
      </c>
      <c r="M51" s="42">
        <v>45471</v>
      </c>
      <c r="N51" s="42">
        <v>45471</v>
      </c>
      <c r="O51" s="42">
        <v>45477</v>
      </c>
      <c r="P51" s="41" t="s">
        <v>731</v>
      </c>
      <c r="Q51" s="41" t="s">
        <v>645</v>
      </c>
      <c r="R51" s="41"/>
      <c r="S51" s="43" t="s">
        <v>741</v>
      </c>
      <c r="T51" s="41"/>
    </row>
    <row r="52" spans="1:20" s="44" customFormat="1" ht="25.05" customHeight="1" x14ac:dyDescent="0.3">
      <c r="A52" s="41">
        <v>1</v>
      </c>
      <c r="B52" s="41"/>
      <c r="C52" s="51" t="str">
        <f>VLOOKUP(F52,[1]VLOOKUP!$A$2:$B$35,2,FALSE)</f>
        <v>华北</v>
      </c>
      <c r="D52" s="41" t="s">
        <v>742</v>
      </c>
      <c r="E52" s="41"/>
      <c r="F52" s="2" t="s">
        <v>230</v>
      </c>
      <c r="G52" s="2" t="s">
        <v>234</v>
      </c>
      <c r="H52" s="2"/>
      <c r="I52" s="41" t="s">
        <v>720</v>
      </c>
      <c r="J52" s="41" t="s">
        <v>230</v>
      </c>
      <c r="K52" s="41" t="s">
        <v>605</v>
      </c>
      <c r="L52" s="41" t="s">
        <v>600</v>
      </c>
      <c r="M52" s="42">
        <v>45961</v>
      </c>
      <c r="N52" s="42">
        <v>45961</v>
      </c>
      <c r="O52" s="42">
        <v>45975</v>
      </c>
      <c r="P52" s="41" t="s">
        <v>731</v>
      </c>
      <c r="Q52" s="41" t="s">
        <v>645</v>
      </c>
      <c r="R52" s="41"/>
      <c r="S52" s="43" t="s">
        <v>743</v>
      </c>
      <c r="T52" s="41"/>
    </row>
    <row r="53" spans="1:20" s="44" customFormat="1" ht="25.05" customHeight="1" x14ac:dyDescent="0.3">
      <c r="A53" s="41">
        <v>1</v>
      </c>
      <c r="B53" s="41"/>
      <c r="C53" s="51" t="str">
        <f>VLOOKUP(F53,[1]VLOOKUP!$A$2:$B$35,2,FALSE)</f>
        <v>华北</v>
      </c>
      <c r="D53" s="52" t="s">
        <v>744</v>
      </c>
      <c r="E53" s="52"/>
      <c r="F53" s="2" t="s">
        <v>230</v>
      </c>
      <c r="G53" s="2" t="s">
        <v>234</v>
      </c>
      <c r="H53" s="2" t="s">
        <v>248</v>
      </c>
      <c r="I53" s="52" t="s">
        <v>720</v>
      </c>
      <c r="J53" s="52" t="s">
        <v>230</v>
      </c>
      <c r="K53" s="52" t="s">
        <v>605</v>
      </c>
      <c r="L53" s="52" t="s">
        <v>663</v>
      </c>
      <c r="M53" s="52">
        <v>44845</v>
      </c>
      <c r="N53" s="52">
        <v>44847</v>
      </c>
      <c r="O53" s="52">
        <v>46022</v>
      </c>
      <c r="P53" s="52" t="s">
        <v>745</v>
      </c>
      <c r="Q53" s="52" t="s">
        <v>512</v>
      </c>
      <c r="R53" s="52" t="s">
        <v>746</v>
      </c>
      <c r="S53" s="53" t="s">
        <v>747</v>
      </c>
      <c r="T53" s="52"/>
    </row>
    <row r="54" spans="1:20" s="44" customFormat="1" ht="25.05" customHeight="1" x14ac:dyDescent="0.3">
      <c r="A54" s="41">
        <v>1</v>
      </c>
      <c r="B54" s="41"/>
      <c r="C54" s="51" t="str">
        <f>VLOOKUP(F54,[1]VLOOKUP!$A$2:$B$35,2,FALSE)</f>
        <v>华北</v>
      </c>
      <c r="D54" s="52" t="s">
        <v>748</v>
      </c>
      <c r="E54" s="52"/>
      <c r="F54" s="2" t="s">
        <v>230</v>
      </c>
      <c r="G54" s="2" t="s">
        <v>234</v>
      </c>
      <c r="H54" s="2" t="s">
        <v>248</v>
      </c>
      <c r="I54" s="52" t="s">
        <v>720</v>
      </c>
      <c r="J54" s="52" t="s">
        <v>230</v>
      </c>
      <c r="K54" s="52" t="s">
        <v>605</v>
      </c>
      <c r="L54" s="52" t="s">
        <v>663</v>
      </c>
      <c r="M54" s="52">
        <v>45079</v>
      </c>
      <c r="N54" s="52">
        <v>45079</v>
      </c>
      <c r="O54" s="52">
        <v>45096</v>
      </c>
      <c r="P54" s="52" t="s">
        <v>749</v>
      </c>
      <c r="Q54" s="52" t="s">
        <v>750</v>
      </c>
      <c r="R54" s="52"/>
      <c r="S54" s="53" t="s">
        <v>751</v>
      </c>
      <c r="T54" s="52"/>
    </row>
    <row r="55" spans="1:20" s="44" customFormat="1" ht="25.05" customHeight="1" x14ac:dyDescent="0.3">
      <c r="A55" s="41">
        <v>1</v>
      </c>
      <c r="B55" s="41"/>
      <c r="C55" s="51" t="str">
        <f>VLOOKUP(F55,[1]VLOOKUP!$A$2:$B$35,2,FALSE)</f>
        <v>华北</v>
      </c>
      <c r="D55" s="52" t="s">
        <v>752</v>
      </c>
      <c r="E55" s="52"/>
      <c r="F55" s="2" t="s">
        <v>230</v>
      </c>
      <c r="G55" s="2" t="s">
        <v>234</v>
      </c>
      <c r="H55" s="2" t="s">
        <v>248</v>
      </c>
      <c r="I55" s="52" t="s">
        <v>720</v>
      </c>
      <c r="J55" s="52" t="s">
        <v>230</v>
      </c>
      <c r="K55" s="52" t="s">
        <v>605</v>
      </c>
      <c r="L55" s="52" t="s">
        <v>663</v>
      </c>
      <c r="M55" s="52">
        <v>45091</v>
      </c>
      <c r="N55" s="52">
        <v>45091</v>
      </c>
      <c r="O55" s="52">
        <v>45106</v>
      </c>
      <c r="P55" s="52" t="s">
        <v>753</v>
      </c>
      <c r="Q55" s="52" t="s">
        <v>754</v>
      </c>
      <c r="R55" s="52"/>
      <c r="S55" s="53" t="s">
        <v>755</v>
      </c>
      <c r="T55" s="52"/>
    </row>
    <row r="56" spans="1:20" s="44" customFormat="1" ht="25.05" customHeight="1" x14ac:dyDescent="0.3">
      <c r="A56" s="41">
        <v>1</v>
      </c>
      <c r="B56" s="41"/>
      <c r="C56" s="51" t="str">
        <f>VLOOKUP(F56,[1]VLOOKUP!$A$2:$B$35,2,FALSE)</f>
        <v>华北</v>
      </c>
      <c r="D56" s="52" t="s">
        <v>756</v>
      </c>
      <c r="E56" s="52"/>
      <c r="F56" s="2" t="s">
        <v>230</v>
      </c>
      <c r="G56" s="2" t="s">
        <v>234</v>
      </c>
      <c r="H56" s="2" t="s">
        <v>248</v>
      </c>
      <c r="I56" s="52" t="s">
        <v>720</v>
      </c>
      <c r="J56" s="52" t="s">
        <v>230</v>
      </c>
      <c r="K56" s="52" t="s">
        <v>605</v>
      </c>
      <c r="L56" s="52" t="s">
        <v>663</v>
      </c>
      <c r="M56" s="52">
        <v>45393</v>
      </c>
      <c r="N56" s="52">
        <v>45393</v>
      </c>
      <c r="O56" s="52">
        <v>45408</v>
      </c>
      <c r="P56" s="52" t="s">
        <v>757</v>
      </c>
      <c r="Q56" s="52" t="s">
        <v>758</v>
      </c>
      <c r="R56" s="52"/>
      <c r="S56" s="53" t="s">
        <v>759</v>
      </c>
      <c r="T56" s="52"/>
    </row>
    <row r="57" spans="1:20" s="44" customFormat="1" ht="25.05" customHeight="1" x14ac:dyDescent="0.3">
      <c r="A57" s="41">
        <v>1</v>
      </c>
      <c r="B57" s="41"/>
      <c r="C57" s="51" t="str">
        <f>VLOOKUP(F57,[1]VLOOKUP!$A$2:$B$35,2,FALSE)</f>
        <v>华北</v>
      </c>
      <c r="D57" s="52" t="s">
        <v>760</v>
      </c>
      <c r="E57" s="52"/>
      <c r="F57" s="2" t="s">
        <v>230</v>
      </c>
      <c r="G57" s="2" t="s">
        <v>234</v>
      </c>
      <c r="H57" s="2" t="s">
        <v>248</v>
      </c>
      <c r="I57" s="52" t="s">
        <v>720</v>
      </c>
      <c r="J57" s="52" t="s">
        <v>230</v>
      </c>
      <c r="K57" s="52" t="s">
        <v>605</v>
      </c>
      <c r="L57" s="52" t="s">
        <v>663</v>
      </c>
      <c r="M57" s="52">
        <v>45447</v>
      </c>
      <c r="N57" s="52">
        <v>45448</v>
      </c>
      <c r="O57" s="52">
        <v>45463</v>
      </c>
      <c r="P57" s="52" t="s">
        <v>761</v>
      </c>
      <c r="Q57" s="52" t="s">
        <v>762</v>
      </c>
      <c r="R57" s="52"/>
      <c r="S57" s="53" t="s">
        <v>763</v>
      </c>
      <c r="T57" s="52"/>
    </row>
    <row r="58" spans="1:20" s="44" customFormat="1" ht="25.05" customHeight="1" x14ac:dyDescent="0.3">
      <c r="A58" s="41">
        <v>1</v>
      </c>
      <c r="B58" s="41"/>
      <c r="C58" s="51" t="str">
        <f>VLOOKUP(F58,[1]VLOOKUP!$A$2:$B$35,2,FALSE)</f>
        <v>华北</v>
      </c>
      <c r="D58" s="41" t="s">
        <v>764</v>
      </c>
      <c r="E58" s="41"/>
      <c r="F58" s="2" t="s">
        <v>230</v>
      </c>
      <c r="G58" s="2" t="s">
        <v>234</v>
      </c>
      <c r="H58" s="2" t="s">
        <v>248</v>
      </c>
      <c r="I58" s="41" t="s">
        <v>720</v>
      </c>
      <c r="J58" s="41" t="s">
        <v>230</v>
      </c>
      <c r="K58" s="41" t="s">
        <v>605</v>
      </c>
      <c r="L58" s="41" t="s">
        <v>600</v>
      </c>
      <c r="M58" s="42">
        <v>45593</v>
      </c>
      <c r="N58" s="42">
        <v>45611</v>
      </c>
      <c r="O58" s="42">
        <v>46022</v>
      </c>
      <c r="P58" s="41" t="s">
        <v>745</v>
      </c>
      <c r="Q58" s="41" t="s">
        <v>512</v>
      </c>
      <c r="R58" s="41" t="s">
        <v>765</v>
      </c>
      <c r="S58" s="43" t="s">
        <v>766</v>
      </c>
      <c r="T58" s="41"/>
    </row>
    <row r="59" spans="1:20" s="44" customFormat="1" ht="25.05" customHeight="1" x14ac:dyDescent="0.3">
      <c r="A59" s="41">
        <v>1</v>
      </c>
      <c r="B59" s="41"/>
      <c r="C59" s="51" t="str">
        <f>VLOOKUP(F59,[1]VLOOKUP!$A$2:$B$35,2,FALSE)</f>
        <v>华北</v>
      </c>
      <c r="D59" s="41" t="s">
        <v>767</v>
      </c>
      <c r="E59" s="41"/>
      <c r="F59" s="2" t="s">
        <v>230</v>
      </c>
      <c r="G59" s="2" t="s">
        <v>246</v>
      </c>
      <c r="H59" s="2"/>
      <c r="I59" s="41" t="s">
        <v>720</v>
      </c>
      <c r="J59" s="41" t="s">
        <v>230</v>
      </c>
      <c r="K59" s="41" t="s">
        <v>611</v>
      </c>
      <c r="L59" s="41" t="s">
        <v>600</v>
      </c>
      <c r="M59" s="42">
        <v>44483</v>
      </c>
      <c r="N59" s="42">
        <v>44491</v>
      </c>
      <c r="O59" s="42">
        <v>46022</v>
      </c>
      <c r="P59" s="41" t="s">
        <v>768</v>
      </c>
      <c r="Q59" s="41" t="s">
        <v>724</v>
      </c>
      <c r="R59" s="41" t="s">
        <v>769</v>
      </c>
      <c r="S59" s="43" t="s">
        <v>770</v>
      </c>
      <c r="T59" s="41"/>
    </row>
    <row r="60" spans="1:20" s="44" customFormat="1" ht="25.05" customHeight="1" x14ac:dyDescent="0.3">
      <c r="A60" s="41">
        <v>1</v>
      </c>
      <c r="B60" s="41"/>
      <c r="C60" s="51" t="str">
        <f>VLOOKUP(F60,[1]VLOOKUP!$A$2:$B$35,2,FALSE)</f>
        <v>华北</v>
      </c>
      <c r="D60" s="41" t="s">
        <v>771</v>
      </c>
      <c r="E60" s="41"/>
      <c r="F60" s="2" t="s">
        <v>230</v>
      </c>
      <c r="G60" s="2" t="s">
        <v>246</v>
      </c>
      <c r="H60" s="2"/>
      <c r="I60" s="41" t="s">
        <v>720</v>
      </c>
      <c r="J60" s="41" t="s">
        <v>230</v>
      </c>
      <c r="K60" s="41" t="s">
        <v>605</v>
      </c>
      <c r="L60" s="41" t="s">
        <v>600</v>
      </c>
      <c r="M60" s="42">
        <v>44512</v>
      </c>
      <c r="N60" s="42">
        <v>44512</v>
      </c>
      <c r="O60" s="42">
        <v>46022</v>
      </c>
      <c r="P60" s="41" t="s">
        <v>772</v>
      </c>
      <c r="Q60" s="41" t="s">
        <v>645</v>
      </c>
      <c r="R60" s="41"/>
      <c r="S60" s="43" t="s">
        <v>773</v>
      </c>
      <c r="T60" s="41"/>
    </row>
    <row r="61" spans="1:20" s="44" customFormat="1" ht="25.05" customHeight="1" x14ac:dyDescent="0.3">
      <c r="A61" s="41">
        <v>1</v>
      </c>
      <c r="B61" s="41"/>
      <c r="C61" s="51" t="str">
        <f>VLOOKUP(F61,[1]VLOOKUP!$A$2:$B$35,2,FALSE)</f>
        <v>华北</v>
      </c>
      <c r="D61" s="41" t="s">
        <v>774</v>
      </c>
      <c r="E61" s="41"/>
      <c r="F61" s="2" t="s">
        <v>230</v>
      </c>
      <c r="G61" s="2" t="s">
        <v>246</v>
      </c>
      <c r="H61" s="2"/>
      <c r="I61" s="41" t="s">
        <v>720</v>
      </c>
      <c r="J61" s="41" t="s">
        <v>230</v>
      </c>
      <c r="K61" s="41" t="s">
        <v>605</v>
      </c>
      <c r="L61" s="41" t="s">
        <v>600</v>
      </c>
      <c r="M61" s="42">
        <v>45050</v>
      </c>
      <c r="N61" s="42">
        <v>45050</v>
      </c>
      <c r="O61" s="42">
        <v>46022</v>
      </c>
      <c r="P61" s="41" t="s">
        <v>772</v>
      </c>
      <c r="Q61" s="41" t="s">
        <v>645</v>
      </c>
      <c r="R61" s="41" t="s">
        <v>775</v>
      </c>
      <c r="S61" s="43" t="s">
        <v>776</v>
      </c>
      <c r="T61" s="41"/>
    </row>
    <row r="62" spans="1:20" s="44" customFormat="1" ht="25.05" customHeight="1" x14ac:dyDescent="0.3">
      <c r="A62" s="41">
        <v>1</v>
      </c>
      <c r="B62" s="41"/>
      <c r="C62" s="51" t="str">
        <f>VLOOKUP(F62,[1]VLOOKUP!$A$2:$B$35,2,FALSE)</f>
        <v>华北</v>
      </c>
      <c r="D62" s="41" t="s">
        <v>777</v>
      </c>
      <c r="E62" s="41"/>
      <c r="F62" s="2" t="s">
        <v>230</v>
      </c>
      <c r="G62" s="2" t="s">
        <v>246</v>
      </c>
      <c r="H62" s="2"/>
      <c r="I62" s="41" t="s">
        <v>720</v>
      </c>
      <c r="J62" s="41" t="s">
        <v>230</v>
      </c>
      <c r="K62" s="41" t="s">
        <v>605</v>
      </c>
      <c r="L62" s="41" t="s">
        <v>600</v>
      </c>
      <c r="M62" s="42">
        <v>45282</v>
      </c>
      <c r="N62" s="42">
        <v>45282</v>
      </c>
      <c r="O62" s="42">
        <v>45288</v>
      </c>
      <c r="P62" s="41" t="s">
        <v>772</v>
      </c>
      <c r="Q62" s="41" t="s">
        <v>645</v>
      </c>
      <c r="R62" s="41"/>
      <c r="S62" s="43" t="s">
        <v>778</v>
      </c>
      <c r="T62" s="41"/>
    </row>
    <row r="63" spans="1:20" s="44" customFormat="1" ht="25.05" customHeight="1" x14ac:dyDescent="0.3">
      <c r="A63" s="41">
        <v>1</v>
      </c>
      <c r="B63" s="41"/>
      <c r="C63" s="51" t="str">
        <f>VLOOKUP(F63,[1]VLOOKUP!$A$2:$B$35,2,FALSE)</f>
        <v>华北</v>
      </c>
      <c r="D63" s="57" t="s">
        <v>779</v>
      </c>
      <c r="E63" s="57"/>
      <c r="F63" s="2" t="s">
        <v>230</v>
      </c>
      <c r="G63" s="2" t="s">
        <v>246</v>
      </c>
      <c r="H63" s="2"/>
      <c r="I63" s="57" t="s">
        <v>720</v>
      </c>
      <c r="J63" s="57" t="s">
        <v>230</v>
      </c>
      <c r="K63" s="57" t="s">
        <v>605</v>
      </c>
      <c r="L63" s="57" t="s">
        <v>780</v>
      </c>
      <c r="M63" s="57">
        <v>45737</v>
      </c>
      <c r="N63" s="57">
        <v>45737</v>
      </c>
      <c r="O63" s="57">
        <v>45743</v>
      </c>
      <c r="P63" s="57" t="s">
        <v>772</v>
      </c>
      <c r="Q63" s="57" t="s">
        <v>645</v>
      </c>
      <c r="R63" s="57"/>
      <c r="S63" s="58" t="s">
        <v>781</v>
      </c>
      <c r="T63" s="57"/>
    </row>
    <row r="64" spans="1:20" s="44" customFormat="1" ht="25.05" customHeight="1" x14ac:dyDescent="0.3">
      <c r="A64" s="41">
        <v>1</v>
      </c>
      <c r="B64" s="41"/>
      <c r="C64" s="51" t="str">
        <f>VLOOKUP(F64,[1]VLOOKUP!$A$2:$B$35,2,FALSE)</f>
        <v>华北</v>
      </c>
      <c r="D64" s="52" t="s">
        <v>782</v>
      </c>
      <c r="E64" s="52"/>
      <c r="F64" s="2" t="s">
        <v>230</v>
      </c>
      <c r="G64" s="2" t="s">
        <v>246</v>
      </c>
      <c r="H64" s="2"/>
      <c r="I64" s="52" t="s">
        <v>720</v>
      </c>
      <c r="J64" s="52" t="s">
        <v>230</v>
      </c>
      <c r="K64" s="52" t="s">
        <v>605</v>
      </c>
      <c r="L64" s="52" t="s">
        <v>663</v>
      </c>
      <c r="M64" s="52">
        <v>45596</v>
      </c>
      <c r="N64" s="52">
        <v>45596</v>
      </c>
      <c r="O64" s="52">
        <v>45617</v>
      </c>
      <c r="P64" s="52" t="s">
        <v>772</v>
      </c>
      <c r="Q64" s="52" t="s">
        <v>645</v>
      </c>
      <c r="R64" s="52"/>
      <c r="S64" s="53" t="s">
        <v>783</v>
      </c>
      <c r="T64" s="52"/>
    </row>
    <row r="65" spans="1:20" s="44" customFormat="1" ht="25.05" customHeight="1" x14ac:dyDescent="0.3">
      <c r="A65" s="41">
        <v>1</v>
      </c>
      <c r="B65" s="41"/>
      <c r="C65" s="51" t="str">
        <f>VLOOKUP(F65,[1]VLOOKUP!$A$2:$B$35,2,FALSE)</f>
        <v>华北</v>
      </c>
      <c r="D65" s="41" t="s">
        <v>784</v>
      </c>
      <c r="E65" s="41"/>
      <c r="F65" s="2" t="s">
        <v>230</v>
      </c>
      <c r="G65" s="2" t="s">
        <v>246</v>
      </c>
      <c r="H65" s="2"/>
      <c r="I65" s="41" t="s">
        <v>720</v>
      </c>
      <c r="J65" s="41" t="s">
        <v>230</v>
      </c>
      <c r="K65" s="41" t="s">
        <v>605</v>
      </c>
      <c r="L65" s="41" t="s">
        <v>600</v>
      </c>
      <c r="M65" s="42">
        <v>45789</v>
      </c>
      <c r="N65" s="42">
        <v>45790</v>
      </c>
      <c r="O65" s="42">
        <v>45793</v>
      </c>
      <c r="P65" s="41" t="s">
        <v>772</v>
      </c>
      <c r="Q65" s="41" t="s">
        <v>645</v>
      </c>
      <c r="R65" s="41"/>
      <c r="S65" s="43" t="s">
        <v>785</v>
      </c>
      <c r="T65" s="41"/>
    </row>
    <row r="66" spans="1:20" s="44" customFormat="1" ht="25.05" customHeight="1" x14ac:dyDescent="0.3">
      <c r="A66" s="41">
        <v>1</v>
      </c>
      <c r="B66" s="41"/>
      <c r="C66" s="51" t="str">
        <f>VLOOKUP(F66,[1]VLOOKUP!$A$2:$B$35,2,FALSE)</f>
        <v>华北</v>
      </c>
      <c r="D66" s="52" t="s">
        <v>786</v>
      </c>
      <c r="E66" s="52"/>
      <c r="F66" s="2" t="s">
        <v>230</v>
      </c>
      <c r="G66" s="2" t="s">
        <v>238</v>
      </c>
      <c r="H66" s="2"/>
      <c r="I66" s="52" t="s">
        <v>720</v>
      </c>
      <c r="J66" s="52" t="s">
        <v>230</v>
      </c>
      <c r="K66" s="52" t="s">
        <v>599</v>
      </c>
      <c r="L66" s="52" t="s">
        <v>663</v>
      </c>
      <c r="M66" s="52">
        <v>45033</v>
      </c>
      <c r="N66" s="52">
        <v>45033</v>
      </c>
      <c r="O66" s="52">
        <v>45043</v>
      </c>
      <c r="P66" s="52" t="s">
        <v>787</v>
      </c>
      <c r="Q66" s="52" t="s">
        <v>512</v>
      </c>
      <c r="R66" s="52"/>
      <c r="S66" s="53" t="s">
        <v>788</v>
      </c>
      <c r="T66" s="52"/>
    </row>
    <row r="67" spans="1:20" s="44" customFormat="1" ht="25.05" customHeight="1" x14ac:dyDescent="0.3">
      <c r="A67" s="41">
        <v>1</v>
      </c>
      <c r="B67" s="41"/>
      <c r="C67" s="51" t="str">
        <f>VLOOKUP(F67,[1]VLOOKUP!$A$2:$B$35,2,FALSE)</f>
        <v>华北</v>
      </c>
      <c r="D67" s="52" t="s">
        <v>789</v>
      </c>
      <c r="E67" s="52"/>
      <c r="F67" s="2" t="s">
        <v>230</v>
      </c>
      <c r="G67" s="2" t="s">
        <v>238</v>
      </c>
      <c r="H67" s="2"/>
      <c r="I67" s="52" t="s">
        <v>720</v>
      </c>
      <c r="J67" s="52" t="s">
        <v>230</v>
      </c>
      <c r="K67" s="52" t="s">
        <v>599</v>
      </c>
      <c r="L67" s="52" t="s">
        <v>663</v>
      </c>
      <c r="M67" s="52">
        <v>45033</v>
      </c>
      <c r="N67" s="52">
        <v>45033</v>
      </c>
      <c r="O67" s="52">
        <v>45062</v>
      </c>
      <c r="P67" s="52" t="s">
        <v>787</v>
      </c>
      <c r="Q67" s="52" t="s">
        <v>512</v>
      </c>
      <c r="R67" s="52"/>
      <c r="S67" s="53" t="s">
        <v>790</v>
      </c>
      <c r="T67" s="52"/>
    </row>
    <row r="68" spans="1:20" s="44" customFormat="1" ht="25.05" customHeight="1" x14ac:dyDescent="0.3">
      <c r="A68" s="41"/>
      <c r="B68" s="41"/>
      <c r="C68" s="41"/>
      <c r="D68" s="49"/>
      <c r="E68" s="49"/>
      <c r="F68" s="3" t="s">
        <v>250</v>
      </c>
      <c r="G68" s="49"/>
      <c r="H68" s="49"/>
      <c r="I68" s="49"/>
      <c r="J68" s="49"/>
      <c r="K68" s="49"/>
      <c r="L68" s="49"/>
      <c r="M68" s="49"/>
      <c r="N68" s="49"/>
      <c r="O68" s="49"/>
      <c r="P68" s="49"/>
      <c r="Q68" s="49"/>
      <c r="R68" s="49"/>
      <c r="S68" s="50"/>
      <c r="T68" s="49"/>
    </row>
    <row r="69" spans="1:20" s="44" customFormat="1" ht="25.05" customHeight="1" x14ac:dyDescent="0.3">
      <c r="A69" s="41">
        <v>1</v>
      </c>
      <c r="B69" s="41"/>
      <c r="C69" s="51" t="str">
        <f>VLOOKUP(F69,[1]VLOOKUP!$A$2:$B$35,2,FALSE)</f>
        <v>华北</v>
      </c>
      <c r="D69" s="52" t="s">
        <v>791</v>
      </c>
      <c r="E69" s="52"/>
      <c r="F69" s="2" t="s">
        <v>250</v>
      </c>
      <c r="G69" s="2"/>
      <c r="H69" s="2"/>
      <c r="I69" s="52" t="s">
        <v>474</v>
      </c>
      <c r="J69" s="52" t="s">
        <v>250</v>
      </c>
      <c r="K69" s="52" t="s">
        <v>611</v>
      </c>
      <c r="L69" s="52" t="s">
        <v>663</v>
      </c>
      <c r="M69" s="52">
        <v>43847</v>
      </c>
      <c r="N69" s="52">
        <v>43856</v>
      </c>
      <c r="O69" s="52">
        <v>44926</v>
      </c>
      <c r="P69" s="52" t="s">
        <v>792</v>
      </c>
      <c r="Q69" s="52" t="s">
        <v>724</v>
      </c>
      <c r="R69" s="52" t="s">
        <v>793</v>
      </c>
      <c r="S69" s="53" t="s">
        <v>794</v>
      </c>
      <c r="T69" s="52"/>
    </row>
    <row r="70" spans="1:20" s="44" customFormat="1" ht="25.05" customHeight="1" x14ac:dyDescent="0.3">
      <c r="A70" s="41">
        <v>1</v>
      </c>
      <c r="B70" s="41"/>
      <c r="C70" s="51" t="str">
        <f>VLOOKUP(F70,[1]VLOOKUP!$A$2:$B$35,2,FALSE)</f>
        <v>华北</v>
      </c>
      <c r="D70" s="41" t="s">
        <v>795</v>
      </c>
      <c r="E70" s="41"/>
      <c r="F70" s="2" t="s">
        <v>250</v>
      </c>
      <c r="G70" s="2"/>
      <c r="H70" s="2"/>
      <c r="I70" s="41" t="s">
        <v>474</v>
      </c>
      <c r="J70" s="41" t="s">
        <v>250</v>
      </c>
      <c r="K70" s="41" t="s">
        <v>605</v>
      </c>
      <c r="L70" s="41" t="s">
        <v>600</v>
      </c>
      <c r="M70" s="42">
        <v>44895</v>
      </c>
      <c r="N70" s="42">
        <v>44937</v>
      </c>
      <c r="O70" s="42">
        <v>46022</v>
      </c>
      <c r="P70" s="41" t="s">
        <v>796</v>
      </c>
      <c r="Q70" s="41" t="s">
        <v>797</v>
      </c>
      <c r="R70" s="41" t="s">
        <v>798</v>
      </c>
      <c r="S70" s="43" t="s">
        <v>799</v>
      </c>
      <c r="T70" s="41"/>
    </row>
    <row r="71" spans="1:20" s="44" customFormat="1" ht="25.05" customHeight="1" x14ac:dyDescent="0.3">
      <c r="A71" s="41"/>
      <c r="B71" s="41"/>
      <c r="C71" s="41"/>
      <c r="D71" s="45" t="s">
        <v>800</v>
      </c>
      <c r="E71" s="45"/>
      <c r="F71" s="2" t="s">
        <v>250</v>
      </c>
      <c r="G71" s="2"/>
      <c r="H71" s="2"/>
      <c r="I71" s="45" t="s">
        <v>474</v>
      </c>
      <c r="J71" s="45" t="s">
        <v>250</v>
      </c>
      <c r="K71" s="45" t="s">
        <v>611</v>
      </c>
      <c r="L71" s="45" t="s">
        <v>606</v>
      </c>
      <c r="M71" s="47"/>
      <c r="N71" s="47"/>
      <c r="O71" s="45"/>
      <c r="P71" s="45"/>
      <c r="Q71" s="45"/>
      <c r="R71" s="45"/>
      <c r="S71" s="48"/>
      <c r="T71" s="45"/>
    </row>
    <row r="72" spans="1:20" s="44" customFormat="1" ht="25.05" customHeight="1" x14ac:dyDescent="0.3">
      <c r="A72" s="41">
        <v>1</v>
      </c>
      <c r="B72" s="41"/>
      <c r="C72" s="51" t="str">
        <f>VLOOKUP(F72,[1]VLOOKUP!$A$2:$B$35,2,FALSE)</f>
        <v>华北</v>
      </c>
      <c r="D72" s="41" t="s">
        <v>801</v>
      </c>
      <c r="E72" s="41"/>
      <c r="F72" s="2" t="s">
        <v>250</v>
      </c>
      <c r="G72" s="2"/>
      <c r="H72" s="2"/>
      <c r="I72" s="41" t="s">
        <v>474</v>
      </c>
      <c r="J72" s="41" t="s">
        <v>250</v>
      </c>
      <c r="K72" s="41" t="s">
        <v>605</v>
      </c>
      <c r="L72" s="41" t="s">
        <v>600</v>
      </c>
      <c r="M72" s="42">
        <v>45471</v>
      </c>
      <c r="N72" s="42">
        <v>45471</v>
      </c>
      <c r="O72" s="42">
        <v>45477</v>
      </c>
      <c r="P72" s="41" t="s">
        <v>802</v>
      </c>
      <c r="Q72" s="41" t="s">
        <v>716</v>
      </c>
      <c r="R72" s="41"/>
      <c r="S72" s="43" t="s">
        <v>803</v>
      </c>
      <c r="T72" s="41"/>
    </row>
    <row r="73" spans="1:20" s="44" customFormat="1" ht="25.05" customHeight="1" x14ac:dyDescent="0.3">
      <c r="A73" s="41">
        <v>1</v>
      </c>
      <c r="B73" s="41"/>
      <c r="C73" s="51" t="str">
        <f>VLOOKUP(F73,[1]VLOOKUP!$A$2:$B$35,2,FALSE)</f>
        <v>华北</v>
      </c>
      <c r="D73" s="57" t="s">
        <v>804</v>
      </c>
      <c r="E73" s="57"/>
      <c r="F73" s="2" t="s">
        <v>250</v>
      </c>
      <c r="G73" s="2"/>
      <c r="H73" s="2"/>
      <c r="I73" s="57" t="s">
        <v>474</v>
      </c>
      <c r="J73" s="57" t="s">
        <v>250</v>
      </c>
      <c r="K73" s="57" t="s">
        <v>611</v>
      </c>
      <c r="L73" s="57" t="s">
        <v>780</v>
      </c>
      <c r="M73" s="57">
        <v>45644</v>
      </c>
      <c r="N73" s="57">
        <v>45645</v>
      </c>
      <c r="O73" s="57">
        <v>45673</v>
      </c>
      <c r="P73" s="57" t="s">
        <v>805</v>
      </c>
      <c r="Q73" s="57" t="s">
        <v>654</v>
      </c>
      <c r="R73" s="57"/>
      <c r="S73" s="58" t="s">
        <v>806</v>
      </c>
      <c r="T73" s="57"/>
    </row>
    <row r="74" spans="1:20" s="44" customFormat="1" ht="25.05" customHeight="1" x14ac:dyDescent="0.3">
      <c r="A74" s="41">
        <v>1</v>
      </c>
      <c r="B74" s="41"/>
      <c r="C74" s="51" t="str">
        <f>VLOOKUP(F74,[1]VLOOKUP!$A$2:$B$35,2,FALSE)</f>
        <v>华北</v>
      </c>
      <c r="D74" s="41" t="s">
        <v>807</v>
      </c>
      <c r="E74" s="41"/>
      <c r="F74" s="2" t="s">
        <v>250</v>
      </c>
      <c r="G74" s="2"/>
      <c r="H74" s="2"/>
      <c r="I74" s="41" t="s">
        <v>474</v>
      </c>
      <c r="J74" s="41" t="s">
        <v>250</v>
      </c>
      <c r="K74" s="41" t="s">
        <v>599</v>
      </c>
      <c r="L74" s="41" t="s">
        <v>600</v>
      </c>
      <c r="M74" s="42">
        <v>45827</v>
      </c>
      <c r="N74" s="42">
        <v>45827</v>
      </c>
      <c r="O74" s="42">
        <v>45847</v>
      </c>
      <c r="P74" s="41" t="s">
        <v>802</v>
      </c>
      <c r="Q74" s="41" t="s">
        <v>716</v>
      </c>
      <c r="R74" s="41"/>
      <c r="S74" s="43" t="s">
        <v>808</v>
      </c>
      <c r="T74" s="41"/>
    </row>
    <row r="75" spans="1:20" s="44" customFormat="1" ht="25.05" customHeight="1" x14ac:dyDescent="0.3">
      <c r="A75" s="41">
        <v>1</v>
      </c>
      <c r="B75" s="41"/>
      <c r="C75" s="51" t="str">
        <f>VLOOKUP(F75,[1]VLOOKUP!$A$2:$B$35,2,FALSE)</f>
        <v>华北</v>
      </c>
      <c r="D75" s="41" t="s">
        <v>809</v>
      </c>
      <c r="E75" s="41"/>
      <c r="F75" s="2" t="s">
        <v>250</v>
      </c>
      <c r="G75" s="2" t="s">
        <v>251</v>
      </c>
      <c r="H75" s="2" t="s">
        <v>810</v>
      </c>
      <c r="I75" s="41" t="s">
        <v>720</v>
      </c>
      <c r="J75" s="41" t="s">
        <v>250</v>
      </c>
      <c r="K75" s="41" t="s">
        <v>611</v>
      </c>
      <c r="L75" s="41" t="s">
        <v>600</v>
      </c>
      <c r="M75" s="42">
        <v>43969</v>
      </c>
      <c r="N75" s="42">
        <v>43971</v>
      </c>
      <c r="O75" s="42">
        <v>46022</v>
      </c>
      <c r="P75" s="41" t="s">
        <v>811</v>
      </c>
      <c r="Q75" s="41" t="s">
        <v>512</v>
      </c>
      <c r="R75" s="41" t="s">
        <v>812</v>
      </c>
      <c r="S75" s="43" t="s">
        <v>813</v>
      </c>
      <c r="T75" s="41"/>
    </row>
    <row r="76" spans="1:20" s="44" customFormat="1" ht="25.05" customHeight="1" x14ac:dyDescent="0.3">
      <c r="A76" s="41">
        <v>1</v>
      </c>
      <c r="B76" s="41"/>
      <c r="C76" s="51" t="str">
        <f>VLOOKUP(F76,[1]VLOOKUP!$A$2:$B$35,2,FALSE)</f>
        <v>华北</v>
      </c>
      <c r="D76" s="52" t="s">
        <v>814</v>
      </c>
      <c r="E76" s="52"/>
      <c r="F76" s="2" t="s">
        <v>250</v>
      </c>
      <c r="G76" s="2" t="s">
        <v>251</v>
      </c>
      <c r="H76" s="2" t="s">
        <v>810</v>
      </c>
      <c r="I76" s="52" t="s">
        <v>720</v>
      </c>
      <c r="J76" s="52" t="s">
        <v>250</v>
      </c>
      <c r="K76" s="52" t="s">
        <v>611</v>
      </c>
      <c r="L76" s="52" t="s">
        <v>663</v>
      </c>
      <c r="M76" s="52">
        <v>43969</v>
      </c>
      <c r="N76" s="52">
        <v>43971</v>
      </c>
      <c r="O76" s="52">
        <v>46022</v>
      </c>
      <c r="P76" s="52" t="s">
        <v>811</v>
      </c>
      <c r="Q76" s="52" t="s">
        <v>512</v>
      </c>
      <c r="R76" s="52" t="s">
        <v>815</v>
      </c>
      <c r="S76" s="53" t="s">
        <v>816</v>
      </c>
      <c r="T76" s="52" t="s">
        <v>817</v>
      </c>
    </row>
    <row r="77" spans="1:20" s="44" customFormat="1" ht="25.05" customHeight="1" x14ac:dyDescent="0.3">
      <c r="A77" s="41">
        <v>1</v>
      </c>
      <c r="B77" s="41"/>
      <c r="C77" s="51" t="str">
        <f>VLOOKUP(F77,[1]VLOOKUP!$A$2:$B$35,2,FALSE)</f>
        <v>华北</v>
      </c>
      <c r="D77" s="52" t="s">
        <v>818</v>
      </c>
      <c r="E77" s="52"/>
      <c r="F77" s="2" t="s">
        <v>250</v>
      </c>
      <c r="G77" s="2" t="s">
        <v>251</v>
      </c>
      <c r="H77" s="2" t="s">
        <v>810</v>
      </c>
      <c r="I77" s="52" t="s">
        <v>720</v>
      </c>
      <c r="J77" s="52" t="s">
        <v>250</v>
      </c>
      <c r="K77" s="52" t="s">
        <v>605</v>
      </c>
      <c r="L77" s="52" t="s">
        <v>663</v>
      </c>
      <c r="M77" s="52">
        <v>43969</v>
      </c>
      <c r="N77" s="52">
        <v>43971</v>
      </c>
      <c r="O77" s="52">
        <v>45795</v>
      </c>
      <c r="P77" s="52" t="s">
        <v>811</v>
      </c>
      <c r="Q77" s="52" t="s">
        <v>512</v>
      </c>
      <c r="R77" s="52" t="s">
        <v>819</v>
      </c>
      <c r="S77" s="53" t="s">
        <v>820</v>
      </c>
      <c r="T77" s="52"/>
    </row>
    <row r="78" spans="1:20" s="44" customFormat="1" ht="25.05" customHeight="1" x14ac:dyDescent="0.3">
      <c r="A78" s="41"/>
      <c r="B78" s="41"/>
      <c r="C78" s="41"/>
      <c r="D78" s="45" t="s">
        <v>821</v>
      </c>
      <c r="E78" s="45"/>
      <c r="F78" s="2" t="s">
        <v>250</v>
      </c>
      <c r="G78" s="2" t="s">
        <v>251</v>
      </c>
      <c r="H78" s="2" t="s">
        <v>810</v>
      </c>
      <c r="I78" s="45" t="s">
        <v>720</v>
      </c>
      <c r="J78" s="45" t="s">
        <v>250</v>
      </c>
      <c r="K78" s="45" t="s">
        <v>682</v>
      </c>
      <c r="L78" s="45" t="s">
        <v>606</v>
      </c>
      <c r="M78" s="47">
        <v>43964</v>
      </c>
      <c r="N78" s="59">
        <v>43964</v>
      </c>
      <c r="O78" s="59">
        <v>45059</v>
      </c>
      <c r="P78" s="45" t="s">
        <v>811</v>
      </c>
      <c r="Q78" s="45" t="s">
        <v>512</v>
      </c>
      <c r="R78" s="45" t="s">
        <v>822</v>
      </c>
      <c r="S78" s="48"/>
      <c r="T78" s="45"/>
    </row>
    <row r="79" spans="1:20" s="44" customFormat="1" ht="25.05" customHeight="1" x14ac:dyDescent="0.3">
      <c r="A79" s="41"/>
      <c r="B79" s="41"/>
      <c r="C79" s="41"/>
      <c r="D79" s="45" t="s">
        <v>823</v>
      </c>
      <c r="E79" s="45"/>
      <c r="F79" s="2" t="s">
        <v>250</v>
      </c>
      <c r="G79" s="2" t="s">
        <v>251</v>
      </c>
      <c r="H79" s="2" t="s">
        <v>810</v>
      </c>
      <c r="I79" s="45" t="s">
        <v>720</v>
      </c>
      <c r="J79" s="45" t="s">
        <v>250</v>
      </c>
      <c r="K79" s="45" t="s">
        <v>611</v>
      </c>
      <c r="L79" s="45" t="s">
        <v>606</v>
      </c>
      <c r="M79" s="47">
        <v>44526</v>
      </c>
      <c r="N79" s="59">
        <v>44526</v>
      </c>
      <c r="O79" s="59">
        <v>46022</v>
      </c>
      <c r="P79" s="45" t="s">
        <v>824</v>
      </c>
      <c r="Q79" s="45" t="s">
        <v>825</v>
      </c>
      <c r="R79" s="45" t="s">
        <v>826</v>
      </c>
      <c r="S79" s="48"/>
      <c r="T79" s="45"/>
    </row>
    <row r="80" spans="1:20" ht="25.05" customHeight="1" x14ac:dyDescent="0.3">
      <c r="A80" s="36"/>
      <c r="B80" s="36"/>
      <c r="C80" s="36"/>
      <c r="D80" s="60"/>
      <c r="E80" s="61"/>
      <c r="F80" s="3" t="s">
        <v>252</v>
      </c>
      <c r="G80" s="3"/>
      <c r="H80" s="3"/>
      <c r="I80" s="60"/>
      <c r="J80" s="60"/>
      <c r="K80" s="60"/>
      <c r="L80" s="60"/>
      <c r="M80" s="60"/>
      <c r="N80" s="60"/>
      <c r="O80" s="60"/>
      <c r="P80" s="60"/>
      <c r="Q80" s="60"/>
      <c r="R80" s="60"/>
      <c r="S80" s="62"/>
      <c r="T80" s="60"/>
    </row>
    <row r="81" spans="1:20" s="44" customFormat="1" ht="25.05" customHeight="1" x14ac:dyDescent="0.3">
      <c r="A81" s="41">
        <v>1</v>
      </c>
      <c r="B81" s="41"/>
      <c r="C81" s="51" t="str">
        <f>VLOOKUP(F81,[1]VLOOKUP!$A$2:$B$35,2,FALSE)</f>
        <v>华北</v>
      </c>
      <c r="D81" s="42" t="s">
        <v>827</v>
      </c>
      <c r="E81" s="42"/>
      <c r="F81" s="2" t="s">
        <v>252</v>
      </c>
      <c r="G81" s="2"/>
      <c r="H81" s="2"/>
      <c r="I81" s="42" t="s">
        <v>474</v>
      </c>
      <c r="J81" s="42" t="s">
        <v>252</v>
      </c>
      <c r="K81" s="42" t="s">
        <v>611</v>
      </c>
      <c r="L81" s="42" t="s">
        <v>600</v>
      </c>
      <c r="M81" s="42">
        <v>43689</v>
      </c>
      <c r="N81" s="42">
        <v>43691</v>
      </c>
      <c r="O81" s="42">
        <v>47848</v>
      </c>
      <c r="P81" s="42" t="s">
        <v>828</v>
      </c>
      <c r="Q81" s="42" t="s">
        <v>829</v>
      </c>
      <c r="R81" s="42" t="s">
        <v>830</v>
      </c>
      <c r="S81" s="63" t="s">
        <v>831</v>
      </c>
      <c r="T81" s="42"/>
    </row>
    <row r="82" spans="1:20" s="44" customFormat="1" ht="25.05" customHeight="1" x14ac:dyDescent="0.3">
      <c r="A82" s="41">
        <v>1</v>
      </c>
      <c r="B82" s="41"/>
      <c r="C82" s="51" t="str">
        <f>VLOOKUP(F82,[1]VLOOKUP!$A$2:$B$35,2,FALSE)</f>
        <v>华北</v>
      </c>
      <c r="D82" s="52" t="s">
        <v>832</v>
      </c>
      <c r="E82" s="52"/>
      <c r="F82" s="2" t="s">
        <v>252</v>
      </c>
      <c r="G82" s="2"/>
      <c r="H82" s="2"/>
      <c r="I82" s="52" t="s">
        <v>474</v>
      </c>
      <c r="J82" s="52" t="s">
        <v>252</v>
      </c>
      <c r="K82" s="52" t="s">
        <v>611</v>
      </c>
      <c r="L82" s="52" t="s">
        <v>663</v>
      </c>
      <c r="M82" s="52">
        <v>44026</v>
      </c>
      <c r="N82" s="52">
        <v>44026</v>
      </c>
      <c r="O82" s="52">
        <v>44926</v>
      </c>
      <c r="P82" s="52" t="s">
        <v>833</v>
      </c>
      <c r="Q82" s="52" t="s">
        <v>716</v>
      </c>
      <c r="R82" s="52" t="s">
        <v>834</v>
      </c>
      <c r="S82" s="53" t="s">
        <v>835</v>
      </c>
      <c r="T82" s="52" t="s">
        <v>817</v>
      </c>
    </row>
    <row r="83" spans="1:20" s="44" customFormat="1" ht="25.05" customHeight="1" x14ac:dyDescent="0.3">
      <c r="A83" s="41">
        <v>1</v>
      </c>
      <c r="B83" s="41"/>
      <c r="C83" s="51" t="str">
        <f>VLOOKUP(F83,[1]VLOOKUP!$A$2:$B$35,2,FALSE)</f>
        <v>华北</v>
      </c>
      <c r="D83" s="42" t="s">
        <v>836</v>
      </c>
      <c r="E83" s="42"/>
      <c r="F83" s="2" t="s">
        <v>252</v>
      </c>
      <c r="G83" s="2"/>
      <c r="H83" s="2"/>
      <c r="I83" s="42" t="s">
        <v>474</v>
      </c>
      <c r="J83" s="42" t="s">
        <v>252</v>
      </c>
      <c r="K83" s="42" t="s">
        <v>611</v>
      </c>
      <c r="L83" s="42" t="s">
        <v>600</v>
      </c>
      <c r="M83" s="42">
        <v>44394</v>
      </c>
      <c r="N83" s="42">
        <v>44394</v>
      </c>
      <c r="O83" s="42">
        <v>46022</v>
      </c>
      <c r="P83" s="42" t="s">
        <v>837</v>
      </c>
      <c r="Q83" s="42" t="s">
        <v>716</v>
      </c>
      <c r="R83" s="42" t="s">
        <v>838</v>
      </c>
      <c r="S83" s="63" t="s">
        <v>839</v>
      </c>
      <c r="T83" s="42" t="s">
        <v>817</v>
      </c>
    </row>
    <row r="84" spans="1:20" s="44" customFormat="1" ht="25.05" customHeight="1" x14ac:dyDescent="0.3">
      <c r="A84" s="41">
        <v>1</v>
      </c>
      <c r="B84" s="41"/>
      <c r="C84" s="51" t="str">
        <f>VLOOKUP(F84,[1]VLOOKUP!$A$2:$B$35,2,FALSE)</f>
        <v>华北</v>
      </c>
      <c r="D84" s="54" t="s">
        <v>840</v>
      </c>
      <c r="E84" s="54"/>
      <c r="F84" s="2" t="s">
        <v>252</v>
      </c>
      <c r="G84" s="2"/>
      <c r="H84" s="2"/>
      <c r="I84" s="54" t="s">
        <v>474</v>
      </c>
      <c r="J84" s="54" t="s">
        <v>252</v>
      </c>
      <c r="K84" s="54" t="s">
        <v>599</v>
      </c>
      <c r="L84" s="54" t="s">
        <v>600</v>
      </c>
      <c r="M84" s="54">
        <v>43921</v>
      </c>
      <c r="N84" s="54">
        <v>43921</v>
      </c>
      <c r="O84" s="54">
        <v>44196</v>
      </c>
      <c r="P84" s="54" t="s">
        <v>833</v>
      </c>
      <c r="Q84" s="54" t="s">
        <v>716</v>
      </c>
      <c r="R84" s="54" t="s">
        <v>841</v>
      </c>
      <c r="S84" s="55" t="s">
        <v>842</v>
      </c>
      <c r="T84" s="54"/>
    </row>
    <row r="85" spans="1:20" s="44" customFormat="1" ht="25.05" customHeight="1" x14ac:dyDescent="0.3">
      <c r="A85" s="41">
        <v>1</v>
      </c>
      <c r="B85" s="41"/>
      <c r="C85" s="51" t="str">
        <f>VLOOKUP(F85,[1]VLOOKUP!$A$2:$B$35,2,FALSE)</f>
        <v>华北</v>
      </c>
      <c r="D85" s="54" t="s">
        <v>843</v>
      </c>
      <c r="E85" s="54"/>
      <c r="F85" s="2" t="s">
        <v>252</v>
      </c>
      <c r="G85" s="2"/>
      <c r="H85" s="2"/>
      <c r="I85" s="54" t="s">
        <v>474</v>
      </c>
      <c r="J85" s="54" t="s">
        <v>252</v>
      </c>
      <c r="K85" s="54" t="s">
        <v>599</v>
      </c>
      <c r="L85" s="54" t="s">
        <v>600</v>
      </c>
      <c r="M85" s="54">
        <v>44266</v>
      </c>
      <c r="N85" s="54">
        <v>44266</v>
      </c>
      <c r="O85" s="54">
        <v>44561</v>
      </c>
      <c r="P85" s="54" t="s">
        <v>833</v>
      </c>
      <c r="Q85" s="54" t="s">
        <v>716</v>
      </c>
      <c r="R85" s="54" t="s">
        <v>844</v>
      </c>
      <c r="S85" s="55" t="s">
        <v>845</v>
      </c>
      <c r="T85" s="54"/>
    </row>
    <row r="86" spans="1:20" s="44" customFormat="1" ht="25.05" customHeight="1" x14ac:dyDescent="0.3">
      <c r="A86" s="41"/>
      <c r="B86" s="41"/>
      <c r="C86" s="41"/>
      <c r="D86" s="47" t="s">
        <v>846</v>
      </c>
      <c r="E86" s="47"/>
      <c r="F86" s="2" t="s">
        <v>252</v>
      </c>
      <c r="G86" s="2"/>
      <c r="H86" s="2"/>
      <c r="I86" s="47" t="s">
        <v>474</v>
      </c>
      <c r="J86" s="47" t="s">
        <v>252</v>
      </c>
      <c r="K86" s="47" t="s">
        <v>611</v>
      </c>
      <c r="L86" s="47" t="s">
        <v>606</v>
      </c>
      <c r="M86" s="47">
        <v>45033</v>
      </c>
      <c r="N86" s="47"/>
      <c r="O86" s="47">
        <v>46022</v>
      </c>
      <c r="P86" s="47" t="s">
        <v>847</v>
      </c>
      <c r="Q86" s="47" t="s">
        <v>724</v>
      </c>
      <c r="R86" s="47" t="s">
        <v>848</v>
      </c>
      <c r="S86" s="64"/>
      <c r="T86" s="47"/>
    </row>
    <row r="87" spans="1:20" s="44" customFormat="1" ht="25.05" customHeight="1" x14ac:dyDescent="0.3">
      <c r="A87" s="41"/>
      <c r="B87" s="41"/>
      <c r="C87" s="41"/>
      <c r="D87" s="47" t="s">
        <v>849</v>
      </c>
      <c r="E87" s="47"/>
      <c r="F87" s="2" t="s">
        <v>252</v>
      </c>
      <c r="G87" s="2"/>
      <c r="H87" s="2"/>
      <c r="I87" s="47" t="s">
        <v>474</v>
      </c>
      <c r="J87" s="47" t="s">
        <v>252</v>
      </c>
      <c r="K87" s="47" t="s">
        <v>611</v>
      </c>
      <c r="L87" s="47" t="s">
        <v>606</v>
      </c>
      <c r="M87" s="47">
        <v>45056</v>
      </c>
      <c r="N87" s="47"/>
      <c r="O87" s="47"/>
      <c r="P87" s="47"/>
      <c r="Q87" s="47"/>
      <c r="R87" s="47" t="s">
        <v>850</v>
      </c>
      <c r="S87" s="64"/>
      <c r="T87" s="47"/>
    </row>
    <row r="88" spans="1:20" s="44" customFormat="1" ht="25.05" customHeight="1" x14ac:dyDescent="0.3">
      <c r="A88" s="41">
        <v>1</v>
      </c>
      <c r="B88" s="41"/>
      <c r="C88" s="51" t="str">
        <f>VLOOKUP(F88,[1]VLOOKUP!$A$2:$B$35,2,FALSE)</f>
        <v>华北</v>
      </c>
      <c r="D88" s="42" t="s">
        <v>851</v>
      </c>
      <c r="E88" s="42"/>
      <c r="F88" s="2" t="s">
        <v>252</v>
      </c>
      <c r="G88" s="2"/>
      <c r="H88" s="2"/>
      <c r="I88" s="42" t="s">
        <v>474</v>
      </c>
      <c r="J88" s="42" t="s">
        <v>252</v>
      </c>
      <c r="K88" s="42" t="s">
        <v>852</v>
      </c>
      <c r="L88" s="42" t="s">
        <v>600</v>
      </c>
      <c r="M88" s="42">
        <v>45103</v>
      </c>
      <c r="N88" s="42">
        <v>45103</v>
      </c>
      <c r="O88" s="42">
        <v>45839</v>
      </c>
      <c r="P88" s="42" t="s">
        <v>847</v>
      </c>
      <c r="Q88" s="42" t="s">
        <v>724</v>
      </c>
      <c r="R88" s="42" t="s">
        <v>853</v>
      </c>
      <c r="S88" s="63" t="s">
        <v>854</v>
      </c>
      <c r="T88" s="42"/>
    </row>
    <row r="89" spans="1:20" s="44" customFormat="1" ht="25.05" customHeight="1" x14ac:dyDescent="0.3">
      <c r="A89" s="41">
        <v>1</v>
      </c>
      <c r="B89" s="41"/>
      <c r="C89" s="51" t="str">
        <f>VLOOKUP(F89,[1]VLOOKUP!$A$2:$B$35,2,FALSE)</f>
        <v>华北</v>
      </c>
      <c r="D89" s="57" t="s">
        <v>855</v>
      </c>
      <c r="E89" s="57"/>
      <c r="F89" s="2" t="s">
        <v>252</v>
      </c>
      <c r="G89" s="2"/>
      <c r="H89" s="2"/>
      <c r="I89" s="57" t="s">
        <v>474</v>
      </c>
      <c r="J89" s="57" t="s">
        <v>252</v>
      </c>
      <c r="K89" s="57" t="s">
        <v>682</v>
      </c>
      <c r="L89" s="57" t="s">
        <v>780</v>
      </c>
      <c r="M89" s="57">
        <v>45206</v>
      </c>
      <c r="N89" s="57">
        <v>45206</v>
      </c>
      <c r="O89" s="57">
        <v>45220</v>
      </c>
      <c r="P89" s="57" t="s">
        <v>856</v>
      </c>
      <c r="Q89" s="57" t="s">
        <v>857</v>
      </c>
      <c r="R89" s="57"/>
      <c r="S89" s="58" t="s">
        <v>858</v>
      </c>
      <c r="T89" s="57"/>
    </row>
    <row r="90" spans="1:20" s="44" customFormat="1" ht="25.05" customHeight="1" x14ac:dyDescent="0.3">
      <c r="A90" s="41">
        <v>1</v>
      </c>
      <c r="B90" s="41"/>
      <c r="C90" s="51" t="str">
        <f>VLOOKUP(F90,[1]VLOOKUP!$A$2:$B$35,2,FALSE)</f>
        <v>华北</v>
      </c>
      <c r="D90" s="42" t="s">
        <v>859</v>
      </c>
      <c r="E90" s="42"/>
      <c r="F90" s="2" t="s">
        <v>252</v>
      </c>
      <c r="G90" s="2"/>
      <c r="H90" s="2"/>
      <c r="I90" s="42" t="s">
        <v>474</v>
      </c>
      <c r="J90" s="42" t="s">
        <v>252</v>
      </c>
      <c r="K90" s="42" t="s">
        <v>599</v>
      </c>
      <c r="L90" s="42" t="s">
        <v>600</v>
      </c>
      <c r="M90" s="42">
        <v>45824</v>
      </c>
      <c r="N90" s="42">
        <v>45826</v>
      </c>
      <c r="O90" s="42">
        <v>45846</v>
      </c>
      <c r="P90" s="42" t="s">
        <v>833</v>
      </c>
      <c r="Q90" s="42" t="s">
        <v>716</v>
      </c>
      <c r="R90" s="42"/>
      <c r="S90" s="63" t="s">
        <v>860</v>
      </c>
      <c r="T90" s="42"/>
    </row>
    <row r="91" spans="1:20" s="44" customFormat="1" ht="25.05" customHeight="1" x14ac:dyDescent="0.3">
      <c r="A91" s="41"/>
      <c r="B91" s="41"/>
      <c r="C91" s="41"/>
      <c r="D91" s="47" t="s">
        <v>861</v>
      </c>
      <c r="E91" s="47"/>
      <c r="F91" s="2" t="s">
        <v>252</v>
      </c>
      <c r="G91" s="2" t="s">
        <v>862</v>
      </c>
      <c r="H91" s="2"/>
      <c r="I91" s="47" t="s">
        <v>720</v>
      </c>
      <c r="J91" s="47" t="s">
        <v>252</v>
      </c>
      <c r="K91" s="47" t="s">
        <v>611</v>
      </c>
      <c r="L91" s="47" t="s">
        <v>606</v>
      </c>
      <c r="M91" s="47"/>
      <c r="N91" s="47"/>
      <c r="O91" s="47"/>
      <c r="P91" s="47" t="s">
        <v>863</v>
      </c>
      <c r="Q91" s="47" t="s">
        <v>716</v>
      </c>
      <c r="R91" s="47"/>
      <c r="S91" s="64"/>
      <c r="T91" s="47"/>
    </row>
    <row r="92" spans="1:20" s="44" customFormat="1" ht="25.05" customHeight="1" x14ac:dyDescent="0.3">
      <c r="A92" s="41"/>
      <c r="B92" s="41"/>
      <c r="C92" s="41"/>
      <c r="D92" s="47" t="s">
        <v>864</v>
      </c>
      <c r="E92" s="47"/>
      <c r="F92" s="2" t="s">
        <v>252</v>
      </c>
      <c r="G92" s="2" t="s">
        <v>862</v>
      </c>
      <c r="H92" s="2"/>
      <c r="I92" s="47" t="s">
        <v>720</v>
      </c>
      <c r="J92" s="47" t="s">
        <v>252</v>
      </c>
      <c r="K92" s="47" t="s">
        <v>611</v>
      </c>
      <c r="L92" s="47" t="s">
        <v>606</v>
      </c>
      <c r="M92" s="47"/>
      <c r="N92" s="47"/>
      <c r="O92" s="47"/>
      <c r="P92" s="47"/>
      <c r="Q92" s="47"/>
      <c r="R92" s="47"/>
      <c r="S92" s="64"/>
      <c r="T92" s="47"/>
    </row>
    <row r="93" spans="1:20" s="44" customFormat="1" ht="25.05" customHeight="1" x14ac:dyDescent="0.3">
      <c r="A93" s="41">
        <v>1</v>
      </c>
      <c r="B93" s="41"/>
      <c r="C93" s="51" t="str">
        <f>VLOOKUP(F93,[1]VLOOKUP!$A$2:$B$35,2,FALSE)</f>
        <v>华北</v>
      </c>
      <c r="D93" s="42" t="s">
        <v>865</v>
      </c>
      <c r="E93" s="42"/>
      <c r="F93" s="2" t="s">
        <v>252</v>
      </c>
      <c r="G93" s="2" t="s">
        <v>862</v>
      </c>
      <c r="H93" s="2" t="s">
        <v>866</v>
      </c>
      <c r="I93" s="42" t="s">
        <v>720</v>
      </c>
      <c r="J93" s="42" t="s">
        <v>252</v>
      </c>
      <c r="K93" s="42" t="s">
        <v>599</v>
      </c>
      <c r="L93" s="42" t="s">
        <v>600</v>
      </c>
      <c r="M93" s="42">
        <v>45827</v>
      </c>
      <c r="N93" s="42">
        <v>45827</v>
      </c>
      <c r="O93" s="42">
        <v>45834</v>
      </c>
      <c r="P93" s="42" t="s">
        <v>867</v>
      </c>
      <c r="Q93" s="42" t="s">
        <v>512</v>
      </c>
      <c r="R93" s="42"/>
      <c r="S93" s="63" t="s">
        <v>868</v>
      </c>
      <c r="T93" s="42"/>
    </row>
    <row r="94" spans="1:20" s="44" customFormat="1" ht="25.05" customHeight="1" x14ac:dyDescent="0.3">
      <c r="A94" s="41">
        <v>1</v>
      </c>
      <c r="B94" s="41"/>
      <c r="C94" s="51" t="str">
        <f>VLOOKUP(F94,[1]VLOOKUP!$A$2:$B$35,2,FALSE)</f>
        <v>华北</v>
      </c>
      <c r="D94" s="42" t="s">
        <v>869</v>
      </c>
      <c r="E94" s="42"/>
      <c r="F94" s="2" t="s">
        <v>252</v>
      </c>
      <c r="G94" s="2" t="s">
        <v>259</v>
      </c>
      <c r="H94" s="2"/>
      <c r="I94" s="42" t="s">
        <v>720</v>
      </c>
      <c r="J94" s="42" t="s">
        <v>252</v>
      </c>
      <c r="K94" s="42" t="s">
        <v>611</v>
      </c>
      <c r="L94" s="42" t="s">
        <v>600</v>
      </c>
      <c r="M94" s="42">
        <v>45563</v>
      </c>
      <c r="N94" s="42">
        <v>45564</v>
      </c>
      <c r="O94" s="42">
        <v>49674</v>
      </c>
      <c r="P94" s="42" t="s">
        <v>870</v>
      </c>
      <c r="Q94" s="42" t="s">
        <v>724</v>
      </c>
      <c r="R94" s="42" t="s">
        <v>871</v>
      </c>
      <c r="S94" s="63" t="s">
        <v>872</v>
      </c>
      <c r="T94" s="42"/>
    </row>
    <row r="95" spans="1:20" s="44" customFormat="1" ht="25.05" customHeight="1" x14ac:dyDescent="0.3">
      <c r="A95" s="41"/>
      <c r="B95" s="41"/>
      <c r="C95" s="41"/>
      <c r="D95" s="42" t="s">
        <v>873</v>
      </c>
      <c r="E95" s="42"/>
      <c r="F95" s="2" t="s">
        <v>252</v>
      </c>
      <c r="G95" s="2" t="s">
        <v>259</v>
      </c>
      <c r="H95" s="2"/>
      <c r="I95" s="42" t="s">
        <v>720</v>
      </c>
      <c r="J95" s="42" t="s">
        <v>252</v>
      </c>
      <c r="K95" s="42" t="s">
        <v>605</v>
      </c>
      <c r="L95" s="42" t="s">
        <v>600</v>
      </c>
      <c r="M95" s="42">
        <v>45811</v>
      </c>
      <c r="N95" s="42">
        <v>45811</v>
      </c>
      <c r="O95" s="42">
        <v>45817</v>
      </c>
      <c r="P95" s="42" t="s">
        <v>874</v>
      </c>
      <c r="Q95" s="42" t="s">
        <v>519</v>
      </c>
      <c r="R95" s="42"/>
      <c r="S95" s="63" t="s">
        <v>875</v>
      </c>
      <c r="T95" s="42"/>
    </row>
    <row r="96" spans="1:20" s="44" customFormat="1" ht="25.05" customHeight="1" x14ac:dyDescent="0.3">
      <c r="A96" s="41">
        <v>1</v>
      </c>
      <c r="B96" s="41"/>
      <c r="C96" s="51" t="str">
        <f>VLOOKUP(F96,[1]VLOOKUP!$A$2:$B$35,2,FALSE)</f>
        <v>华北</v>
      </c>
      <c r="D96" s="52" t="s">
        <v>876</v>
      </c>
      <c r="E96" s="52"/>
      <c r="F96" s="2" t="s">
        <v>252</v>
      </c>
      <c r="G96" s="2" t="s">
        <v>259</v>
      </c>
      <c r="H96" s="2" t="s">
        <v>248</v>
      </c>
      <c r="I96" s="52" t="s">
        <v>720</v>
      </c>
      <c r="J96" s="52" t="s">
        <v>252</v>
      </c>
      <c r="K96" s="52" t="s">
        <v>611</v>
      </c>
      <c r="L96" s="52" t="s">
        <v>663</v>
      </c>
      <c r="M96" s="65">
        <v>44008</v>
      </c>
      <c r="N96" s="65">
        <v>44008</v>
      </c>
      <c r="O96" s="52">
        <v>44926</v>
      </c>
      <c r="P96" s="52" t="s">
        <v>877</v>
      </c>
      <c r="Q96" s="52" t="s">
        <v>512</v>
      </c>
      <c r="R96" s="52"/>
      <c r="S96" s="53"/>
      <c r="T96" s="52"/>
    </row>
    <row r="97" spans="1:20" s="44" customFormat="1" ht="25.05" customHeight="1" x14ac:dyDescent="0.3">
      <c r="A97" s="41"/>
      <c r="B97" s="41"/>
      <c r="C97" s="41"/>
      <c r="D97" s="47" t="s">
        <v>878</v>
      </c>
      <c r="E97" s="47"/>
      <c r="F97" s="2" t="s">
        <v>252</v>
      </c>
      <c r="G97" s="2" t="s">
        <v>259</v>
      </c>
      <c r="H97" s="2" t="s">
        <v>248</v>
      </c>
      <c r="I97" s="47" t="s">
        <v>720</v>
      </c>
      <c r="J97" s="47" t="s">
        <v>252</v>
      </c>
      <c r="K97" s="47" t="s">
        <v>605</v>
      </c>
      <c r="L97" s="47" t="s">
        <v>606</v>
      </c>
      <c r="M97" s="47"/>
      <c r="N97" s="47"/>
      <c r="O97" s="47"/>
      <c r="P97" s="59" t="s">
        <v>877</v>
      </c>
      <c r="Q97" s="59" t="s">
        <v>512</v>
      </c>
      <c r="R97" s="47"/>
      <c r="S97" s="64"/>
      <c r="T97" s="47"/>
    </row>
    <row r="98" spans="1:20" s="44" customFormat="1" ht="25.05" customHeight="1" x14ac:dyDescent="0.3">
      <c r="A98" s="41">
        <v>1</v>
      </c>
      <c r="B98" s="41"/>
      <c r="C98" s="51" t="str">
        <f>VLOOKUP(F98,[1]VLOOKUP!$A$2:$B$35,2,FALSE)</f>
        <v>华北</v>
      </c>
      <c r="D98" s="52" t="s">
        <v>879</v>
      </c>
      <c r="E98" s="52"/>
      <c r="F98" s="2" t="s">
        <v>252</v>
      </c>
      <c r="G98" s="2" t="s">
        <v>258</v>
      </c>
      <c r="H98" s="2"/>
      <c r="I98" s="52" t="s">
        <v>720</v>
      </c>
      <c r="J98" s="52" t="s">
        <v>252</v>
      </c>
      <c r="K98" s="52" t="s">
        <v>611</v>
      </c>
      <c r="L98" s="52" t="s">
        <v>663</v>
      </c>
      <c r="M98" s="52">
        <v>44104</v>
      </c>
      <c r="N98" s="52">
        <v>44119</v>
      </c>
      <c r="O98" s="52">
        <v>44926</v>
      </c>
      <c r="P98" s="52" t="s">
        <v>880</v>
      </c>
      <c r="Q98" s="52" t="s">
        <v>724</v>
      </c>
      <c r="R98" s="52"/>
      <c r="S98" s="53" t="s">
        <v>881</v>
      </c>
      <c r="T98" s="52"/>
    </row>
    <row r="99" spans="1:20" s="44" customFormat="1" ht="25.05" customHeight="1" x14ac:dyDescent="0.3">
      <c r="A99" s="41">
        <v>1</v>
      </c>
      <c r="B99" s="41"/>
      <c r="C99" s="51" t="str">
        <f>VLOOKUP(F99,[1]VLOOKUP!$A$2:$B$35,2,FALSE)</f>
        <v>华北</v>
      </c>
      <c r="D99" s="52" t="s">
        <v>473</v>
      </c>
      <c r="E99" s="52"/>
      <c r="F99" s="2" t="s">
        <v>252</v>
      </c>
      <c r="G99" s="2" t="s">
        <v>258</v>
      </c>
      <c r="H99" s="2"/>
      <c r="I99" s="52" t="s">
        <v>720</v>
      </c>
      <c r="J99" s="52" t="s">
        <v>252</v>
      </c>
      <c r="K99" s="52" t="s">
        <v>682</v>
      </c>
      <c r="L99" s="52" t="s">
        <v>663</v>
      </c>
      <c r="M99" s="52">
        <v>44101</v>
      </c>
      <c r="N99" s="52">
        <v>44119</v>
      </c>
      <c r="O99" s="52">
        <v>44831</v>
      </c>
      <c r="P99" s="52" t="s">
        <v>880</v>
      </c>
      <c r="Q99" s="52" t="s">
        <v>724</v>
      </c>
      <c r="R99" s="52"/>
      <c r="S99" s="53" t="s">
        <v>882</v>
      </c>
      <c r="T99" s="52"/>
    </row>
    <row r="100" spans="1:20" s="44" customFormat="1" ht="25.05" customHeight="1" x14ac:dyDescent="0.3">
      <c r="A100" s="41"/>
      <c r="B100" s="41"/>
      <c r="C100" s="41"/>
      <c r="D100" s="47" t="s">
        <v>883</v>
      </c>
      <c r="E100" s="47"/>
      <c r="F100" s="2" t="s">
        <v>252</v>
      </c>
      <c r="G100" s="2" t="s">
        <v>258</v>
      </c>
      <c r="H100" s="2"/>
      <c r="I100" s="47" t="s">
        <v>720</v>
      </c>
      <c r="J100" s="47" t="s">
        <v>252</v>
      </c>
      <c r="K100" s="47" t="s">
        <v>611</v>
      </c>
      <c r="L100" s="47" t="s">
        <v>606</v>
      </c>
      <c r="M100" s="47"/>
      <c r="N100" s="47"/>
      <c r="O100" s="47"/>
      <c r="P100" s="47" t="s">
        <v>880</v>
      </c>
      <c r="Q100" s="47" t="s">
        <v>724</v>
      </c>
      <c r="R100" s="47" t="s">
        <v>884</v>
      </c>
      <c r="S100" s="64"/>
      <c r="T100" s="47"/>
    </row>
    <row r="101" spans="1:20" s="44" customFormat="1" ht="25.05" customHeight="1" x14ac:dyDescent="0.3">
      <c r="A101" s="41">
        <v>1</v>
      </c>
      <c r="B101" s="41"/>
      <c r="C101" s="51" t="str">
        <f>VLOOKUP(F101,[1]VLOOKUP!$A$2:$B$35,2,FALSE)</f>
        <v>华北</v>
      </c>
      <c r="D101" s="42" t="s">
        <v>885</v>
      </c>
      <c r="E101" s="42"/>
      <c r="F101" s="2" t="s">
        <v>252</v>
      </c>
      <c r="G101" s="2" t="s">
        <v>258</v>
      </c>
      <c r="H101" s="2"/>
      <c r="I101" s="42" t="s">
        <v>720</v>
      </c>
      <c r="J101" s="42" t="s">
        <v>252</v>
      </c>
      <c r="K101" s="42" t="s">
        <v>611</v>
      </c>
      <c r="L101" s="42" t="s">
        <v>600</v>
      </c>
      <c r="M101" s="42">
        <v>44552</v>
      </c>
      <c r="N101" s="42">
        <v>44553</v>
      </c>
      <c r="O101" s="42">
        <v>46022</v>
      </c>
      <c r="P101" s="42" t="s">
        <v>886</v>
      </c>
      <c r="Q101" s="42" t="s">
        <v>716</v>
      </c>
      <c r="R101" s="42" t="s">
        <v>887</v>
      </c>
      <c r="S101" s="66" t="s">
        <v>888</v>
      </c>
      <c r="T101" s="67"/>
    </row>
    <row r="102" spans="1:20" s="44" customFormat="1" ht="25.05" customHeight="1" x14ac:dyDescent="0.3">
      <c r="A102" s="41">
        <v>1</v>
      </c>
      <c r="B102" s="41"/>
      <c r="C102" s="51" t="str">
        <f>VLOOKUP(F102,[1]VLOOKUP!$A$2:$B$35,2,FALSE)</f>
        <v>华北</v>
      </c>
      <c r="D102" s="52" t="s">
        <v>889</v>
      </c>
      <c r="E102" s="52"/>
      <c r="F102" s="2" t="s">
        <v>252</v>
      </c>
      <c r="G102" s="2" t="s">
        <v>258</v>
      </c>
      <c r="H102" s="2"/>
      <c r="I102" s="52" t="s">
        <v>720</v>
      </c>
      <c r="J102" s="52" t="s">
        <v>252</v>
      </c>
      <c r="K102" s="52" t="s">
        <v>682</v>
      </c>
      <c r="L102" s="52" t="s">
        <v>663</v>
      </c>
      <c r="M102" s="52">
        <v>44754</v>
      </c>
      <c r="N102" s="52">
        <v>44754</v>
      </c>
      <c r="O102" s="52">
        <v>45485</v>
      </c>
      <c r="P102" s="52" t="s">
        <v>880</v>
      </c>
      <c r="Q102" s="52" t="s">
        <v>724</v>
      </c>
      <c r="R102" s="52" t="s">
        <v>890</v>
      </c>
      <c r="S102" s="53" t="s">
        <v>891</v>
      </c>
      <c r="T102" s="52"/>
    </row>
    <row r="103" spans="1:20" s="44" customFormat="1" ht="25.05" customHeight="1" x14ac:dyDescent="0.3">
      <c r="A103" s="41"/>
      <c r="B103" s="41"/>
      <c r="C103" s="41"/>
      <c r="D103" s="47" t="s">
        <v>892</v>
      </c>
      <c r="E103" s="47"/>
      <c r="F103" s="2" t="s">
        <v>252</v>
      </c>
      <c r="G103" s="2" t="s">
        <v>254</v>
      </c>
      <c r="H103" s="2"/>
      <c r="I103" s="47" t="s">
        <v>720</v>
      </c>
      <c r="J103" s="47" t="s">
        <v>252</v>
      </c>
      <c r="K103" s="47" t="s">
        <v>611</v>
      </c>
      <c r="L103" s="47" t="s">
        <v>606</v>
      </c>
      <c r="M103" s="47">
        <v>43628</v>
      </c>
      <c r="N103" s="47">
        <v>43628</v>
      </c>
      <c r="O103" s="47"/>
      <c r="P103" s="47" t="s">
        <v>893</v>
      </c>
      <c r="Q103" s="47" t="s">
        <v>724</v>
      </c>
      <c r="R103" s="47" t="s">
        <v>894</v>
      </c>
      <c r="S103" s="64"/>
      <c r="T103" s="47"/>
    </row>
    <row r="104" spans="1:20" s="44" customFormat="1" ht="25.05" customHeight="1" x14ac:dyDescent="0.3">
      <c r="A104" s="41"/>
      <c r="B104" s="41"/>
      <c r="C104" s="41"/>
      <c r="D104" s="52" t="s">
        <v>895</v>
      </c>
      <c r="E104" s="52"/>
      <c r="F104" s="2" t="s">
        <v>252</v>
      </c>
      <c r="G104" s="2" t="s">
        <v>254</v>
      </c>
      <c r="H104" s="2"/>
      <c r="I104" s="52" t="s">
        <v>720</v>
      </c>
      <c r="J104" s="52" t="s">
        <v>252</v>
      </c>
      <c r="K104" s="52" t="s">
        <v>611</v>
      </c>
      <c r="L104" s="52" t="s">
        <v>663</v>
      </c>
      <c r="M104" s="52">
        <v>43466</v>
      </c>
      <c r="N104" s="52">
        <v>43466</v>
      </c>
      <c r="O104" s="52">
        <v>44561</v>
      </c>
      <c r="P104" s="52" t="s">
        <v>893</v>
      </c>
      <c r="Q104" s="52" t="s">
        <v>724</v>
      </c>
      <c r="R104" s="52" t="s">
        <v>896</v>
      </c>
      <c r="S104" s="53"/>
      <c r="T104" s="52"/>
    </row>
    <row r="105" spans="1:20" s="44" customFormat="1" ht="25.05" customHeight="1" x14ac:dyDescent="0.3">
      <c r="A105" s="41"/>
      <c r="B105" s="41"/>
      <c r="C105" s="41"/>
      <c r="D105" s="47" t="s">
        <v>897</v>
      </c>
      <c r="E105" s="47"/>
      <c r="F105" s="2" t="s">
        <v>252</v>
      </c>
      <c r="G105" s="2" t="s">
        <v>254</v>
      </c>
      <c r="H105" s="2"/>
      <c r="I105" s="47" t="s">
        <v>720</v>
      </c>
      <c r="J105" s="47" t="s">
        <v>252</v>
      </c>
      <c r="K105" s="47" t="s">
        <v>605</v>
      </c>
      <c r="L105" s="47" t="s">
        <v>606</v>
      </c>
      <c r="M105" s="47"/>
      <c r="N105" s="47"/>
      <c r="O105" s="47"/>
      <c r="P105" s="47" t="s">
        <v>893</v>
      </c>
      <c r="Q105" s="47" t="s">
        <v>724</v>
      </c>
      <c r="R105" s="47" t="s">
        <v>898</v>
      </c>
      <c r="S105" s="64"/>
      <c r="T105" s="47"/>
    </row>
    <row r="106" spans="1:20" s="44" customFormat="1" ht="25.05" customHeight="1" x14ac:dyDescent="0.3">
      <c r="A106" s="41"/>
      <c r="B106" s="41"/>
      <c r="C106" s="41"/>
      <c r="D106" s="47" t="s">
        <v>899</v>
      </c>
      <c r="E106" s="47"/>
      <c r="F106" s="2" t="s">
        <v>252</v>
      </c>
      <c r="G106" s="2" t="s">
        <v>254</v>
      </c>
      <c r="H106" s="2"/>
      <c r="I106" s="47" t="s">
        <v>720</v>
      </c>
      <c r="J106" s="47" t="s">
        <v>252</v>
      </c>
      <c r="K106" s="47" t="s">
        <v>599</v>
      </c>
      <c r="L106" s="47" t="s">
        <v>606</v>
      </c>
      <c r="M106" s="47"/>
      <c r="N106" s="47"/>
      <c r="O106" s="47"/>
      <c r="P106" s="47" t="s">
        <v>893</v>
      </c>
      <c r="Q106" s="47" t="s">
        <v>724</v>
      </c>
      <c r="R106" s="47" t="s">
        <v>900</v>
      </c>
      <c r="S106" s="64"/>
      <c r="T106" s="47"/>
    </row>
    <row r="107" spans="1:20" s="44" customFormat="1" ht="25.05" customHeight="1" x14ac:dyDescent="0.3">
      <c r="A107" s="41"/>
      <c r="B107" s="41"/>
      <c r="C107" s="41"/>
      <c r="D107" s="47" t="s">
        <v>901</v>
      </c>
      <c r="E107" s="47"/>
      <c r="F107" s="2" t="s">
        <v>252</v>
      </c>
      <c r="G107" s="2" t="s">
        <v>254</v>
      </c>
      <c r="H107" s="2"/>
      <c r="I107" s="47" t="s">
        <v>720</v>
      </c>
      <c r="J107" s="47" t="s">
        <v>252</v>
      </c>
      <c r="K107" s="47" t="s">
        <v>852</v>
      </c>
      <c r="L107" s="47" t="s">
        <v>606</v>
      </c>
      <c r="M107" s="47"/>
      <c r="N107" s="47"/>
      <c r="O107" s="47"/>
      <c r="P107" s="59" t="s">
        <v>893</v>
      </c>
      <c r="Q107" s="59" t="s">
        <v>724</v>
      </c>
      <c r="R107" s="47"/>
      <c r="S107" s="64"/>
      <c r="T107" s="47"/>
    </row>
    <row r="108" spans="1:20" s="44" customFormat="1" ht="25.05" customHeight="1" x14ac:dyDescent="0.3">
      <c r="A108" s="41"/>
      <c r="B108" s="41"/>
      <c r="C108" s="41"/>
      <c r="D108" s="47" t="s">
        <v>902</v>
      </c>
      <c r="E108" s="47"/>
      <c r="F108" s="2" t="s">
        <v>252</v>
      </c>
      <c r="G108" s="2" t="s">
        <v>254</v>
      </c>
      <c r="H108" s="2"/>
      <c r="I108" s="47" t="s">
        <v>720</v>
      </c>
      <c r="J108" s="47" t="s">
        <v>252</v>
      </c>
      <c r="K108" s="47" t="s">
        <v>682</v>
      </c>
      <c r="L108" s="47" t="s">
        <v>606</v>
      </c>
      <c r="M108" s="47"/>
      <c r="N108" s="47"/>
      <c r="O108" s="47"/>
      <c r="P108" s="47" t="s">
        <v>893</v>
      </c>
      <c r="Q108" s="47" t="s">
        <v>724</v>
      </c>
      <c r="R108" s="47" t="s">
        <v>903</v>
      </c>
      <c r="S108" s="64"/>
      <c r="T108" s="47"/>
    </row>
    <row r="109" spans="1:20" s="44" customFormat="1" ht="25.05" customHeight="1" x14ac:dyDescent="0.3">
      <c r="A109" s="41"/>
      <c r="B109" s="41"/>
      <c r="C109" s="41"/>
      <c r="D109" s="47" t="s">
        <v>904</v>
      </c>
      <c r="E109" s="47"/>
      <c r="F109" s="2" t="s">
        <v>252</v>
      </c>
      <c r="G109" s="2" t="s">
        <v>254</v>
      </c>
      <c r="H109" s="2"/>
      <c r="I109" s="47" t="s">
        <v>720</v>
      </c>
      <c r="J109" s="47" t="s">
        <v>252</v>
      </c>
      <c r="K109" s="47" t="s">
        <v>682</v>
      </c>
      <c r="L109" s="47" t="s">
        <v>606</v>
      </c>
      <c r="M109" s="47"/>
      <c r="N109" s="47"/>
      <c r="O109" s="47"/>
      <c r="P109" s="59" t="s">
        <v>893</v>
      </c>
      <c r="Q109" s="59" t="s">
        <v>724</v>
      </c>
      <c r="R109" s="47"/>
      <c r="S109" s="64"/>
      <c r="T109" s="47"/>
    </row>
    <row r="110" spans="1:20" s="44" customFormat="1" ht="25.05" customHeight="1" x14ac:dyDescent="0.3">
      <c r="A110" s="41"/>
      <c r="B110" s="41"/>
      <c r="C110" s="41"/>
      <c r="D110" s="47" t="s">
        <v>905</v>
      </c>
      <c r="E110" s="47"/>
      <c r="F110" s="2" t="s">
        <v>252</v>
      </c>
      <c r="G110" s="2" t="s">
        <v>254</v>
      </c>
      <c r="H110" s="2"/>
      <c r="I110" s="47" t="s">
        <v>720</v>
      </c>
      <c r="J110" s="47" t="s">
        <v>252</v>
      </c>
      <c r="K110" s="47" t="s">
        <v>682</v>
      </c>
      <c r="L110" s="47" t="s">
        <v>606</v>
      </c>
      <c r="M110" s="47"/>
      <c r="N110" s="47"/>
      <c r="O110" s="47"/>
      <c r="P110" s="59" t="s">
        <v>893</v>
      </c>
      <c r="Q110" s="59" t="s">
        <v>724</v>
      </c>
      <c r="R110" s="47"/>
      <c r="S110" s="64"/>
      <c r="T110" s="47"/>
    </row>
    <row r="111" spans="1:20" s="44" customFormat="1" ht="25.05" customHeight="1" x14ac:dyDescent="0.3">
      <c r="A111" s="41"/>
      <c r="B111" s="41"/>
      <c r="C111" s="41"/>
      <c r="D111" s="47" t="s">
        <v>906</v>
      </c>
      <c r="E111" s="47"/>
      <c r="F111" s="2" t="s">
        <v>252</v>
      </c>
      <c r="G111" s="2" t="s">
        <v>254</v>
      </c>
      <c r="H111" s="2"/>
      <c r="I111" s="47" t="s">
        <v>720</v>
      </c>
      <c r="J111" s="47" t="s">
        <v>252</v>
      </c>
      <c r="K111" s="47" t="s">
        <v>682</v>
      </c>
      <c r="L111" s="47" t="s">
        <v>606</v>
      </c>
      <c r="M111" s="47"/>
      <c r="N111" s="47"/>
      <c r="O111" s="47"/>
      <c r="P111" s="59" t="s">
        <v>893</v>
      </c>
      <c r="Q111" s="59" t="s">
        <v>724</v>
      </c>
      <c r="R111" s="47"/>
      <c r="S111" s="64"/>
      <c r="T111" s="47"/>
    </row>
    <row r="112" spans="1:20" s="44" customFormat="1" ht="25.05" customHeight="1" x14ac:dyDescent="0.3">
      <c r="A112" s="41"/>
      <c r="B112" s="41"/>
      <c r="C112" s="41"/>
      <c r="D112" s="47" t="s">
        <v>907</v>
      </c>
      <c r="E112" s="47"/>
      <c r="F112" s="2" t="s">
        <v>252</v>
      </c>
      <c r="G112" s="2" t="s">
        <v>254</v>
      </c>
      <c r="H112" s="2"/>
      <c r="I112" s="47" t="s">
        <v>720</v>
      </c>
      <c r="J112" s="47" t="s">
        <v>252</v>
      </c>
      <c r="K112" s="47" t="s">
        <v>611</v>
      </c>
      <c r="L112" s="47" t="s">
        <v>606</v>
      </c>
      <c r="M112" s="47"/>
      <c r="N112" s="47"/>
      <c r="O112" s="47"/>
      <c r="P112" s="59" t="s">
        <v>893</v>
      </c>
      <c r="Q112" s="59" t="s">
        <v>724</v>
      </c>
      <c r="R112" s="47"/>
      <c r="S112" s="64"/>
      <c r="T112" s="47"/>
    </row>
    <row r="113" spans="1:20" s="44" customFormat="1" ht="25.05" customHeight="1" x14ac:dyDescent="0.3">
      <c r="A113" s="41">
        <v>1</v>
      </c>
      <c r="B113" s="41"/>
      <c r="C113" s="51" t="str">
        <f>VLOOKUP(F113,[1]VLOOKUP!$A$2:$B$35,2,FALSE)</f>
        <v>华北</v>
      </c>
      <c r="D113" s="42" t="s">
        <v>908</v>
      </c>
      <c r="E113" s="42"/>
      <c r="F113" s="2" t="s">
        <v>252</v>
      </c>
      <c r="G113" s="2" t="s">
        <v>254</v>
      </c>
      <c r="H113" s="2"/>
      <c r="I113" s="42" t="s">
        <v>720</v>
      </c>
      <c r="J113" s="42" t="s">
        <v>252</v>
      </c>
      <c r="K113" s="42" t="s">
        <v>605</v>
      </c>
      <c r="L113" s="42" t="s">
        <v>600</v>
      </c>
      <c r="M113" s="42">
        <v>44748</v>
      </c>
      <c r="N113" s="42">
        <v>44754</v>
      </c>
      <c r="O113" s="42">
        <v>46022</v>
      </c>
      <c r="P113" s="42" t="s">
        <v>893</v>
      </c>
      <c r="Q113" s="42" t="s">
        <v>724</v>
      </c>
      <c r="R113" s="42" t="s">
        <v>909</v>
      </c>
      <c r="S113" s="66" t="s">
        <v>910</v>
      </c>
      <c r="T113" s="67"/>
    </row>
    <row r="114" spans="1:20" s="44" customFormat="1" ht="25.05" customHeight="1" x14ac:dyDescent="0.3">
      <c r="A114" s="41"/>
      <c r="B114" s="41"/>
      <c r="C114" s="41"/>
      <c r="D114" s="47" t="s">
        <v>911</v>
      </c>
      <c r="E114" s="47"/>
      <c r="F114" s="2" t="s">
        <v>252</v>
      </c>
      <c r="G114" s="2" t="s">
        <v>254</v>
      </c>
      <c r="H114" s="2"/>
      <c r="I114" s="47" t="s">
        <v>720</v>
      </c>
      <c r="J114" s="47" t="s">
        <v>252</v>
      </c>
      <c r="K114" s="47" t="s">
        <v>611</v>
      </c>
      <c r="L114" s="47" t="s">
        <v>606</v>
      </c>
      <c r="M114" s="47"/>
      <c r="N114" s="47"/>
      <c r="O114" s="47"/>
      <c r="P114" s="47" t="s">
        <v>893</v>
      </c>
      <c r="Q114" s="47" t="s">
        <v>724</v>
      </c>
      <c r="R114" s="47" t="s">
        <v>912</v>
      </c>
      <c r="S114" s="64"/>
      <c r="T114" s="47"/>
    </row>
    <row r="115" spans="1:20" s="44" customFormat="1" ht="25.05" customHeight="1" x14ac:dyDescent="0.3">
      <c r="A115" s="41"/>
      <c r="B115" s="41"/>
      <c r="C115" s="41"/>
      <c r="D115" s="47" t="s">
        <v>913</v>
      </c>
      <c r="E115" s="47"/>
      <c r="F115" s="2" t="s">
        <v>252</v>
      </c>
      <c r="G115" s="2" t="s">
        <v>254</v>
      </c>
      <c r="H115" s="2"/>
      <c r="I115" s="47" t="s">
        <v>720</v>
      </c>
      <c r="J115" s="47" t="s">
        <v>252</v>
      </c>
      <c r="K115" s="47" t="s">
        <v>611</v>
      </c>
      <c r="L115" s="47"/>
      <c r="M115" s="47"/>
      <c r="N115" s="47"/>
      <c r="O115" s="47"/>
      <c r="P115" s="47"/>
      <c r="Q115" s="47"/>
      <c r="R115" s="47"/>
      <c r="S115" s="64"/>
      <c r="T115" s="47"/>
    </row>
    <row r="116" spans="1:20" s="44" customFormat="1" ht="25.05" customHeight="1" x14ac:dyDescent="0.3">
      <c r="A116" s="41"/>
      <c r="B116" s="41"/>
      <c r="C116" s="41"/>
      <c r="D116" s="47" t="s">
        <v>914</v>
      </c>
      <c r="E116" s="47"/>
      <c r="F116" s="2" t="s">
        <v>252</v>
      </c>
      <c r="G116" s="2" t="s">
        <v>254</v>
      </c>
      <c r="H116" s="2" t="s">
        <v>915</v>
      </c>
      <c r="I116" s="47" t="s">
        <v>720</v>
      </c>
      <c r="J116" s="47" t="s">
        <v>252</v>
      </c>
      <c r="K116" s="47" t="s">
        <v>599</v>
      </c>
      <c r="L116" s="47"/>
      <c r="M116" s="47"/>
      <c r="N116" s="47"/>
      <c r="O116" s="47"/>
      <c r="P116" s="47"/>
      <c r="Q116" s="47"/>
      <c r="R116" s="47"/>
      <c r="S116" s="64"/>
      <c r="T116" s="47"/>
    </row>
    <row r="117" spans="1:20" s="44" customFormat="1" ht="25.05" customHeight="1" x14ac:dyDescent="0.3">
      <c r="A117" s="41">
        <v>1</v>
      </c>
      <c r="B117" s="41"/>
      <c r="C117" s="51" t="str">
        <f>VLOOKUP(F117,[1]VLOOKUP!$A$2:$B$35,2,FALSE)</f>
        <v>华北</v>
      </c>
      <c r="D117" s="52" t="s">
        <v>916</v>
      </c>
      <c r="E117" s="52"/>
      <c r="F117" s="2" t="s">
        <v>252</v>
      </c>
      <c r="G117" s="2" t="s">
        <v>258</v>
      </c>
      <c r="H117" s="2" t="s">
        <v>261</v>
      </c>
      <c r="I117" s="52" t="s">
        <v>720</v>
      </c>
      <c r="J117" s="52" t="s">
        <v>252</v>
      </c>
      <c r="K117" s="52" t="s">
        <v>611</v>
      </c>
      <c r="L117" s="52" t="s">
        <v>663</v>
      </c>
      <c r="M117" s="52">
        <v>44314</v>
      </c>
      <c r="N117" s="52">
        <v>44400</v>
      </c>
      <c r="O117" s="52">
        <v>45291</v>
      </c>
      <c r="P117" s="52" t="s">
        <v>917</v>
      </c>
      <c r="Q117" s="52" t="s">
        <v>724</v>
      </c>
      <c r="R117" s="52"/>
      <c r="S117" s="53" t="s">
        <v>918</v>
      </c>
      <c r="T117" s="52"/>
    </row>
    <row r="118" spans="1:20" s="44" customFormat="1" ht="25.05" customHeight="1" x14ac:dyDescent="0.3">
      <c r="A118" s="41">
        <v>1</v>
      </c>
      <c r="B118" s="41"/>
      <c r="C118" s="51" t="str">
        <f>VLOOKUP(F118,[1]VLOOKUP!$A$2:$B$35,2,FALSE)</f>
        <v>华北</v>
      </c>
      <c r="D118" s="42" t="s">
        <v>919</v>
      </c>
      <c r="E118" s="42"/>
      <c r="F118" s="2" t="s">
        <v>252</v>
      </c>
      <c r="G118" s="2" t="s">
        <v>258</v>
      </c>
      <c r="H118" s="2" t="s">
        <v>261</v>
      </c>
      <c r="I118" s="42" t="s">
        <v>720</v>
      </c>
      <c r="J118" s="42" t="s">
        <v>252</v>
      </c>
      <c r="K118" s="42" t="s">
        <v>611</v>
      </c>
      <c r="L118" s="67" t="s">
        <v>600</v>
      </c>
      <c r="M118" s="42">
        <v>45071</v>
      </c>
      <c r="N118" s="42">
        <v>45131</v>
      </c>
      <c r="O118" s="42">
        <v>46022</v>
      </c>
      <c r="P118" s="42" t="s">
        <v>917</v>
      </c>
      <c r="Q118" s="42" t="s">
        <v>724</v>
      </c>
      <c r="R118" s="42" t="s">
        <v>920</v>
      </c>
      <c r="S118" s="63" t="s">
        <v>921</v>
      </c>
      <c r="T118" s="42"/>
    </row>
    <row r="119" spans="1:20" s="44" customFormat="1" ht="25.05" customHeight="1" x14ac:dyDescent="0.3">
      <c r="A119" s="41">
        <v>1</v>
      </c>
      <c r="B119" s="41"/>
      <c r="C119" s="51" t="str">
        <f>VLOOKUP(F119,[1]VLOOKUP!$A$2:$B$35,2,FALSE)</f>
        <v>华北</v>
      </c>
      <c r="D119" s="42" t="s">
        <v>922</v>
      </c>
      <c r="E119" s="42"/>
      <c r="F119" s="2" t="s">
        <v>252</v>
      </c>
      <c r="G119" s="2" t="s">
        <v>258</v>
      </c>
      <c r="H119" s="2" t="s">
        <v>261</v>
      </c>
      <c r="I119" s="42" t="s">
        <v>720</v>
      </c>
      <c r="J119" s="42" t="s">
        <v>252</v>
      </c>
      <c r="K119" s="67" t="s">
        <v>682</v>
      </c>
      <c r="L119" s="67" t="s">
        <v>600</v>
      </c>
      <c r="M119" s="67">
        <v>44148</v>
      </c>
      <c r="N119" s="67">
        <v>44376</v>
      </c>
      <c r="O119" s="67">
        <v>46022</v>
      </c>
      <c r="P119" s="67" t="s">
        <v>917</v>
      </c>
      <c r="Q119" s="67" t="s">
        <v>724</v>
      </c>
      <c r="R119" s="67"/>
      <c r="S119" s="66" t="s">
        <v>923</v>
      </c>
      <c r="T119" s="67"/>
    </row>
    <row r="120" spans="1:20" s="44" customFormat="1" ht="25.05" customHeight="1" x14ac:dyDescent="0.3">
      <c r="A120" s="41">
        <v>1</v>
      </c>
      <c r="B120" s="41"/>
      <c r="C120" s="51" t="str">
        <f>VLOOKUP(F120,[1]VLOOKUP!$A$2:$B$35,2,FALSE)</f>
        <v>华北</v>
      </c>
      <c r="D120" s="42" t="s">
        <v>924</v>
      </c>
      <c r="E120" s="42"/>
      <c r="F120" s="2" t="s">
        <v>252</v>
      </c>
      <c r="G120" s="2" t="s">
        <v>258</v>
      </c>
      <c r="H120" s="2" t="s">
        <v>261</v>
      </c>
      <c r="I120" s="42" t="s">
        <v>720</v>
      </c>
      <c r="J120" s="42" t="s">
        <v>252</v>
      </c>
      <c r="K120" s="67" t="s">
        <v>605</v>
      </c>
      <c r="L120" s="67" t="s">
        <v>600</v>
      </c>
      <c r="M120" s="67">
        <v>44404</v>
      </c>
      <c r="N120" s="67">
        <v>44495</v>
      </c>
      <c r="O120" s="67">
        <v>46022</v>
      </c>
      <c r="P120" s="67" t="s">
        <v>917</v>
      </c>
      <c r="Q120" s="67" t="s">
        <v>724</v>
      </c>
      <c r="R120" s="67"/>
      <c r="S120" s="66" t="s">
        <v>925</v>
      </c>
      <c r="T120" s="67"/>
    </row>
    <row r="121" spans="1:20" s="44" customFormat="1" ht="25.05" customHeight="1" x14ac:dyDescent="0.3">
      <c r="A121" s="41">
        <v>1</v>
      </c>
      <c r="B121" s="41"/>
      <c r="C121" s="51" t="str">
        <f>VLOOKUP(F121,[1]VLOOKUP!$A$2:$B$35,2,FALSE)</f>
        <v>华北</v>
      </c>
      <c r="D121" s="41" t="s">
        <v>926</v>
      </c>
      <c r="E121" s="41"/>
      <c r="F121" s="2" t="s">
        <v>252</v>
      </c>
      <c r="G121" s="2" t="s">
        <v>256</v>
      </c>
      <c r="H121" s="2"/>
      <c r="I121" s="41" t="s">
        <v>720</v>
      </c>
      <c r="J121" s="41" t="s">
        <v>252</v>
      </c>
      <c r="K121" s="41" t="s">
        <v>611</v>
      </c>
      <c r="L121" s="41" t="s">
        <v>600</v>
      </c>
      <c r="M121" s="67">
        <v>44502</v>
      </c>
      <c r="N121" s="67">
        <v>44502</v>
      </c>
      <c r="O121" s="67">
        <v>46022</v>
      </c>
      <c r="P121" s="41" t="s">
        <v>927</v>
      </c>
      <c r="Q121" s="41" t="s">
        <v>724</v>
      </c>
      <c r="R121" s="41"/>
      <c r="S121" s="43" t="s">
        <v>928</v>
      </c>
      <c r="T121" s="41"/>
    </row>
    <row r="122" spans="1:20" s="44" customFormat="1" ht="25.05" customHeight="1" x14ac:dyDescent="0.3">
      <c r="A122" s="41"/>
      <c r="B122" s="41"/>
      <c r="C122" s="41"/>
      <c r="D122" s="54" t="s">
        <v>929</v>
      </c>
      <c r="E122" s="54"/>
      <c r="F122" s="2" t="s">
        <v>252</v>
      </c>
      <c r="G122" s="2" t="s">
        <v>256</v>
      </c>
      <c r="H122" s="2"/>
      <c r="I122" s="54" t="s">
        <v>720</v>
      </c>
      <c r="J122" s="54" t="s">
        <v>252</v>
      </c>
      <c r="K122" s="54" t="s">
        <v>605</v>
      </c>
      <c r="L122" s="54" t="s">
        <v>600</v>
      </c>
      <c r="M122" s="54">
        <v>45590</v>
      </c>
      <c r="N122" s="54">
        <v>45590</v>
      </c>
      <c r="O122" s="54">
        <v>45596</v>
      </c>
      <c r="P122" s="54" t="s">
        <v>930</v>
      </c>
      <c r="Q122" s="54" t="s">
        <v>716</v>
      </c>
      <c r="R122" s="54"/>
      <c r="S122" s="55"/>
      <c r="T122" s="54"/>
    </row>
    <row r="123" spans="1:20" s="44" customFormat="1" ht="25.05" customHeight="1" x14ac:dyDescent="0.3">
      <c r="A123" s="41">
        <v>1</v>
      </c>
      <c r="B123" s="41"/>
      <c r="C123" s="51" t="str">
        <f>VLOOKUP(F123,[1]VLOOKUP!$A$2:$B$35,2,FALSE)</f>
        <v>华北</v>
      </c>
      <c r="D123" s="52" t="s">
        <v>529</v>
      </c>
      <c r="E123" s="52"/>
      <c r="F123" s="2" t="s">
        <v>252</v>
      </c>
      <c r="G123" s="2" t="s">
        <v>256</v>
      </c>
      <c r="H123" s="2"/>
      <c r="I123" s="52" t="s">
        <v>720</v>
      </c>
      <c r="J123" s="52" t="s">
        <v>252</v>
      </c>
      <c r="K123" s="52" t="s">
        <v>682</v>
      </c>
      <c r="L123" s="52" t="s">
        <v>663</v>
      </c>
      <c r="M123" s="52">
        <v>44749</v>
      </c>
      <c r="N123" s="52">
        <v>44750</v>
      </c>
      <c r="O123" s="52">
        <v>45480</v>
      </c>
      <c r="P123" s="52" t="s">
        <v>927</v>
      </c>
      <c r="Q123" s="52" t="s">
        <v>724</v>
      </c>
      <c r="R123" s="52" t="s">
        <v>931</v>
      </c>
      <c r="S123" s="53" t="s">
        <v>932</v>
      </c>
      <c r="T123" s="52"/>
    </row>
    <row r="124" spans="1:20" s="44" customFormat="1" ht="25.05" customHeight="1" x14ac:dyDescent="0.3">
      <c r="A124" s="41"/>
      <c r="B124" s="41"/>
      <c r="C124" s="41"/>
      <c r="D124" s="47" t="s">
        <v>933</v>
      </c>
      <c r="E124" s="47"/>
      <c r="F124" s="2" t="s">
        <v>252</v>
      </c>
      <c r="G124" s="2" t="s">
        <v>256</v>
      </c>
      <c r="H124" s="2"/>
      <c r="I124" s="47" t="s">
        <v>720</v>
      </c>
      <c r="J124" s="47" t="s">
        <v>252</v>
      </c>
      <c r="K124" s="47" t="s">
        <v>599</v>
      </c>
      <c r="L124" s="47" t="s">
        <v>606</v>
      </c>
      <c r="M124" s="47"/>
      <c r="N124" s="47"/>
      <c r="O124" s="47"/>
      <c r="P124" s="47" t="s">
        <v>934</v>
      </c>
      <c r="Q124" s="47" t="s">
        <v>935</v>
      </c>
      <c r="R124" s="47"/>
      <c r="S124" s="64"/>
      <c r="T124" s="47"/>
    </row>
    <row r="125" spans="1:20" s="44" customFormat="1" ht="25.05" customHeight="1" x14ac:dyDescent="0.3">
      <c r="A125" s="41"/>
      <c r="B125" s="41"/>
      <c r="C125" s="41"/>
      <c r="D125" s="47" t="s">
        <v>936</v>
      </c>
      <c r="E125" s="47"/>
      <c r="F125" s="2" t="s">
        <v>252</v>
      </c>
      <c r="G125" s="2" t="s">
        <v>256</v>
      </c>
      <c r="H125" s="2"/>
      <c r="I125" s="47" t="s">
        <v>720</v>
      </c>
      <c r="J125" s="47" t="s">
        <v>252</v>
      </c>
      <c r="K125" s="47" t="s">
        <v>611</v>
      </c>
      <c r="L125" s="47" t="s">
        <v>606</v>
      </c>
      <c r="M125" s="47"/>
      <c r="N125" s="47"/>
      <c r="O125" s="47"/>
      <c r="P125" s="47"/>
      <c r="Q125" s="47"/>
      <c r="R125" s="47"/>
      <c r="S125" s="64"/>
      <c r="T125" s="47"/>
    </row>
    <row r="126" spans="1:20" s="44" customFormat="1" ht="25.05" customHeight="1" x14ac:dyDescent="0.3">
      <c r="A126" s="41"/>
      <c r="B126" s="41"/>
      <c r="C126" s="41"/>
      <c r="D126" s="47" t="s">
        <v>937</v>
      </c>
      <c r="E126" s="47"/>
      <c r="F126" s="2" t="s">
        <v>252</v>
      </c>
      <c r="G126" s="2" t="s">
        <v>256</v>
      </c>
      <c r="H126" s="2"/>
      <c r="I126" s="47" t="s">
        <v>720</v>
      </c>
      <c r="J126" s="47" t="s">
        <v>252</v>
      </c>
      <c r="K126" s="47" t="s">
        <v>611</v>
      </c>
      <c r="L126" s="47" t="s">
        <v>606</v>
      </c>
      <c r="M126" s="47"/>
      <c r="N126" s="47"/>
      <c r="O126" s="47"/>
      <c r="P126" s="47"/>
      <c r="Q126" s="47"/>
      <c r="R126" s="47"/>
      <c r="S126" s="64"/>
      <c r="T126" s="47"/>
    </row>
    <row r="127" spans="1:20" s="44" customFormat="1" ht="25.05" customHeight="1" x14ac:dyDescent="0.3">
      <c r="A127" s="41"/>
      <c r="B127" s="41"/>
      <c r="C127" s="41"/>
      <c r="D127" s="47" t="s">
        <v>938</v>
      </c>
      <c r="E127" s="47"/>
      <c r="F127" s="2" t="s">
        <v>252</v>
      </c>
      <c r="G127" s="2" t="s">
        <v>256</v>
      </c>
      <c r="H127" s="2"/>
      <c r="I127" s="47" t="s">
        <v>720</v>
      </c>
      <c r="J127" s="47" t="s">
        <v>252</v>
      </c>
      <c r="K127" s="47" t="s">
        <v>852</v>
      </c>
      <c r="L127" s="47" t="s">
        <v>606</v>
      </c>
      <c r="M127" s="47"/>
      <c r="N127" s="47"/>
      <c r="O127" s="47"/>
      <c r="P127" s="47"/>
      <c r="Q127" s="47"/>
      <c r="R127" s="47"/>
      <c r="S127" s="64"/>
      <c r="T127" s="47"/>
    </row>
    <row r="128" spans="1:20" s="44" customFormat="1" ht="25.05" customHeight="1" x14ac:dyDescent="0.3">
      <c r="A128" s="41"/>
      <c r="B128" s="41"/>
      <c r="C128" s="41"/>
      <c r="D128" s="47" t="s">
        <v>939</v>
      </c>
      <c r="E128" s="47"/>
      <c r="F128" s="2" t="s">
        <v>252</v>
      </c>
      <c r="G128" s="2" t="s">
        <v>256</v>
      </c>
      <c r="H128" s="2"/>
      <c r="I128" s="47" t="s">
        <v>720</v>
      </c>
      <c r="J128" s="47" t="s">
        <v>252</v>
      </c>
      <c r="K128" s="47" t="s">
        <v>611</v>
      </c>
      <c r="L128" s="47" t="s">
        <v>606</v>
      </c>
      <c r="M128" s="47"/>
      <c r="N128" s="47"/>
      <c r="O128" s="47"/>
      <c r="P128" s="47"/>
      <c r="Q128" s="47"/>
      <c r="R128" s="47"/>
      <c r="S128" s="64"/>
      <c r="T128" s="47"/>
    </row>
    <row r="129" spans="1:20" s="44" customFormat="1" ht="25.05" customHeight="1" x14ac:dyDescent="0.3">
      <c r="A129" s="41"/>
      <c r="B129" s="41"/>
      <c r="C129" s="41"/>
      <c r="D129" s="47" t="s">
        <v>940</v>
      </c>
      <c r="E129" s="47"/>
      <c r="F129" s="2" t="s">
        <v>252</v>
      </c>
      <c r="G129" s="2" t="s">
        <v>256</v>
      </c>
      <c r="H129" s="2"/>
      <c r="I129" s="47" t="s">
        <v>720</v>
      </c>
      <c r="J129" s="47" t="s">
        <v>252</v>
      </c>
      <c r="K129" s="47" t="s">
        <v>611</v>
      </c>
      <c r="L129" s="47" t="s">
        <v>606</v>
      </c>
      <c r="M129" s="47"/>
      <c r="N129" s="47"/>
      <c r="O129" s="47"/>
      <c r="P129" s="47"/>
      <c r="Q129" s="47"/>
      <c r="R129" s="47"/>
      <c r="S129" s="64"/>
      <c r="T129" s="47"/>
    </row>
    <row r="130" spans="1:20" s="44" customFormat="1" ht="25.05" customHeight="1" x14ac:dyDescent="0.3">
      <c r="A130" s="41"/>
      <c r="B130" s="41"/>
      <c r="C130" s="41"/>
      <c r="D130" s="47" t="s">
        <v>941</v>
      </c>
      <c r="E130" s="47"/>
      <c r="F130" s="2" t="s">
        <v>252</v>
      </c>
      <c r="G130" s="2" t="s">
        <v>256</v>
      </c>
      <c r="H130" s="2"/>
      <c r="I130" s="47" t="s">
        <v>720</v>
      </c>
      <c r="J130" s="47" t="s">
        <v>252</v>
      </c>
      <c r="K130" s="47" t="s">
        <v>605</v>
      </c>
      <c r="L130" s="47" t="s">
        <v>606</v>
      </c>
      <c r="M130" s="47"/>
      <c r="N130" s="47"/>
      <c r="O130" s="47"/>
      <c r="P130" s="47"/>
      <c r="Q130" s="47"/>
      <c r="R130" s="47"/>
      <c r="S130" s="64"/>
      <c r="T130" s="47"/>
    </row>
    <row r="131" spans="1:20" s="44" customFormat="1" ht="25.05" customHeight="1" x14ac:dyDescent="0.3">
      <c r="A131" s="41"/>
      <c r="B131" s="41"/>
      <c r="C131" s="41"/>
      <c r="D131" s="47" t="s">
        <v>942</v>
      </c>
      <c r="E131" s="47"/>
      <c r="F131" s="2" t="s">
        <v>252</v>
      </c>
      <c r="G131" s="2" t="s">
        <v>256</v>
      </c>
      <c r="H131" s="2"/>
      <c r="I131" s="47" t="s">
        <v>720</v>
      </c>
      <c r="J131" s="47" t="s">
        <v>252</v>
      </c>
      <c r="K131" s="47" t="s">
        <v>605</v>
      </c>
      <c r="L131" s="47" t="s">
        <v>606</v>
      </c>
      <c r="M131" s="47"/>
      <c r="N131" s="47"/>
      <c r="O131" s="47"/>
      <c r="P131" s="47"/>
      <c r="Q131" s="47"/>
      <c r="R131" s="47"/>
      <c r="S131" s="64"/>
      <c r="T131" s="47"/>
    </row>
    <row r="132" spans="1:20" s="44" customFormat="1" ht="25.05" customHeight="1" x14ac:dyDescent="0.3">
      <c r="A132" s="41">
        <v>1</v>
      </c>
      <c r="B132" s="41"/>
      <c r="C132" s="51" t="str">
        <f>VLOOKUP(F132,[1]VLOOKUP!$A$2:$B$35,2,FALSE)</f>
        <v>华北</v>
      </c>
      <c r="D132" s="41" t="s">
        <v>943</v>
      </c>
      <c r="E132" s="41"/>
      <c r="F132" s="2" t="s">
        <v>252</v>
      </c>
      <c r="G132" s="2" t="s">
        <v>256</v>
      </c>
      <c r="H132" s="2"/>
      <c r="I132" s="41" t="s">
        <v>720</v>
      </c>
      <c r="J132" s="41" t="s">
        <v>252</v>
      </c>
      <c r="K132" s="41" t="s">
        <v>611</v>
      </c>
      <c r="L132" s="41" t="s">
        <v>600</v>
      </c>
      <c r="M132" s="42">
        <v>44718</v>
      </c>
      <c r="N132" s="42">
        <v>44719</v>
      </c>
      <c r="O132" s="42">
        <v>46022</v>
      </c>
      <c r="P132" s="41" t="s">
        <v>927</v>
      </c>
      <c r="Q132" s="41" t="s">
        <v>724</v>
      </c>
      <c r="R132" s="41" t="s">
        <v>944</v>
      </c>
      <c r="S132" s="43" t="s">
        <v>945</v>
      </c>
      <c r="T132" s="41"/>
    </row>
    <row r="133" spans="1:20" s="44" customFormat="1" ht="25.05" customHeight="1" x14ac:dyDescent="0.3">
      <c r="A133" s="41">
        <v>1</v>
      </c>
      <c r="B133" s="41"/>
      <c r="C133" s="51" t="str">
        <f>VLOOKUP(F133,[1]VLOOKUP!$A$2:$B$35,2,FALSE)</f>
        <v>华北</v>
      </c>
      <c r="D133" s="41" t="s">
        <v>946</v>
      </c>
      <c r="E133" s="41"/>
      <c r="F133" s="2" t="s">
        <v>252</v>
      </c>
      <c r="G133" s="2" t="s">
        <v>256</v>
      </c>
      <c r="H133" s="2"/>
      <c r="I133" s="41" t="s">
        <v>720</v>
      </c>
      <c r="J133" s="41" t="s">
        <v>252</v>
      </c>
      <c r="K133" s="41" t="s">
        <v>605</v>
      </c>
      <c r="L133" s="41" t="s">
        <v>600</v>
      </c>
      <c r="M133" s="42">
        <v>45195</v>
      </c>
      <c r="N133" s="42">
        <v>45216</v>
      </c>
      <c r="O133" s="42">
        <v>46022</v>
      </c>
      <c r="P133" s="41" t="s">
        <v>947</v>
      </c>
      <c r="Q133" s="41" t="s">
        <v>948</v>
      </c>
      <c r="R133" s="41" t="s">
        <v>949</v>
      </c>
      <c r="S133" s="43" t="s">
        <v>950</v>
      </c>
      <c r="T133" s="41"/>
    </row>
    <row r="134" spans="1:20" s="44" customFormat="1" ht="25.05" customHeight="1" x14ac:dyDescent="0.3">
      <c r="A134" s="41"/>
      <c r="B134" s="41"/>
      <c r="C134" s="41"/>
      <c r="D134" s="41" t="s">
        <v>951</v>
      </c>
      <c r="E134" s="41"/>
      <c r="F134" s="2" t="s">
        <v>252</v>
      </c>
      <c r="G134" s="2" t="s">
        <v>256</v>
      </c>
      <c r="H134" s="2"/>
      <c r="I134" s="41" t="s">
        <v>720</v>
      </c>
      <c r="J134" s="41" t="s">
        <v>252</v>
      </c>
      <c r="K134" s="41" t="s">
        <v>605</v>
      </c>
      <c r="L134" s="41" t="s">
        <v>600</v>
      </c>
      <c r="M134" s="42">
        <v>45965</v>
      </c>
      <c r="N134" s="42">
        <v>45965</v>
      </c>
      <c r="O134" s="42">
        <v>45972</v>
      </c>
      <c r="P134" s="41" t="s">
        <v>952</v>
      </c>
      <c r="Q134" s="41" t="s">
        <v>519</v>
      </c>
      <c r="R134" s="41"/>
      <c r="S134" s="43" t="s">
        <v>953</v>
      </c>
      <c r="T134" s="41"/>
    </row>
    <row r="135" spans="1:20" s="44" customFormat="1" ht="25.05" customHeight="1" x14ac:dyDescent="0.3">
      <c r="A135" s="41"/>
      <c r="B135" s="41" t="s">
        <v>954</v>
      </c>
      <c r="C135" s="41"/>
      <c r="D135" s="41" t="s">
        <v>955</v>
      </c>
      <c r="E135" s="41"/>
      <c r="F135" s="2" t="s">
        <v>252</v>
      </c>
      <c r="G135" s="2" t="s">
        <v>256</v>
      </c>
      <c r="H135" s="2"/>
      <c r="I135" s="41" t="s">
        <v>720</v>
      </c>
      <c r="J135" s="41" t="s">
        <v>252</v>
      </c>
      <c r="K135" s="41" t="s">
        <v>605</v>
      </c>
      <c r="L135" s="41" t="s">
        <v>600</v>
      </c>
      <c r="M135" s="42">
        <v>46133</v>
      </c>
      <c r="N135" s="42">
        <v>46133</v>
      </c>
      <c r="O135" s="42">
        <v>46141</v>
      </c>
      <c r="P135" s="41" t="s">
        <v>952</v>
      </c>
      <c r="Q135" s="41" t="s">
        <v>519</v>
      </c>
      <c r="R135" s="41"/>
      <c r="S135" s="43" t="s">
        <v>956</v>
      </c>
      <c r="T135" s="41"/>
    </row>
    <row r="136" spans="1:20" s="44" customFormat="1" ht="25.05" customHeight="1" x14ac:dyDescent="0.3">
      <c r="A136" s="41"/>
      <c r="B136" s="41"/>
      <c r="C136" s="41"/>
      <c r="D136" s="47" t="s">
        <v>957</v>
      </c>
      <c r="E136" s="47"/>
      <c r="F136" s="2" t="s">
        <v>252</v>
      </c>
      <c r="G136" s="2" t="s">
        <v>256</v>
      </c>
      <c r="H136" s="2" t="s">
        <v>958</v>
      </c>
      <c r="I136" s="47" t="s">
        <v>720</v>
      </c>
      <c r="J136" s="47" t="s">
        <v>252</v>
      </c>
      <c r="K136" s="47" t="s">
        <v>611</v>
      </c>
      <c r="L136" s="47" t="s">
        <v>606</v>
      </c>
      <c r="M136" s="47"/>
      <c r="N136" s="47"/>
      <c r="O136" s="47"/>
      <c r="P136" s="59" t="s">
        <v>959</v>
      </c>
      <c r="Q136" s="59" t="s">
        <v>724</v>
      </c>
      <c r="R136" s="47"/>
      <c r="S136" s="64"/>
      <c r="T136" s="47"/>
    </row>
    <row r="137" spans="1:20" s="44" customFormat="1" ht="25.05" customHeight="1" x14ac:dyDescent="0.3">
      <c r="A137" s="41"/>
      <c r="B137" s="41"/>
      <c r="C137" s="41"/>
      <c r="D137" s="47" t="s">
        <v>960</v>
      </c>
      <c r="E137" s="47"/>
      <c r="F137" s="2" t="s">
        <v>252</v>
      </c>
      <c r="G137" s="2" t="s">
        <v>961</v>
      </c>
      <c r="H137" s="2"/>
      <c r="I137" s="47" t="s">
        <v>720</v>
      </c>
      <c r="J137" s="47" t="s">
        <v>252</v>
      </c>
      <c r="K137" s="47" t="s">
        <v>611</v>
      </c>
      <c r="L137" s="47" t="s">
        <v>606</v>
      </c>
      <c r="M137" s="47"/>
      <c r="N137" s="47"/>
      <c r="O137" s="47"/>
      <c r="P137" s="59" t="s">
        <v>962</v>
      </c>
      <c r="Q137" s="59" t="s">
        <v>724</v>
      </c>
      <c r="R137" s="47"/>
      <c r="S137" s="64"/>
      <c r="T137" s="47"/>
    </row>
    <row r="138" spans="1:20" s="44" customFormat="1" ht="25.05" customHeight="1" x14ac:dyDescent="0.3">
      <c r="A138" s="41"/>
      <c r="B138" s="41"/>
      <c r="C138" s="41"/>
      <c r="D138" s="41" t="s">
        <v>963</v>
      </c>
      <c r="E138" s="41"/>
      <c r="F138" s="2" t="s">
        <v>252</v>
      </c>
      <c r="G138" s="2" t="s">
        <v>961</v>
      </c>
      <c r="H138" s="2"/>
      <c r="I138" s="41" t="s">
        <v>720</v>
      </c>
      <c r="J138" s="41" t="s">
        <v>252</v>
      </c>
      <c r="K138" s="41" t="s">
        <v>605</v>
      </c>
      <c r="L138" s="41" t="s">
        <v>600</v>
      </c>
      <c r="M138" s="42">
        <v>44498</v>
      </c>
      <c r="N138" s="42">
        <v>44664</v>
      </c>
      <c r="O138" s="42">
        <v>46022</v>
      </c>
      <c r="P138" s="41" t="s">
        <v>962</v>
      </c>
      <c r="Q138" s="41" t="s">
        <v>724</v>
      </c>
      <c r="R138" s="41" t="s">
        <v>964</v>
      </c>
      <c r="S138" s="43" t="s">
        <v>965</v>
      </c>
      <c r="T138" s="41"/>
    </row>
    <row r="139" spans="1:20" s="44" customFormat="1" ht="25.05" customHeight="1" x14ac:dyDescent="0.3">
      <c r="A139" s="41">
        <v>1</v>
      </c>
      <c r="B139" s="41"/>
      <c r="C139" s="51" t="str">
        <f>VLOOKUP(F139,[1]VLOOKUP!$A$2:$B$35,2,FALSE)</f>
        <v>华北</v>
      </c>
      <c r="D139" s="41" t="s">
        <v>558</v>
      </c>
      <c r="E139" s="41"/>
      <c r="F139" s="2" t="s">
        <v>252</v>
      </c>
      <c r="G139" s="2" t="s">
        <v>263</v>
      </c>
      <c r="H139" s="2"/>
      <c r="I139" s="41" t="s">
        <v>720</v>
      </c>
      <c r="J139" s="41" t="s">
        <v>252</v>
      </c>
      <c r="K139" s="41" t="s">
        <v>682</v>
      </c>
      <c r="L139" s="41" t="s">
        <v>600</v>
      </c>
      <c r="M139" s="42">
        <v>45495</v>
      </c>
      <c r="N139" s="42">
        <v>45503</v>
      </c>
      <c r="O139" s="42">
        <v>46233</v>
      </c>
      <c r="P139" s="41" t="s">
        <v>966</v>
      </c>
      <c r="Q139" s="41" t="s">
        <v>724</v>
      </c>
      <c r="R139" s="41" t="s">
        <v>967</v>
      </c>
      <c r="S139" s="43" t="s">
        <v>968</v>
      </c>
      <c r="T139" s="41"/>
    </row>
    <row r="140" spans="1:20" s="44" customFormat="1" ht="25.05" customHeight="1" x14ac:dyDescent="0.3">
      <c r="A140" s="41">
        <v>1</v>
      </c>
      <c r="B140" s="41"/>
      <c r="C140" s="51" t="str">
        <f>VLOOKUP(F140,[1]VLOOKUP!$A$2:$B$35,2,FALSE)</f>
        <v>华北</v>
      </c>
      <c r="D140" s="41" t="s">
        <v>969</v>
      </c>
      <c r="E140" s="41"/>
      <c r="F140" s="2" t="s">
        <v>252</v>
      </c>
      <c r="G140" s="2" t="s">
        <v>263</v>
      </c>
      <c r="H140" s="2"/>
      <c r="I140" s="41" t="s">
        <v>720</v>
      </c>
      <c r="J140" s="41" t="s">
        <v>252</v>
      </c>
      <c r="K140" s="41" t="s">
        <v>682</v>
      </c>
      <c r="L140" s="41" t="s">
        <v>600</v>
      </c>
      <c r="M140" s="42">
        <v>45706</v>
      </c>
      <c r="N140" s="42">
        <v>45706</v>
      </c>
      <c r="O140" s="42">
        <v>46801</v>
      </c>
      <c r="P140" s="41" t="s">
        <v>970</v>
      </c>
      <c r="Q140" s="41" t="s">
        <v>716</v>
      </c>
      <c r="R140" s="41" t="s">
        <v>971</v>
      </c>
      <c r="S140" s="43" t="s">
        <v>972</v>
      </c>
      <c r="T140" s="41"/>
    </row>
    <row r="141" spans="1:20" s="44" customFormat="1" ht="25.05" customHeight="1" x14ac:dyDescent="0.3">
      <c r="A141" s="41"/>
      <c r="B141" s="41"/>
      <c r="C141" s="41"/>
      <c r="D141" s="47" t="s">
        <v>973</v>
      </c>
      <c r="E141" s="47"/>
      <c r="F141" s="2" t="s">
        <v>252</v>
      </c>
      <c r="G141" s="2" t="s">
        <v>263</v>
      </c>
      <c r="H141" s="2"/>
      <c r="I141" s="47" t="s">
        <v>720</v>
      </c>
      <c r="J141" s="47" t="s">
        <v>252</v>
      </c>
      <c r="K141" s="47" t="s">
        <v>611</v>
      </c>
      <c r="L141" s="47" t="s">
        <v>606</v>
      </c>
      <c r="M141" s="47"/>
      <c r="N141" s="47"/>
      <c r="O141" s="47"/>
      <c r="P141" s="47"/>
      <c r="Q141" s="47"/>
      <c r="R141" s="47"/>
      <c r="S141" s="64"/>
      <c r="T141" s="47"/>
    </row>
    <row r="142" spans="1:20" s="44" customFormat="1" ht="25.05" customHeight="1" x14ac:dyDescent="0.3">
      <c r="A142" s="41"/>
      <c r="B142" s="41"/>
      <c r="C142" s="41"/>
      <c r="D142" s="49"/>
      <c r="E142" s="49"/>
      <c r="F142" s="3" t="s">
        <v>265</v>
      </c>
      <c r="G142" s="49"/>
      <c r="H142" s="49"/>
      <c r="I142" s="49"/>
      <c r="J142" s="49"/>
      <c r="K142" s="49"/>
      <c r="L142" s="49"/>
      <c r="M142" s="49"/>
      <c r="N142" s="49"/>
      <c r="O142" s="49"/>
      <c r="P142" s="49"/>
      <c r="Q142" s="49"/>
      <c r="R142" s="49"/>
      <c r="S142" s="50"/>
      <c r="T142" s="49"/>
    </row>
    <row r="143" spans="1:20" s="44" customFormat="1" ht="25.05" customHeight="1" x14ac:dyDescent="0.3">
      <c r="A143" s="41">
        <v>1</v>
      </c>
      <c r="B143" s="41"/>
      <c r="C143" s="51" t="str">
        <f>VLOOKUP(F143,[1]VLOOKUP!$A$2:$B$35,2,FALSE)</f>
        <v>华北</v>
      </c>
      <c r="D143" s="41" t="s">
        <v>974</v>
      </c>
      <c r="E143" s="41"/>
      <c r="F143" s="2" t="s">
        <v>265</v>
      </c>
      <c r="G143" s="2"/>
      <c r="H143" s="2"/>
      <c r="I143" s="41" t="s">
        <v>474</v>
      </c>
      <c r="J143" s="41" t="s">
        <v>265</v>
      </c>
      <c r="K143" s="41" t="s">
        <v>611</v>
      </c>
      <c r="L143" s="41" t="s">
        <v>600</v>
      </c>
      <c r="M143" s="42">
        <v>44771</v>
      </c>
      <c r="N143" s="42">
        <v>44778</v>
      </c>
      <c r="O143" s="42">
        <v>49674</v>
      </c>
      <c r="P143" s="41" t="s">
        <v>975</v>
      </c>
      <c r="Q143" s="41" t="s">
        <v>976</v>
      </c>
      <c r="R143" s="41" t="s">
        <v>977</v>
      </c>
      <c r="S143" s="43" t="s">
        <v>978</v>
      </c>
      <c r="T143" s="41"/>
    </row>
    <row r="144" spans="1:20" s="44" customFormat="1" ht="25.05" customHeight="1" x14ac:dyDescent="0.3">
      <c r="A144" s="41">
        <v>1</v>
      </c>
      <c r="B144" s="41"/>
      <c r="C144" s="51" t="str">
        <f>VLOOKUP(F144,[1]VLOOKUP!$A$2:$B$35,2,FALSE)</f>
        <v>华北</v>
      </c>
      <c r="D144" s="41" t="s">
        <v>979</v>
      </c>
      <c r="E144" s="41"/>
      <c r="F144" s="2" t="s">
        <v>265</v>
      </c>
      <c r="G144" s="2"/>
      <c r="H144" s="2"/>
      <c r="I144" s="41" t="s">
        <v>474</v>
      </c>
      <c r="J144" s="41" t="s">
        <v>265</v>
      </c>
      <c r="K144" s="41" t="s">
        <v>611</v>
      </c>
      <c r="L144" s="41" t="s">
        <v>600</v>
      </c>
      <c r="M144" s="42">
        <v>44791</v>
      </c>
      <c r="N144" s="42">
        <v>44791</v>
      </c>
      <c r="O144" s="42">
        <v>49674</v>
      </c>
      <c r="P144" s="41" t="s">
        <v>980</v>
      </c>
      <c r="Q144" s="41" t="s">
        <v>981</v>
      </c>
      <c r="R144" s="41" t="s">
        <v>982</v>
      </c>
      <c r="S144" s="43" t="s">
        <v>983</v>
      </c>
      <c r="T144" s="41"/>
    </row>
    <row r="145" spans="1:20" s="44" customFormat="1" ht="25.05" customHeight="1" x14ac:dyDescent="0.3">
      <c r="A145" s="41">
        <v>1</v>
      </c>
      <c r="B145" s="41"/>
      <c r="C145" s="51" t="str">
        <f>VLOOKUP(F145,[1]VLOOKUP!$A$2:$B$35,2,FALSE)</f>
        <v>华北</v>
      </c>
      <c r="D145" s="54" t="s">
        <v>984</v>
      </c>
      <c r="E145" s="54"/>
      <c r="F145" s="2" t="s">
        <v>265</v>
      </c>
      <c r="G145" s="2"/>
      <c r="H145" s="2"/>
      <c r="I145" s="54" t="s">
        <v>474</v>
      </c>
      <c r="J145" s="54" t="s">
        <v>265</v>
      </c>
      <c r="K145" s="54" t="s">
        <v>611</v>
      </c>
      <c r="L145" s="54" t="s">
        <v>600</v>
      </c>
      <c r="M145" s="54">
        <v>45037</v>
      </c>
      <c r="N145" s="54">
        <v>45037</v>
      </c>
      <c r="O145" s="54">
        <v>45291</v>
      </c>
      <c r="P145" s="54" t="s">
        <v>980</v>
      </c>
      <c r="Q145" s="54" t="s">
        <v>981</v>
      </c>
      <c r="R145" s="54" t="s">
        <v>985</v>
      </c>
      <c r="S145" s="55" t="s">
        <v>986</v>
      </c>
      <c r="T145" s="54"/>
    </row>
    <row r="146" spans="1:20" s="44" customFormat="1" ht="25.05" customHeight="1" x14ac:dyDescent="0.3">
      <c r="A146" s="41"/>
      <c r="B146" s="41"/>
      <c r="C146" s="41"/>
      <c r="D146" s="47" t="s">
        <v>987</v>
      </c>
      <c r="E146" s="47"/>
      <c r="F146" s="2" t="s">
        <v>265</v>
      </c>
      <c r="G146" s="2"/>
      <c r="H146" s="2"/>
      <c r="I146" s="47" t="s">
        <v>474</v>
      </c>
      <c r="J146" s="47" t="s">
        <v>265</v>
      </c>
      <c r="K146" s="47" t="s">
        <v>611</v>
      </c>
      <c r="L146" s="47" t="s">
        <v>606</v>
      </c>
      <c r="M146" s="47"/>
      <c r="N146" s="47"/>
      <c r="O146" s="47"/>
      <c r="P146" s="47" t="s">
        <v>980</v>
      </c>
      <c r="Q146" s="47" t="s">
        <v>981</v>
      </c>
      <c r="R146" s="47"/>
      <c r="S146" s="64"/>
      <c r="T146" s="47"/>
    </row>
    <row r="147" spans="1:20" s="44" customFormat="1" ht="25.05" customHeight="1" x14ac:dyDescent="0.3">
      <c r="A147" s="41">
        <v>1</v>
      </c>
      <c r="B147" s="41"/>
      <c r="C147" s="51" t="str">
        <f>VLOOKUP(F147,[1]VLOOKUP!$A$2:$B$35,2,FALSE)</f>
        <v>华北</v>
      </c>
      <c r="D147" s="54" t="s">
        <v>988</v>
      </c>
      <c r="E147" s="54"/>
      <c r="F147" s="2" t="s">
        <v>265</v>
      </c>
      <c r="G147" s="2"/>
      <c r="H147" s="2"/>
      <c r="I147" s="54" t="s">
        <v>474</v>
      </c>
      <c r="J147" s="54" t="s">
        <v>265</v>
      </c>
      <c r="K147" s="54" t="s">
        <v>611</v>
      </c>
      <c r="L147" s="54" t="s">
        <v>600</v>
      </c>
      <c r="M147" s="54">
        <v>45716</v>
      </c>
      <c r="N147" s="54">
        <v>45736</v>
      </c>
      <c r="O147" s="54">
        <v>46022</v>
      </c>
      <c r="P147" s="54" t="s">
        <v>980</v>
      </c>
      <c r="Q147" s="54" t="s">
        <v>981</v>
      </c>
      <c r="R147" s="54" t="s">
        <v>989</v>
      </c>
      <c r="S147" s="55" t="s">
        <v>990</v>
      </c>
      <c r="T147" s="54"/>
    </row>
    <row r="148" spans="1:20" s="44" customFormat="1" ht="25.05" customHeight="1" x14ac:dyDescent="0.3">
      <c r="A148" s="41">
        <v>1</v>
      </c>
      <c r="B148" s="41"/>
      <c r="C148" s="51" t="str">
        <f>VLOOKUP(F148,[1]VLOOKUP!$A$2:$B$35,2,FALSE)</f>
        <v>华北</v>
      </c>
      <c r="D148" s="41" t="s">
        <v>991</v>
      </c>
      <c r="E148" s="41"/>
      <c r="F148" s="2" t="s">
        <v>265</v>
      </c>
      <c r="G148" s="2"/>
      <c r="H148" s="2"/>
      <c r="I148" s="41" t="s">
        <v>474</v>
      </c>
      <c r="J148" s="41" t="s">
        <v>265</v>
      </c>
      <c r="K148" s="41" t="s">
        <v>599</v>
      </c>
      <c r="L148" s="41" t="s">
        <v>600</v>
      </c>
      <c r="M148" s="42">
        <v>45791</v>
      </c>
      <c r="N148" s="42">
        <v>45798</v>
      </c>
      <c r="O148" s="42">
        <v>46538</v>
      </c>
      <c r="P148" s="41" t="s">
        <v>992</v>
      </c>
      <c r="Q148" s="41" t="s">
        <v>993</v>
      </c>
      <c r="R148" s="41" t="s">
        <v>994</v>
      </c>
      <c r="S148" s="43" t="s">
        <v>995</v>
      </c>
      <c r="T148" s="41"/>
    </row>
    <row r="149" spans="1:20" s="44" customFormat="1" ht="25.05" customHeight="1" x14ac:dyDescent="0.3">
      <c r="A149" s="41">
        <v>1</v>
      </c>
      <c r="B149" s="41"/>
      <c r="C149" s="51" t="str">
        <f>VLOOKUP(F149,[1]VLOOKUP!$A$2:$B$35,2,FALSE)</f>
        <v>华北</v>
      </c>
      <c r="D149" s="41" t="s">
        <v>996</v>
      </c>
      <c r="E149" s="41"/>
      <c r="F149" s="2" t="s">
        <v>265</v>
      </c>
      <c r="G149" s="2" t="s">
        <v>495</v>
      </c>
      <c r="H149" s="2"/>
      <c r="I149" s="41" t="s">
        <v>720</v>
      </c>
      <c r="J149" s="41" t="s">
        <v>265</v>
      </c>
      <c r="K149" s="41" t="s">
        <v>611</v>
      </c>
      <c r="L149" s="41" t="s">
        <v>600</v>
      </c>
      <c r="M149" s="42">
        <v>44121</v>
      </c>
      <c r="N149" s="42">
        <v>44123</v>
      </c>
      <c r="O149" s="42">
        <v>47848</v>
      </c>
      <c r="P149" s="41" t="s">
        <v>997</v>
      </c>
      <c r="Q149" s="41" t="s">
        <v>724</v>
      </c>
      <c r="R149" s="41" t="s">
        <v>998</v>
      </c>
      <c r="S149" s="43" t="s">
        <v>999</v>
      </c>
      <c r="T149" s="41"/>
    </row>
    <row r="150" spans="1:20" s="44" customFormat="1" ht="25.05" customHeight="1" x14ac:dyDescent="0.3">
      <c r="A150" s="41">
        <v>1</v>
      </c>
      <c r="B150" s="41"/>
      <c r="C150" s="51" t="str">
        <f>VLOOKUP(F150,[1]VLOOKUP!$A$2:$B$35,2,FALSE)</f>
        <v>华北</v>
      </c>
      <c r="D150" s="47" t="s">
        <v>1000</v>
      </c>
      <c r="E150" s="47"/>
      <c r="F150" s="2" t="s">
        <v>265</v>
      </c>
      <c r="G150" s="2" t="s">
        <v>495</v>
      </c>
      <c r="H150" s="2"/>
      <c r="I150" s="47" t="s">
        <v>720</v>
      </c>
      <c r="J150" s="47" t="s">
        <v>265</v>
      </c>
      <c r="K150" s="47" t="s">
        <v>605</v>
      </c>
      <c r="L150" s="59" t="s">
        <v>600</v>
      </c>
      <c r="M150" s="59">
        <v>44121</v>
      </c>
      <c r="N150" s="59">
        <v>44123</v>
      </c>
      <c r="O150" s="47">
        <v>47848</v>
      </c>
      <c r="P150" s="47" t="s">
        <v>1001</v>
      </c>
      <c r="Q150" s="47" t="s">
        <v>1002</v>
      </c>
      <c r="R150" s="47" t="s">
        <v>1003</v>
      </c>
      <c r="S150" s="64"/>
      <c r="T150" s="47"/>
    </row>
    <row r="151" spans="1:20" s="44" customFormat="1" ht="25.05" customHeight="1" x14ac:dyDescent="0.3">
      <c r="A151" s="41">
        <v>1</v>
      </c>
      <c r="B151" s="41"/>
      <c r="C151" s="51" t="str">
        <f>VLOOKUP(F151,[1]VLOOKUP!$A$2:$B$35,2,FALSE)</f>
        <v>华北</v>
      </c>
      <c r="D151" s="52" t="s">
        <v>1004</v>
      </c>
      <c r="E151" s="52"/>
      <c r="F151" s="2" t="s">
        <v>265</v>
      </c>
      <c r="G151" s="2" t="s">
        <v>495</v>
      </c>
      <c r="H151" s="2"/>
      <c r="I151" s="52" t="s">
        <v>720</v>
      </c>
      <c r="J151" s="52" t="s">
        <v>265</v>
      </c>
      <c r="K151" s="52" t="s">
        <v>682</v>
      </c>
      <c r="L151" s="52" t="s">
        <v>663</v>
      </c>
      <c r="M151" s="52">
        <v>44121</v>
      </c>
      <c r="N151" s="52">
        <v>44123</v>
      </c>
      <c r="O151" s="52">
        <v>44384</v>
      </c>
      <c r="P151" s="52" t="s">
        <v>1005</v>
      </c>
      <c r="Q151" s="52" t="s">
        <v>1006</v>
      </c>
      <c r="R151" s="52" t="s">
        <v>1007</v>
      </c>
      <c r="S151" s="53"/>
      <c r="T151" s="52"/>
    </row>
    <row r="152" spans="1:20" s="44" customFormat="1" ht="25.05" customHeight="1" x14ac:dyDescent="0.3">
      <c r="A152" s="41">
        <v>1</v>
      </c>
      <c r="B152" s="41"/>
      <c r="C152" s="51" t="str">
        <f>VLOOKUP(F152,[1]VLOOKUP!$A$2:$B$35,2,FALSE)</f>
        <v>华北</v>
      </c>
      <c r="D152" s="52" t="s">
        <v>1008</v>
      </c>
      <c r="E152" s="52"/>
      <c r="F152" s="2" t="s">
        <v>265</v>
      </c>
      <c r="G152" s="2" t="s">
        <v>495</v>
      </c>
      <c r="H152" s="2"/>
      <c r="I152" s="52" t="s">
        <v>720</v>
      </c>
      <c r="J152" s="52" t="s">
        <v>265</v>
      </c>
      <c r="K152" s="52" t="s">
        <v>682</v>
      </c>
      <c r="L152" s="52" t="s">
        <v>663</v>
      </c>
      <c r="M152" s="52">
        <v>44384</v>
      </c>
      <c r="N152" s="52">
        <v>44389</v>
      </c>
      <c r="O152" s="52">
        <v>45480</v>
      </c>
      <c r="P152" s="52" t="s">
        <v>997</v>
      </c>
      <c r="Q152" s="52" t="s">
        <v>724</v>
      </c>
      <c r="R152" s="52" t="s">
        <v>1009</v>
      </c>
      <c r="S152" s="53" t="s">
        <v>1010</v>
      </c>
      <c r="T152" s="52"/>
    </row>
    <row r="153" spans="1:20" s="44" customFormat="1" ht="25.05" customHeight="1" x14ac:dyDescent="0.3">
      <c r="A153" s="41">
        <v>1</v>
      </c>
      <c r="B153" s="41"/>
      <c r="C153" s="51" t="str">
        <f>VLOOKUP(F153,[1]VLOOKUP!$A$2:$B$35,2,FALSE)</f>
        <v>华北</v>
      </c>
      <c r="D153" s="52" t="s">
        <v>1011</v>
      </c>
      <c r="E153" s="52"/>
      <c r="F153" s="2" t="s">
        <v>265</v>
      </c>
      <c r="G153" s="2" t="s">
        <v>495</v>
      </c>
      <c r="H153" s="2" t="s">
        <v>1012</v>
      </c>
      <c r="I153" s="52" t="s">
        <v>720</v>
      </c>
      <c r="J153" s="52" t="s">
        <v>265</v>
      </c>
      <c r="K153" s="52" t="s">
        <v>682</v>
      </c>
      <c r="L153" s="52" t="s">
        <v>663</v>
      </c>
      <c r="M153" s="52">
        <v>43552</v>
      </c>
      <c r="N153" s="52">
        <v>43556</v>
      </c>
      <c r="O153" s="52">
        <v>45291</v>
      </c>
      <c r="P153" s="52" t="s">
        <v>1013</v>
      </c>
      <c r="Q153" s="52" t="s">
        <v>724</v>
      </c>
      <c r="R153" s="52" t="s">
        <v>1014</v>
      </c>
      <c r="S153" s="53" t="s">
        <v>1015</v>
      </c>
      <c r="T153" s="52" t="s">
        <v>817</v>
      </c>
    </row>
    <row r="154" spans="1:20" s="44" customFormat="1" ht="25.05" customHeight="1" x14ac:dyDescent="0.3">
      <c r="A154" s="41">
        <v>1</v>
      </c>
      <c r="B154" s="41"/>
      <c r="C154" s="51" t="str">
        <f>VLOOKUP(F154,[1]VLOOKUP!$A$2:$B$35,2,FALSE)</f>
        <v>华北</v>
      </c>
      <c r="D154" s="41" t="s">
        <v>1016</v>
      </c>
      <c r="E154" s="41"/>
      <c r="F154" s="2" t="s">
        <v>265</v>
      </c>
      <c r="G154" s="2" t="s">
        <v>506</v>
      </c>
      <c r="H154" s="2"/>
      <c r="I154" s="41" t="s">
        <v>720</v>
      </c>
      <c r="J154" s="41" t="s">
        <v>265</v>
      </c>
      <c r="K154" s="41" t="s">
        <v>611</v>
      </c>
      <c r="L154" s="41" t="s">
        <v>600</v>
      </c>
      <c r="M154" s="42">
        <v>44104</v>
      </c>
      <c r="N154" s="42">
        <v>44104</v>
      </c>
      <c r="O154" s="42">
        <v>47848</v>
      </c>
      <c r="P154" s="41" t="s">
        <v>1017</v>
      </c>
      <c r="Q154" s="41" t="s">
        <v>724</v>
      </c>
      <c r="R154" s="41" t="s">
        <v>1018</v>
      </c>
      <c r="S154" s="43" t="s">
        <v>1019</v>
      </c>
      <c r="T154" s="41"/>
    </row>
    <row r="155" spans="1:20" s="44" customFormat="1" ht="25.05" customHeight="1" x14ac:dyDescent="0.3">
      <c r="A155" s="41">
        <v>1</v>
      </c>
      <c r="B155" s="41"/>
      <c r="C155" s="51" t="str">
        <f>VLOOKUP(F155,[1]VLOOKUP!$A$2:$B$35,2,FALSE)</f>
        <v>华北</v>
      </c>
      <c r="D155" s="41" t="s">
        <v>1020</v>
      </c>
      <c r="E155" s="41"/>
      <c r="F155" s="2" t="s">
        <v>265</v>
      </c>
      <c r="G155" s="2" t="s">
        <v>506</v>
      </c>
      <c r="H155" s="2"/>
      <c r="I155" s="41" t="s">
        <v>720</v>
      </c>
      <c r="J155" s="41" t="s">
        <v>265</v>
      </c>
      <c r="K155" s="41" t="s">
        <v>682</v>
      </c>
      <c r="L155" s="41" t="s">
        <v>600</v>
      </c>
      <c r="M155" s="42">
        <v>44120</v>
      </c>
      <c r="N155" s="42">
        <v>44120</v>
      </c>
      <c r="O155" s="42">
        <v>47848</v>
      </c>
      <c r="P155" s="41" t="s">
        <v>1017</v>
      </c>
      <c r="Q155" s="41" t="s">
        <v>724</v>
      </c>
      <c r="R155" s="41" t="s">
        <v>1021</v>
      </c>
      <c r="S155" s="43" t="s">
        <v>1022</v>
      </c>
      <c r="T155" s="41"/>
    </row>
    <row r="156" spans="1:20" s="44" customFormat="1" ht="25.05" customHeight="1" x14ac:dyDescent="0.3">
      <c r="A156" s="41"/>
      <c r="B156" s="41"/>
      <c r="C156" s="41"/>
      <c r="D156" s="41" t="s">
        <v>1023</v>
      </c>
      <c r="E156" s="41"/>
      <c r="F156" s="2" t="s">
        <v>265</v>
      </c>
      <c r="G156" s="2" t="s">
        <v>506</v>
      </c>
      <c r="H156" s="2"/>
      <c r="I156" s="41" t="s">
        <v>720</v>
      </c>
      <c r="J156" s="41" t="s">
        <v>265</v>
      </c>
      <c r="K156" s="41" t="s">
        <v>852</v>
      </c>
      <c r="L156" s="41" t="s">
        <v>600</v>
      </c>
      <c r="M156" s="42">
        <v>44120</v>
      </c>
      <c r="N156" s="42">
        <v>44124</v>
      </c>
      <c r="O156" s="42">
        <v>47848</v>
      </c>
      <c r="P156" s="41" t="s">
        <v>1017</v>
      </c>
      <c r="Q156" s="41" t="s">
        <v>724</v>
      </c>
      <c r="R156" s="41" t="s">
        <v>1024</v>
      </c>
      <c r="S156" s="43" t="s">
        <v>1025</v>
      </c>
      <c r="T156" s="41"/>
    </row>
    <row r="157" spans="1:20" s="44" customFormat="1" ht="25.05" customHeight="1" x14ac:dyDescent="0.3">
      <c r="A157" s="41">
        <v>1</v>
      </c>
      <c r="B157" s="41"/>
      <c r="C157" s="51" t="str">
        <f>VLOOKUP(F157,[1]VLOOKUP!$A$2:$B$35,2,FALSE)</f>
        <v>华北</v>
      </c>
      <c r="D157" s="54" t="s">
        <v>1026</v>
      </c>
      <c r="E157" s="54"/>
      <c r="F157" s="2" t="s">
        <v>265</v>
      </c>
      <c r="G157" s="2" t="s">
        <v>266</v>
      </c>
      <c r="H157" s="2"/>
      <c r="I157" s="54" t="s">
        <v>720</v>
      </c>
      <c r="J157" s="54" t="s">
        <v>265</v>
      </c>
      <c r="K157" s="54" t="s">
        <v>611</v>
      </c>
      <c r="L157" s="54" t="s">
        <v>600</v>
      </c>
      <c r="M157" s="54">
        <v>44673</v>
      </c>
      <c r="N157" s="54">
        <v>44673</v>
      </c>
      <c r="O157" s="54">
        <v>44926</v>
      </c>
      <c r="P157" s="54" t="s">
        <v>1027</v>
      </c>
      <c r="Q157" s="54" t="s">
        <v>724</v>
      </c>
      <c r="R157" s="54" t="s">
        <v>1028</v>
      </c>
      <c r="S157" s="55" t="s">
        <v>1029</v>
      </c>
      <c r="T157" s="54"/>
    </row>
    <row r="158" spans="1:20" s="44" customFormat="1" ht="25.05" customHeight="1" x14ac:dyDescent="0.3">
      <c r="A158" s="41">
        <v>1</v>
      </c>
      <c r="B158" s="41"/>
      <c r="C158" s="51" t="str">
        <f>VLOOKUP(F158,[1]VLOOKUP!$A$2:$B$35,2,FALSE)</f>
        <v>华北</v>
      </c>
      <c r="D158" s="41" t="s">
        <v>1030</v>
      </c>
      <c r="E158" s="41"/>
      <c r="F158" s="2" t="s">
        <v>265</v>
      </c>
      <c r="G158" s="2" t="s">
        <v>266</v>
      </c>
      <c r="H158" s="2"/>
      <c r="I158" s="41" t="s">
        <v>720</v>
      </c>
      <c r="J158" s="41" t="s">
        <v>265</v>
      </c>
      <c r="K158" s="41" t="s">
        <v>611</v>
      </c>
      <c r="L158" s="41" t="s">
        <v>600</v>
      </c>
      <c r="M158" s="42">
        <v>44728</v>
      </c>
      <c r="N158" s="42">
        <v>44728</v>
      </c>
      <c r="O158" s="42">
        <v>49674</v>
      </c>
      <c r="P158" s="41" t="s">
        <v>1027</v>
      </c>
      <c r="Q158" s="41" t="s">
        <v>724</v>
      </c>
      <c r="R158" s="41" t="s">
        <v>1031</v>
      </c>
      <c r="S158" s="43" t="s">
        <v>1032</v>
      </c>
      <c r="T158" s="41"/>
    </row>
    <row r="159" spans="1:20" s="44" customFormat="1" ht="25.05" customHeight="1" x14ac:dyDescent="0.3">
      <c r="A159" s="41">
        <v>1</v>
      </c>
      <c r="B159" s="41"/>
      <c r="C159" s="51" t="str">
        <f>VLOOKUP(F159,[1]VLOOKUP!$A$2:$B$35,2,FALSE)</f>
        <v>华北</v>
      </c>
      <c r="D159" s="41" t="s">
        <v>518</v>
      </c>
      <c r="E159" s="41"/>
      <c r="F159" s="2" t="s">
        <v>265</v>
      </c>
      <c r="G159" s="2" t="s">
        <v>266</v>
      </c>
      <c r="H159" s="2"/>
      <c r="I159" s="41" t="s">
        <v>720</v>
      </c>
      <c r="J159" s="41" t="s">
        <v>265</v>
      </c>
      <c r="K159" s="41" t="s">
        <v>682</v>
      </c>
      <c r="L159" s="41" t="s">
        <v>600</v>
      </c>
      <c r="M159" s="42">
        <v>44729</v>
      </c>
      <c r="N159" s="42">
        <v>44729</v>
      </c>
      <c r="O159" s="42">
        <v>49674</v>
      </c>
      <c r="P159" s="41" t="s">
        <v>1027</v>
      </c>
      <c r="Q159" s="41" t="s">
        <v>724</v>
      </c>
      <c r="R159" s="41" t="s">
        <v>1033</v>
      </c>
      <c r="S159" s="43" t="s">
        <v>1034</v>
      </c>
      <c r="T159" s="41"/>
    </row>
    <row r="160" spans="1:20" s="44" customFormat="1" ht="25.05" customHeight="1" x14ac:dyDescent="0.3">
      <c r="A160" s="41">
        <v>1</v>
      </c>
      <c r="B160" s="41"/>
      <c r="C160" s="51" t="str">
        <f>VLOOKUP(F160,[1]VLOOKUP!$A$2:$B$35,2,FALSE)</f>
        <v>华北</v>
      </c>
      <c r="D160" s="54" t="s">
        <v>1035</v>
      </c>
      <c r="E160" s="54"/>
      <c r="F160" s="2" t="s">
        <v>265</v>
      </c>
      <c r="G160" s="2" t="s">
        <v>266</v>
      </c>
      <c r="H160" s="2"/>
      <c r="I160" s="54" t="s">
        <v>720</v>
      </c>
      <c r="J160" s="54" t="s">
        <v>265</v>
      </c>
      <c r="K160" s="54" t="s">
        <v>682</v>
      </c>
      <c r="L160" s="54" t="s">
        <v>600</v>
      </c>
      <c r="M160" s="54">
        <v>44903</v>
      </c>
      <c r="N160" s="54">
        <v>44903</v>
      </c>
      <c r="O160" s="54">
        <v>44926</v>
      </c>
      <c r="P160" s="54" t="s">
        <v>1027</v>
      </c>
      <c r="Q160" s="54" t="s">
        <v>724</v>
      </c>
      <c r="R160" s="54" t="s">
        <v>1036</v>
      </c>
      <c r="S160" s="55" t="s">
        <v>1037</v>
      </c>
      <c r="T160" s="54"/>
    </row>
    <row r="161" spans="1:20" s="44" customFormat="1" ht="25.05" customHeight="1" x14ac:dyDescent="0.3">
      <c r="A161" s="41">
        <v>1</v>
      </c>
      <c r="B161" s="41"/>
      <c r="C161" s="51" t="str">
        <f>VLOOKUP(F161,[1]VLOOKUP!$A$2:$B$35,2,FALSE)</f>
        <v>华北</v>
      </c>
      <c r="D161" s="54" t="s">
        <v>1038</v>
      </c>
      <c r="E161" s="54"/>
      <c r="F161" s="2" t="s">
        <v>265</v>
      </c>
      <c r="G161" s="2" t="s">
        <v>266</v>
      </c>
      <c r="H161" s="2"/>
      <c r="I161" s="54" t="s">
        <v>720</v>
      </c>
      <c r="J161" s="54" t="s">
        <v>265</v>
      </c>
      <c r="K161" s="54" t="s">
        <v>599</v>
      </c>
      <c r="L161" s="54" t="s">
        <v>600</v>
      </c>
      <c r="M161" s="54">
        <v>44922</v>
      </c>
      <c r="N161" s="54">
        <v>44922</v>
      </c>
      <c r="O161" s="54">
        <v>44929</v>
      </c>
      <c r="P161" s="54" t="s">
        <v>1039</v>
      </c>
      <c r="Q161" s="54" t="s">
        <v>519</v>
      </c>
      <c r="R161" s="54"/>
      <c r="S161" s="55" t="s">
        <v>1040</v>
      </c>
      <c r="T161" s="54"/>
    </row>
    <row r="162" spans="1:20" s="44" customFormat="1" ht="25.05" customHeight="1" x14ac:dyDescent="0.3">
      <c r="A162" s="41">
        <v>1</v>
      </c>
      <c r="B162" s="41"/>
      <c r="C162" s="51" t="str">
        <f>VLOOKUP(F162,[1]VLOOKUP!$A$2:$B$35,2,FALSE)</f>
        <v>华北</v>
      </c>
      <c r="D162" s="41" t="s">
        <v>1041</v>
      </c>
      <c r="E162" s="41"/>
      <c r="F162" s="2" t="s">
        <v>265</v>
      </c>
      <c r="G162" s="2" t="s">
        <v>266</v>
      </c>
      <c r="H162" s="2"/>
      <c r="I162" s="41" t="s">
        <v>720</v>
      </c>
      <c r="J162" s="41" t="s">
        <v>265</v>
      </c>
      <c r="K162" s="41" t="s">
        <v>599</v>
      </c>
      <c r="L162" s="41" t="s">
        <v>600</v>
      </c>
      <c r="M162" s="42">
        <v>45487</v>
      </c>
      <c r="N162" s="42">
        <v>45487</v>
      </c>
      <c r="O162" s="42">
        <v>46217</v>
      </c>
      <c r="P162" s="41" t="s">
        <v>1027</v>
      </c>
      <c r="Q162" s="41" t="s">
        <v>724</v>
      </c>
      <c r="R162" s="41" t="s">
        <v>1042</v>
      </c>
      <c r="S162" s="43" t="s">
        <v>1043</v>
      </c>
      <c r="T162" s="41"/>
    </row>
    <row r="163" spans="1:20" s="44" customFormat="1" ht="25.05" customHeight="1" x14ac:dyDescent="0.3">
      <c r="A163" s="41">
        <v>1</v>
      </c>
      <c r="B163" s="41"/>
      <c r="C163" s="51" t="str">
        <f>VLOOKUP(F163,[1]VLOOKUP!$A$2:$B$35,2,FALSE)</f>
        <v>华北</v>
      </c>
      <c r="D163" s="41" t="s">
        <v>1044</v>
      </c>
      <c r="E163" s="41"/>
      <c r="F163" s="2" t="s">
        <v>265</v>
      </c>
      <c r="G163" s="2" t="s">
        <v>266</v>
      </c>
      <c r="H163" s="2"/>
      <c r="I163" s="41" t="s">
        <v>720</v>
      </c>
      <c r="J163" s="41" t="s">
        <v>265</v>
      </c>
      <c r="K163" s="41" t="s">
        <v>611</v>
      </c>
      <c r="L163" s="41" t="s">
        <v>600</v>
      </c>
      <c r="M163" s="42">
        <v>45991</v>
      </c>
      <c r="N163" s="42">
        <v>45991</v>
      </c>
      <c r="O163" s="42">
        <v>47848</v>
      </c>
      <c r="P163" s="41" t="s">
        <v>1027</v>
      </c>
      <c r="Q163" s="41" t="s">
        <v>724</v>
      </c>
      <c r="R163" s="41" t="s">
        <v>1045</v>
      </c>
      <c r="S163" s="43" t="s">
        <v>1046</v>
      </c>
      <c r="T163" s="41"/>
    </row>
    <row r="164" spans="1:20" s="44" customFormat="1" ht="25.05" customHeight="1" x14ac:dyDescent="0.3">
      <c r="A164" s="41">
        <v>1</v>
      </c>
      <c r="B164" s="41"/>
      <c r="C164" s="51" t="str">
        <f>VLOOKUP(F164,[1]VLOOKUP!$A$2:$B$35,2,FALSE)</f>
        <v>华北</v>
      </c>
      <c r="D164" s="41" t="s">
        <v>1047</v>
      </c>
      <c r="E164" s="41"/>
      <c r="F164" s="2" t="s">
        <v>265</v>
      </c>
      <c r="G164" s="2" t="s">
        <v>1048</v>
      </c>
      <c r="H164" s="2"/>
      <c r="I164" s="41" t="s">
        <v>720</v>
      </c>
      <c r="J164" s="41" t="s">
        <v>265</v>
      </c>
      <c r="K164" s="41" t="s">
        <v>611</v>
      </c>
      <c r="L164" s="41" t="s">
        <v>600</v>
      </c>
      <c r="M164" s="42">
        <v>45502</v>
      </c>
      <c r="N164" s="42">
        <v>45502</v>
      </c>
      <c r="O164" s="42">
        <v>49674</v>
      </c>
      <c r="P164" s="41" t="s">
        <v>1049</v>
      </c>
      <c r="Q164" s="41" t="s">
        <v>976</v>
      </c>
      <c r="R164" s="41" t="s">
        <v>1050</v>
      </c>
      <c r="S164" s="43" t="s">
        <v>1051</v>
      </c>
      <c r="T164" s="41"/>
    </row>
    <row r="165" spans="1:20" ht="25.05" customHeight="1" x14ac:dyDescent="0.3">
      <c r="A165" s="36"/>
      <c r="B165" s="36"/>
      <c r="C165" s="36"/>
      <c r="D165" s="60"/>
      <c r="E165" s="61"/>
      <c r="F165" s="3" t="s">
        <v>267</v>
      </c>
      <c r="G165" s="3"/>
      <c r="H165" s="3"/>
      <c r="I165" s="60"/>
      <c r="J165" s="60"/>
      <c r="K165" s="60"/>
      <c r="L165" s="60"/>
      <c r="M165" s="60"/>
      <c r="N165" s="60"/>
      <c r="O165" s="60"/>
      <c r="P165" s="60"/>
      <c r="Q165" s="60"/>
      <c r="R165" s="60"/>
      <c r="S165" s="62"/>
      <c r="T165" s="60"/>
    </row>
    <row r="166" spans="1:20" s="44" customFormat="1" ht="25.05" customHeight="1" x14ac:dyDescent="0.3">
      <c r="A166" s="41">
        <v>1</v>
      </c>
      <c r="B166" s="41"/>
      <c r="C166" s="51" t="str">
        <f>VLOOKUP(F166,[1]VLOOKUP!$A$2:$B$35,2,FALSE)</f>
        <v>华北</v>
      </c>
      <c r="D166" s="41" t="s">
        <v>1052</v>
      </c>
      <c r="E166" s="41"/>
      <c r="F166" s="2" t="s">
        <v>267</v>
      </c>
      <c r="G166" s="2"/>
      <c r="H166" s="2"/>
      <c r="I166" s="41" t="s">
        <v>474</v>
      </c>
      <c r="J166" s="41" t="s">
        <v>267</v>
      </c>
      <c r="K166" s="41" t="s">
        <v>611</v>
      </c>
      <c r="L166" s="41" t="s">
        <v>600</v>
      </c>
      <c r="M166" s="42">
        <v>44617</v>
      </c>
      <c r="N166" s="42">
        <v>44620</v>
      </c>
      <c r="O166" s="42">
        <v>46022</v>
      </c>
      <c r="P166" s="41" t="s">
        <v>1053</v>
      </c>
      <c r="Q166" s="41" t="s">
        <v>1054</v>
      </c>
      <c r="R166" s="41" t="s">
        <v>1055</v>
      </c>
      <c r="S166" s="43" t="s">
        <v>1056</v>
      </c>
      <c r="T166" s="41"/>
    </row>
    <row r="167" spans="1:20" s="44" customFormat="1" ht="25.05" customHeight="1" x14ac:dyDescent="0.3">
      <c r="A167" s="41">
        <v>1</v>
      </c>
      <c r="B167" s="41"/>
      <c r="C167" s="51" t="str">
        <f>VLOOKUP(F167,[1]VLOOKUP!$A$2:$B$35,2,FALSE)</f>
        <v>华北</v>
      </c>
      <c r="D167" s="41" t="s">
        <v>1057</v>
      </c>
      <c r="E167" s="41"/>
      <c r="F167" s="2" t="s">
        <v>267</v>
      </c>
      <c r="G167" s="2"/>
      <c r="H167" s="2"/>
      <c r="I167" s="41" t="s">
        <v>474</v>
      </c>
      <c r="J167" s="41" t="s">
        <v>267</v>
      </c>
      <c r="K167" s="41" t="s">
        <v>611</v>
      </c>
      <c r="L167" s="41" t="s">
        <v>600</v>
      </c>
      <c r="M167" s="42">
        <v>44618</v>
      </c>
      <c r="N167" s="42">
        <v>44623</v>
      </c>
      <c r="O167" s="42">
        <v>46022</v>
      </c>
      <c r="P167" s="41" t="s">
        <v>1058</v>
      </c>
      <c r="Q167" s="41" t="s">
        <v>724</v>
      </c>
      <c r="R167" s="41" t="s">
        <v>1059</v>
      </c>
      <c r="S167" s="43" t="s">
        <v>1060</v>
      </c>
      <c r="T167" s="41"/>
    </row>
    <row r="168" spans="1:20" s="44" customFormat="1" ht="25.05" customHeight="1" x14ac:dyDescent="0.3">
      <c r="A168" s="41">
        <v>1</v>
      </c>
      <c r="B168" s="41"/>
      <c r="C168" s="51" t="str">
        <f>VLOOKUP(F168,[1]VLOOKUP!$A$2:$B$35,2,FALSE)</f>
        <v>华北</v>
      </c>
      <c r="D168" s="52" t="s">
        <v>1061</v>
      </c>
      <c r="E168" s="52"/>
      <c r="F168" s="2" t="s">
        <v>267</v>
      </c>
      <c r="G168" s="2"/>
      <c r="H168" s="2"/>
      <c r="I168" s="52" t="s">
        <v>474</v>
      </c>
      <c r="J168" s="52" t="s">
        <v>267</v>
      </c>
      <c r="K168" s="52" t="s">
        <v>605</v>
      </c>
      <c r="L168" s="52" t="s">
        <v>663</v>
      </c>
      <c r="M168" s="52">
        <v>44173</v>
      </c>
      <c r="N168" s="52">
        <v>44173</v>
      </c>
      <c r="O168" s="52">
        <v>44188</v>
      </c>
      <c r="P168" s="52" t="s">
        <v>1053</v>
      </c>
      <c r="Q168" s="52" t="s">
        <v>1054</v>
      </c>
      <c r="R168" s="52"/>
      <c r="S168" s="53" t="s">
        <v>1062</v>
      </c>
      <c r="T168" s="52"/>
    </row>
    <row r="169" spans="1:20" s="44" customFormat="1" ht="25.05" customHeight="1" x14ac:dyDescent="0.3">
      <c r="A169" s="41"/>
      <c r="B169" s="41"/>
      <c r="C169" s="41"/>
      <c r="D169" s="47" t="s">
        <v>1063</v>
      </c>
      <c r="E169" s="47"/>
      <c r="F169" s="2" t="s">
        <v>267</v>
      </c>
      <c r="G169" s="2"/>
      <c r="H169" s="2"/>
      <c r="I169" s="47" t="s">
        <v>474</v>
      </c>
      <c r="J169" s="47" t="s">
        <v>267</v>
      </c>
      <c r="K169" s="47" t="s">
        <v>599</v>
      </c>
      <c r="L169" s="47" t="s">
        <v>606</v>
      </c>
      <c r="M169" s="47">
        <v>44399</v>
      </c>
      <c r="N169" s="47">
        <v>44399</v>
      </c>
      <c r="O169" s="47">
        <v>44561</v>
      </c>
      <c r="P169" s="47" t="s">
        <v>1053</v>
      </c>
      <c r="Q169" s="47" t="s">
        <v>1054</v>
      </c>
      <c r="R169" s="47" t="s">
        <v>1064</v>
      </c>
      <c r="S169" s="64"/>
      <c r="T169" s="47"/>
    </row>
    <row r="170" spans="1:20" s="44" customFormat="1" ht="25.05" customHeight="1" x14ac:dyDescent="0.3">
      <c r="A170" s="41">
        <v>1</v>
      </c>
      <c r="B170" s="41"/>
      <c r="C170" s="51" t="str">
        <f>VLOOKUP(F170,[1]VLOOKUP!$A$2:$B$35,2,FALSE)</f>
        <v>华北</v>
      </c>
      <c r="D170" s="52" t="s">
        <v>1065</v>
      </c>
      <c r="E170" s="52"/>
      <c r="F170" s="2" t="s">
        <v>267</v>
      </c>
      <c r="G170" s="2"/>
      <c r="H170" s="2"/>
      <c r="I170" s="52" t="s">
        <v>474</v>
      </c>
      <c r="J170" s="52" t="s">
        <v>267</v>
      </c>
      <c r="K170" s="52" t="s">
        <v>599</v>
      </c>
      <c r="L170" s="52" t="s">
        <v>663</v>
      </c>
      <c r="M170" s="52">
        <v>44769</v>
      </c>
      <c r="N170" s="52">
        <v>44769</v>
      </c>
      <c r="O170" s="52">
        <v>44804</v>
      </c>
      <c r="P170" s="52" t="s">
        <v>1053</v>
      </c>
      <c r="Q170" s="52" t="s">
        <v>1054</v>
      </c>
      <c r="R170" s="52" t="s">
        <v>1066</v>
      </c>
      <c r="S170" s="53" t="s">
        <v>1067</v>
      </c>
      <c r="T170" s="52"/>
    </row>
    <row r="171" spans="1:20" s="44" customFormat="1" ht="25.05" customHeight="1" x14ac:dyDescent="0.3">
      <c r="A171" s="41">
        <v>1</v>
      </c>
      <c r="B171" s="41"/>
      <c r="C171" s="51" t="str">
        <f>VLOOKUP(F171,[1]VLOOKUP!$A$2:$B$35,2,FALSE)</f>
        <v>华北</v>
      </c>
      <c r="D171" s="54" t="s">
        <v>1068</v>
      </c>
      <c r="E171" s="54"/>
      <c r="F171" s="2" t="s">
        <v>267</v>
      </c>
      <c r="G171" s="2"/>
      <c r="H171" s="2"/>
      <c r="I171" s="54" t="s">
        <v>474</v>
      </c>
      <c r="J171" s="54" t="s">
        <v>267</v>
      </c>
      <c r="K171" s="54" t="s">
        <v>682</v>
      </c>
      <c r="L171" s="54" t="s">
        <v>600</v>
      </c>
      <c r="M171" s="54">
        <v>44761</v>
      </c>
      <c r="N171" s="54">
        <v>44769</v>
      </c>
      <c r="O171" s="54">
        <v>44926</v>
      </c>
      <c r="P171" s="54" t="s">
        <v>1053</v>
      </c>
      <c r="Q171" s="54" t="s">
        <v>1054</v>
      </c>
      <c r="R171" s="54" t="s">
        <v>1069</v>
      </c>
      <c r="S171" s="55" t="s">
        <v>1070</v>
      </c>
      <c r="T171" s="54"/>
    </row>
    <row r="172" spans="1:20" s="44" customFormat="1" ht="25.05" customHeight="1" x14ac:dyDescent="0.3">
      <c r="A172" s="41">
        <v>1</v>
      </c>
      <c r="B172" s="41"/>
      <c r="C172" s="51" t="str">
        <f>VLOOKUP(F172,[1]VLOOKUP!$A$2:$B$35,2,FALSE)</f>
        <v>华北</v>
      </c>
      <c r="D172" s="54" t="s">
        <v>1071</v>
      </c>
      <c r="E172" s="54"/>
      <c r="F172" s="2" t="s">
        <v>267</v>
      </c>
      <c r="G172" s="2"/>
      <c r="H172" s="2"/>
      <c r="I172" s="54" t="s">
        <v>474</v>
      </c>
      <c r="J172" s="54" t="s">
        <v>267</v>
      </c>
      <c r="K172" s="54" t="s">
        <v>599</v>
      </c>
      <c r="L172" s="54" t="s">
        <v>600</v>
      </c>
      <c r="M172" s="54">
        <v>44832</v>
      </c>
      <c r="N172" s="54">
        <v>44833</v>
      </c>
      <c r="O172" s="54">
        <v>44926</v>
      </c>
      <c r="P172" s="54" t="s">
        <v>1053</v>
      </c>
      <c r="Q172" s="54" t="s">
        <v>1054</v>
      </c>
      <c r="R172" s="54" t="s">
        <v>1072</v>
      </c>
      <c r="S172" s="55" t="s">
        <v>1073</v>
      </c>
      <c r="T172" s="54"/>
    </row>
    <row r="173" spans="1:20" s="44" customFormat="1" ht="25.05" customHeight="1" x14ac:dyDescent="0.3">
      <c r="A173" s="41">
        <v>1</v>
      </c>
      <c r="B173" s="41"/>
      <c r="C173" s="51" t="str">
        <f>VLOOKUP(F173,[1]VLOOKUP!$A$2:$B$35,2,FALSE)</f>
        <v>华北</v>
      </c>
      <c r="D173" s="52" t="s">
        <v>1074</v>
      </c>
      <c r="E173" s="52"/>
      <c r="F173" s="2" t="s">
        <v>267</v>
      </c>
      <c r="G173" s="2"/>
      <c r="H173" s="2"/>
      <c r="I173" s="52" t="s">
        <v>474</v>
      </c>
      <c r="J173" s="52" t="s">
        <v>267</v>
      </c>
      <c r="K173" s="52" t="s">
        <v>599</v>
      </c>
      <c r="L173" s="52" t="s">
        <v>663</v>
      </c>
      <c r="M173" s="52">
        <v>44880</v>
      </c>
      <c r="N173" s="52">
        <v>44880</v>
      </c>
      <c r="O173" s="52">
        <v>44891</v>
      </c>
      <c r="P173" s="52" t="s">
        <v>1053</v>
      </c>
      <c r="Q173" s="52" t="s">
        <v>1054</v>
      </c>
      <c r="R173" s="52" t="s">
        <v>1075</v>
      </c>
      <c r="S173" s="53" t="s">
        <v>1076</v>
      </c>
      <c r="T173" s="52"/>
    </row>
    <row r="174" spans="1:20" s="44" customFormat="1" ht="25.05" customHeight="1" x14ac:dyDescent="0.3">
      <c r="A174" s="41">
        <v>1</v>
      </c>
      <c r="B174" s="41"/>
      <c r="C174" s="51" t="str">
        <f>VLOOKUP(F174,[1]VLOOKUP!$A$2:$B$35,2,FALSE)</f>
        <v>华北</v>
      </c>
      <c r="D174" s="54" t="s">
        <v>1077</v>
      </c>
      <c r="E174" s="54"/>
      <c r="F174" s="2" t="s">
        <v>267</v>
      </c>
      <c r="G174" s="2"/>
      <c r="H174" s="2"/>
      <c r="I174" s="54" t="s">
        <v>474</v>
      </c>
      <c r="J174" s="54" t="s">
        <v>267</v>
      </c>
      <c r="K174" s="54" t="s">
        <v>599</v>
      </c>
      <c r="L174" s="54" t="s">
        <v>600</v>
      </c>
      <c r="M174" s="54">
        <v>44917</v>
      </c>
      <c r="N174" s="54">
        <v>44918</v>
      </c>
      <c r="O174" s="54">
        <v>44926</v>
      </c>
      <c r="P174" s="54" t="s">
        <v>1053</v>
      </c>
      <c r="Q174" s="54" t="s">
        <v>1054</v>
      </c>
      <c r="R174" s="54" t="s">
        <v>1078</v>
      </c>
      <c r="S174" s="55" t="s">
        <v>1079</v>
      </c>
      <c r="T174" s="54"/>
    </row>
    <row r="175" spans="1:20" s="44" customFormat="1" ht="25.05" customHeight="1" x14ac:dyDescent="0.3">
      <c r="A175" s="41">
        <v>1</v>
      </c>
      <c r="B175" s="41"/>
      <c r="C175" s="51" t="str">
        <f>VLOOKUP(F175,[1]VLOOKUP!$A$2:$B$35,2,FALSE)</f>
        <v>华北</v>
      </c>
      <c r="D175" s="54" t="s">
        <v>1080</v>
      </c>
      <c r="E175" s="54"/>
      <c r="F175" s="2" t="s">
        <v>267</v>
      </c>
      <c r="G175" s="2"/>
      <c r="H175" s="2"/>
      <c r="I175" s="54" t="s">
        <v>474</v>
      </c>
      <c r="J175" s="54" t="s">
        <v>267</v>
      </c>
      <c r="K175" s="54" t="s">
        <v>599</v>
      </c>
      <c r="L175" s="54" t="s">
        <v>600</v>
      </c>
      <c r="M175" s="54">
        <v>44929</v>
      </c>
      <c r="N175" s="54">
        <v>44930</v>
      </c>
      <c r="O175" s="54">
        <v>45291</v>
      </c>
      <c r="P175" s="54" t="s">
        <v>1053</v>
      </c>
      <c r="Q175" s="54" t="s">
        <v>1054</v>
      </c>
      <c r="R175" s="54" t="s">
        <v>1081</v>
      </c>
      <c r="S175" s="55" t="s">
        <v>1082</v>
      </c>
      <c r="T175" s="54"/>
    </row>
    <row r="176" spans="1:20" s="44" customFormat="1" ht="25.05" customHeight="1" x14ac:dyDescent="0.3">
      <c r="A176" s="41"/>
      <c r="B176" s="41"/>
      <c r="C176" s="41"/>
      <c r="D176" s="47" t="s">
        <v>1083</v>
      </c>
      <c r="E176" s="47"/>
      <c r="F176" s="2" t="s">
        <v>267</v>
      </c>
      <c r="G176" s="2"/>
      <c r="H176" s="2"/>
      <c r="I176" s="47" t="s">
        <v>474</v>
      </c>
      <c r="J176" s="47" t="s">
        <v>267</v>
      </c>
      <c r="K176" s="47" t="s">
        <v>599</v>
      </c>
      <c r="L176" s="47" t="s">
        <v>606</v>
      </c>
      <c r="M176" s="47"/>
      <c r="N176" s="47"/>
      <c r="O176" s="47"/>
      <c r="P176" s="47" t="s">
        <v>1053</v>
      </c>
      <c r="Q176" s="47" t="s">
        <v>1054</v>
      </c>
      <c r="R176" s="47" t="s">
        <v>1084</v>
      </c>
      <c r="S176" s="64"/>
      <c r="T176" s="47"/>
    </row>
    <row r="177" spans="1:20" s="44" customFormat="1" ht="25.05" customHeight="1" x14ac:dyDescent="0.3">
      <c r="A177" s="41">
        <v>1</v>
      </c>
      <c r="B177" s="41"/>
      <c r="C177" s="51" t="str">
        <f>VLOOKUP(F177,[1]VLOOKUP!$A$2:$B$35,2,FALSE)</f>
        <v>华北</v>
      </c>
      <c r="D177" s="41" t="s">
        <v>535</v>
      </c>
      <c r="E177" s="41"/>
      <c r="F177" s="2" t="s">
        <v>267</v>
      </c>
      <c r="G177" s="2"/>
      <c r="H177" s="2"/>
      <c r="I177" s="41" t="s">
        <v>474</v>
      </c>
      <c r="J177" s="41" t="s">
        <v>267</v>
      </c>
      <c r="K177" s="41" t="s">
        <v>682</v>
      </c>
      <c r="L177" s="41" t="s">
        <v>600</v>
      </c>
      <c r="M177" s="42">
        <v>44924</v>
      </c>
      <c r="N177" s="42">
        <v>44945</v>
      </c>
      <c r="O177" s="42">
        <v>45676</v>
      </c>
      <c r="P177" s="41" t="s">
        <v>1085</v>
      </c>
      <c r="Q177" s="41" t="s">
        <v>1086</v>
      </c>
      <c r="R177" s="41" t="s">
        <v>1087</v>
      </c>
      <c r="S177" s="43" t="s">
        <v>1088</v>
      </c>
      <c r="T177" s="41"/>
    </row>
    <row r="178" spans="1:20" s="44" customFormat="1" ht="25.05" customHeight="1" x14ac:dyDescent="0.3">
      <c r="A178" s="41">
        <v>1</v>
      </c>
      <c r="B178" s="41"/>
      <c r="C178" s="51" t="str">
        <f>VLOOKUP(F178,[1]VLOOKUP!$A$2:$B$35,2,FALSE)</f>
        <v>华北</v>
      </c>
      <c r="D178" s="41" t="s">
        <v>1089</v>
      </c>
      <c r="E178" s="41"/>
      <c r="F178" s="2" t="s">
        <v>267</v>
      </c>
      <c r="G178" s="2"/>
      <c r="H178" s="2"/>
      <c r="I178" s="41" t="s">
        <v>474</v>
      </c>
      <c r="J178" s="41" t="s">
        <v>267</v>
      </c>
      <c r="K178" s="41" t="s">
        <v>682</v>
      </c>
      <c r="L178" s="41" t="s">
        <v>600</v>
      </c>
      <c r="M178" s="42">
        <v>45240</v>
      </c>
      <c r="N178" s="42">
        <v>45240</v>
      </c>
      <c r="O178" s="42">
        <v>46022</v>
      </c>
      <c r="P178" s="41" t="s">
        <v>1053</v>
      </c>
      <c r="Q178" s="41" t="s">
        <v>1054</v>
      </c>
      <c r="R178" s="41" t="s">
        <v>1090</v>
      </c>
      <c r="S178" s="43" t="s">
        <v>1091</v>
      </c>
      <c r="T178" s="41"/>
    </row>
    <row r="179" spans="1:20" s="44" customFormat="1" ht="25.05" customHeight="1" x14ac:dyDescent="0.3">
      <c r="A179" s="41"/>
      <c r="B179" s="41"/>
      <c r="C179" s="41"/>
      <c r="D179" s="47" t="s">
        <v>1092</v>
      </c>
      <c r="E179" s="47"/>
      <c r="F179" s="2" t="s">
        <v>267</v>
      </c>
      <c r="G179" s="2"/>
      <c r="H179" s="2"/>
      <c r="I179" s="47" t="s">
        <v>474</v>
      </c>
      <c r="J179" s="47" t="s">
        <v>267</v>
      </c>
      <c r="K179" s="47" t="s">
        <v>611</v>
      </c>
      <c r="L179" s="47"/>
      <c r="M179" s="47"/>
      <c r="N179" s="47"/>
      <c r="O179" s="47"/>
      <c r="P179" s="47" t="s">
        <v>1093</v>
      </c>
      <c r="Q179" s="47" t="s">
        <v>1094</v>
      </c>
      <c r="R179" s="47" t="s">
        <v>1095</v>
      </c>
      <c r="S179" s="64"/>
      <c r="T179" s="47"/>
    </row>
    <row r="180" spans="1:20" s="44" customFormat="1" ht="25.05" customHeight="1" x14ac:dyDescent="0.3">
      <c r="A180" s="41">
        <v>1</v>
      </c>
      <c r="B180" s="41"/>
      <c r="C180" s="51" t="str">
        <f>VLOOKUP(F180,[1]VLOOKUP!$A$2:$B$35,2,FALSE)</f>
        <v>华北</v>
      </c>
      <c r="D180" s="41" t="s">
        <v>1096</v>
      </c>
      <c r="E180" s="41"/>
      <c r="F180" s="2" t="s">
        <v>267</v>
      </c>
      <c r="G180" s="2"/>
      <c r="H180" s="2"/>
      <c r="I180" s="41" t="s">
        <v>474</v>
      </c>
      <c r="J180" s="41" t="s">
        <v>267</v>
      </c>
      <c r="K180" s="41" t="s">
        <v>852</v>
      </c>
      <c r="L180" s="41" t="s">
        <v>600</v>
      </c>
      <c r="M180" s="42">
        <v>45391</v>
      </c>
      <c r="N180" s="42">
        <v>45398</v>
      </c>
      <c r="O180" s="42">
        <v>46157</v>
      </c>
      <c r="P180" s="41" t="s">
        <v>1097</v>
      </c>
      <c r="Q180" s="41" t="s">
        <v>1098</v>
      </c>
      <c r="R180" s="41" t="s">
        <v>1099</v>
      </c>
      <c r="S180" s="43" t="s">
        <v>1100</v>
      </c>
      <c r="T180" s="41"/>
    </row>
    <row r="181" spans="1:20" s="44" customFormat="1" ht="25.05" customHeight="1" x14ac:dyDescent="0.3">
      <c r="A181" s="41">
        <v>1</v>
      </c>
      <c r="B181" s="41"/>
      <c r="C181" s="51" t="str">
        <f>VLOOKUP(F181,[1]VLOOKUP!$A$2:$B$35,2,FALSE)</f>
        <v>华北</v>
      </c>
      <c r="D181" s="41" t="s">
        <v>1101</v>
      </c>
      <c r="E181" s="41"/>
      <c r="F181" s="2" t="s">
        <v>267</v>
      </c>
      <c r="G181" s="2"/>
      <c r="H181" s="2"/>
      <c r="I181" s="41" t="s">
        <v>474</v>
      </c>
      <c r="J181" s="41" t="s">
        <v>267</v>
      </c>
      <c r="K181" s="41" t="s">
        <v>611</v>
      </c>
      <c r="L181" s="41" t="s">
        <v>600</v>
      </c>
      <c r="M181" s="42">
        <v>45442</v>
      </c>
      <c r="N181" s="42">
        <v>45450</v>
      </c>
      <c r="O181" s="42">
        <v>46022</v>
      </c>
      <c r="P181" s="41" t="s">
        <v>1058</v>
      </c>
      <c r="Q181" s="41" t="s">
        <v>724</v>
      </c>
      <c r="R181" s="41" t="s">
        <v>1102</v>
      </c>
      <c r="S181" s="43" t="s">
        <v>1103</v>
      </c>
      <c r="T181" s="41"/>
    </row>
    <row r="182" spans="1:20" s="44" customFormat="1" ht="25.05" customHeight="1" x14ac:dyDescent="0.3">
      <c r="A182" s="41">
        <v>1</v>
      </c>
      <c r="B182" s="41"/>
      <c r="C182" s="51" t="str">
        <f>VLOOKUP(F182,[1]VLOOKUP!$A$2:$B$35,2,FALSE)</f>
        <v>华北</v>
      </c>
      <c r="D182" s="41" t="s">
        <v>1104</v>
      </c>
      <c r="E182" s="41"/>
      <c r="F182" s="2" t="s">
        <v>267</v>
      </c>
      <c r="G182" s="2"/>
      <c r="H182" s="2"/>
      <c r="I182" s="41" t="s">
        <v>474</v>
      </c>
      <c r="J182" s="41" t="s">
        <v>267</v>
      </c>
      <c r="K182" s="41" t="s">
        <v>599</v>
      </c>
      <c r="L182" s="41" t="s">
        <v>600</v>
      </c>
      <c r="M182" s="42">
        <v>45491</v>
      </c>
      <c r="N182" s="42">
        <v>45491</v>
      </c>
      <c r="O182" s="42">
        <v>45513</v>
      </c>
      <c r="P182" s="41" t="s">
        <v>1105</v>
      </c>
      <c r="Q182" s="41" t="s">
        <v>935</v>
      </c>
      <c r="R182" s="41"/>
      <c r="S182" s="43" t="s">
        <v>1106</v>
      </c>
      <c r="T182" s="41"/>
    </row>
    <row r="183" spans="1:20" s="44" customFormat="1" ht="25.05" customHeight="1" x14ac:dyDescent="0.3">
      <c r="A183" s="41">
        <v>1</v>
      </c>
      <c r="B183" s="41"/>
      <c r="C183" s="51" t="str">
        <f>VLOOKUP(F183,[1]VLOOKUP!$A$2:$B$35,2,FALSE)</f>
        <v>华北</v>
      </c>
      <c r="D183" s="41" t="s">
        <v>1107</v>
      </c>
      <c r="E183" s="41"/>
      <c r="F183" s="2" t="s">
        <v>267</v>
      </c>
      <c r="G183" s="2"/>
      <c r="H183" s="2"/>
      <c r="I183" s="41" t="s">
        <v>474</v>
      </c>
      <c r="J183" s="41" t="s">
        <v>267</v>
      </c>
      <c r="K183" s="41" t="s">
        <v>611</v>
      </c>
      <c r="L183" s="41" t="s">
        <v>600</v>
      </c>
      <c r="M183" s="42">
        <v>45618</v>
      </c>
      <c r="N183" s="42">
        <v>45618</v>
      </c>
      <c r="O183" s="42">
        <v>49674</v>
      </c>
      <c r="P183" s="41" t="s">
        <v>1053</v>
      </c>
      <c r="Q183" s="41" t="s">
        <v>1054</v>
      </c>
      <c r="R183" s="41" t="s">
        <v>1108</v>
      </c>
      <c r="S183" s="43" t="s">
        <v>1109</v>
      </c>
      <c r="T183" s="41"/>
    </row>
    <row r="184" spans="1:20" s="44" customFormat="1" ht="25.05" customHeight="1" x14ac:dyDescent="0.3">
      <c r="A184" s="41"/>
      <c r="B184" s="41"/>
      <c r="C184" s="41"/>
      <c r="D184" s="47" t="s">
        <v>1110</v>
      </c>
      <c r="E184" s="47"/>
      <c r="F184" s="2" t="s">
        <v>267</v>
      </c>
      <c r="G184" s="2"/>
      <c r="H184" s="2"/>
      <c r="I184" s="47" t="s">
        <v>474</v>
      </c>
      <c r="J184" s="47" t="s">
        <v>267</v>
      </c>
      <c r="K184" s="47" t="s">
        <v>611</v>
      </c>
      <c r="L184" s="47" t="s">
        <v>606</v>
      </c>
      <c r="M184" s="47"/>
      <c r="N184" s="47"/>
      <c r="O184" s="47"/>
      <c r="P184" s="47"/>
      <c r="Q184" s="47"/>
      <c r="R184" s="47"/>
      <c r="S184" s="64"/>
      <c r="T184" s="47"/>
    </row>
    <row r="185" spans="1:20" s="44" customFormat="1" ht="25.05" customHeight="1" x14ac:dyDescent="0.3">
      <c r="A185" s="41">
        <v>1</v>
      </c>
      <c r="B185" s="41"/>
      <c r="C185" s="51" t="str">
        <f>VLOOKUP(F185,[1]VLOOKUP!$A$2:$B$35,2,FALSE)</f>
        <v>华北</v>
      </c>
      <c r="D185" s="41" t="s">
        <v>1111</v>
      </c>
      <c r="E185" s="41"/>
      <c r="F185" s="2" t="s">
        <v>267</v>
      </c>
      <c r="G185" s="2"/>
      <c r="H185" s="2"/>
      <c r="I185" s="41" t="s">
        <v>474</v>
      </c>
      <c r="J185" s="41" t="s">
        <v>267</v>
      </c>
      <c r="K185" s="41" t="s">
        <v>599</v>
      </c>
      <c r="L185" s="41" t="s">
        <v>600</v>
      </c>
      <c r="M185" s="42">
        <v>45647</v>
      </c>
      <c r="N185" s="42">
        <v>45649</v>
      </c>
      <c r="O185" s="42">
        <v>49674</v>
      </c>
      <c r="P185" s="41" t="s">
        <v>1053</v>
      </c>
      <c r="Q185" s="41" t="s">
        <v>1054</v>
      </c>
      <c r="R185" s="41" t="s">
        <v>1112</v>
      </c>
      <c r="S185" s="43"/>
      <c r="T185" s="41"/>
    </row>
    <row r="186" spans="1:20" s="44" customFormat="1" ht="25.05" customHeight="1" x14ac:dyDescent="0.3">
      <c r="A186" s="41"/>
      <c r="B186" s="41"/>
      <c r="C186" s="41"/>
      <c r="D186" s="47" t="s">
        <v>1113</v>
      </c>
      <c r="E186" s="47"/>
      <c r="F186" s="2" t="s">
        <v>267</v>
      </c>
      <c r="G186" s="2"/>
      <c r="H186" s="2"/>
      <c r="I186" s="47" t="s">
        <v>474</v>
      </c>
      <c r="J186" s="47" t="s">
        <v>267</v>
      </c>
      <c r="K186" s="47" t="s">
        <v>599</v>
      </c>
      <c r="L186" s="47" t="s">
        <v>606</v>
      </c>
      <c r="M186" s="47"/>
      <c r="N186" s="47"/>
      <c r="O186" s="47"/>
      <c r="P186" s="47" t="s">
        <v>1053</v>
      </c>
      <c r="Q186" s="47" t="s">
        <v>1054</v>
      </c>
      <c r="R186" s="47" t="s">
        <v>1114</v>
      </c>
      <c r="S186" s="64" t="s">
        <v>1115</v>
      </c>
      <c r="T186" s="47"/>
    </row>
    <row r="187" spans="1:20" s="44" customFormat="1" ht="25.05" customHeight="1" x14ac:dyDescent="0.3">
      <c r="A187" s="41">
        <v>1</v>
      </c>
      <c r="B187" s="41"/>
      <c r="C187" s="51" t="str">
        <f>VLOOKUP(F187,[1]VLOOKUP!$A$2:$B$35,2,FALSE)</f>
        <v>华北</v>
      </c>
      <c r="D187" s="57" t="s">
        <v>1116</v>
      </c>
      <c r="E187" s="57"/>
      <c r="F187" s="2" t="s">
        <v>267</v>
      </c>
      <c r="G187" s="2"/>
      <c r="H187" s="2"/>
      <c r="I187" s="57" t="s">
        <v>474</v>
      </c>
      <c r="J187" s="57" t="s">
        <v>267</v>
      </c>
      <c r="K187" s="57" t="s">
        <v>599</v>
      </c>
      <c r="L187" s="57" t="s">
        <v>780</v>
      </c>
      <c r="M187" s="57">
        <v>45538</v>
      </c>
      <c r="N187" s="57">
        <v>45538</v>
      </c>
      <c r="O187" s="57">
        <v>45553</v>
      </c>
      <c r="P187" s="57" t="s">
        <v>1053</v>
      </c>
      <c r="Q187" s="57" t="s">
        <v>1054</v>
      </c>
      <c r="R187" s="57"/>
      <c r="S187" s="58" t="s">
        <v>1117</v>
      </c>
      <c r="T187" s="57"/>
    </row>
    <row r="188" spans="1:20" s="44" customFormat="1" ht="25.05" customHeight="1" x14ac:dyDescent="0.3">
      <c r="A188" s="41"/>
      <c r="B188" s="41"/>
      <c r="C188" s="41"/>
      <c r="D188" s="47" t="s">
        <v>1118</v>
      </c>
      <c r="E188" s="47"/>
      <c r="F188" s="2" t="s">
        <v>267</v>
      </c>
      <c r="G188" s="2"/>
      <c r="H188" s="2"/>
      <c r="I188" s="47" t="s">
        <v>474</v>
      </c>
      <c r="J188" s="47" t="s">
        <v>267</v>
      </c>
      <c r="K188" s="47" t="s">
        <v>599</v>
      </c>
      <c r="L188" s="47" t="s">
        <v>606</v>
      </c>
      <c r="M188" s="47"/>
      <c r="N188" s="47"/>
      <c r="O188" s="47"/>
      <c r="P188" s="47" t="s">
        <v>1119</v>
      </c>
      <c r="Q188" s="47" t="s">
        <v>1120</v>
      </c>
      <c r="R188" s="47"/>
      <c r="S188" s="64"/>
      <c r="T188" s="47"/>
    </row>
    <row r="189" spans="1:20" s="44" customFormat="1" ht="25.05" customHeight="1" x14ac:dyDescent="0.3">
      <c r="A189" s="41">
        <v>1</v>
      </c>
      <c r="B189" s="41"/>
      <c r="C189" s="51" t="str">
        <f>VLOOKUP(F189,[1]VLOOKUP!$A$2:$B$35,2,FALSE)</f>
        <v>华北</v>
      </c>
      <c r="D189" s="41" t="s">
        <v>1121</v>
      </c>
      <c r="E189" s="41"/>
      <c r="F189" s="2" t="s">
        <v>267</v>
      </c>
      <c r="G189" s="2" t="s">
        <v>270</v>
      </c>
      <c r="H189" s="2"/>
      <c r="I189" s="41" t="s">
        <v>720</v>
      </c>
      <c r="J189" s="41" t="s">
        <v>267</v>
      </c>
      <c r="K189" s="41" t="s">
        <v>611</v>
      </c>
      <c r="L189" s="41" t="s">
        <v>600</v>
      </c>
      <c r="M189" s="42">
        <v>45051</v>
      </c>
      <c r="N189" s="42">
        <v>45070</v>
      </c>
      <c r="O189" s="42">
        <v>47848</v>
      </c>
      <c r="P189" s="41" t="s">
        <v>1122</v>
      </c>
      <c r="Q189" s="41" t="s">
        <v>724</v>
      </c>
      <c r="R189" s="41" t="s">
        <v>1123</v>
      </c>
      <c r="S189" s="43" t="s">
        <v>1124</v>
      </c>
      <c r="T189" s="41"/>
    </row>
    <row r="190" spans="1:20" s="44" customFormat="1" ht="25.05" customHeight="1" x14ac:dyDescent="0.3">
      <c r="A190" s="41">
        <v>1</v>
      </c>
      <c r="B190" s="41"/>
      <c r="C190" s="51" t="str">
        <f>VLOOKUP(F190,[1]VLOOKUP!$A$2:$B$35,2,FALSE)</f>
        <v>华北</v>
      </c>
      <c r="D190" s="41" t="s">
        <v>1125</v>
      </c>
      <c r="E190" s="41"/>
      <c r="F190" s="2" t="s">
        <v>267</v>
      </c>
      <c r="G190" s="2" t="s">
        <v>270</v>
      </c>
      <c r="H190" s="2"/>
      <c r="I190" s="41" t="s">
        <v>720</v>
      </c>
      <c r="J190" s="41" t="s">
        <v>267</v>
      </c>
      <c r="K190" s="41" t="s">
        <v>599</v>
      </c>
      <c r="L190" s="41" t="s">
        <v>600</v>
      </c>
      <c r="M190" s="42">
        <v>45633</v>
      </c>
      <c r="N190" s="42">
        <v>45642</v>
      </c>
      <c r="O190" s="42">
        <v>46388</v>
      </c>
      <c r="P190" s="41" t="s">
        <v>1122</v>
      </c>
      <c r="Q190" s="41" t="s">
        <v>724</v>
      </c>
      <c r="R190" s="41" t="s">
        <v>1126</v>
      </c>
      <c r="S190" s="43" t="s">
        <v>1127</v>
      </c>
      <c r="T190" s="41"/>
    </row>
    <row r="191" spans="1:20" s="44" customFormat="1" ht="25.05" customHeight="1" x14ac:dyDescent="0.3">
      <c r="A191" s="41"/>
      <c r="B191" s="41"/>
      <c r="C191" s="41"/>
      <c r="D191" s="41" t="s">
        <v>1128</v>
      </c>
      <c r="E191" s="41"/>
      <c r="F191" s="2" t="s">
        <v>267</v>
      </c>
      <c r="G191" s="2" t="s">
        <v>270</v>
      </c>
      <c r="H191" s="2"/>
      <c r="I191" s="41" t="s">
        <v>720</v>
      </c>
      <c r="J191" s="41" t="s">
        <v>267</v>
      </c>
      <c r="K191" s="41" t="s">
        <v>682</v>
      </c>
      <c r="L191" s="41" t="s">
        <v>600</v>
      </c>
      <c r="M191" s="42">
        <v>45986</v>
      </c>
      <c r="N191" s="42">
        <v>45986</v>
      </c>
      <c r="O191" s="42">
        <v>46716</v>
      </c>
      <c r="P191" s="41" t="s">
        <v>1129</v>
      </c>
      <c r="Q191" s="41" t="s">
        <v>1130</v>
      </c>
      <c r="R191" s="41" t="s">
        <v>1131</v>
      </c>
      <c r="S191" s="43" t="s">
        <v>1132</v>
      </c>
      <c r="T191" s="41"/>
    </row>
    <row r="192" spans="1:20" s="44" customFormat="1" ht="25.05" customHeight="1" x14ac:dyDescent="0.3">
      <c r="A192" s="41">
        <v>1</v>
      </c>
      <c r="B192" s="41"/>
      <c r="C192" s="51" t="str">
        <f>VLOOKUP(F192,[1]VLOOKUP!$A$2:$B$35,2,FALSE)</f>
        <v>华北</v>
      </c>
      <c r="D192" s="52" t="s">
        <v>1133</v>
      </c>
      <c r="E192" s="52"/>
      <c r="F192" s="2" t="s">
        <v>267</v>
      </c>
      <c r="G192" s="2" t="s">
        <v>268</v>
      </c>
      <c r="H192" s="2"/>
      <c r="I192" s="52" t="s">
        <v>720</v>
      </c>
      <c r="J192" s="52" t="s">
        <v>267</v>
      </c>
      <c r="K192" s="52" t="s">
        <v>605</v>
      </c>
      <c r="L192" s="52" t="s">
        <v>663</v>
      </c>
      <c r="M192" s="52">
        <v>43801</v>
      </c>
      <c r="N192" s="52">
        <v>43964</v>
      </c>
      <c r="O192" s="52">
        <v>44926</v>
      </c>
      <c r="P192" s="52" t="s">
        <v>1134</v>
      </c>
      <c r="Q192" s="52" t="s">
        <v>716</v>
      </c>
      <c r="R192" s="52"/>
      <c r="S192" s="53" t="s">
        <v>1135</v>
      </c>
      <c r="T192" s="52"/>
    </row>
    <row r="193" spans="1:20" s="44" customFormat="1" ht="25.05" customHeight="1" x14ac:dyDescent="0.3">
      <c r="A193" s="41">
        <v>1</v>
      </c>
      <c r="B193" s="41"/>
      <c r="C193" s="51" t="str">
        <f>VLOOKUP(F193,[1]VLOOKUP!$A$2:$B$35,2,FALSE)</f>
        <v>华北</v>
      </c>
      <c r="D193" s="52" t="s">
        <v>1136</v>
      </c>
      <c r="E193" s="52"/>
      <c r="F193" s="2" t="s">
        <v>267</v>
      </c>
      <c r="G193" s="2" t="s">
        <v>268</v>
      </c>
      <c r="H193" s="2"/>
      <c r="I193" s="52" t="s">
        <v>720</v>
      </c>
      <c r="J193" s="52" t="s">
        <v>267</v>
      </c>
      <c r="K193" s="52" t="s">
        <v>605</v>
      </c>
      <c r="L193" s="52" t="s">
        <v>663</v>
      </c>
      <c r="M193" s="52">
        <v>43830</v>
      </c>
      <c r="N193" s="52">
        <v>44091</v>
      </c>
      <c r="O193" s="52">
        <v>44926</v>
      </c>
      <c r="P193" s="52" t="s">
        <v>1134</v>
      </c>
      <c r="Q193" s="52" t="s">
        <v>716</v>
      </c>
      <c r="R193" s="52" t="s">
        <v>1137</v>
      </c>
      <c r="S193" s="53" t="s">
        <v>1138</v>
      </c>
      <c r="T193" s="52"/>
    </row>
    <row r="194" spans="1:20" s="44" customFormat="1" ht="25.05" customHeight="1" x14ac:dyDescent="0.3">
      <c r="A194" s="41">
        <v>1</v>
      </c>
      <c r="B194" s="41"/>
      <c r="C194" s="51" t="str">
        <f>VLOOKUP(F194,[1]VLOOKUP!$A$2:$B$35,2,FALSE)</f>
        <v>华北</v>
      </c>
      <c r="D194" s="41" t="s">
        <v>1139</v>
      </c>
      <c r="E194" s="41"/>
      <c r="F194" s="2" t="s">
        <v>267</v>
      </c>
      <c r="G194" s="2" t="s">
        <v>268</v>
      </c>
      <c r="H194" s="2"/>
      <c r="I194" s="41" t="s">
        <v>720</v>
      </c>
      <c r="J194" s="41" t="s">
        <v>267</v>
      </c>
      <c r="K194" s="41" t="s">
        <v>611</v>
      </c>
      <c r="L194" s="41" t="s">
        <v>600</v>
      </c>
      <c r="M194" s="42">
        <v>44039</v>
      </c>
      <c r="N194" s="42">
        <v>44081</v>
      </c>
      <c r="O194" s="42">
        <v>46022</v>
      </c>
      <c r="P194" s="41" t="s">
        <v>1140</v>
      </c>
      <c r="Q194" s="41" t="s">
        <v>724</v>
      </c>
      <c r="R194" s="41" t="s">
        <v>1141</v>
      </c>
      <c r="S194" s="43" t="s">
        <v>1142</v>
      </c>
      <c r="T194" s="41"/>
    </row>
    <row r="195" spans="1:20" s="44" customFormat="1" ht="25.05" customHeight="1" x14ac:dyDescent="0.3">
      <c r="A195" s="41"/>
      <c r="B195" s="41"/>
      <c r="C195" s="41"/>
      <c r="D195" s="57" t="s">
        <v>1143</v>
      </c>
      <c r="E195" s="57"/>
      <c r="F195" s="2" t="s">
        <v>267</v>
      </c>
      <c r="G195" s="2" t="s">
        <v>268</v>
      </c>
      <c r="H195" s="2"/>
      <c r="I195" s="57" t="s">
        <v>720</v>
      </c>
      <c r="J195" s="57" t="s">
        <v>267</v>
      </c>
      <c r="K195" s="57" t="s">
        <v>611</v>
      </c>
      <c r="L195" s="57" t="s">
        <v>780</v>
      </c>
      <c r="M195" s="57">
        <v>45218</v>
      </c>
      <c r="N195" s="57">
        <v>45219</v>
      </c>
      <c r="O195" s="57">
        <v>45250</v>
      </c>
      <c r="P195" s="57" t="s">
        <v>1144</v>
      </c>
      <c r="Q195" s="57" t="s">
        <v>1054</v>
      </c>
      <c r="R195" s="57"/>
      <c r="S195" s="58" t="s">
        <v>1145</v>
      </c>
      <c r="T195" s="57"/>
    </row>
    <row r="196" spans="1:20" s="44" customFormat="1" ht="25.05" customHeight="1" x14ac:dyDescent="0.3">
      <c r="A196" s="41">
        <v>1</v>
      </c>
      <c r="B196" s="41"/>
      <c r="C196" s="51" t="str">
        <f>VLOOKUP(F196,[1]VLOOKUP!$A$2:$B$35,2,FALSE)</f>
        <v>华北</v>
      </c>
      <c r="D196" s="52" t="s">
        <v>1146</v>
      </c>
      <c r="E196" s="52"/>
      <c r="F196" s="2" t="s">
        <v>267</v>
      </c>
      <c r="G196" s="2" t="s">
        <v>268</v>
      </c>
      <c r="H196" s="2"/>
      <c r="I196" s="52" t="s">
        <v>720</v>
      </c>
      <c r="J196" s="52" t="s">
        <v>267</v>
      </c>
      <c r="K196" s="52" t="s">
        <v>682</v>
      </c>
      <c r="L196" s="52" t="s">
        <v>663</v>
      </c>
      <c r="M196" s="52">
        <v>43839</v>
      </c>
      <c r="N196" s="52">
        <v>43839</v>
      </c>
      <c r="O196" s="52">
        <v>46022</v>
      </c>
      <c r="P196" s="52" t="s">
        <v>1134</v>
      </c>
      <c r="Q196" s="52" t="s">
        <v>716</v>
      </c>
      <c r="R196" s="52"/>
      <c r="S196" s="53" t="s">
        <v>1147</v>
      </c>
      <c r="T196" s="52"/>
    </row>
    <row r="197" spans="1:20" s="44" customFormat="1" ht="25.05" customHeight="1" x14ac:dyDescent="0.3">
      <c r="A197" s="41">
        <v>1</v>
      </c>
      <c r="B197" s="41"/>
      <c r="C197" s="51" t="str">
        <f>VLOOKUP(F197,[1]VLOOKUP!$A$2:$B$35,2,FALSE)</f>
        <v>华北</v>
      </c>
      <c r="D197" s="41" t="s">
        <v>1148</v>
      </c>
      <c r="E197" s="41"/>
      <c r="F197" s="2" t="s">
        <v>267</v>
      </c>
      <c r="G197" s="2" t="s">
        <v>1149</v>
      </c>
      <c r="H197" s="2"/>
      <c r="I197" s="41" t="s">
        <v>720</v>
      </c>
      <c r="J197" s="41" t="s">
        <v>267</v>
      </c>
      <c r="K197" s="41" t="s">
        <v>611</v>
      </c>
      <c r="L197" s="41" t="s">
        <v>600</v>
      </c>
      <c r="M197" s="42">
        <v>44324</v>
      </c>
      <c r="N197" s="42">
        <v>44342</v>
      </c>
      <c r="O197" s="42">
        <v>46022</v>
      </c>
      <c r="P197" s="41" t="s">
        <v>1150</v>
      </c>
      <c r="Q197" s="41" t="s">
        <v>724</v>
      </c>
      <c r="R197" s="41" t="s">
        <v>1151</v>
      </c>
      <c r="S197" s="43" t="s">
        <v>1152</v>
      </c>
      <c r="T197" s="41"/>
    </row>
    <row r="198" spans="1:20" s="44" customFormat="1" ht="25.05" customHeight="1" x14ac:dyDescent="0.3">
      <c r="A198" s="41">
        <v>1</v>
      </c>
      <c r="B198" s="41"/>
      <c r="C198" s="51" t="str">
        <f>VLOOKUP(F198,[1]VLOOKUP!$A$2:$B$35,2,FALSE)</f>
        <v>华北</v>
      </c>
      <c r="D198" s="52" t="s">
        <v>1153</v>
      </c>
      <c r="E198" s="52"/>
      <c r="F198" s="2" t="s">
        <v>267</v>
      </c>
      <c r="G198" s="2" t="s">
        <v>482</v>
      </c>
      <c r="H198" s="2"/>
      <c r="I198" s="52" t="s">
        <v>720</v>
      </c>
      <c r="J198" s="52" t="s">
        <v>267</v>
      </c>
      <c r="K198" s="52" t="s">
        <v>611</v>
      </c>
      <c r="L198" s="52" t="s">
        <v>663</v>
      </c>
      <c r="M198" s="52">
        <v>44140</v>
      </c>
      <c r="N198" s="52">
        <v>44140</v>
      </c>
      <c r="O198" s="52">
        <v>44154</v>
      </c>
      <c r="P198" s="52" t="s">
        <v>1154</v>
      </c>
      <c r="Q198" s="52" t="s">
        <v>519</v>
      </c>
      <c r="R198" s="52"/>
      <c r="S198" s="53" t="s">
        <v>1155</v>
      </c>
      <c r="T198" s="52"/>
    </row>
    <row r="199" spans="1:20" s="44" customFormat="1" ht="25.05" customHeight="1" x14ac:dyDescent="0.3">
      <c r="A199" s="41">
        <v>1</v>
      </c>
      <c r="B199" s="41"/>
      <c r="C199" s="51" t="str">
        <f>VLOOKUP(F199,[1]VLOOKUP!$A$2:$B$35,2,FALSE)</f>
        <v>华北</v>
      </c>
      <c r="D199" s="52" t="s">
        <v>1156</v>
      </c>
      <c r="E199" s="52"/>
      <c r="F199" s="2" t="s">
        <v>267</v>
      </c>
      <c r="G199" s="2" t="s">
        <v>482</v>
      </c>
      <c r="H199" s="2"/>
      <c r="I199" s="52" t="s">
        <v>720</v>
      </c>
      <c r="J199" s="52" t="s">
        <v>267</v>
      </c>
      <c r="K199" s="52" t="s">
        <v>682</v>
      </c>
      <c r="L199" s="52" t="s">
        <v>663</v>
      </c>
      <c r="M199" s="52">
        <v>44155</v>
      </c>
      <c r="N199" s="52">
        <v>44155</v>
      </c>
      <c r="O199" s="52">
        <v>44169</v>
      </c>
      <c r="P199" s="52" t="s">
        <v>1157</v>
      </c>
      <c r="Q199" s="52" t="s">
        <v>857</v>
      </c>
      <c r="R199" s="52"/>
      <c r="S199" s="53" t="s">
        <v>1158</v>
      </c>
      <c r="T199" s="52"/>
    </row>
    <row r="200" spans="1:20" s="44" customFormat="1" ht="25.05" customHeight="1" x14ac:dyDescent="0.3">
      <c r="A200" s="41">
        <v>1</v>
      </c>
      <c r="B200" s="41"/>
      <c r="C200" s="51" t="str">
        <f>VLOOKUP(F200,[1]VLOOKUP!$A$2:$B$35,2,FALSE)</f>
        <v>华北</v>
      </c>
      <c r="D200" s="41" t="s">
        <v>1159</v>
      </c>
      <c r="E200" s="41"/>
      <c r="F200" s="2" t="s">
        <v>267</v>
      </c>
      <c r="G200" s="2" t="s">
        <v>269</v>
      </c>
      <c r="H200" s="2"/>
      <c r="I200" s="41" t="s">
        <v>720</v>
      </c>
      <c r="J200" s="41" t="s">
        <v>267</v>
      </c>
      <c r="K200" s="41" t="s">
        <v>611</v>
      </c>
      <c r="L200" s="41" t="s">
        <v>600</v>
      </c>
      <c r="M200" s="42">
        <v>44574</v>
      </c>
      <c r="N200" s="42">
        <v>44600</v>
      </c>
      <c r="O200" s="42">
        <v>46022</v>
      </c>
      <c r="P200" s="41" t="s">
        <v>1160</v>
      </c>
      <c r="Q200" s="41" t="s">
        <v>724</v>
      </c>
      <c r="R200" s="41" t="s">
        <v>1161</v>
      </c>
      <c r="S200" s="43" t="s">
        <v>1162</v>
      </c>
      <c r="T200" s="41"/>
    </row>
    <row r="201" spans="1:20" s="44" customFormat="1" ht="25.05" customHeight="1" x14ac:dyDescent="0.3">
      <c r="A201" s="41">
        <v>1</v>
      </c>
      <c r="B201" s="41"/>
      <c r="C201" s="51" t="str">
        <f>VLOOKUP(F201,[1]VLOOKUP!$A$2:$B$35,2,FALSE)</f>
        <v>华北</v>
      </c>
      <c r="D201" s="41" t="s">
        <v>1163</v>
      </c>
      <c r="E201" s="41"/>
      <c r="F201" s="2" t="s">
        <v>267</v>
      </c>
      <c r="G201" s="2" t="s">
        <v>269</v>
      </c>
      <c r="H201" s="2"/>
      <c r="I201" s="41" t="s">
        <v>720</v>
      </c>
      <c r="J201" s="41" t="s">
        <v>267</v>
      </c>
      <c r="K201" s="41" t="s">
        <v>605</v>
      </c>
      <c r="L201" s="41" t="s">
        <v>600</v>
      </c>
      <c r="M201" s="42">
        <v>44641</v>
      </c>
      <c r="N201" s="42">
        <v>44647</v>
      </c>
      <c r="O201" s="42">
        <v>46022</v>
      </c>
      <c r="P201" s="41" t="s">
        <v>1160</v>
      </c>
      <c r="Q201" s="41" t="s">
        <v>724</v>
      </c>
      <c r="R201" s="41" t="s">
        <v>1164</v>
      </c>
      <c r="S201" s="43" t="s">
        <v>1165</v>
      </c>
      <c r="T201" s="41"/>
    </row>
    <row r="202" spans="1:20" s="44" customFormat="1" ht="25.05" customHeight="1" x14ac:dyDescent="0.3">
      <c r="A202" s="41">
        <v>1</v>
      </c>
      <c r="B202" s="41"/>
      <c r="C202" s="51" t="str">
        <f>VLOOKUP(F202,[1]VLOOKUP!$A$2:$B$35,2,FALSE)</f>
        <v>华北</v>
      </c>
      <c r="D202" s="41" t="s">
        <v>1166</v>
      </c>
      <c r="E202" s="41"/>
      <c r="F202" s="2" t="s">
        <v>267</v>
      </c>
      <c r="G202" s="2" t="s">
        <v>269</v>
      </c>
      <c r="H202" s="2"/>
      <c r="I202" s="41" t="s">
        <v>720</v>
      </c>
      <c r="J202" s="41" t="s">
        <v>267</v>
      </c>
      <c r="K202" s="41" t="s">
        <v>611</v>
      </c>
      <c r="L202" s="41" t="s">
        <v>600</v>
      </c>
      <c r="M202" s="42">
        <v>44657</v>
      </c>
      <c r="N202" s="42">
        <v>44669</v>
      </c>
      <c r="O202" s="42">
        <v>46022</v>
      </c>
      <c r="P202" s="41" t="s">
        <v>1160</v>
      </c>
      <c r="Q202" s="41" t="s">
        <v>724</v>
      </c>
      <c r="R202" s="41" t="s">
        <v>1167</v>
      </c>
      <c r="S202" s="43" t="s">
        <v>1168</v>
      </c>
      <c r="T202" s="41"/>
    </row>
    <row r="203" spans="1:20" s="44" customFormat="1" ht="25.05" customHeight="1" x14ac:dyDescent="0.3">
      <c r="A203" s="41">
        <v>1</v>
      </c>
      <c r="B203" s="41"/>
      <c r="C203" s="51" t="str">
        <f>VLOOKUP(F203,[1]VLOOKUP!$A$2:$B$35,2,FALSE)</f>
        <v>华北</v>
      </c>
      <c r="D203" s="41" t="s">
        <v>1169</v>
      </c>
      <c r="E203" s="41"/>
      <c r="F203" s="2" t="s">
        <v>267</v>
      </c>
      <c r="G203" s="2" t="s">
        <v>269</v>
      </c>
      <c r="H203" s="2"/>
      <c r="I203" s="41" t="s">
        <v>720</v>
      </c>
      <c r="J203" s="41" t="s">
        <v>267</v>
      </c>
      <c r="K203" s="41" t="s">
        <v>611</v>
      </c>
      <c r="L203" s="41" t="s">
        <v>600</v>
      </c>
      <c r="M203" s="42">
        <v>44660</v>
      </c>
      <c r="N203" s="42">
        <v>44733</v>
      </c>
      <c r="O203" s="42">
        <v>46022</v>
      </c>
      <c r="P203" s="41" t="s">
        <v>1160</v>
      </c>
      <c r="Q203" s="41" t="s">
        <v>724</v>
      </c>
      <c r="R203" s="41" t="s">
        <v>1170</v>
      </c>
      <c r="S203" s="43" t="s">
        <v>1171</v>
      </c>
      <c r="T203" s="41"/>
    </row>
    <row r="204" spans="1:20" s="44" customFormat="1" ht="25.05" customHeight="1" x14ac:dyDescent="0.3">
      <c r="A204" s="41">
        <v>1</v>
      </c>
      <c r="B204" s="41"/>
      <c r="C204" s="51" t="str">
        <f>VLOOKUP(F204,[1]VLOOKUP!$A$2:$B$35,2,FALSE)</f>
        <v>华北</v>
      </c>
      <c r="D204" s="41" t="s">
        <v>1172</v>
      </c>
      <c r="E204" s="41"/>
      <c r="F204" s="2" t="s">
        <v>267</v>
      </c>
      <c r="G204" s="2" t="s">
        <v>269</v>
      </c>
      <c r="H204" s="2"/>
      <c r="I204" s="41" t="s">
        <v>720</v>
      </c>
      <c r="J204" s="41" t="s">
        <v>267</v>
      </c>
      <c r="K204" s="41" t="s">
        <v>605</v>
      </c>
      <c r="L204" s="41" t="s">
        <v>600</v>
      </c>
      <c r="M204" s="42">
        <v>45147</v>
      </c>
      <c r="N204" s="42">
        <v>45147</v>
      </c>
      <c r="O204" s="42">
        <v>46022</v>
      </c>
      <c r="P204" s="41" t="s">
        <v>1160</v>
      </c>
      <c r="Q204" s="41" t="s">
        <v>724</v>
      </c>
      <c r="R204" s="41" t="s">
        <v>1173</v>
      </c>
      <c r="S204" s="43" t="s">
        <v>1174</v>
      </c>
      <c r="T204" s="41"/>
    </row>
    <row r="205" spans="1:20" s="44" customFormat="1" ht="25.05" customHeight="1" x14ac:dyDescent="0.3">
      <c r="A205" s="41"/>
      <c r="B205" s="41"/>
      <c r="C205" s="41"/>
      <c r="D205" s="47" t="s">
        <v>1175</v>
      </c>
      <c r="E205" s="47"/>
      <c r="F205" s="2" t="s">
        <v>267</v>
      </c>
      <c r="G205" s="2" t="s">
        <v>269</v>
      </c>
      <c r="H205" s="2"/>
      <c r="I205" s="47" t="s">
        <v>720</v>
      </c>
      <c r="J205" s="47" t="s">
        <v>267</v>
      </c>
      <c r="K205" s="47" t="s">
        <v>682</v>
      </c>
      <c r="L205" s="47" t="s">
        <v>606</v>
      </c>
      <c r="M205" s="47"/>
      <c r="N205" s="47"/>
      <c r="O205" s="47"/>
      <c r="P205" s="47" t="s">
        <v>1176</v>
      </c>
      <c r="Q205" s="47" t="s">
        <v>1177</v>
      </c>
      <c r="R205" s="47"/>
      <c r="S205" s="64"/>
      <c r="T205" s="47"/>
    </row>
    <row r="206" spans="1:20" s="44" customFormat="1" ht="25.05" customHeight="1" x14ac:dyDescent="0.3">
      <c r="A206" s="41">
        <v>1</v>
      </c>
      <c r="B206" s="41"/>
      <c r="C206" s="51" t="str">
        <f>VLOOKUP(F206,[1]VLOOKUP!$A$2:$B$35,2,FALSE)</f>
        <v>华北</v>
      </c>
      <c r="D206" s="41" t="s">
        <v>1178</v>
      </c>
      <c r="E206" s="41"/>
      <c r="F206" s="2" t="s">
        <v>267</v>
      </c>
      <c r="G206" s="2" t="s">
        <v>269</v>
      </c>
      <c r="H206" s="2"/>
      <c r="I206" s="41" t="s">
        <v>720</v>
      </c>
      <c r="J206" s="41" t="s">
        <v>267</v>
      </c>
      <c r="K206" s="41" t="s">
        <v>599</v>
      </c>
      <c r="L206" s="41" t="s">
        <v>600</v>
      </c>
      <c r="M206" s="42">
        <v>45596</v>
      </c>
      <c r="N206" s="42">
        <v>45597</v>
      </c>
      <c r="O206" s="42">
        <v>49674</v>
      </c>
      <c r="P206" s="41" t="s">
        <v>1160</v>
      </c>
      <c r="Q206" s="41" t="s">
        <v>724</v>
      </c>
      <c r="R206" s="41" t="s">
        <v>1179</v>
      </c>
      <c r="S206" s="43" t="s">
        <v>1180</v>
      </c>
      <c r="T206" s="41"/>
    </row>
    <row r="207" spans="1:20" s="44" customFormat="1" ht="25.05" customHeight="1" x14ac:dyDescent="0.3">
      <c r="A207" s="41"/>
      <c r="B207" s="41"/>
      <c r="C207" s="41"/>
      <c r="D207" s="47" t="s">
        <v>1181</v>
      </c>
      <c r="E207" s="47"/>
      <c r="F207" s="2" t="s">
        <v>267</v>
      </c>
      <c r="G207" s="2" t="s">
        <v>269</v>
      </c>
      <c r="H207" s="2" t="s">
        <v>1182</v>
      </c>
      <c r="I207" s="47" t="s">
        <v>720</v>
      </c>
      <c r="J207" s="47" t="s">
        <v>267</v>
      </c>
      <c r="K207" s="47" t="s">
        <v>605</v>
      </c>
      <c r="L207" s="59" t="s">
        <v>606</v>
      </c>
      <c r="M207" s="59">
        <v>45044</v>
      </c>
      <c r="N207" s="59">
        <v>45044</v>
      </c>
      <c r="O207" s="47">
        <v>45066</v>
      </c>
      <c r="P207" s="47" t="s">
        <v>1183</v>
      </c>
      <c r="Q207" s="47" t="s">
        <v>1184</v>
      </c>
      <c r="R207" s="47"/>
      <c r="S207" s="64"/>
      <c r="T207" s="47"/>
    </row>
    <row r="208" spans="1:20" ht="25.05" customHeight="1" x14ac:dyDescent="0.3">
      <c r="A208" s="36"/>
      <c r="B208" s="36"/>
      <c r="C208" s="36"/>
      <c r="D208" s="60"/>
      <c r="E208" s="61"/>
      <c r="F208" s="3" t="s">
        <v>271</v>
      </c>
      <c r="G208" s="3"/>
      <c r="H208" s="3"/>
      <c r="I208" s="60"/>
      <c r="J208" s="60"/>
      <c r="K208" s="60"/>
      <c r="L208" s="60"/>
      <c r="M208" s="60"/>
      <c r="N208" s="60"/>
      <c r="O208" s="60"/>
      <c r="P208" s="60"/>
      <c r="Q208" s="60"/>
      <c r="R208" s="60"/>
      <c r="S208" s="62"/>
      <c r="T208" s="60"/>
    </row>
    <row r="209" spans="1:20" s="44" customFormat="1" ht="25.05" customHeight="1" x14ac:dyDescent="0.3">
      <c r="A209" s="41">
        <v>1</v>
      </c>
      <c r="B209" s="41"/>
      <c r="C209" s="51" t="str">
        <f>VLOOKUP(F209,[1]VLOOKUP!$A$2:$B$35,2,FALSE)</f>
        <v>东北</v>
      </c>
      <c r="D209" s="41" t="s">
        <v>1185</v>
      </c>
      <c r="E209" s="41"/>
      <c r="F209" s="2" t="s">
        <v>271</v>
      </c>
      <c r="G209" s="2"/>
      <c r="H209" s="2"/>
      <c r="I209" s="41" t="s">
        <v>474</v>
      </c>
      <c r="J209" s="41" t="s">
        <v>271</v>
      </c>
      <c r="K209" s="41" t="s">
        <v>611</v>
      </c>
      <c r="L209" s="41" t="s">
        <v>600</v>
      </c>
      <c r="M209" s="42">
        <v>44778</v>
      </c>
      <c r="N209" s="42">
        <v>44778</v>
      </c>
      <c r="O209" s="42">
        <v>46022</v>
      </c>
      <c r="P209" s="41" t="s">
        <v>1186</v>
      </c>
      <c r="Q209" s="41" t="s">
        <v>716</v>
      </c>
      <c r="R209" s="41"/>
      <c r="S209" s="43" t="s">
        <v>1187</v>
      </c>
      <c r="T209" s="41"/>
    </row>
    <row r="210" spans="1:20" s="44" customFormat="1" ht="25.05" customHeight="1" x14ac:dyDescent="0.3">
      <c r="A210" s="41">
        <v>1</v>
      </c>
      <c r="B210" s="41"/>
      <c r="C210" s="51" t="str">
        <f>VLOOKUP(F210,[1]VLOOKUP!$A$2:$B$35,2,FALSE)</f>
        <v>东北</v>
      </c>
      <c r="D210" s="41" t="s">
        <v>1188</v>
      </c>
      <c r="E210" s="41"/>
      <c r="F210" s="2" t="s">
        <v>271</v>
      </c>
      <c r="G210" s="2"/>
      <c r="H210" s="2"/>
      <c r="I210" s="41" t="s">
        <v>474</v>
      </c>
      <c r="J210" s="41" t="s">
        <v>271</v>
      </c>
      <c r="K210" s="41" t="s">
        <v>599</v>
      </c>
      <c r="L210" s="41" t="s">
        <v>600</v>
      </c>
      <c r="M210" s="42">
        <v>45791</v>
      </c>
      <c r="N210" s="42">
        <v>45791</v>
      </c>
      <c r="O210" s="42">
        <v>46889</v>
      </c>
      <c r="P210" s="41" t="s">
        <v>1186</v>
      </c>
      <c r="Q210" s="41" t="s">
        <v>716</v>
      </c>
      <c r="R210" s="41" t="s">
        <v>1189</v>
      </c>
      <c r="S210" s="43"/>
      <c r="T210" s="41"/>
    </row>
    <row r="211" spans="1:20" s="44" customFormat="1" ht="25.05" customHeight="1" x14ac:dyDescent="0.3">
      <c r="A211" s="41"/>
      <c r="B211" s="41"/>
      <c r="C211" s="41"/>
      <c r="D211" s="47" t="s">
        <v>1190</v>
      </c>
      <c r="E211" s="47"/>
      <c r="F211" s="2" t="s">
        <v>271</v>
      </c>
      <c r="G211" s="2" t="s">
        <v>335</v>
      </c>
      <c r="H211" s="2"/>
      <c r="I211" s="47" t="s">
        <v>720</v>
      </c>
      <c r="J211" s="47" t="s">
        <v>271</v>
      </c>
      <c r="K211" s="47" t="s">
        <v>611</v>
      </c>
      <c r="L211" s="47" t="s">
        <v>606</v>
      </c>
      <c r="M211" s="47"/>
      <c r="N211" s="47"/>
      <c r="O211" s="47"/>
      <c r="P211" s="47"/>
      <c r="Q211" s="47"/>
      <c r="R211" s="47"/>
      <c r="S211" s="64"/>
      <c r="T211" s="47"/>
    </row>
    <row r="212" spans="1:20" s="44" customFormat="1" ht="25.05" customHeight="1" x14ac:dyDescent="0.3">
      <c r="A212" s="41">
        <v>1</v>
      </c>
      <c r="B212" s="41"/>
      <c r="C212" s="51" t="str">
        <f>VLOOKUP(F212,[1]VLOOKUP!$A$2:$B$35,2,FALSE)</f>
        <v>东北</v>
      </c>
      <c r="D212" s="41" t="s">
        <v>1191</v>
      </c>
      <c r="E212" s="41"/>
      <c r="F212" s="2" t="s">
        <v>271</v>
      </c>
      <c r="G212" s="2" t="s">
        <v>335</v>
      </c>
      <c r="H212" s="2"/>
      <c r="I212" s="41" t="s">
        <v>720</v>
      </c>
      <c r="J212" s="41" t="s">
        <v>271</v>
      </c>
      <c r="K212" s="41" t="s">
        <v>611</v>
      </c>
      <c r="L212" s="41" t="s">
        <v>600</v>
      </c>
      <c r="M212" s="42">
        <v>45463</v>
      </c>
      <c r="N212" s="42">
        <v>45471</v>
      </c>
      <c r="O212" s="42">
        <v>47848</v>
      </c>
      <c r="P212" s="41" t="s">
        <v>1192</v>
      </c>
      <c r="Q212" s="41" t="s">
        <v>716</v>
      </c>
      <c r="R212" s="41"/>
      <c r="S212" s="43" t="s">
        <v>1193</v>
      </c>
      <c r="T212" s="41"/>
    </row>
    <row r="213" spans="1:20" s="44" customFormat="1" ht="25.05" customHeight="1" x14ac:dyDescent="0.3">
      <c r="A213" s="41">
        <v>1</v>
      </c>
      <c r="B213" s="41"/>
      <c r="C213" s="51" t="str">
        <f>VLOOKUP(F213,[1]VLOOKUP!$A$2:$B$35,2,FALSE)</f>
        <v>东北</v>
      </c>
      <c r="D213" s="41" t="s">
        <v>1194</v>
      </c>
      <c r="E213" s="41"/>
      <c r="F213" s="2" t="s">
        <v>271</v>
      </c>
      <c r="G213" s="2" t="s">
        <v>335</v>
      </c>
      <c r="H213" s="2" t="s">
        <v>1195</v>
      </c>
      <c r="I213" s="41" t="s">
        <v>720</v>
      </c>
      <c r="J213" s="41" t="s">
        <v>271</v>
      </c>
      <c r="K213" s="41" t="s">
        <v>605</v>
      </c>
      <c r="L213" s="41" t="s">
        <v>600</v>
      </c>
      <c r="M213" s="42">
        <v>45288</v>
      </c>
      <c r="N213" s="42">
        <v>45288</v>
      </c>
      <c r="O213" s="42">
        <v>46387</v>
      </c>
      <c r="P213" s="41" t="s">
        <v>1196</v>
      </c>
      <c r="Q213" s="41" t="s">
        <v>724</v>
      </c>
      <c r="R213" s="41" t="s">
        <v>1197</v>
      </c>
      <c r="S213" s="43" t="s">
        <v>1198</v>
      </c>
      <c r="T213" s="41"/>
    </row>
    <row r="214" spans="1:20" s="44" customFormat="1" ht="25.05" customHeight="1" x14ac:dyDescent="0.3">
      <c r="A214" s="41">
        <v>1</v>
      </c>
      <c r="B214" s="41"/>
      <c r="C214" s="51" t="str">
        <f>VLOOKUP(F214,[1]VLOOKUP!$A$2:$B$35,2,FALSE)</f>
        <v>东北</v>
      </c>
      <c r="D214" s="41" t="s">
        <v>1199</v>
      </c>
      <c r="E214" s="41"/>
      <c r="F214" s="2" t="s">
        <v>271</v>
      </c>
      <c r="G214" s="2" t="s">
        <v>335</v>
      </c>
      <c r="H214" s="2" t="s">
        <v>1195</v>
      </c>
      <c r="I214" s="41" t="s">
        <v>720</v>
      </c>
      <c r="J214" s="41" t="s">
        <v>271</v>
      </c>
      <c r="K214" s="41" t="s">
        <v>605</v>
      </c>
      <c r="L214" s="41" t="s">
        <v>600</v>
      </c>
      <c r="M214" s="42">
        <v>45378</v>
      </c>
      <c r="N214" s="42">
        <v>45378</v>
      </c>
      <c r="O214" s="42">
        <v>45408</v>
      </c>
      <c r="P214" s="41" t="s">
        <v>1200</v>
      </c>
      <c r="Q214" s="41" t="s">
        <v>519</v>
      </c>
      <c r="R214" s="41"/>
      <c r="S214" s="43"/>
      <c r="T214" s="41" t="s">
        <v>1201</v>
      </c>
    </row>
    <row r="215" spans="1:20" s="44" customFormat="1" ht="25.05" customHeight="1" x14ac:dyDescent="0.3">
      <c r="A215" s="41">
        <v>1</v>
      </c>
      <c r="B215" s="41"/>
      <c r="C215" s="51" t="str">
        <f>VLOOKUP(F215,[1]VLOOKUP!$A$2:$B$35,2,FALSE)</f>
        <v>东北</v>
      </c>
      <c r="D215" s="41" t="s">
        <v>1202</v>
      </c>
      <c r="E215" s="41"/>
      <c r="F215" s="2" t="s">
        <v>271</v>
      </c>
      <c r="G215" s="2" t="s">
        <v>272</v>
      </c>
      <c r="H215" s="2"/>
      <c r="I215" s="41" t="s">
        <v>720</v>
      </c>
      <c r="J215" s="41" t="s">
        <v>271</v>
      </c>
      <c r="K215" s="41" t="s">
        <v>611</v>
      </c>
      <c r="L215" s="41" t="s">
        <v>600</v>
      </c>
      <c r="M215" s="42">
        <v>44131</v>
      </c>
      <c r="N215" s="42">
        <v>44140</v>
      </c>
      <c r="O215" s="42">
        <v>49674</v>
      </c>
      <c r="P215" s="41" t="s">
        <v>1203</v>
      </c>
      <c r="Q215" s="41" t="s">
        <v>724</v>
      </c>
      <c r="R215" s="41" t="s">
        <v>1204</v>
      </c>
      <c r="S215" s="43" t="s">
        <v>1205</v>
      </c>
      <c r="T215" s="41"/>
    </row>
    <row r="216" spans="1:20" s="44" customFormat="1" ht="25.05" customHeight="1" x14ac:dyDescent="0.3">
      <c r="A216" s="41">
        <v>1</v>
      </c>
      <c r="B216" s="41"/>
      <c r="C216" s="51" t="str">
        <f>VLOOKUP(F216,[1]VLOOKUP!$A$2:$B$35,2,FALSE)</f>
        <v>东北</v>
      </c>
      <c r="D216" s="54" t="s">
        <v>1206</v>
      </c>
      <c r="E216" s="54"/>
      <c r="F216" s="2" t="s">
        <v>271</v>
      </c>
      <c r="G216" s="2" t="s">
        <v>272</v>
      </c>
      <c r="H216" s="2"/>
      <c r="I216" s="54" t="s">
        <v>720</v>
      </c>
      <c r="J216" s="54" t="s">
        <v>271</v>
      </c>
      <c r="K216" s="54" t="s">
        <v>611</v>
      </c>
      <c r="L216" s="68" t="s">
        <v>600</v>
      </c>
      <c r="M216" s="68">
        <v>43831</v>
      </c>
      <c r="N216" s="68">
        <v>43831</v>
      </c>
      <c r="O216" s="54">
        <v>44196</v>
      </c>
      <c r="P216" s="54" t="s">
        <v>1207</v>
      </c>
      <c r="Q216" s="54" t="s">
        <v>716</v>
      </c>
      <c r="R216" s="54"/>
      <c r="S216" s="55"/>
      <c r="T216" s="54"/>
    </row>
    <row r="217" spans="1:20" s="44" customFormat="1" ht="25.05" customHeight="1" x14ac:dyDescent="0.3">
      <c r="A217" s="41">
        <v>1</v>
      </c>
      <c r="B217" s="41"/>
      <c r="C217" s="51" t="str">
        <f>VLOOKUP(F217,[1]VLOOKUP!$A$2:$B$35,2,FALSE)</f>
        <v>东北</v>
      </c>
      <c r="D217" s="52" t="s">
        <v>1208</v>
      </c>
      <c r="E217" s="52"/>
      <c r="F217" s="2" t="s">
        <v>271</v>
      </c>
      <c r="G217" s="2" t="s">
        <v>272</v>
      </c>
      <c r="H217" s="2"/>
      <c r="I217" s="52" t="s">
        <v>720</v>
      </c>
      <c r="J217" s="52" t="s">
        <v>271</v>
      </c>
      <c r="K217" s="52" t="s">
        <v>599</v>
      </c>
      <c r="L217" s="52" t="s">
        <v>663</v>
      </c>
      <c r="M217" s="52">
        <v>44189</v>
      </c>
      <c r="N217" s="52">
        <v>44196</v>
      </c>
      <c r="O217" s="52">
        <v>44202</v>
      </c>
      <c r="P217" s="52" t="s">
        <v>1207</v>
      </c>
      <c r="Q217" s="52" t="s">
        <v>716</v>
      </c>
      <c r="R217" s="52" t="s">
        <v>1209</v>
      </c>
      <c r="S217" s="53" t="s">
        <v>1210</v>
      </c>
      <c r="T217" s="52"/>
    </row>
    <row r="218" spans="1:20" s="44" customFormat="1" ht="25.05" customHeight="1" x14ac:dyDescent="0.3">
      <c r="A218" s="41">
        <v>1</v>
      </c>
      <c r="B218" s="41"/>
      <c r="C218" s="51" t="str">
        <f>VLOOKUP(F218,[1]VLOOKUP!$A$2:$B$35,2,FALSE)</f>
        <v>东北</v>
      </c>
      <c r="D218" s="54" t="s">
        <v>1211</v>
      </c>
      <c r="E218" s="54"/>
      <c r="F218" s="2" t="s">
        <v>271</v>
      </c>
      <c r="G218" s="2" t="s">
        <v>272</v>
      </c>
      <c r="H218" s="2"/>
      <c r="I218" s="54" t="s">
        <v>720</v>
      </c>
      <c r="J218" s="54" t="s">
        <v>271</v>
      </c>
      <c r="K218" s="54" t="s">
        <v>599</v>
      </c>
      <c r="L218" s="54" t="s">
        <v>600</v>
      </c>
      <c r="M218" s="54">
        <v>44341</v>
      </c>
      <c r="N218" s="54">
        <v>44341</v>
      </c>
      <c r="O218" s="54">
        <v>44341</v>
      </c>
      <c r="P218" s="54" t="s">
        <v>1207</v>
      </c>
      <c r="Q218" s="54" t="s">
        <v>716</v>
      </c>
      <c r="R218" s="54"/>
      <c r="S218" s="55" t="s">
        <v>1212</v>
      </c>
      <c r="T218" s="54"/>
    </row>
    <row r="219" spans="1:20" s="44" customFormat="1" ht="25.05" customHeight="1" x14ac:dyDescent="0.3">
      <c r="A219" s="41">
        <v>1</v>
      </c>
      <c r="B219" s="41"/>
      <c r="C219" s="51" t="str">
        <f>VLOOKUP(F219,[1]VLOOKUP!$A$2:$B$35,2,FALSE)</f>
        <v>东北</v>
      </c>
      <c r="D219" s="54" t="s">
        <v>1213</v>
      </c>
      <c r="E219" s="54"/>
      <c r="F219" s="2" t="s">
        <v>271</v>
      </c>
      <c r="G219" s="2" t="s">
        <v>272</v>
      </c>
      <c r="H219" s="2"/>
      <c r="I219" s="54" t="s">
        <v>720</v>
      </c>
      <c r="J219" s="54" t="s">
        <v>271</v>
      </c>
      <c r="K219" s="54" t="s">
        <v>599</v>
      </c>
      <c r="L219" s="54" t="s">
        <v>600</v>
      </c>
      <c r="M219" s="54">
        <v>44362</v>
      </c>
      <c r="N219" s="54">
        <v>44362</v>
      </c>
      <c r="O219" s="54">
        <v>44369</v>
      </c>
      <c r="P219" s="54" t="s">
        <v>1207</v>
      </c>
      <c r="Q219" s="54" t="s">
        <v>716</v>
      </c>
      <c r="R219" s="54"/>
      <c r="S219" s="55" t="s">
        <v>1214</v>
      </c>
      <c r="T219" s="54"/>
    </row>
    <row r="220" spans="1:20" s="44" customFormat="1" ht="25.05" customHeight="1" x14ac:dyDescent="0.3">
      <c r="A220" s="41">
        <v>1</v>
      </c>
      <c r="B220" s="41"/>
      <c r="C220" s="51" t="str">
        <f>VLOOKUP(F220,[1]VLOOKUP!$A$2:$B$35,2,FALSE)</f>
        <v>东北</v>
      </c>
      <c r="D220" s="52" t="s">
        <v>1215</v>
      </c>
      <c r="E220" s="52"/>
      <c r="F220" s="2" t="s">
        <v>271</v>
      </c>
      <c r="G220" s="2" t="s">
        <v>272</v>
      </c>
      <c r="H220" s="2"/>
      <c r="I220" s="52" t="s">
        <v>720</v>
      </c>
      <c r="J220" s="52" t="s">
        <v>271</v>
      </c>
      <c r="K220" s="52" t="s">
        <v>599</v>
      </c>
      <c r="L220" s="52" t="s">
        <v>663</v>
      </c>
      <c r="M220" s="52">
        <v>44482</v>
      </c>
      <c r="N220" s="52">
        <v>44483</v>
      </c>
      <c r="O220" s="52">
        <v>44487</v>
      </c>
      <c r="P220" s="52" t="s">
        <v>1207</v>
      </c>
      <c r="Q220" s="52" t="s">
        <v>716</v>
      </c>
      <c r="R220" s="52" t="s">
        <v>1216</v>
      </c>
      <c r="S220" s="53" t="s">
        <v>1217</v>
      </c>
      <c r="T220" s="52"/>
    </row>
    <row r="221" spans="1:20" s="44" customFormat="1" ht="25.05" customHeight="1" x14ac:dyDescent="0.3">
      <c r="A221" s="41">
        <v>1</v>
      </c>
      <c r="B221" s="41"/>
      <c r="C221" s="51" t="str">
        <f>VLOOKUP(F221,[1]VLOOKUP!$A$2:$B$35,2,FALSE)</f>
        <v>东北</v>
      </c>
      <c r="D221" s="52" t="s">
        <v>1218</v>
      </c>
      <c r="E221" s="52"/>
      <c r="F221" s="2" t="s">
        <v>271</v>
      </c>
      <c r="G221" s="2" t="s">
        <v>272</v>
      </c>
      <c r="H221" s="2"/>
      <c r="I221" s="52" t="s">
        <v>720</v>
      </c>
      <c r="J221" s="52" t="s">
        <v>271</v>
      </c>
      <c r="K221" s="52" t="s">
        <v>599</v>
      </c>
      <c r="L221" s="52" t="s">
        <v>663</v>
      </c>
      <c r="M221" s="52">
        <v>45128</v>
      </c>
      <c r="N221" s="52">
        <v>45133</v>
      </c>
      <c r="O221" s="52">
        <v>45135</v>
      </c>
      <c r="P221" s="52" t="s">
        <v>1207</v>
      </c>
      <c r="Q221" s="52" t="s">
        <v>716</v>
      </c>
      <c r="R221" s="52" t="s">
        <v>1219</v>
      </c>
      <c r="S221" s="53" t="s">
        <v>1220</v>
      </c>
      <c r="T221" s="52"/>
    </row>
    <row r="222" spans="1:20" s="44" customFormat="1" ht="25.05" customHeight="1" x14ac:dyDescent="0.3">
      <c r="A222" s="41">
        <v>1</v>
      </c>
      <c r="B222" s="41"/>
      <c r="C222" s="51" t="str">
        <f>VLOOKUP(F222,[1]VLOOKUP!$A$2:$B$35,2,FALSE)</f>
        <v>东北</v>
      </c>
      <c r="D222" s="52" t="s">
        <v>1221</v>
      </c>
      <c r="E222" s="52"/>
      <c r="F222" s="2" t="s">
        <v>271</v>
      </c>
      <c r="G222" s="2" t="s">
        <v>272</v>
      </c>
      <c r="H222" s="2"/>
      <c r="I222" s="52" t="s">
        <v>720</v>
      </c>
      <c r="J222" s="52" t="s">
        <v>271</v>
      </c>
      <c r="K222" s="52" t="s">
        <v>605</v>
      </c>
      <c r="L222" s="52" t="s">
        <v>663</v>
      </c>
      <c r="M222" s="52">
        <v>45190</v>
      </c>
      <c r="N222" s="52">
        <v>45190</v>
      </c>
      <c r="O222" s="52">
        <v>45212</v>
      </c>
      <c r="P222" s="52" t="s">
        <v>1222</v>
      </c>
      <c r="Q222" s="52" t="s">
        <v>519</v>
      </c>
      <c r="R222" s="52"/>
      <c r="S222" s="53" t="s">
        <v>1223</v>
      </c>
      <c r="T222" s="52"/>
    </row>
    <row r="223" spans="1:20" s="44" customFormat="1" ht="25.05" customHeight="1" x14ac:dyDescent="0.3">
      <c r="A223" s="41">
        <v>1</v>
      </c>
      <c r="B223" s="41"/>
      <c r="C223" s="51" t="str">
        <f>VLOOKUP(F223,[1]VLOOKUP!$A$2:$B$35,2,FALSE)</f>
        <v>东北</v>
      </c>
      <c r="D223" s="41" t="s">
        <v>1224</v>
      </c>
      <c r="E223" s="41"/>
      <c r="F223" s="2" t="s">
        <v>271</v>
      </c>
      <c r="G223" s="2" t="s">
        <v>272</v>
      </c>
      <c r="H223" s="2"/>
      <c r="I223" s="41" t="s">
        <v>720</v>
      </c>
      <c r="J223" s="41" t="s">
        <v>271</v>
      </c>
      <c r="K223" s="41" t="s">
        <v>599</v>
      </c>
      <c r="L223" s="41" t="s">
        <v>600</v>
      </c>
      <c r="M223" s="42">
        <v>44287</v>
      </c>
      <c r="N223" s="42">
        <v>44298</v>
      </c>
      <c r="O223" s="42">
        <v>45748</v>
      </c>
      <c r="P223" s="41" t="s">
        <v>1207</v>
      </c>
      <c r="Q223" s="41" t="s">
        <v>716</v>
      </c>
      <c r="R223" s="41" t="s">
        <v>1225</v>
      </c>
      <c r="S223" s="43" t="s">
        <v>1226</v>
      </c>
      <c r="T223" s="41"/>
    </row>
    <row r="224" spans="1:20" s="44" customFormat="1" ht="25.05" customHeight="1" x14ac:dyDescent="0.3">
      <c r="A224" s="41">
        <v>1</v>
      </c>
      <c r="B224" s="41"/>
      <c r="C224" s="51" t="str">
        <f>VLOOKUP(F224,[1]VLOOKUP!$A$2:$B$35,2,FALSE)</f>
        <v>东北</v>
      </c>
      <c r="D224" s="41" t="s">
        <v>1227</v>
      </c>
      <c r="E224" s="41"/>
      <c r="F224" s="2" t="s">
        <v>271</v>
      </c>
      <c r="G224" s="2" t="s">
        <v>272</v>
      </c>
      <c r="H224" s="2"/>
      <c r="I224" s="41" t="s">
        <v>720</v>
      </c>
      <c r="J224" s="41" t="s">
        <v>271</v>
      </c>
      <c r="K224" s="41" t="s">
        <v>611</v>
      </c>
      <c r="L224" s="41" t="s">
        <v>600</v>
      </c>
      <c r="M224" s="42">
        <v>44099</v>
      </c>
      <c r="N224" s="42">
        <v>44125</v>
      </c>
      <c r="O224" s="42">
        <v>46022</v>
      </c>
      <c r="P224" s="41" t="s">
        <v>1203</v>
      </c>
      <c r="Q224" s="41" t="s">
        <v>724</v>
      </c>
      <c r="R224" s="41" t="s">
        <v>1228</v>
      </c>
      <c r="S224" s="43" t="s">
        <v>1229</v>
      </c>
      <c r="T224" s="41" t="s">
        <v>1230</v>
      </c>
    </row>
    <row r="225" spans="1:20" s="44" customFormat="1" ht="25.05" customHeight="1" x14ac:dyDescent="0.3">
      <c r="A225" s="41">
        <v>1</v>
      </c>
      <c r="B225" s="41"/>
      <c r="C225" s="51" t="str">
        <f>VLOOKUP(F225,[1]VLOOKUP!$A$2:$B$35,2,FALSE)</f>
        <v>东北</v>
      </c>
      <c r="D225" s="52" t="s">
        <v>1231</v>
      </c>
      <c r="E225" s="52"/>
      <c r="F225" s="2" t="s">
        <v>271</v>
      </c>
      <c r="G225" s="2" t="s">
        <v>272</v>
      </c>
      <c r="H225" s="2"/>
      <c r="I225" s="52" t="s">
        <v>720</v>
      </c>
      <c r="J225" s="52" t="s">
        <v>271</v>
      </c>
      <c r="K225" s="52" t="s">
        <v>682</v>
      </c>
      <c r="L225" s="52" t="s">
        <v>663</v>
      </c>
      <c r="M225" s="52">
        <v>44196</v>
      </c>
      <c r="N225" s="52">
        <v>44196</v>
      </c>
      <c r="O225" s="52">
        <v>46022</v>
      </c>
      <c r="P225" s="52" t="s">
        <v>1232</v>
      </c>
      <c r="Q225" s="52" t="s">
        <v>1233</v>
      </c>
      <c r="R225" s="52" t="s">
        <v>1234</v>
      </c>
      <c r="S225" s="53" t="s">
        <v>1235</v>
      </c>
      <c r="T225" s="52"/>
    </row>
    <row r="226" spans="1:20" s="44" customFormat="1" ht="25.05" customHeight="1" x14ac:dyDescent="0.3">
      <c r="A226" s="41">
        <v>1</v>
      </c>
      <c r="B226" s="41"/>
      <c r="C226" s="51" t="str">
        <f>VLOOKUP(F226,[1]VLOOKUP!$A$2:$B$35,2,FALSE)</f>
        <v>东北</v>
      </c>
      <c r="D226" s="52" t="s">
        <v>1236</v>
      </c>
      <c r="E226" s="52"/>
      <c r="F226" s="2" t="s">
        <v>271</v>
      </c>
      <c r="G226" s="2" t="s">
        <v>272</v>
      </c>
      <c r="H226" s="2"/>
      <c r="I226" s="52" t="s">
        <v>720</v>
      </c>
      <c r="J226" s="52" t="s">
        <v>271</v>
      </c>
      <c r="K226" s="52" t="s">
        <v>605</v>
      </c>
      <c r="L226" s="52" t="s">
        <v>663</v>
      </c>
      <c r="M226" s="52">
        <v>45559</v>
      </c>
      <c r="N226" s="52">
        <v>45559</v>
      </c>
      <c r="O226" s="52">
        <v>46387</v>
      </c>
      <c r="P226" s="52" t="s">
        <v>1232</v>
      </c>
      <c r="Q226" s="52" t="s">
        <v>1233</v>
      </c>
      <c r="R226" s="52" t="s">
        <v>1237</v>
      </c>
      <c r="S226" s="53" t="s">
        <v>1238</v>
      </c>
      <c r="T226" s="52"/>
    </row>
    <row r="227" spans="1:20" s="44" customFormat="1" ht="25.05" customHeight="1" x14ac:dyDescent="0.3">
      <c r="A227" s="41">
        <v>1</v>
      </c>
      <c r="B227" s="41"/>
      <c r="C227" s="51" t="str">
        <f>VLOOKUP(F227,[1]VLOOKUP!$A$2:$B$35,2,FALSE)</f>
        <v>东北</v>
      </c>
      <c r="D227" s="41" t="s">
        <v>1236</v>
      </c>
      <c r="E227" s="41"/>
      <c r="F227" s="2" t="s">
        <v>271</v>
      </c>
      <c r="G227" s="2" t="s">
        <v>272</v>
      </c>
      <c r="H227" s="2"/>
      <c r="I227" s="41" t="s">
        <v>720</v>
      </c>
      <c r="J227" s="41" t="s">
        <v>271</v>
      </c>
      <c r="K227" s="41" t="s">
        <v>605</v>
      </c>
      <c r="L227" s="41" t="s">
        <v>600</v>
      </c>
      <c r="M227" s="42">
        <v>45889</v>
      </c>
      <c r="N227" s="42">
        <v>45889</v>
      </c>
      <c r="O227" s="42">
        <v>46387</v>
      </c>
      <c r="P227" s="41" t="s">
        <v>1232</v>
      </c>
      <c r="Q227" s="41" t="s">
        <v>1233</v>
      </c>
      <c r="R227" s="41" t="s">
        <v>1239</v>
      </c>
      <c r="S227" s="43" t="s">
        <v>1240</v>
      </c>
      <c r="T227" s="41"/>
    </row>
    <row r="228" spans="1:20" s="44" customFormat="1" ht="25.05" customHeight="1" x14ac:dyDescent="0.3">
      <c r="A228" s="41"/>
      <c r="B228" s="41"/>
      <c r="C228" s="41"/>
      <c r="D228" s="52" t="s">
        <v>1241</v>
      </c>
      <c r="E228" s="52"/>
      <c r="F228" s="2" t="s">
        <v>271</v>
      </c>
      <c r="G228" s="2" t="s">
        <v>272</v>
      </c>
      <c r="H228" s="2"/>
      <c r="I228" s="52" t="s">
        <v>720</v>
      </c>
      <c r="J228" s="52" t="s">
        <v>271</v>
      </c>
      <c r="K228" s="52" t="s">
        <v>605</v>
      </c>
      <c r="L228" s="52" t="s">
        <v>606</v>
      </c>
      <c r="M228" s="52"/>
      <c r="N228" s="52"/>
      <c r="O228" s="52"/>
      <c r="P228" s="52"/>
      <c r="Q228" s="52"/>
      <c r="R228" s="52" t="s">
        <v>1242</v>
      </c>
      <c r="S228" s="53"/>
      <c r="T228" s="52"/>
    </row>
    <row r="229" spans="1:20" s="44" customFormat="1" ht="25.05" customHeight="1" x14ac:dyDescent="0.3">
      <c r="A229" s="41">
        <v>1</v>
      </c>
      <c r="B229" s="41"/>
      <c r="C229" s="51" t="str">
        <f>VLOOKUP(F229,[1]VLOOKUP!$A$2:$B$35,2,FALSE)</f>
        <v>东北</v>
      </c>
      <c r="D229" s="52" t="s">
        <v>1243</v>
      </c>
      <c r="E229" s="52"/>
      <c r="F229" s="2" t="s">
        <v>271</v>
      </c>
      <c r="G229" s="2" t="s">
        <v>272</v>
      </c>
      <c r="H229" s="2"/>
      <c r="I229" s="52" t="s">
        <v>720</v>
      </c>
      <c r="J229" s="52" t="s">
        <v>271</v>
      </c>
      <c r="K229" s="52" t="s">
        <v>682</v>
      </c>
      <c r="L229" s="52" t="s">
        <v>663</v>
      </c>
      <c r="M229" s="52">
        <v>44234</v>
      </c>
      <c r="N229" s="52">
        <v>44245</v>
      </c>
      <c r="O229" s="52">
        <v>44975</v>
      </c>
      <c r="P229" s="52" t="s">
        <v>1244</v>
      </c>
      <c r="Q229" s="52" t="s">
        <v>1245</v>
      </c>
      <c r="R229" s="52"/>
      <c r="S229" s="53" t="s">
        <v>1246</v>
      </c>
      <c r="T229" s="52"/>
    </row>
    <row r="230" spans="1:20" s="44" customFormat="1" ht="25.05" customHeight="1" x14ac:dyDescent="0.3">
      <c r="A230" s="41">
        <v>1</v>
      </c>
      <c r="B230" s="41"/>
      <c r="C230" s="51" t="str">
        <f>VLOOKUP(F230,[1]VLOOKUP!$A$2:$B$35,2,FALSE)</f>
        <v>东北</v>
      </c>
      <c r="D230" s="41" t="s">
        <v>553</v>
      </c>
      <c r="E230" s="41"/>
      <c r="F230" s="2" t="s">
        <v>271</v>
      </c>
      <c r="G230" s="2" t="s">
        <v>272</v>
      </c>
      <c r="H230" s="2"/>
      <c r="I230" s="41" t="s">
        <v>720</v>
      </c>
      <c r="J230" s="41" t="s">
        <v>271</v>
      </c>
      <c r="K230" s="41" t="s">
        <v>682</v>
      </c>
      <c r="L230" s="41" t="s">
        <v>600</v>
      </c>
      <c r="M230" s="42">
        <v>45260</v>
      </c>
      <c r="N230" s="42">
        <v>45260</v>
      </c>
      <c r="O230" s="42">
        <v>49674</v>
      </c>
      <c r="P230" s="41" t="s">
        <v>1247</v>
      </c>
      <c r="Q230" s="41" t="s">
        <v>1248</v>
      </c>
      <c r="R230" s="41" t="s">
        <v>1249</v>
      </c>
      <c r="S230" s="43" t="s">
        <v>1250</v>
      </c>
      <c r="T230" s="41"/>
    </row>
    <row r="231" spans="1:20" s="44" customFormat="1" ht="25.05" customHeight="1" x14ac:dyDescent="0.3">
      <c r="A231" s="41">
        <v>1</v>
      </c>
      <c r="B231" s="41"/>
      <c r="C231" s="51" t="str">
        <f>VLOOKUP(F231,[1]VLOOKUP!$A$2:$B$35,2,FALSE)</f>
        <v>东北</v>
      </c>
      <c r="D231" s="41" t="s">
        <v>1251</v>
      </c>
      <c r="E231" s="41"/>
      <c r="F231" s="2" t="s">
        <v>271</v>
      </c>
      <c r="G231" s="2" t="s">
        <v>272</v>
      </c>
      <c r="H231" s="2"/>
      <c r="I231" s="41" t="s">
        <v>720</v>
      </c>
      <c r="J231" s="41" t="s">
        <v>271</v>
      </c>
      <c r="K231" s="41" t="s">
        <v>682</v>
      </c>
      <c r="L231" s="41" t="s">
        <v>600</v>
      </c>
      <c r="M231" s="42">
        <v>44128</v>
      </c>
      <c r="N231" s="42">
        <v>44128</v>
      </c>
      <c r="O231" s="42">
        <v>45650</v>
      </c>
      <c r="P231" s="41" t="s">
        <v>1207</v>
      </c>
      <c r="Q231" s="41" t="s">
        <v>716</v>
      </c>
      <c r="R231" s="41" t="s">
        <v>1252</v>
      </c>
      <c r="S231" s="43" t="s">
        <v>1253</v>
      </c>
      <c r="T231" s="41"/>
    </row>
    <row r="232" spans="1:20" s="44" customFormat="1" ht="25.05" customHeight="1" x14ac:dyDescent="0.3">
      <c r="A232" s="41"/>
      <c r="B232" s="41"/>
      <c r="C232" s="41"/>
      <c r="D232" s="54" t="s">
        <v>1254</v>
      </c>
      <c r="E232" s="54"/>
      <c r="F232" s="2" t="s">
        <v>271</v>
      </c>
      <c r="G232" s="2" t="s">
        <v>272</v>
      </c>
      <c r="H232" s="2"/>
      <c r="I232" s="54" t="s">
        <v>720</v>
      </c>
      <c r="J232" s="54" t="s">
        <v>271</v>
      </c>
      <c r="K232" s="54" t="s">
        <v>599</v>
      </c>
      <c r="L232" s="54" t="s">
        <v>600</v>
      </c>
      <c r="M232" s="54">
        <v>45117</v>
      </c>
      <c r="N232" s="54">
        <v>45117</v>
      </c>
      <c r="O232" s="54">
        <v>45291</v>
      </c>
      <c r="P232" s="54" t="s">
        <v>1207</v>
      </c>
      <c r="Q232" s="54" t="s">
        <v>716</v>
      </c>
      <c r="R232" s="54"/>
      <c r="S232" s="55" t="s">
        <v>1255</v>
      </c>
      <c r="T232" s="54"/>
    </row>
    <row r="233" spans="1:20" s="44" customFormat="1" ht="25.05" customHeight="1" x14ac:dyDescent="0.3">
      <c r="A233" s="41"/>
      <c r="B233" s="41"/>
      <c r="C233" s="41"/>
      <c r="D233" s="54" t="s">
        <v>1256</v>
      </c>
      <c r="E233" s="54"/>
      <c r="F233" s="2" t="s">
        <v>271</v>
      </c>
      <c r="G233" s="2" t="s">
        <v>272</v>
      </c>
      <c r="H233" s="2"/>
      <c r="I233" s="54" t="s">
        <v>720</v>
      </c>
      <c r="J233" s="54" t="s">
        <v>271</v>
      </c>
      <c r="K233" s="54" t="s">
        <v>599</v>
      </c>
      <c r="L233" s="54" t="s">
        <v>600</v>
      </c>
      <c r="M233" s="54">
        <v>45504</v>
      </c>
      <c r="N233" s="54">
        <v>45504</v>
      </c>
      <c r="O233" s="54">
        <v>45657</v>
      </c>
      <c r="P233" s="54" t="s">
        <v>1207</v>
      </c>
      <c r="Q233" s="54" t="s">
        <v>716</v>
      </c>
      <c r="R233" s="54"/>
      <c r="S233" s="55" t="s">
        <v>1257</v>
      </c>
      <c r="T233" s="54"/>
    </row>
    <row r="234" spans="1:20" s="44" customFormat="1" ht="25.05" customHeight="1" x14ac:dyDescent="0.3">
      <c r="A234" s="41"/>
      <c r="B234" s="41"/>
      <c r="C234" s="41"/>
      <c r="D234" s="52" t="s">
        <v>1258</v>
      </c>
      <c r="E234" s="52"/>
      <c r="F234" s="2" t="s">
        <v>271</v>
      </c>
      <c r="G234" s="2" t="s">
        <v>272</v>
      </c>
      <c r="H234" s="2"/>
      <c r="I234" s="52" t="s">
        <v>720</v>
      </c>
      <c r="J234" s="52" t="s">
        <v>271</v>
      </c>
      <c r="K234" s="52" t="s">
        <v>605</v>
      </c>
      <c r="L234" s="52" t="s">
        <v>663</v>
      </c>
      <c r="M234" s="52">
        <v>44955</v>
      </c>
      <c r="N234" s="52">
        <v>44955</v>
      </c>
      <c r="O234" s="52">
        <v>44967</v>
      </c>
      <c r="P234" s="52" t="s">
        <v>1207</v>
      </c>
      <c r="Q234" s="52" t="s">
        <v>716</v>
      </c>
      <c r="R234" s="52" t="s">
        <v>1259</v>
      </c>
      <c r="S234" s="53" t="s">
        <v>1260</v>
      </c>
      <c r="T234" s="52"/>
    </row>
    <row r="235" spans="1:20" s="44" customFormat="1" ht="25.05" customHeight="1" x14ac:dyDescent="0.3">
      <c r="A235" s="41">
        <v>1</v>
      </c>
      <c r="B235" s="41"/>
      <c r="C235" s="51" t="str">
        <f>VLOOKUP(F235,[1]VLOOKUP!$A$2:$B$35,2,FALSE)</f>
        <v>东北</v>
      </c>
      <c r="D235" s="52" t="s">
        <v>1261</v>
      </c>
      <c r="E235" s="52"/>
      <c r="F235" s="2" t="s">
        <v>271</v>
      </c>
      <c r="G235" s="2" t="s">
        <v>272</v>
      </c>
      <c r="H235" s="2"/>
      <c r="I235" s="52" t="s">
        <v>720</v>
      </c>
      <c r="J235" s="52" t="s">
        <v>271</v>
      </c>
      <c r="K235" s="52" t="s">
        <v>605</v>
      </c>
      <c r="L235" s="52" t="s">
        <v>663</v>
      </c>
      <c r="M235" s="52">
        <v>45299</v>
      </c>
      <c r="N235" s="52">
        <v>45299</v>
      </c>
      <c r="O235" s="52">
        <v>45301</v>
      </c>
      <c r="P235" s="52" t="s">
        <v>1207</v>
      </c>
      <c r="Q235" s="52" t="s">
        <v>716</v>
      </c>
      <c r="R235" s="52" t="s">
        <v>1262</v>
      </c>
      <c r="S235" s="53" t="s">
        <v>1263</v>
      </c>
      <c r="T235" s="52"/>
    </row>
    <row r="236" spans="1:20" s="44" customFormat="1" ht="25.05" customHeight="1" x14ac:dyDescent="0.3">
      <c r="A236" s="41">
        <v>1</v>
      </c>
      <c r="B236" s="41"/>
      <c r="C236" s="51" t="str">
        <f>VLOOKUP(F236,[1]VLOOKUP!$A$2:$B$35,2,FALSE)</f>
        <v>东北</v>
      </c>
      <c r="D236" s="41" t="s">
        <v>1264</v>
      </c>
      <c r="E236" s="41"/>
      <c r="F236" s="2" t="s">
        <v>271</v>
      </c>
      <c r="G236" s="2" t="s">
        <v>272</v>
      </c>
      <c r="H236" s="2"/>
      <c r="I236" s="41" t="s">
        <v>720</v>
      </c>
      <c r="J236" s="41" t="s">
        <v>271</v>
      </c>
      <c r="K236" s="41" t="s">
        <v>599</v>
      </c>
      <c r="L236" s="41" t="s">
        <v>600</v>
      </c>
      <c r="M236" s="42">
        <v>45286</v>
      </c>
      <c r="N236" s="42">
        <v>45286</v>
      </c>
      <c r="O236" s="42">
        <v>45292</v>
      </c>
      <c r="P236" s="41" t="s">
        <v>1207</v>
      </c>
      <c r="Q236" s="41" t="s">
        <v>716</v>
      </c>
      <c r="R236" s="41"/>
      <c r="S236" s="43" t="s">
        <v>1265</v>
      </c>
      <c r="T236" s="41"/>
    </row>
    <row r="237" spans="1:20" s="44" customFormat="1" ht="25.05" customHeight="1" x14ac:dyDescent="0.3">
      <c r="A237" s="41">
        <v>1</v>
      </c>
      <c r="B237" s="41"/>
      <c r="C237" s="51" t="s">
        <v>1266</v>
      </c>
      <c r="D237" s="57" t="s">
        <v>1267</v>
      </c>
      <c r="E237" s="57"/>
      <c r="F237" s="2" t="s">
        <v>271</v>
      </c>
      <c r="G237" s="2" t="s">
        <v>272</v>
      </c>
      <c r="H237" s="2"/>
      <c r="I237" s="57" t="s">
        <v>720</v>
      </c>
      <c r="J237" s="57" t="s">
        <v>271</v>
      </c>
      <c r="K237" s="57" t="s">
        <v>615</v>
      </c>
      <c r="L237" s="57" t="s">
        <v>780</v>
      </c>
      <c r="M237" s="57">
        <v>45888</v>
      </c>
      <c r="N237" s="57">
        <v>45888</v>
      </c>
      <c r="O237" s="57">
        <v>45920</v>
      </c>
      <c r="P237" s="57" t="s">
        <v>1268</v>
      </c>
      <c r="Q237" s="57" t="s">
        <v>1269</v>
      </c>
      <c r="R237" s="57"/>
      <c r="S237" s="58" t="s">
        <v>1270</v>
      </c>
      <c r="T237" s="57" t="s">
        <v>1201</v>
      </c>
    </row>
    <row r="238" spans="1:20" s="44" customFormat="1" ht="25.05" customHeight="1" x14ac:dyDescent="0.3">
      <c r="A238" s="41"/>
      <c r="B238" s="41"/>
      <c r="C238" s="41"/>
      <c r="D238" s="47" t="s">
        <v>1271</v>
      </c>
      <c r="E238" s="47"/>
      <c r="F238" s="2" t="s">
        <v>271</v>
      </c>
      <c r="G238" s="2" t="s">
        <v>272</v>
      </c>
      <c r="H238" s="2"/>
      <c r="I238" s="47" t="s">
        <v>720</v>
      </c>
      <c r="J238" s="47" t="s">
        <v>271</v>
      </c>
      <c r="K238" s="47" t="s">
        <v>611</v>
      </c>
      <c r="L238" s="47" t="s">
        <v>606</v>
      </c>
      <c r="M238" s="47"/>
      <c r="N238" s="47"/>
      <c r="O238" s="47"/>
      <c r="P238" s="47"/>
      <c r="Q238" s="47"/>
      <c r="R238" s="47"/>
      <c r="S238" s="64"/>
      <c r="T238" s="47"/>
    </row>
    <row r="239" spans="1:20" s="44" customFormat="1" ht="25.05" customHeight="1" x14ac:dyDescent="0.3">
      <c r="A239" s="41"/>
      <c r="B239" s="41"/>
      <c r="C239" s="41"/>
      <c r="D239" s="54" t="s">
        <v>1272</v>
      </c>
      <c r="E239" s="54"/>
      <c r="F239" s="2" t="s">
        <v>271</v>
      </c>
      <c r="G239" s="2" t="s">
        <v>272</v>
      </c>
      <c r="H239" s="2"/>
      <c r="I239" s="54" t="s">
        <v>720</v>
      </c>
      <c r="J239" s="54" t="s">
        <v>271</v>
      </c>
      <c r="K239" s="54" t="s">
        <v>605</v>
      </c>
      <c r="L239" s="54" t="s">
        <v>600</v>
      </c>
      <c r="M239" s="54">
        <v>44984</v>
      </c>
      <c r="N239" s="54">
        <v>44984</v>
      </c>
      <c r="O239" s="54">
        <v>44990</v>
      </c>
      <c r="P239" s="54" t="s">
        <v>1207</v>
      </c>
      <c r="Q239" s="54" t="s">
        <v>716</v>
      </c>
      <c r="R239" s="54"/>
      <c r="S239" s="54" t="s">
        <v>1273</v>
      </c>
      <c r="T239" s="54"/>
    </row>
    <row r="240" spans="1:20" s="44" customFormat="1" ht="25.05" customHeight="1" x14ac:dyDescent="0.3">
      <c r="A240" s="41">
        <v>1</v>
      </c>
      <c r="B240" s="41"/>
      <c r="C240" s="51" t="str">
        <f>VLOOKUP(F240,[1]VLOOKUP!$A$2:$B$35,2,FALSE)</f>
        <v>东北</v>
      </c>
      <c r="D240" s="54" t="s">
        <v>1274</v>
      </c>
      <c r="E240" s="54"/>
      <c r="F240" s="2" t="s">
        <v>271</v>
      </c>
      <c r="G240" s="2" t="s">
        <v>272</v>
      </c>
      <c r="H240" s="2"/>
      <c r="I240" s="54" t="s">
        <v>720</v>
      </c>
      <c r="J240" s="54" t="s">
        <v>271</v>
      </c>
      <c r="K240" s="54" t="s">
        <v>605</v>
      </c>
      <c r="L240" s="54" t="s">
        <v>600</v>
      </c>
      <c r="M240" s="54">
        <v>45637</v>
      </c>
      <c r="N240" s="54">
        <v>45637</v>
      </c>
      <c r="O240" s="54">
        <v>45643</v>
      </c>
      <c r="P240" s="54" t="s">
        <v>1207</v>
      </c>
      <c r="Q240" s="54" t="s">
        <v>716</v>
      </c>
      <c r="R240" s="54"/>
      <c r="S240" s="54" t="s">
        <v>1275</v>
      </c>
      <c r="T240" s="54"/>
    </row>
    <row r="241" spans="1:20" s="44" customFormat="1" ht="25.05" customHeight="1" x14ac:dyDescent="0.3">
      <c r="A241" s="41">
        <v>1</v>
      </c>
      <c r="B241" s="41"/>
      <c r="C241" s="51" t="str">
        <f>VLOOKUP(F241,[1]VLOOKUP!$A$2:$B$35,2,FALSE)</f>
        <v>东北</v>
      </c>
      <c r="D241" s="54" t="s">
        <v>1276</v>
      </c>
      <c r="E241" s="54"/>
      <c r="F241" s="2" t="s">
        <v>271</v>
      </c>
      <c r="G241" s="2" t="s">
        <v>272</v>
      </c>
      <c r="H241" s="2"/>
      <c r="I241" s="54" t="s">
        <v>720</v>
      </c>
      <c r="J241" s="54" t="s">
        <v>271</v>
      </c>
      <c r="K241" s="54" t="s">
        <v>605</v>
      </c>
      <c r="L241" s="54" t="s">
        <v>600</v>
      </c>
      <c r="M241" s="54">
        <v>45924</v>
      </c>
      <c r="N241" s="54">
        <v>45924</v>
      </c>
      <c r="O241" s="54">
        <v>45926</v>
      </c>
      <c r="P241" s="54" t="s">
        <v>1207</v>
      </c>
      <c r="Q241" s="54" t="s">
        <v>716</v>
      </c>
      <c r="R241" s="54"/>
      <c r="S241" s="54" t="s">
        <v>1277</v>
      </c>
      <c r="T241" s="54"/>
    </row>
    <row r="242" spans="1:20" s="44" customFormat="1" ht="25.05" customHeight="1" x14ac:dyDescent="0.3">
      <c r="A242" s="41">
        <v>1</v>
      </c>
      <c r="B242" s="41"/>
      <c r="C242" s="51" t="str">
        <f>VLOOKUP(F242,[1]VLOOKUP!$A$2:$B$35,2,FALSE)</f>
        <v>东北</v>
      </c>
      <c r="D242" s="41" t="s">
        <v>1278</v>
      </c>
      <c r="E242" s="41"/>
      <c r="F242" s="2" t="s">
        <v>271</v>
      </c>
      <c r="G242" s="2" t="s">
        <v>272</v>
      </c>
      <c r="H242" s="2" t="s">
        <v>1279</v>
      </c>
      <c r="I242" s="41" t="s">
        <v>720</v>
      </c>
      <c r="J242" s="41" t="s">
        <v>271</v>
      </c>
      <c r="K242" s="41" t="s">
        <v>605</v>
      </c>
      <c r="L242" s="41" t="s">
        <v>600</v>
      </c>
      <c r="M242" s="42">
        <v>45175</v>
      </c>
      <c r="N242" s="42">
        <v>45175</v>
      </c>
      <c r="O242" s="42">
        <v>46022</v>
      </c>
      <c r="P242" s="41"/>
      <c r="Q242" s="41"/>
      <c r="R242" s="41"/>
      <c r="S242" s="43" t="s">
        <v>1280</v>
      </c>
      <c r="T242" s="41"/>
    </row>
    <row r="243" spans="1:20" s="44" customFormat="1" ht="25.05" customHeight="1" x14ac:dyDescent="0.3">
      <c r="A243" s="41">
        <v>1</v>
      </c>
      <c r="B243" s="41"/>
      <c r="C243" s="51" t="str">
        <f>VLOOKUP(F243,[1]VLOOKUP!$A$2:$B$35,2,FALSE)</f>
        <v>东北</v>
      </c>
      <c r="D243" s="41" t="s">
        <v>1281</v>
      </c>
      <c r="E243" s="41"/>
      <c r="F243" s="2" t="s">
        <v>271</v>
      </c>
      <c r="G243" s="2" t="s">
        <v>1282</v>
      </c>
      <c r="H243" s="2"/>
      <c r="I243" s="41" t="s">
        <v>720</v>
      </c>
      <c r="J243" s="41" t="s">
        <v>271</v>
      </c>
      <c r="K243" s="41" t="s">
        <v>611</v>
      </c>
      <c r="L243" s="41" t="s">
        <v>600</v>
      </c>
      <c r="M243" s="42">
        <v>43553</v>
      </c>
      <c r="N243" s="42">
        <v>43553</v>
      </c>
      <c r="O243" s="42">
        <v>46022</v>
      </c>
      <c r="P243" s="41" t="s">
        <v>1283</v>
      </c>
      <c r="Q243" s="41" t="s">
        <v>935</v>
      </c>
      <c r="R243" s="41" t="s">
        <v>1284</v>
      </c>
      <c r="S243" s="43" t="s">
        <v>1285</v>
      </c>
      <c r="T243" s="41"/>
    </row>
    <row r="244" spans="1:20" s="44" customFormat="1" ht="25.05" customHeight="1" x14ac:dyDescent="0.3">
      <c r="A244" s="41">
        <v>1</v>
      </c>
      <c r="B244" s="41"/>
      <c r="C244" s="51" t="str">
        <f>VLOOKUP(F244,[1]VLOOKUP!$A$2:$B$35,2,FALSE)</f>
        <v>东北</v>
      </c>
      <c r="D244" s="41" t="s">
        <v>1286</v>
      </c>
      <c r="E244" s="41"/>
      <c r="F244" s="2" t="s">
        <v>271</v>
      </c>
      <c r="G244" s="2" t="s">
        <v>388</v>
      </c>
      <c r="H244" s="2"/>
      <c r="I244" s="41" t="s">
        <v>720</v>
      </c>
      <c r="J244" s="41" t="s">
        <v>271</v>
      </c>
      <c r="K244" s="41" t="s">
        <v>852</v>
      </c>
      <c r="L244" s="41" t="s">
        <v>600</v>
      </c>
      <c r="M244" s="42">
        <v>45889</v>
      </c>
      <c r="N244" s="42">
        <v>45897</v>
      </c>
      <c r="O244" s="42">
        <v>49674</v>
      </c>
      <c r="P244" s="41" t="s">
        <v>1287</v>
      </c>
      <c r="Q244" s="41" t="s">
        <v>724</v>
      </c>
      <c r="R244" s="41"/>
      <c r="S244" s="43" t="s">
        <v>1288</v>
      </c>
      <c r="T244" s="41"/>
    </row>
    <row r="245" spans="1:20" s="44" customFormat="1" ht="25.05" customHeight="1" x14ac:dyDescent="0.3">
      <c r="A245" s="41"/>
      <c r="B245" s="41"/>
      <c r="C245" s="41"/>
      <c r="D245" s="52" t="s">
        <v>1289</v>
      </c>
      <c r="E245" s="52"/>
      <c r="F245" s="2" t="s">
        <v>271</v>
      </c>
      <c r="G245" s="2" t="s">
        <v>1290</v>
      </c>
      <c r="H245" s="2"/>
      <c r="I245" s="52" t="s">
        <v>720</v>
      </c>
      <c r="J245" s="52" t="s">
        <v>271</v>
      </c>
      <c r="K245" s="52" t="s">
        <v>682</v>
      </c>
      <c r="L245" s="52" t="s">
        <v>663</v>
      </c>
      <c r="M245" s="52">
        <v>44387</v>
      </c>
      <c r="N245" s="52">
        <v>44410</v>
      </c>
      <c r="O245" s="52">
        <v>45117</v>
      </c>
      <c r="P245" s="52" t="s">
        <v>1291</v>
      </c>
      <c r="Q245" s="52" t="s">
        <v>857</v>
      </c>
      <c r="R245" s="52" t="s">
        <v>1292</v>
      </c>
      <c r="S245" s="53" t="s">
        <v>1293</v>
      </c>
      <c r="T245" s="52"/>
    </row>
    <row r="246" spans="1:20" ht="25.05" customHeight="1" x14ac:dyDescent="0.3">
      <c r="A246" s="36"/>
      <c r="B246" s="36"/>
      <c r="C246" s="36"/>
      <c r="D246" s="60"/>
      <c r="E246" s="61"/>
      <c r="F246" s="3" t="s">
        <v>327</v>
      </c>
      <c r="G246" s="3"/>
      <c r="H246" s="3"/>
      <c r="I246" s="60"/>
      <c r="J246" s="60"/>
      <c r="K246" s="60"/>
      <c r="L246" s="60"/>
      <c r="M246" s="60"/>
      <c r="N246" s="60"/>
      <c r="O246" s="60"/>
      <c r="P246" s="60"/>
      <c r="Q246" s="60"/>
      <c r="R246" s="60"/>
      <c r="S246" s="62"/>
      <c r="T246" s="60"/>
    </row>
    <row r="247" spans="1:20" s="44" customFormat="1" ht="25.05" customHeight="1" x14ac:dyDescent="0.3">
      <c r="A247" s="41">
        <v>1</v>
      </c>
      <c r="B247" s="41"/>
      <c r="C247" s="51" t="str">
        <f>VLOOKUP(F247,[1]VLOOKUP!$A$2:$B$35,2,FALSE)</f>
        <v>东北</v>
      </c>
      <c r="D247" s="41" t="s">
        <v>1294</v>
      </c>
      <c r="E247" s="41"/>
      <c r="F247" s="2" t="s">
        <v>327</v>
      </c>
      <c r="G247" s="2"/>
      <c r="H247" s="2"/>
      <c r="I247" s="41" t="s">
        <v>474</v>
      </c>
      <c r="J247" s="41" t="s">
        <v>327</v>
      </c>
      <c r="K247" s="41" t="s">
        <v>611</v>
      </c>
      <c r="L247" s="41" t="s">
        <v>600</v>
      </c>
      <c r="M247" s="42">
        <v>44848</v>
      </c>
      <c r="N247" s="42">
        <v>44853</v>
      </c>
      <c r="O247" s="42">
        <v>49674</v>
      </c>
      <c r="P247" s="41" t="s">
        <v>1295</v>
      </c>
      <c r="Q247" s="41" t="s">
        <v>724</v>
      </c>
      <c r="R247" s="41" t="s">
        <v>1296</v>
      </c>
      <c r="S247" s="43" t="s">
        <v>1297</v>
      </c>
      <c r="T247" s="41"/>
    </row>
    <row r="248" spans="1:20" s="44" customFormat="1" ht="25.05" customHeight="1" x14ac:dyDescent="0.3">
      <c r="A248" s="41">
        <v>1</v>
      </c>
      <c r="B248" s="41"/>
      <c r="C248" s="51" t="str">
        <f>VLOOKUP(F248,[1]VLOOKUP!$A$2:$B$35,2,FALSE)</f>
        <v>东北</v>
      </c>
      <c r="D248" s="41" t="s">
        <v>1298</v>
      </c>
      <c r="E248" s="41"/>
      <c r="F248" s="2" t="s">
        <v>327</v>
      </c>
      <c r="G248" s="2"/>
      <c r="H248" s="2"/>
      <c r="I248" s="41" t="s">
        <v>474</v>
      </c>
      <c r="J248" s="41" t="s">
        <v>327</v>
      </c>
      <c r="K248" s="41" t="s">
        <v>605</v>
      </c>
      <c r="L248" s="41" t="s">
        <v>600</v>
      </c>
      <c r="M248" s="42">
        <v>44895</v>
      </c>
      <c r="N248" s="42">
        <v>44900</v>
      </c>
      <c r="O248" s="42">
        <v>49674</v>
      </c>
      <c r="P248" s="41" t="s">
        <v>1295</v>
      </c>
      <c r="Q248" s="41" t="s">
        <v>724</v>
      </c>
      <c r="R248" s="41" t="s">
        <v>1299</v>
      </c>
      <c r="S248" s="43" t="s">
        <v>1300</v>
      </c>
      <c r="T248" s="41"/>
    </row>
    <row r="249" spans="1:20" s="44" customFormat="1" ht="25.05" customHeight="1" x14ac:dyDescent="0.3">
      <c r="A249" s="41">
        <v>1</v>
      </c>
      <c r="B249" s="41"/>
      <c r="C249" s="51" t="str">
        <f>VLOOKUP(F249,[1]VLOOKUP!$A$2:$B$35,2,FALSE)</f>
        <v>东北</v>
      </c>
      <c r="D249" s="41" t="s">
        <v>1301</v>
      </c>
      <c r="E249" s="41"/>
      <c r="F249" s="2" t="s">
        <v>327</v>
      </c>
      <c r="G249" s="2"/>
      <c r="H249" s="2"/>
      <c r="I249" s="41" t="s">
        <v>474</v>
      </c>
      <c r="J249" s="41" t="s">
        <v>327</v>
      </c>
      <c r="K249" s="41" t="s">
        <v>611</v>
      </c>
      <c r="L249" s="41" t="s">
        <v>600</v>
      </c>
      <c r="M249" s="42">
        <v>44895</v>
      </c>
      <c r="N249" s="42">
        <v>44901</v>
      </c>
      <c r="O249" s="42">
        <v>49674</v>
      </c>
      <c r="P249" s="41" t="s">
        <v>1295</v>
      </c>
      <c r="Q249" s="41" t="s">
        <v>724</v>
      </c>
      <c r="R249" s="41" t="s">
        <v>1302</v>
      </c>
      <c r="S249" s="43" t="s">
        <v>1303</v>
      </c>
      <c r="T249" s="41"/>
    </row>
    <row r="250" spans="1:20" s="44" customFormat="1" ht="25.05" customHeight="1" x14ac:dyDescent="0.3">
      <c r="A250" s="41">
        <v>1</v>
      </c>
      <c r="B250" s="41"/>
      <c r="C250" s="51" t="str">
        <f>VLOOKUP(F250,[1]VLOOKUP!$A$2:$B$35,2,FALSE)</f>
        <v>东北</v>
      </c>
      <c r="D250" s="41" t="s">
        <v>1304</v>
      </c>
      <c r="E250" s="41"/>
      <c r="F250" s="2" t="s">
        <v>327</v>
      </c>
      <c r="G250" s="2"/>
      <c r="H250" s="2"/>
      <c r="I250" s="41" t="s">
        <v>474</v>
      </c>
      <c r="J250" s="41" t="s">
        <v>327</v>
      </c>
      <c r="K250" s="41" t="s">
        <v>599</v>
      </c>
      <c r="L250" s="41" t="s">
        <v>600</v>
      </c>
      <c r="M250" s="42">
        <v>45155</v>
      </c>
      <c r="N250" s="42">
        <v>45224</v>
      </c>
      <c r="O250" s="42">
        <v>46022</v>
      </c>
      <c r="P250" s="41" t="s">
        <v>1305</v>
      </c>
      <c r="Q250" s="41" t="s">
        <v>519</v>
      </c>
      <c r="R250" s="41" t="s">
        <v>1306</v>
      </c>
      <c r="S250" s="43" t="s">
        <v>1307</v>
      </c>
      <c r="T250" s="41"/>
    </row>
    <row r="251" spans="1:20" s="44" customFormat="1" ht="25.05" customHeight="1" x14ac:dyDescent="0.3">
      <c r="A251" s="41">
        <v>1</v>
      </c>
      <c r="B251" s="41"/>
      <c r="C251" s="51" t="str">
        <f>VLOOKUP(F251,[1]VLOOKUP!$A$2:$B$35,2,FALSE)</f>
        <v>东北</v>
      </c>
      <c r="D251" s="41" t="s">
        <v>552</v>
      </c>
      <c r="E251" s="41"/>
      <c r="F251" s="2" t="s">
        <v>327</v>
      </c>
      <c r="G251" s="2"/>
      <c r="H251" s="2"/>
      <c r="I251" s="41" t="s">
        <v>474</v>
      </c>
      <c r="J251" s="41" t="s">
        <v>327</v>
      </c>
      <c r="K251" s="41" t="s">
        <v>852</v>
      </c>
      <c r="L251" s="41" t="s">
        <v>600</v>
      </c>
      <c r="M251" s="42">
        <v>45245</v>
      </c>
      <c r="N251" s="42">
        <v>45248</v>
      </c>
      <c r="O251" s="42">
        <v>49674</v>
      </c>
      <c r="P251" s="41" t="s">
        <v>1295</v>
      </c>
      <c r="Q251" s="41" t="s">
        <v>724</v>
      </c>
      <c r="R251" s="41" t="s">
        <v>1308</v>
      </c>
      <c r="S251" s="43" t="s">
        <v>1309</v>
      </c>
      <c r="T251" s="41"/>
    </row>
    <row r="252" spans="1:20" s="44" customFormat="1" ht="25.05" customHeight="1" x14ac:dyDescent="0.3">
      <c r="A252" s="41">
        <v>1</v>
      </c>
      <c r="B252" s="41"/>
      <c r="C252" s="51" t="str">
        <f>VLOOKUP(F252,[1]VLOOKUP!$A$2:$B$35,2,FALSE)</f>
        <v>东北</v>
      </c>
      <c r="D252" s="41" t="s">
        <v>1310</v>
      </c>
      <c r="E252" s="41"/>
      <c r="F252" s="2" t="s">
        <v>327</v>
      </c>
      <c r="G252" s="2"/>
      <c r="H252" s="2"/>
      <c r="I252" s="41" t="s">
        <v>474</v>
      </c>
      <c r="J252" s="41" t="s">
        <v>327</v>
      </c>
      <c r="K252" s="41" t="s">
        <v>611</v>
      </c>
      <c r="L252" s="41" t="s">
        <v>600</v>
      </c>
      <c r="M252" s="42">
        <v>45261</v>
      </c>
      <c r="N252" s="42">
        <v>45264</v>
      </c>
      <c r="O252" s="42">
        <v>49674</v>
      </c>
      <c r="P252" s="41" t="s">
        <v>1295</v>
      </c>
      <c r="Q252" s="41" t="s">
        <v>724</v>
      </c>
      <c r="R252" s="41" t="s">
        <v>1311</v>
      </c>
      <c r="S252" s="43" t="s">
        <v>1312</v>
      </c>
      <c r="T252" s="41"/>
    </row>
    <row r="253" spans="1:20" s="44" customFormat="1" ht="25.05" customHeight="1" x14ac:dyDescent="0.3">
      <c r="A253" s="41">
        <v>1</v>
      </c>
      <c r="B253" s="41"/>
      <c r="C253" s="51" t="str">
        <f>VLOOKUP(F253,[1]VLOOKUP!$A$2:$B$35,2,FALSE)</f>
        <v>东北</v>
      </c>
      <c r="D253" s="41" t="s">
        <v>1313</v>
      </c>
      <c r="E253" s="41"/>
      <c r="F253" s="2" t="s">
        <v>327</v>
      </c>
      <c r="G253" s="2"/>
      <c r="H253" s="2"/>
      <c r="I253" s="41" t="s">
        <v>474</v>
      </c>
      <c r="J253" s="41" t="s">
        <v>327</v>
      </c>
      <c r="K253" s="41" t="s">
        <v>599</v>
      </c>
      <c r="L253" s="41" t="s">
        <v>600</v>
      </c>
      <c r="M253" s="42">
        <v>45489</v>
      </c>
      <c r="N253" s="42">
        <v>45489</v>
      </c>
      <c r="O253" s="42">
        <v>45495</v>
      </c>
      <c r="P253" s="41" t="s">
        <v>1314</v>
      </c>
      <c r="Q253" s="41" t="s">
        <v>935</v>
      </c>
      <c r="R253" s="41"/>
      <c r="S253" s="43" t="s">
        <v>1315</v>
      </c>
      <c r="T253" s="41"/>
    </row>
    <row r="254" spans="1:20" s="44" customFormat="1" ht="25.05" customHeight="1" x14ac:dyDescent="0.3">
      <c r="A254" s="41">
        <v>1</v>
      </c>
      <c r="B254" s="41"/>
      <c r="C254" s="51" t="str">
        <f>VLOOKUP(F254,[1]VLOOKUP!$A$2:$B$35,2,FALSE)</f>
        <v>东北</v>
      </c>
      <c r="D254" s="41" t="s">
        <v>1316</v>
      </c>
      <c r="E254" s="41"/>
      <c r="F254" s="2" t="s">
        <v>327</v>
      </c>
      <c r="G254" s="2"/>
      <c r="H254" s="2"/>
      <c r="I254" s="41" t="s">
        <v>474</v>
      </c>
      <c r="J254" s="41" t="s">
        <v>327</v>
      </c>
      <c r="K254" s="41" t="s">
        <v>599</v>
      </c>
      <c r="L254" s="41" t="s">
        <v>600</v>
      </c>
      <c r="M254" s="42">
        <v>45608</v>
      </c>
      <c r="N254" s="42">
        <v>45608</v>
      </c>
      <c r="O254" s="42">
        <v>45625</v>
      </c>
      <c r="P254" s="41" t="s">
        <v>1314</v>
      </c>
      <c r="Q254" s="41" t="s">
        <v>935</v>
      </c>
      <c r="R254" s="41"/>
      <c r="S254" s="43" t="s">
        <v>1317</v>
      </c>
      <c r="T254" s="41"/>
    </row>
    <row r="255" spans="1:20" s="44" customFormat="1" ht="25.05" customHeight="1" x14ac:dyDescent="0.3">
      <c r="A255" s="41">
        <v>1</v>
      </c>
      <c r="B255" s="41"/>
      <c r="C255" s="51" t="str">
        <f>VLOOKUP(F255,[1]VLOOKUP!$A$2:$B$35,2,FALSE)</f>
        <v>东北</v>
      </c>
      <c r="D255" s="41" t="s">
        <v>1318</v>
      </c>
      <c r="E255" s="41"/>
      <c r="F255" s="2" t="s">
        <v>327</v>
      </c>
      <c r="G255" s="2"/>
      <c r="H255" s="2"/>
      <c r="I255" s="41" t="s">
        <v>474</v>
      </c>
      <c r="J255" s="41" t="s">
        <v>327</v>
      </c>
      <c r="K255" s="41" t="s">
        <v>599</v>
      </c>
      <c r="L255" s="41" t="s">
        <v>600</v>
      </c>
      <c r="M255" s="42">
        <v>45517</v>
      </c>
      <c r="N255" s="42">
        <v>45517</v>
      </c>
      <c r="O255" s="42">
        <v>46265</v>
      </c>
      <c r="P255" s="41" t="s">
        <v>1319</v>
      </c>
      <c r="Q255" s="41" t="s">
        <v>1320</v>
      </c>
      <c r="R255" s="41" t="s">
        <v>1321</v>
      </c>
      <c r="S255" s="43" t="s">
        <v>1322</v>
      </c>
      <c r="T255" s="41"/>
    </row>
    <row r="256" spans="1:20" s="44" customFormat="1" ht="25.05" customHeight="1" x14ac:dyDescent="0.3">
      <c r="A256" s="41">
        <v>1</v>
      </c>
      <c r="B256" s="41"/>
      <c r="C256" s="51" t="str">
        <f>VLOOKUP(F256,[1]VLOOKUP!$A$2:$B$35,2,FALSE)</f>
        <v>东北</v>
      </c>
      <c r="D256" s="41" t="s">
        <v>1323</v>
      </c>
      <c r="E256" s="41"/>
      <c r="F256" s="2" t="s">
        <v>327</v>
      </c>
      <c r="G256" s="2"/>
      <c r="H256" s="2"/>
      <c r="I256" s="41" t="s">
        <v>474</v>
      </c>
      <c r="J256" s="41" t="s">
        <v>327</v>
      </c>
      <c r="K256" s="41" t="s">
        <v>599</v>
      </c>
      <c r="L256" s="41" t="s">
        <v>600</v>
      </c>
      <c r="M256" s="42">
        <v>45772</v>
      </c>
      <c r="N256" s="42">
        <v>45772</v>
      </c>
      <c r="O256" s="42">
        <v>45783</v>
      </c>
      <c r="P256" s="41" t="s">
        <v>1324</v>
      </c>
      <c r="Q256" s="41" t="s">
        <v>1054</v>
      </c>
      <c r="R256" s="41"/>
      <c r="S256" s="43" t="s">
        <v>1325</v>
      </c>
      <c r="T256" s="41"/>
    </row>
    <row r="257" spans="1:20" s="44" customFormat="1" ht="25.05" customHeight="1" x14ac:dyDescent="0.3">
      <c r="A257" s="41">
        <v>1</v>
      </c>
      <c r="B257" s="41"/>
      <c r="C257" s="51" t="str">
        <f>VLOOKUP(F257,[1]VLOOKUP!$A$2:$B$35,2,FALSE)</f>
        <v>东北</v>
      </c>
      <c r="D257" s="41" t="s">
        <v>1326</v>
      </c>
      <c r="E257" s="41"/>
      <c r="F257" s="2" t="s">
        <v>327</v>
      </c>
      <c r="G257" s="2"/>
      <c r="H257" s="2"/>
      <c r="I257" s="41" t="s">
        <v>474</v>
      </c>
      <c r="J257" s="41" t="s">
        <v>327</v>
      </c>
      <c r="K257" s="41" t="s">
        <v>599</v>
      </c>
      <c r="L257" s="41" t="s">
        <v>600</v>
      </c>
      <c r="M257" s="42">
        <v>45792</v>
      </c>
      <c r="N257" s="42">
        <v>45792</v>
      </c>
      <c r="O257" s="42">
        <v>45813</v>
      </c>
      <c r="P257" s="41" t="s">
        <v>1314</v>
      </c>
      <c r="Q257" s="41" t="s">
        <v>935</v>
      </c>
      <c r="R257" s="41"/>
      <c r="S257" s="43" t="s">
        <v>1327</v>
      </c>
      <c r="T257" s="41"/>
    </row>
    <row r="258" spans="1:20" s="44" customFormat="1" ht="25.05" customHeight="1" x14ac:dyDescent="0.3">
      <c r="A258" s="41">
        <v>1</v>
      </c>
      <c r="B258" s="41"/>
      <c r="C258" s="51" t="str">
        <f>VLOOKUP(F258,[1]VLOOKUP!$A$2:$B$35,2,FALSE)</f>
        <v>东北</v>
      </c>
      <c r="D258" s="52" t="s">
        <v>1328</v>
      </c>
      <c r="E258" s="52"/>
      <c r="F258" s="2" t="s">
        <v>327</v>
      </c>
      <c r="G258" s="2" t="s">
        <v>478</v>
      </c>
      <c r="H258" s="2"/>
      <c r="I258" s="52" t="s">
        <v>720</v>
      </c>
      <c r="J258" s="52" t="s">
        <v>327</v>
      </c>
      <c r="K258" s="52" t="s">
        <v>682</v>
      </c>
      <c r="L258" s="52" t="s">
        <v>663</v>
      </c>
      <c r="M258" s="52">
        <v>44133</v>
      </c>
      <c r="N258" s="52">
        <v>44133</v>
      </c>
      <c r="O258" s="52">
        <v>44894</v>
      </c>
      <c r="P258" s="52" t="s">
        <v>1329</v>
      </c>
      <c r="Q258" s="52" t="s">
        <v>724</v>
      </c>
      <c r="R258" s="52" t="s">
        <v>1330</v>
      </c>
      <c r="S258" s="53" t="s">
        <v>1331</v>
      </c>
      <c r="T258" s="52"/>
    </row>
    <row r="259" spans="1:20" s="44" customFormat="1" ht="25.05" customHeight="1" x14ac:dyDescent="0.3">
      <c r="A259" s="41"/>
      <c r="B259" s="41"/>
      <c r="C259" s="41"/>
      <c r="D259" s="47" t="s">
        <v>1332</v>
      </c>
      <c r="E259" s="47"/>
      <c r="F259" s="2" t="s">
        <v>327</v>
      </c>
      <c r="G259" s="2" t="s">
        <v>478</v>
      </c>
      <c r="H259" s="2"/>
      <c r="I259" s="47" t="s">
        <v>720</v>
      </c>
      <c r="J259" s="47" t="s">
        <v>327</v>
      </c>
      <c r="K259" s="47" t="s">
        <v>611</v>
      </c>
      <c r="L259" s="47" t="s">
        <v>606</v>
      </c>
      <c r="M259" s="47"/>
      <c r="N259" s="47"/>
      <c r="O259" s="47"/>
      <c r="P259" s="47"/>
      <c r="Q259" s="47"/>
      <c r="R259" s="47"/>
      <c r="S259" s="64"/>
      <c r="T259" s="47"/>
    </row>
    <row r="260" spans="1:20" s="44" customFormat="1" ht="25.05" customHeight="1" x14ac:dyDescent="0.3">
      <c r="A260" s="41">
        <v>1</v>
      </c>
      <c r="B260" s="41"/>
      <c r="C260" s="51" t="str">
        <f>VLOOKUP(F260,[1]VLOOKUP!$A$2:$B$35,2,FALSE)</f>
        <v>东北</v>
      </c>
      <c r="D260" s="57" t="s">
        <v>1333</v>
      </c>
      <c r="E260" s="57"/>
      <c r="F260" s="2" t="s">
        <v>327</v>
      </c>
      <c r="G260" s="2" t="s">
        <v>478</v>
      </c>
      <c r="H260" s="2"/>
      <c r="I260" s="57" t="s">
        <v>720</v>
      </c>
      <c r="J260" s="57" t="s">
        <v>327</v>
      </c>
      <c r="K260" s="57" t="s">
        <v>599</v>
      </c>
      <c r="L260" s="57" t="s">
        <v>780</v>
      </c>
      <c r="M260" s="57">
        <v>46119</v>
      </c>
      <c r="N260" s="57">
        <v>46119</v>
      </c>
      <c r="O260" s="57">
        <v>46122</v>
      </c>
      <c r="P260" s="57" t="s">
        <v>1334</v>
      </c>
      <c r="Q260" s="57" t="s">
        <v>716</v>
      </c>
      <c r="R260" s="57"/>
      <c r="S260" s="58" t="s">
        <v>1335</v>
      </c>
      <c r="T260" s="57"/>
    </row>
    <row r="261" spans="1:20" s="44" customFormat="1" ht="25.05" customHeight="1" x14ac:dyDescent="0.3">
      <c r="A261" s="41">
        <v>1</v>
      </c>
      <c r="B261" s="41"/>
      <c r="C261" s="51" t="str">
        <f>VLOOKUP(F261,[1]VLOOKUP!$A$2:$B$35,2,FALSE)</f>
        <v>东北</v>
      </c>
      <c r="D261" s="41" t="s">
        <v>1336</v>
      </c>
      <c r="E261" s="41"/>
      <c r="F261" s="2" t="s">
        <v>327</v>
      </c>
      <c r="G261" s="2" t="s">
        <v>533</v>
      </c>
      <c r="H261" s="2"/>
      <c r="I261" s="41" t="s">
        <v>720</v>
      </c>
      <c r="J261" s="41" t="s">
        <v>327</v>
      </c>
      <c r="K261" s="41" t="s">
        <v>682</v>
      </c>
      <c r="L261" s="41" t="s">
        <v>600</v>
      </c>
      <c r="M261" s="42">
        <v>44868</v>
      </c>
      <c r="N261" s="42">
        <v>44873</v>
      </c>
      <c r="O261" s="42">
        <v>46022</v>
      </c>
      <c r="P261" s="41" t="s">
        <v>1337</v>
      </c>
      <c r="Q261" s="41" t="s">
        <v>724</v>
      </c>
      <c r="R261" s="41" t="s">
        <v>1338</v>
      </c>
      <c r="S261" s="43" t="s">
        <v>1339</v>
      </c>
      <c r="T261" s="41"/>
    </row>
    <row r="262" spans="1:20" s="44" customFormat="1" ht="25.05" customHeight="1" x14ac:dyDescent="0.3">
      <c r="A262" s="41">
        <v>1</v>
      </c>
      <c r="B262" s="41"/>
      <c r="C262" s="51" t="str">
        <f>VLOOKUP(F262,[1]VLOOKUP!$A$2:$B$35,2,FALSE)</f>
        <v>东北</v>
      </c>
      <c r="D262" s="47" t="s">
        <v>1340</v>
      </c>
      <c r="E262" s="47"/>
      <c r="F262" s="2" t="s">
        <v>327</v>
      </c>
      <c r="G262" s="2" t="s">
        <v>533</v>
      </c>
      <c r="H262" s="2"/>
      <c r="I262" s="47" t="s">
        <v>720</v>
      </c>
      <c r="J262" s="47" t="s">
        <v>327</v>
      </c>
      <c r="K262" s="47" t="s">
        <v>611</v>
      </c>
      <c r="L262" s="59" t="s">
        <v>600</v>
      </c>
      <c r="M262" s="59">
        <v>43614</v>
      </c>
      <c r="N262" s="59">
        <v>43614</v>
      </c>
      <c r="O262" s="59">
        <v>46022</v>
      </c>
      <c r="P262" s="59" t="s">
        <v>1337</v>
      </c>
      <c r="Q262" s="59" t="s">
        <v>724</v>
      </c>
      <c r="R262" s="47"/>
      <c r="S262" s="64"/>
      <c r="T262" s="47"/>
    </row>
    <row r="263" spans="1:20" s="44" customFormat="1" ht="25.05" customHeight="1" x14ac:dyDescent="0.3">
      <c r="A263" s="41"/>
      <c r="B263" s="41"/>
      <c r="C263" s="41"/>
      <c r="D263" s="47" t="s">
        <v>1341</v>
      </c>
      <c r="E263" s="47"/>
      <c r="F263" s="2" t="s">
        <v>327</v>
      </c>
      <c r="G263" s="2" t="s">
        <v>533</v>
      </c>
      <c r="H263" s="2"/>
      <c r="I263" s="47" t="s">
        <v>720</v>
      </c>
      <c r="J263" s="47" t="s">
        <v>327</v>
      </c>
      <c r="K263" s="47" t="s">
        <v>611</v>
      </c>
      <c r="L263" s="47" t="s">
        <v>606</v>
      </c>
      <c r="M263" s="59"/>
      <c r="N263" s="59"/>
      <c r="O263" s="59"/>
      <c r="P263" s="59" t="s">
        <v>1337</v>
      </c>
      <c r="Q263" s="59" t="s">
        <v>724</v>
      </c>
      <c r="R263" s="47"/>
      <c r="S263" s="64"/>
      <c r="T263" s="47"/>
    </row>
    <row r="264" spans="1:20" ht="25.05" customHeight="1" x14ac:dyDescent="0.3">
      <c r="A264" s="36"/>
      <c r="B264" s="36"/>
      <c r="C264" s="36"/>
      <c r="D264" s="60"/>
      <c r="E264" s="61"/>
      <c r="F264" s="3" t="s">
        <v>1342</v>
      </c>
      <c r="G264" s="3"/>
      <c r="H264" s="3"/>
      <c r="I264" s="60"/>
      <c r="J264" s="60"/>
      <c r="K264" s="60"/>
      <c r="L264" s="60"/>
      <c r="M264" s="60"/>
      <c r="N264" s="60"/>
      <c r="O264" s="60"/>
      <c r="P264" s="60"/>
      <c r="Q264" s="60"/>
      <c r="R264" s="60"/>
      <c r="S264" s="62"/>
      <c r="T264" s="60"/>
    </row>
    <row r="265" spans="1:20" s="44" customFormat="1" ht="25.05" customHeight="1" x14ac:dyDescent="0.3">
      <c r="A265" s="41"/>
      <c r="B265" s="41"/>
      <c r="C265" s="41"/>
      <c r="D265" s="47" t="s">
        <v>1343</v>
      </c>
      <c r="E265" s="47"/>
      <c r="F265" s="2" t="s">
        <v>1342</v>
      </c>
      <c r="G265" s="46"/>
      <c r="H265" s="46"/>
      <c r="I265" s="47" t="s">
        <v>474</v>
      </c>
      <c r="J265" s="47" t="s">
        <v>1342</v>
      </c>
      <c r="K265" s="47" t="s">
        <v>611</v>
      </c>
      <c r="L265" s="47" t="s">
        <v>606</v>
      </c>
      <c r="M265" s="47">
        <v>44747</v>
      </c>
      <c r="N265" s="47"/>
      <c r="O265" s="47"/>
      <c r="P265" s="47" t="s">
        <v>1344</v>
      </c>
      <c r="Q265" s="47" t="s">
        <v>716</v>
      </c>
      <c r="R265" s="47" t="s">
        <v>1345</v>
      </c>
      <c r="S265" s="64"/>
      <c r="T265" s="47"/>
    </row>
    <row r="266" spans="1:20" ht="25.05" customHeight="1" x14ac:dyDescent="0.3">
      <c r="A266" s="36"/>
      <c r="B266" s="36"/>
      <c r="C266" s="36"/>
      <c r="D266" s="60"/>
      <c r="E266" s="61"/>
      <c r="F266" s="3" t="s">
        <v>273</v>
      </c>
      <c r="G266" s="3"/>
      <c r="H266" s="3"/>
      <c r="I266" s="60"/>
      <c r="J266" s="60"/>
      <c r="K266" s="60"/>
      <c r="L266" s="60"/>
      <c r="M266" s="60"/>
      <c r="N266" s="60"/>
      <c r="O266" s="60"/>
      <c r="P266" s="60"/>
      <c r="Q266" s="60"/>
      <c r="R266" s="60"/>
      <c r="S266" s="62"/>
      <c r="T266" s="60"/>
    </row>
    <row r="267" spans="1:20" s="44" customFormat="1" ht="25.05" customHeight="1" x14ac:dyDescent="0.3">
      <c r="A267" s="41">
        <v>1</v>
      </c>
      <c r="B267" s="41"/>
      <c r="C267" s="51" t="str">
        <f>VLOOKUP(F267,[1]VLOOKUP!$A$2:$B$35,2,FALSE)</f>
        <v>华东</v>
      </c>
      <c r="D267" s="41" t="s">
        <v>1346</v>
      </c>
      <c r="E267" s="41"/>
      <c r="F267" s="2" t="s">
        <v>273</v>
      </c>
      <c r="G267" s="2"/>
      <c r="H267" s="2"/>
      <c r="I267" s="41" t="s">
        <v>474</v>
      </c>
      <c r="J267" s="41" t="s">
        <v>273</v>
      </c>
      <c r="K267" s="41" t="s">
        <v>611</v>
      </c>
      <c r="L267" s="41" t="s">
        <v>600</v>
      </c>
      <c r="M267" s="42">
        <v>42983</v>
      </c>
      <c r="N267" s="42">
        <v>42997</v>
      </c>
      <c r="O267" s="42">
        <v>47848</v>
      </c>
      <c r="P267" s="41" t="s">
        <v>1347</v>
      </c>
      <c r="Q267" s="41" t="s">
        <v>1348</v>
      </c>
      <c r="R267" s="41" t="s">
        <v>1349</v>
      </c>
      <c r="S267" s="43" t="s">
        <v>1350</v>
      </c>
      <c r="T267" s="41"/>
    </row>
    <row r="268" spans="1:20" s="44" customFormat="1" ht="25.05" customHeight="1" x14ac:dyDescent="0.3">
      <c r="A268" s="41">
        <v>1</v>
      </c>
      <c r="B268" s="41"/>
      <c r="C268" s="51" t="str">
        <f>VLOOKUP(F268,[1]VLOOKUP!$A$2:$B$35,2,FALSE)</f>
        <v>华东</v>
      </c>
      <c r="D268" s="52" t="s">
        <v>1351</v>
      </c>
      <c r="E268" s="52"/>
      <c r="F268" s="2" t="s">
        <v>273</v>
      </c>
      <c r="G268" s="2"/>
      <c r="H268" s="2"/>
      <c r="I268" s="52" t="s">
        <v>474</v>
      </c>
      <c r="J268" s="52" t="s">
        <v>273</v>
      </c>
      <c r="K268" s="52" t="s">
        <v>605</v>
      </c>
      <c r="L268" s="52" t="s">
        <v>663</v>
      </c>
      <c r="M268" s="52">
        <v>43241</v>
      </c>
      <c r="N268" s="52">
        <v>43241</v>
      </c>
      <c r="O268" s="52">
        <v>44196</v>
      </c>
      <c r="P268" s="52" t="s">
        <v>1352</v>
      </c>
      <c r="Q268" s="52" t="s">
        <v>1353</v>
      </c>
      <c r="R268" s="52" t="s">
        <v>1354</v>
      </c>
      <c r="S268" s="53" t="s">
        <v>1355</v>
      </c>
      <c r="T268" s="52"/>
    </row>
    <row r="269" spans="1:20" s="44" customFormat="1" ht="25.05" customHeight="1" x14ac:dyDescent="0.3">
      <c r="A269" s="41">
        <v>1</v>
      </c>
      <c r="B269" s="41"/>
      <c r="C269" s="51" t="str">
        <f>VLOOKUP(F269,[1]VLOOKUP!$A$2:$B$35,2,FALSE)</f>
        <v>华东</v>
      </c>
      <c r="D269" s="52" t="s">
        <v>1356</v>
      </c>
      <c r="E269" s="52"/>
      <c r="F269" s="2" t="s">
        <v>273</v>
      </c>
      <c r="G269" s="2"/>
      <c r="H269" s="2"/>
      <c r="I269" s="52" t="s">
        <v>474</v>
      </c>
      <c r="J269" s="52" t="s">
        <v>273</v>
      </c>
      <c r="K269" s="52" t="s">
        <v>611</v>
      </c>
      <c r="L269" s="52" t="s">
        <v>663</v>
      </c>
      <c r="M269" s="52">
        <v>44148</v>
      </c>
      <c r="N269" s="52">
        <v>44148</v>
      </c>
      <c r="O269" s="52">
        <v>45291</v>
      </c>
      <c r="P269" s="52" t="s">
        <v>1357</v>
      </c>
      <c r="Q269" s="52" t="s">
        <v>1358</v>
      </c>
      <c r="R269" s="52" t="s">
        <v>1359</v>
      </c>
      <c r="S269" s="53" t="s">
        <v>1360</v>
      </c>
      <c r="T269" s="52"/>
    </row>
    <row r="270" spans="1:20" s="44" customFormat="1" ht="25.05" customHeight="1" x14ac:dyDescent="0.3">
      <c r="A270" s="41">
        <v>1</v>
      </c>
      <c r="B270" s="41"/>
      <c r="C270" s="51" t="str">
        <f>VLOOKUP(F270,[1]VLOOKUP!$A$2:$B$35,2,FALSE)</f>
        <v>华东</v>
      </c>
      <c r="D270" s="57" t="s">
        <v>1361</v>
      </c>
      <c r="E270" s="57"/>
      <c r="F270" s="2" t="s">
        <v>273</v>
      </c>
      <c r="G270" s="2"/>
      <c r="H270" s="2"/>
      <c r="I270" s="57" t="s">
        <v>474</v>
      </c>
      <c r="J270" s="57" t="s">
        <v>273</v>
      </c>
      <c r="K270" s="57" t="s">
        <v>611</v>
      </c>
      <c r="L270" s="57" t="s">
        <v>780</v>
      </c>
      <c r="M270" s="57">
        <v>44234</v>
      </c>
      <c r="N270" s="57">
        <v>44234</v>
      </c>
      <c r="O270" s="57">
        <v>44263</v>
      </c>
      <c r="P270" s="57" t="s">
        <v>1362</v>
      </c>
      <c r="Q270" s="57" t="s">
        <v>857</v>
      </c>
      <c r="R270" s="57"/>
      <c r="S270" s="58" t="s">
        <v>1363</v>
      </c>
      <c r="T270" s="57"/>
    </row>
    <row r="271" spans="1:20" s="44" customFormat="1" ht="25.05" customHeight="1" x14ac:dyDescent="0.3">
      <c r="A271" s="41"/>
      <c r="B271" s="41"/>
      <c r="C271" s="41"/>
      <c r="D271" s="52" t="s">
        <v>1364</v>
      </c>
      <c r="E271" s="52"/>
      <c r="F271" s="2" t="s">
        <v>273</v>
      </c>
      <c r="G271" s="2"/>
      <c r="H271" s="2"/>
      <c r="I271" s="52" t="s">
        <v>474</v>
      </c>
      <c r="J271" s="52" t="s">
        <v>273</v>
      </c>
      <c r="K271" s="52" t="s">
        <v>682</v>
      </c>
      <c r="L271" s="52" t="s">
        <v>663</v>
      </c>
      <c r="M271" s="52">
        <v>43654</v>
      </c>
      <c r="N271" s="52">
        <v>43654</v>
      </c>
      <c r="O271" s="52">
        <v>43661</v>
      </c>
      <c r="P271" s="52" t="s">
        <v>1362</v>
      </c>
      <c r="Q271" s="52" t="s">
        <v>857</v>
      </c>
      <c r="R271" s="52"/>
      <c r="S271" s="53"/>
      <c r="T271" s="52"/>
    </row>
    <row r="272" spans="1:20" s="44" customFormat="1" ht="25.05" customHeight="1" x14ac:dyDescent="0.3">
      <c r="A272" s="41">
        <v>1</v>
      </c>
      <c r="B272" s="41"/>
      <c r="C272" s="51" t="str">
        <f>VLOOKUP(F272,[1]VLOOKUP!$A$2:$B$35,2,FALSE)</f>
        <v>华东</v>
      </c>
      <c r="D272" s="41" t="s">
        <v>513</v>
      </c>
      <c r="E272" s="41"/>
      <c r="F272" s="2" t="s">
        <v>273</v>
      </c>
      <c r="G272" s="2"/>
      <c r="H272" s="2"/>
      <c r="I272" s="41" t="s">
        <v>474</v>
      </c>
      <c r="J272" s="41" t="s">
        <v>273</v>
      </c>
      <c r="K272" s="41" t="s">
        <v>682</v>
      </c>
      <c r="L272" s="41" t="s">
        <v>600</v>
      </c>
      <c r="M272" s="42">
        <v>44578</v>
      </c>
      <c r="N272" s="42">
        <v>44619</v>
      </c>
      <c r="O272" s="42">
        <v>46445</v>
      </c>
      <c r="P272" s="41" t="s">
        <v>1365</v>
      </c>
      <c r="Q272" s="41" t="s">
        <v>1366</v>
      </c>
      <c r="R272" s="41" t="s">
        <v>1367</v>
      </c>
      <c r="S272" s="43"/>
      <c r="T272" s="41"/>
    </row>
    <row r="273" spans="1:20" s="44" customFormat="1" ht="25.05" customHeight="1" x14ac:dyDescent="0.3">
      <c r="A273" s="41">
        <v>1</v>
      </c>
      <c r="B273" s="41"/>
      <c r="C273" s="51" t="str">
        <f>VLOOKUP(F273,[1]VLOOKUP!$A$2:$B$35,2,FALSE)</f>
        <v>华东</v>
      </c>
      <c r="D273" s="41" t="s">
        <v>1368</v>
      </c>
      <c r="E273" s="41"/>
      <c r="F273" s="2" t="s">
        <v>273</v>
      </c>
      <c r="G273" s="2"/>
      <c r="H273" s="2"/>
      <c r="I273" s="41" t="s">
        <v>474</v>
      </c>
      <c r="J273" s="41" t="s">
        <v>273</v>
      </c>
      <c r="K273" s="41" t="s">
        <v>605</v>
      </c>
      <c r="L273" s="41" t="s">
        <v>600</v>
      </c>
      <c r="M273" s="42">
        <v>44494</v>
      </c>
      <c r="N273" s="42">
        <v>44503</v>
      </c>
      <c r="O273" s="42">
        <v>46022</v>
      </c>
      <c r="P273" s="41" t="s">
        <v>1369</v>
      </c>
      <c r="Q273" s="41" t="s">
        <v>1370</v>
      </c>
      <c r="R273" s="41" t="s">
        <v>1371</v>
      </c>
      <c r="S273" s="43" t="s">
        <v>1372</v>
      </c>
      <c r="T273" s="41"/>
    </row>
    <row r="274" spans="1:20" s="44" customFormat="1" ht="25.05" customHeight="1" x14ac:dyDescent="0.3">
      <c r="A274" s="41">
        <v>1</v>
      </c>
      <c r="B274" s="41"/>
      <c r="C274" s="51" t="str">
        <f>VLOOKUP(F274,[1]VLOOKUP!$A$2:$B$35,2,FALSE)</f>
        <v>华东</v>
      </c>
      <c r="D274" s="52" t="s">
        <v>1373</v>
      </c>
      <c r="E274" s="52"/>
      <c r="F274" s="2" t="s">
        <v>273</v>
      </c>
      <c r="G274" s="2"/>
      <c r="H274" s="2"/>
      <c r="I274" s="52" t="s">
        <v>474</v>
      </c>
      <c r="J274" s="52" t="s">
        <v>273</v>
      </c>
      <c r="K274" s="52" t="s">
        <v>599</v>
      </c>
      <c r="L274" s="52" t="s">
        <v>663</v>
      </c>
      <c r="M274" s="52">
        <v>44537</v>
      </c>
      <c r="N274" s="52">
        <v>44538</v>
      </c>
      <c r="O274" s="52">
        <v>44558</v>
      </c>
      <c r="P274" s="52" t="s">
        <v>1374</v>
      </c>
      <c r="Q274" s="52" t="s">
        <v>1375</v>
      </c>
      <c r="R274" s="52" t="s">
        <v>1376</v>
      </c>
      <c r="S274" s="53" t="s">
        <v>1377</v>
      </c>
      <c r="T274" s="52"/>
    </row>
    <row r="275" spans="1:20" s="44" customFormat="1" ht="25.05" customHeight="1" x14ac:dyDescent="0.3">
      <c r="A275" s="41">
        <v>1</v>
      </c>
      <c r="B275" s="41"/>
      <c r="C275" s="51" t="str">
        <f>VLOOKUP(F275,[1]VLOOKUP!$A$2:$B$35,2,FALSE)</f>
        <v>华东</v>
      </c>
      <c r="D275" s="41" t="s">
        <v>1378</v>
      </c>
      <c r="E275" s="41"/>
      <c r="F275" s="2" t="s">
        <v>273</v>
      </c>
      <c r="G275" s="2"/>
      <c r="H275" s="2"/>
      <c r="I275" s="41" t="s">
        <v>474</v>
      </c>
      <c r="J275" s="41" t="s">
        <v>273</v>
      </c>
      <c r="K275" s="41" t="s">
        <v>611</v>
      </c>
      <c r="L275" s="41" t="s">
        <v>600</v>
      </c>
      <c r="M275" s="42">
        <v>44689</v>
      </c>
      <c r="N275" s="42">
        <v>44732</v>
      </c>
      <c r="O275" s="42">
        <v>49674</v>
      </c>
      <c r="P275" s="41" t="s">
        <v>1379</v>
      </c>
      <c r="Q275" s="41" t="s">
        <v>1380</v>
      </c>
      <c r="R275" s="41" t="s">
        <v>1381</v>
      </c>
      <c r="S275" s="43" t="s">
        <v>1382</v>
      </c>
      <c r="T275" s="41"/>
    </row>
    <row r="276" spans="1:20" s="44" customFormat="1" ht="25.05" customHeight="1" x14ac:dyDescent="0.3">
      <c r="A276" s="41">
        <v>1</v>
      </c>
      <c r="B276" s="41"/>
      <c r="C276" s="51" t="str">
        <f>VLOOKUP(F276,[1]VLOOKUP!$A$2:$B$35,2,FALSE)</f>
        <v>华东</v>
      </c>
      <c r="D276" s="54" t="s">
        <v>1383</v>
      </c>
      <c r="E276" s="54"/>
      <c r="F276" s="2" t="s">
        <v>273</v>
      </c>
      <c r="G276" s="2"/>
      <c r="H276" s="2"/>
      <c r="I276" s="54" t="s">
        <v>474</v>
      </c>
      <c r="J276" s="54" t="s">
        <v>273</v>
      </c>
      <c r="K276" s="54" t="s">
        <v>599</v>
      </c>
      <c r="L276" s="54" t="s">
        <v>600</v>
      </c>
      <c r="M276" s="54">
        <v>44574</v>
      </c>
      <c r="N276" s="54">
        <v>44574</v>
      </c>
      <c r="O276" s="54">
        <v>44580</v>
      </c>
      <c r="P276" s="54" t="s">
        <v>1384</v>
      </c>
      <c r="Q276" s="54" t="s">
        <v>645</v>
      </c>
      <c r="R276" s="54"/>
      <c r="S276" s="55" t="s">
        <v>1385</v>
      </c>
      <c r="T276" s="54"/>
    </row>
    <row r="277" spans="1:20" s="44" customFormat="1" ht="25.05" customHeight="1" x14ac:dyDescent="0.3">
      <c r="A277" s="41">
        <v>1</v>
      </c>
      <c r="B277" s="41"/>
      <c r="C277" s="51" t="str">
        <f>VLOOKUP(F277,[1]VLOOKUP!$A$2:$B$35,2,FALSE)</f>
        <v>华东</v>
      </c>
      <c r="D277" s="41" t="s">
        <v>1386</v>
      </c>
      <c r="E277" s="41"/>
      <c r="F277" s="2" t="s">
        <v>273</v>
      </c>
      <c r="G277" s="2"/>
      <c r="H277" s="2"/>
      <c r="I277" s="41" t="s">
        <v>474</v>
      </c>
      <c r="J277" s="41" t="s">
        <v>273</v>
      </c>
      <c r="K277" s="41" t="s">
        <v>599</v>
      </c>
      <c r="L277" s="41" t="s">
        <v>600</v>
      </c>
      <c r="M277" s="42">
        <v>44788</v>
      </c>
      <c r="N277" s="42">
        <v>44799</v>
      </c>
      <c r="O277" s="42">
        <v>46022</v>
      </c>
      <c r="P277" s="41" t="s">
        <v>1387</v>
      </c>
      <c r="Q277" s="41" t="s">
        <v>1388</v>
      </c>
      <c r="R277" s="41" t="s">
        <v>1389</v>
      </c>
      <c r="S277" s="43" t="s">
        <v>1390</v>
      </c>
      <c r="T277" s="41"/>
    </row>
    <row r="278" spans="1:20" s="44" customFormat="1" ht="25.05" customHeight="1" x14ac:dyDescent="0.3">
      <c r="A278" s="41">
        <v>1</v>
      </c>
      <c r="B278" s="41"/>
      <c r="C278" s="51" t="str">
        <f>VLOOKUP(F278,[1]VLOOKUP!$A$2:$B$35,2,FALSE)</f>
        <v>华东</v>
      </c>
      <c r="D278" s="41" t="s">
        <v>1391</v>
      </c>
      <c r="E278" s="41"/>
      <c r="F278" s="2" t="s">
        <v>273</v>
      </c>
      <c r="G278" s="2"/>
      <c r="H278" s="2"/>
      <c r="I278" s="41" t="s">
        <v>474</v>
      </c>
      <c r="J278" s="41" t="s">
        <v>273</v>
      </c>
      <c r="K278" s="41" t="s">
        <v>605</v>
      </c>
      <c r="L278" s="41" t="s">
        <v>600</v>
      </c>
      <c r="M278" s="42">
        <v>45034</v>
      </c>
      <c r="N278" s="42">
        <v>45041</v>
      </c>
      <c r="O278" s="42">
        <v>46022</v>
      </c>
      <c r="P278" s="41" t="s">
        <v>1392</v>
      </c>
      <c r="Q278" s="41" t="s">
        <v>1393</v>
      </c>
      <c r="R278" s="41" t="s">
        <v>1394</v>
      </c>
      <c r="S278" s="43" t="s">
        <v>1395</v>
      </c>
      <c r="T278" s="41"/>
    </row>
    <row r="279" spans="1:20" s="44" customFormat="1" ht="25.05" customHeight="1" x14ac:dyDescent="0.3">
      <c r="A279" s="41">
        <v>1</v>
      </c>
      <c r="B279" s="41"/>
      <c r="C279" s="51" t="str">
        <f>VLOOKUP(F279,[1]VLOOKUP!$A$2:$B$35,2,FALSE)</f>
        <v>华东</v>
      </c>
      <c r="D279" s="52" t="s">
        <v>1396</v>
      </c>
      <c r="E279" s="52"/>
      <c r="F279" s="2" t="s">
        <v>273</v>
      </c>
      <c r="G279" s="2"/>
      <c r="H279" s="2"/>
      <c r="I279" s="52" t="s">
        <v>474</v>
      </c>
      <c r="J279" s="52" t="s">
        <v>273</v>
      </c>
      <c r="K279" s="52" t="s">
        <v>599</v>
      </c>
      <c r="L279" s="52" t="s">
        <v>663</v>
      </c>
      <c r="M279" s="52">
        <v>44896</v>
      </c>
      <c r="N279" s="52">
        <v>44910</v>
      </c>
      <c r="O279" s="52">
        <v>44910</v>
      </c>
      <c r="P279" s="52" t="s">
        <v>1374</v>
      </c>
      <c r="Q279" s="52" t="s">
        <v>1375</v>
      </c>
      <c r="R279" s="52" t="s">
        <v>1397</v>
      </c>
      <c r="S279" s="53" t="s">
        <v>1398</v>
      </c>
      <c r="T279" s="52"/>
    </row>
    <row r="280" spans="1:20" s="44" customFormat="1" ht="25.05" customHeight="1" x14ac:dyDescent="0.3">
      <c r="A280" s="41">
        <v>1</v>
      </c>
      <c r="B280" s="41"/>
      <c r="C280" s="51" t="str">
        <f>VLOOKUP(F280,[1]VLOOKUP!$A$2:$B$35,2,FALSE)</f>
        <v>华东</v>
      </c>
      <c r="D280" s="54" t="s">
        <v>1399</v>
      </c>
      <c r="E280" s="54"/>
      <c r="F280" s="2" t="s">
        <v>273</v>
      </c>
      <c r="G280" s="2"/>
      <c r="H280" s="2"/>
      <c r="I280" s="54" t="s">
        <v>474</v>
      </c>
      <c r="J280" s="54" t="s">
        <v>273</v>
      </c>
      <c r="K280" s="54" t="s">
        <v>599</v>
      </c>
      <c r="L280" s="54" t="s">
        <v>600</v>
      </c>
      <c r="M280" s="54">
        <v>44939</v>
      </c>
      <c r="N280" s="54">
        <v>44939</v>
      </c>
      <c r="O280" s="54">
        <v>44945</v>
      </c>
      <c r="P280" s="54" t="s">
        <v>1384</v>
      </c>
      <c r="Q280" s="54" t="s">
        <v>645</v>
      </c>
      <c r="R280" s="54"/>
      <c r="S280" s="55" t="s">
        <v>1400</v>
      </c>
      <c r="T280" s="54"/>
    </row>
    <row r="281" spans="1:20" s="44" customFormat="1" ht="25.05" customHeight="1" x14ac:dyDescent="0.3">
      <c r="A281" s="41">
        <v>1</v>
      </c>
      <c r="B281" s="41"/>
      <c r="C281" s="51" t="str">
        <f>VLOOKUP(F281,[1]VLOOKUP!$A$2:$B$35,2,FALSE)</f>
        <v>华东</v>
      </c>
      <c r="D281" s="41" t="s">
        <v>1401</v>
      </c>
      <c r="E281" s="41"/>
      <c r="F281" s="2" t="s">
        <v>273</v>
      </c>
      <c r="G281" s="2"/>
      <c r="H281" s="2"/>
      <c r="I281" s="41" t="s">
        <v>474</v>
      </c>
      <c r="J281" s="41" t="s">
        <v>273</v>
      </c>
      <c r="K281" s="41" t="s">
        <v>611</v>
      </c>
      <c r="L281" s="41" t="s">
        <v>600</v>
      </c>
      <c r="M281" s="42">
        <v>45115</v>
      </c>
      <c r="N281" s="42">
        <v>45127</v>
      </c>
      <c r="O281" s="42">
        <v>46022</v>
      </c>
      <c r="P281" s="41" t="s">
        <v>1402</v>
      </c>
      <c r="Q281" s="41" t="s">
        <v>1403</v>
      </c>
      <c r="R281" s="41" t="s">
        <v>1404</v>
      </c>
      <c r="S281" s="43" t="s">
        <v>1405</v>
      </c>
      <c r="T281" s="41"/>
    </row>
    <row r="282" spans="1:20" s="44" customFormat="1" ht="25.05" customHeight="1" x14ac:dyDescent="0.3">
      <c r="A282" s="41">
        <v>1</v>
      </c>
      <c r="B282" s="41"/>
      <c r="C282" s="51" t="str">
        <f>VLOOKUP(F282,[1]VLOOKUP!$A$2:$B$35,2,FALSE)</f>
        <v>华东</v>
      </c>
      <c r="D282" s="52" t="s">
        <v>1406</v>
      </c>
      <c r="E282" s="52"/>
      <c r="F282" s="2" t="s">
        <v>273</v>
      </c>
      <c r="G282" s="2"/>
      <c r="H282" s="2"/>
      <c r="I282" s="52" t="s">
        <v>474</v>
      </c>
      <c r="J282" s="52" t="s">
        <v>273</v>
      </c>
      <c r="K282" s="52" t="s">
        <v>599</v>
      </c>
      <c r="L282" s="52" t="s">
        <v>663</v>
      </c>
      <c r="M282" s="52">
        <v>45289</v>
      </c>
      <c r="N282" s="52">
        <v>45289</v>
      </c>
      <c r="O282" s="52">
        <v>45303</v>
      </c>
      <c r="P282" s="52" t="s">
        <v>1374</v>
      </c>
      <c r="Q282" s="52" t="s">
        <v>1393</v>
      </c>
      <c r="R282" s="52" t="s">
        <v>1407</v>
      </c>
      <c r="S282" s="53" t="s">
        <v>1408</v>
      </c>
      <c r="T282" s="52"/>
    </row>
    <row r="283" spans="1:20" s="44" customFormat="1" ht="25.05" customHeight="1" x14ac:dyDescent="0.3">
      <c r="A283" s="41">
        <v>1</v>
      </c>
      <c r="B283" s="41"/>
      <c r="C283" s="51" t="str">
        <f>VLOOKUP(F283,[1]VLOOKUP!$A$2:$B$35,2,FALSE)</f>
        <v>华东</v>
      </c>
      <c r="D283" s="54" t="s">
        <v>1409</v>
      </c>
      <c r="E283" s="54"/>
      <c r="F283" s="2" t="s">
        <v>273</v>
      </c>
      <c r="G283" s="2"/>
      <c r="H283" s="2"/>
      <c r="I283" s="54" t="s">
        <v>474</v>
      </c>
      <c r="J283" s="54" t="s">
        <v>273</v>
      </c>
      <c r="K283" s="54" t="s">
        <v>599</v>
      </c>
      <c r="L283" s="54" t="s">
        <v>600</v>
      </c>
      <c r="M283" s="54">
        <v>45330</v>
      </c>
      <c r="N283" s="54">
        <v>45330</v>
      </c>
      <c r="O283" s="54">
        <v>45336</v>
      </c>
      <c r="P283" s="54" t="s">
        <v>1384</v>
      </c>
      <c r="Q283" s="54" t="s">
        <v>645</v>
      </c>
      <c r="R283" s="54"/>
      <c r="S283" s="55" t="s">
        <v>1410</v>
      </c>
      <c r="T283" s="54"/>
    </row>
    <row r="284" spans="1:20" s="44" customFormat="1" ht="25.05" customHeight="1" x14ac:dyDescent="0.3">
      <c r="A284" s="41">
        <v>1</v>
      </c>
      <c r="B284" s="41"/>
      <c r="C284" s="51" t="str">
        <f>VLOOKUP(F284,[1]VLOOKUP!$A$2:$B$35,2,FALSE)</f>
        <v>华东</v>
      </c>
      <c r="D284" s="41" t="s">
        <v>1411</v>
      </c>
      <c r="E284" s="41"/>
      <c r="F284" s="2" t="s">
        <v>273</v>
      </c>
      <c r="G284" s="2"/>
      <c r="H284" s="2"/>
      <c r="I284" s="41" t="s">
        <v>474</v>
      </c>
      <c r="J284" s="41" t="s">
        <v>273</v>
      </c>
      <c r="K284" s="41" t="s">
        <v>605</v>
      </c>
      <c r="L284" s="41" t="s">
        <v>600</v>
      </c>
      <c r="M284" s="42">
        <v>45447</v>
      </c>
      <c r="N284" s="42">
        <v>45447</v>
      </c>
      <c r="O284" s="42">
        <v>46022</v>
      </c>
      <c r="P284" s="41" t="s">
        <v>1384</v>
      </c>
      <c r="Q284" s="41" t="s">
        <v>645</v>
      </c>
      <c r="R284" s="41"/>
      <c r="S284" s="43" t="s">
        <v>1412</v>
      </c>
      <c r="T284" s="41"/>
    </row>
    <row r="285" spans="1:20" s="44" customFormat="1" ht="25.05" customHeight="1" x14ac:dyDescent="0.3">
      <c r="A285" s="41">
        <v>1</v>
      </c>
      <c r="B285" s="41"/>
      <c r="C285" s="51" t="str">
        <f>VLOOKUP(F285,[1]VLOOKUP!$A$2:$B$35,2,FALSE)</f>
        <v>华东</v>
      </c>
      <c r="D285" s="41" t="s">
        <v>1413</v>
      </c>
      <c r="E285" s="41"/>
      <c r="F285" s="2" t="s">
        <v>273</v>
      </c>
      <c r="G285" s="2"/>
      <c r="H285" s="2"/>
      <c r="I285" s="41" t="s">
        <v>474</v>
      </c>
      <c r="J285" s="41" t="s">
        <v>273</v>
      </c>
      <c r="K285" s="41" t="s">
        <v>611</v>
      </c>
      <c r="L285" s="41" t="s">
        <v>600</v>
      </c>
      <c r="M285" s="42">
        <v>45595</v>
      </c>
      <c r="N285" s="42">
        <v>45597</v>
      </c>
      <c r="O285" s="42">
        <v>47848</v>
      </c>
      <c r="P285" s="41" t="s">
        <v>1414</v>
      </c>
      <c r="Q285" s="41" t="s">
        <v>1415</v>
      </c>
      <c r="R285" s="41" t="s">
        <v>1416</v>
      </c>
      <c r="S285" s="43" t="s">
        <v>1417</v>
      </c>
      <c r="T285" s="41"/>
    </row>
    <row r="286" spans="1:20" s="44" customFormat="1" ht="25.05" customHeight="1" x14ac:dyDescent="0.3">
      <c r="A286" s="41">
        <v>1</v>
      </c>
      <c r="B286" s="41"/>
      <c r="C286" s="51" t="s">
        <v>1418</v>
      </c>
      <c r="D286" s="41" t="s">
        <v>1419</v>
      </c>
      <c r="E286" s="41"/>
      <c r="F286" s="2" t="s">
        <v>273</v>
      </c>
      <c r="G286" s="2"/>
      <c r="H286" s="2"/>
      <c r="I286" s="41" t="s">
        <v>474</v>
      </c>
      <c r="J286" s="41" t="s">
        <v>273</v>
      </c>
      <c r="K286" s="41" t="s">
        <v>605</v>
      </c>
      <c r="L286" s="41" t="s">
        <v>600</v>
      </c>
      <c r="M286" s="42">
        <v>46026</v>
      </c>
      <c r="N286" s="42">
        <v>46028</v>
      </c>
      <c r="O286" s="42">
        <v>46041</v>
      </c>
      <c r="P286" s="41" t="s">
        <v>1384</v>
      </c>
      <c r="Q286" s="41" t="s">
        <v>645</v>
      </c>
      <c r="R286" s="41" t="s">
        <v>1420</v>
      </c>
      <c r="S286" s="43" t="s">
        <v>1421</v>
      </c>
      <c r="T286" s="41"/>
    </row>
    <row r="287" spans="1:20" s="44" customFormat="1" ht="25.05" customHeight="1" x14ac:dyDescent="0.3">
      <c r="A287" s="41">
        <v>1</v>
      </c>
      <c r="B287" s="41"/>
      <c r="C287" s="51" t="str">
        <f>VLOOKUP(F287,[1]VLOOKUP!$A$2:$B$35,2,FALSE)</f>
        <v>华东</v>
      </c>
      <c r="D287" s="41" t="s">
        <v>1422</v>
      </c>
      <c r="E287" s="41"/>
      <c r="F287" s="2" t="s">
        <v>273</v>
      </c>
      <c r="G287" s="2" t="s">
        <v>1423</v>
      </c>
      <c r="H287" s="2"/>
      <c r="I287" s="41" t="s">
        <v>720</v>
      </c>
      <c r="J287" s="41" t="s">
        <v>273</v>
      </c>
      <c r="K287" s="41" t="s">
        <v>605</v>
      </c>
      <c r="L287" s="41" t="s">
        <v>600</v>
      </c>
      <c r="M287" s="42">
        <v>43595</v>
      </c>
      <c r="N287" s="42">
        <v>43781</v>
      </c>
      <c r="O287" s="42">
        <v>46022</v>
      </c>
      <c r="P287" s="41" t="s">
        <v>1424</v>
      </c>
      <c r="Q287" s="41" t="s">
        <v>1425</v>
      </c>
      <c r="R287" s="41" t="s">
        <v>1426</v>
      </c>
      <c r="S287" s="43" t="s">
        <v>1427</v>
      </c>
      <c r="T287" s="41"/>
    </row>
    <row r="288" spans="1:20" s="44" customFormat="1" ht="25.05" customHeight="1" x14ac:dyDescent="0.3">
      <c r="A288" s="41">
        <v>1</v>
      </c>
      <c r="B288" s="41"/>
      <c r="C288" s="51" t="str">
        <f>VLOOKUP(F288,[1]VLOOKUP!$A$2:$B$35,2,FALSE)</f>
        <v>华东</v>
      </c>
      <c r="D288" s="41" t="s">
        <v>1428</v>
      </c>
      <c r="E288" s="41"/>
      <c r="F288" s="2" t="s">
        <v>273</v>
      </c>
      <c r="G288" s="2" t="s">
        <v>1423</v>
      </c>
      <c r="H288" s="2"/>
      <c r="I288" s="41" t="s">
        <v>720</v>
      </c>
      <c r="J288" s="41" t="s">
        <v>273</v>
      </c>
      <c r="K288" s="41" t="s">
        <v>605</v>
      </c>
      <c r="L288" s="41" t="s">
        <v>600</v>
      </c>
      <c r="M288" s="42">
        <v>44071</v>
      </c>
      <c r="N288" s="42">
        <v>44071</v>
      </c>
      <c r="O288" s="42">
        <v>46022</v>
      </c>
      <c r="P288" s="41" t="s">
        <v>1429</v>
      </c>
      <c r="Q288" s="41" t="s">
        <v>645</v>
      </c>
      <c r="R288" s="41" t="s">
        <v>1430</v>
      </c>
      <c r="S288" s="43" t="s">
        <v>1431</v>
      </c>
      <c r="T288" s="41"/>
    </row>
    <row r="289" spans="1:20" s="44" customFormat="1" ht="25.05" customHeight="1" x14ac:dyDescent="0.3">
      <c r="A289" s="41"/>
      <c r="B289" s="41"/>
      <c r="C289" s="41"/>
      <c r="D289" s="47" t="s">
        <v>1432</v>
      </c>
      <c r="E289" s="47"/>
      <c r="F289" s="2" t="s">
        <v>273</v>
      </c>
      <c r="G289" s="2" t="s">
        <v>1423</v>
      </c>
      <c r="H289" s="2"/>
      <c r="I289" s="47" t="s">
        <v>720</v>
      </c>
      <c r="J289" s="47" t="s">
        <v>273</v>
      </c>
      <c r="K289" s="47" t="s">
        <v>611</v>
      </c>
      <c r="L289" s="47" t="s">
        <v>606</v>
      </c>
      <c r="M289" s="47"/>
      <c r="N289" s="47"/>
      <c r="O289" s="47"/>
      <c r="P289" s="47" t="s">
        <v>1433</v>
      </c>
      <c r="Q289" s="47" t="s">
        <v>1434</v>
      </c>
      <c r="R289" s="47"/>
      <c r="S289" s="64"/>
      <c r="T289" s="47"/>
    </row>
    <row r="290" spans="1:20" s="44" customFormat="1" ht="25.05" customHeight="1" x14ac:dyDescent="0.3">
      <c r="A290" s="41">
        <v>1</v>
      </c>
      <c r="B290" s="41"/>
      <c r="C290" s="51" t="str">
        <f>VLOOKUP(F290,[1]VLOOKUP!$A$2:$B$35,2,FALSE)</f>
        <v>华东</v>
      </c>
      <c r="D290" s="41" t="s">
        <v>1435</v>
      </c>
      <c r="E290" s="41"/>
      <c r="F290" s="2" t="s">
        <v>273</v>
      </c>
      <c r="G290" s="2" t="s">
        <v>1423</v>
      </c>
      <c r="H290" s="2"/>
      <c r="I290" s="41" t="s">
        <v>720</v>
      </c>
      <c r="J290" s="41" t="s">
        <v>273</v>
      </c>
      <c r="K290" s="41" t="s">
        <v>611</v>
      </c>
      <c r="L290" s="41" t="s">
        <v>600</v>
      </c>
      <c r="M290" s="42">
        <v>44552</v>
      </c>
      <c r="N290" s="42">
        <v>44565</v>
      </c>
      <c r="O290" s="42">
        <v>46022</v>
      </c>
      <c r="P290" s="41" t="s">
        <v>1436</v>
      </c>
      <c r="Q290" s="41" t="s">
        <v>1437</v>
      </c>
      <c r="R290" s="41"/>
      <c r="S290" s="43" t="s">
        <v>1438</v>
      </c>
      <c r="T290" s="41"/>
    </row>
    <row r="291" spans="1:20" s="44" customFormat="1" ht="25.05" customHeight="1" x14ac:dyDescent="0.3">
      <c r="A291" s="41">
        <v>1</v>
      </c>
      <c r="B291" s="41"/>
      <c r="C291" s="51" t="str">
        <f>VLOOKUP(F291,[1]VLOOKUP!$A$2:$B$35,2,FALSE)</f>
        <v>华东</v>
      </c>
      <c r="D291" s="41" t="s">
        <v>1439</v>
      </c>
      <c r="E291" s="41"/>
      <c r="F291" s="2" t="s">
        <v>273</v>
      </c>
      <c r="G291" s="2" t="s">
        <v>1440</v>
      </c>
      <c r="H291" s="2"/>
      <c r="I291" s="41" t="s">
        <v>720</v>
      </c>
      <c r="J291" s="41" t="s">
        <v>273</v>
      </c>
      <c r="K291" s="41" t="s">
        <v>611</v>
      </c>
      <c r="L291" s="41" t="s">
        <v>600</v>
      </c>
      <c r="M291" s="42">
        <v>44147</v>
      </c>
      <c r="N291" s="42">
        <v>44147</v>
      </c>
      <c r="O291" s="42">
        <v>46022</v>
      </c>
      <c r="P291" s="41" t="s">
        <v>1441</v>
      </c>
      <c r="Q291" s="41" t="s">
        <v>724</v>
      </c>
      <c r="R291" s="41" t="s">
        <v>1442</v>
      </c>
      <c r="S291" s="43" t="s">
        <v>1443</v>
      </c>
      <c r="T291" s="41"/>
    </row>
    <row r="292" spans="1:20" s="44" customFormat="1" ht="25.05" customHeight="1" x14ac:dyDescent="0.3">
      <c r="A292" s="41">
        <v>1</v>
      </c>
      <c r="B292" s="41"/>
      <c r="C292" s="51" t="str">
        <f>VLOOKUP(F292,[1]VLOOKUP!$A$2:$B$35,2,FALSE)</f>
        <v>华东</v>
      </c>
      <c r="D292" s="52" t="s">
        <v>1444</v>
      </c>
      <c r="E292" s="52"/>
      <c r="F292" s="2" t="s">
        <v>273</v>
      </c>
      <c r="G292" s="2" t="s">
        <v>1440</v>
      </c>
      <c r="H292" s="2"/>
      <c r="I292" s="52" t="s">
        <v>720</v>
      </c>
      <c r="J292" s="52" t="s">
        <v>273</v>
      </c>
      <c r="K292" s="52" t="s">
        <v>605</v>
      </c>
      <c r="L292" s="52" t="s">
        <v>663</v>
      </c>
      <c r="M292" s="52">
        <v>44147</v>
      </c>
      <c r="N292" s="52">
        <v>44147</v>
      </c>
      <c r="O292" s="52">
        <v>45272</v>
      </c>
      <c r="P292" s="52" t="s">
        <v>1441</v>
      </c>
      <c r="Q292" s="52" t="s">
        <v>724</v>
      </c>
      <c r="R292" s="52" t="s">
        <v>1445</v>
      </c>
      <c r="S292" s="53" t="s">
        <v>1446</v>
      </c>
      <c r="T292" s="52"/>
    </row>
    <row r="293" spans="1:20" s="44" customFormat="1" ht="25.05" customHeight="1" x14ac:dyDescent="0.3">
      <c r="A293" s="41">
        <v>1</v>
      </c>
      <c r="B293" s="41"/>
      <c r="C293" s="51" t="str">
        <f>VLOOKUP(F293,[1]VLOOKUP!$A$2:$B$35,2,FALSE)</f>
        <v>华东</v>
      </c>
      <c r="D293" s="52" t="s">
        <v>1447</v>
      </c>
      <c r="E293" s="52"/>
      <c r="F293" s="2" t="s">
        <v>273</v>
      </c>
      <c r="G293" s="2" t="s">
        <v>1440</v>
      </c>
      <c r="H293" s="2"/>
      <c r="I293" s="52" t="s">
        <v>720</v>
      </c>
      <c r="J293" s="52" t="s">
        <v>273</v>
      </c>
      <c r="K293" s="52" t="s">
        <v>599</v>
      </c>
      <c r="L293" s="52" t="s">
        <v>663</v>
      </c>
      <c r="M293" s="52">
        <v>44371</v>
      </c>
      <c r="N293" s="52">
        <v>44371</v>
      </c>
      <c r="O293" s="52">
        <v>44393</v>
      </c>
      <c r="P293" s="52" t="s">
        <v>1448</v>
      </c>
      <c r="Q293" s="52" t="s">
        <v>645</v>
      </c>
      <c r="R293" s="52"/>
      <c r="S293" s="53" t="s">
        <v>1449</v>
      </c>
      <c r="T293" s="52"/>
    </row>
    <row r="294" spans="1:20" s="44" customFormat="1" ht="25.05" customHeight="1" x14ac:dyDescent="0.3">
      <c r="A294" s="41">
        <v>1</v>
      </c>
      <c r="B294" s="41"/>
      <c r="C294" s="51" t="str">
        <f>VLOOKUP(F294,[1]VLOOKUP!$A$2:$B$35,2,FALSE)</f>
        <v>华东</v>
      </c>
      <c r="D294" s="54" t="s">
        <v>1450</v>
      </c>
      <c r="E294" s="54"/>
      <c r="F294" s="2" t="s">
        <v>273</v>
      </c>
      <c r="G294" s="2" t="s">
        <v>1440</v>
      </c>
      <c r="H294" s="2"/>
      <c r="I294" s="54" t="s">
        <v>720</v>
      </c>
      <c r="J294" s="54" t="s">
        <v>273</v>
      </c>
      <c r="K294" s="54" t="s">
        <v>605</v>
      </c>
      <c r="L294" s="54" t="s">
        <v>600</v>
      </c>
      <c r="M294" s="54">
        <v>44478</v>
      </c>
      <c r="N294" s="54">
        <v>44478</v>
      </c>
      <c r="O294" s="54">
        <v>44478</v>
      </c>
      <c r="P294" s="54" t="s">
        <v>1448</v>
      </c>
      <c r="Q294" s="54" t="s">
        <v>645</v>
      </c>
      <c r="R294" s="54" t="s">
        <v>1451</v>
      </c>
      <c r="S294" s="55" t="s">
        <v>1452</v>
      </c>
      <c r="T294" s="54"/>
    </row>
    <row r="295" spans="1:20" s="44" customFormat="1" ht="25.05" customHeight="1" x14ac:dyDescent="0.3">
      <c r="A295" s="41">
        <v>1</v>
      </c>
      <c r="B295" s="41"/>
      <c r="C295" s="51" t="str">
        <f>VLOOKUP(F295,[1]VLOOKUP!$A$2:$B$35,2,FALSE)</f>
        <v>华东</v>
      </c>
      <c r="D295" s="52" t="s">
        <v>1453</v>
      </c>
      <c r="E295" s="52"/>
      <c r="F295" s="2" t="s">
        <v>273</v>
      </c>
      <c r="G295" s="2" t="s">
        <v>1440</v>
      </c>
      <c r="H295" s="2"/>
      <c r="I295" s="52" t="s">
        <v>720</v>
      </c>
      <c r="J295" s="52" t="s">
        <v>273</v>
      </c>
      <c r="K295" s="52" t="s">
        <v>599</v>
      </c>
      <c r="L295" s="52" t="s">
        <v>663</v>
      </c>
      <c r="M295" s="52">
        <v>44609</v>
      </c>
      <c r="N295" s="52">
        <v>44609</v>
      </c>
      <c r="O295" s="52">
        <v>44926</v>
      </c>
      <c r="P295" s="52" t="s">
        <v>1448</v>
      </c>
      <c r="Q295" s="52" t="s">
        <v>645</v>
      </c>
      <c r="R295" s="52"/>
      <c r="S295" s="53" t="s">
        <v>1454</v>
      </c>
      <c r="T295" s="52"/>
    </row>
    <row r="296" spans="1:20" s="44" customFormat="1" ht="25.05" customHeight="1" x14ac:dyDescent="0.3">
      <c r="A296" s="41">
        <v>1</v>
      </c>
      <c r="B296" s="41"/>
      <c r="C296" s="51" t="str">
        <f>VLOOKUP(F296,[1]VLOOKUP!$A$2:$B$35,2,FALSE)</f>
        <v>华东</v>
      </c>
      <c r="D296" s="54" t="s">
        <v>1455</v>
      </c>
      <c r="E296" s="54"/>
      <c r="F296" s="2" t="s">
        <v>273</v>
      </c>
      <c r="G296" s="2" t="s">
        <v>1440</v>
      </c>
      <c r="H296" s="2"/>
      <c r="I296" s="54" t="s">
        <v>720</v>
      </c>
      <c r="J296" s="54" t="s">
        <v>273</v>
      </c>
      <c r="K296" s="54" t="s">
        <v>605</v>
      </c>
      <c r="L296" s="54" t="s">
        <v>600</v>
      </c>
      <c r="M296" s="54">
        <v>44789</v>
      </c>
      <c r="N296" s="54">
        <v>44789</v>
      </c>
      <c r="O296" s="54">
        <v>44789</v>
      </c>
      <c r="P296" s="54" t="s">
        <v>1448</v>
      </c>
      <c r="Q296" s="54" t="s">
        <v>645</v>
      </c>
      <c r="R296" s="54" t="s">
        <v>1456</v>
      </c>
      <c r="S296" s="55" t="s">
        <v>1457</v>
      </c>
      <c r="T296" s="54"/>
    </row>
    <row r="297" spans="1:20" s="44" customFormat="1" ht="25.05" customHeight="1" x14ac:dyDescent="0.3">
      <c r="A297" s="41">
        <v>1</v>
      </c>
      <c r="B297" s="41"/>
      <c r="C297" s="51" t="str">
        <f>VLOOKUP(F297,[1]VLOOKUP!$A$2:$B$35,2,FALSE)</f>
        <v>华东</v>
      </c>
      <c r="D297" s="52" t="s">
        <v>1458</v>
      </c>
      <c r="E297" s="52"/>
      <c r="F297" s="2" t="s">
        <v>273</v>
      </c>
      <c r="G297" s="2" t="s">
        <v>1440</v>
      </c>
      <c r="H297" s="2"/>
      <c r="I297" s="52" t="s">
        <v>720</v>
      </c>
      <c r="J297" s="52" t="s">
        <v>273</v>
      </c>
      <c r="K297" s="52" t="s">
        <v>599</v>
      </c>
      <c r="L297" s="52" t="s">
        <v>663</v>
      </c>
      <c r="M297" s="52">
        <v>45035</v>
      </c>
      <c r="N297" s="52">
        <v>45035</v>
      </c>
      <c r="O297" s="52">
        <v>45035</v>
      </c>
      <c r="P297" s="52" t="s">
        <v>1448</v>
      </c>
      <c r="Q297" s="52" t="s">
        <v>645</v>
      </c>
      <c r="R297" s="52"/>
      <c r="S297" s="53" t="s">
        <v>1459</v>
      </c>
      <c r="T297" s="52"/>
    </row>
    <row r="298" spans="1:20" s="44" customFormat="1" ht="25.05" customHeight="1" x14ac:dyDescent="0.3">
      <c r="A298" s="41">
        <v>1</v>
      </c>
      <c r="B298" s="41"/>
      <c r="C298" s="51" t="str">
        <f>VLOOKUP(F298,[1]VLOOKUP!$A$2:$B$35,2,FALSE)</f>
        <v>华东</v>
      </c>
      <c r="D298" s="54" t="s">
        <v>1460</v>
      </c>
      <c r="E298" s="54"/>
      <c r="F298" s="2" t="s">
        <v>273</v>
      </c>
      <c r="G298" s="2" t="s">
        <v>1440</v>
      </c>
      <c r="H298" s="2"/>
      <c r="I298" s="54" t="s">
        <v>720</v>
      </c>
      <c r="J298" s="54" t="s">
        <v>273</v>
      </c>
      <c r="K298" s="54" t="s">
        <v>605</v>
      </c>
      <c r="L298" s="54" t="s">
        <v>600</v>
      </c>
      <c r="M298" s="54">
        <v>45275</v>
      </c>
      <c r="N298" s="54">
        <v>45275</v>
      </c>
      <c r="O298" s="54">
        <v>45279</v>
      </c>
      <c r="P298" s="54" t="s">
        <v>1448</v>
      </c>
      <c r="Q298" s="54" t="s">
        <v>645</v>
      </c>
      <c r="R298" s="54"/>
      <c r="S298" s="55" t="s">
        <v>1461</v>
      </c>
      <c r="T298" s="54"/>
    </row>
    <row r="299" spans="1:20" s="44" customFormat="1" ht="25.05" customHeight="1" x14ac:dyDescent="0.3">
      <c r="A299" s="41">
        <v>1</v>
      </c>
      <c r="B299" s="41"/>
      <c r="C299" s="51" t="str">
        <f>VLOOKUP(F299,[1]VLOOKUP!$A$2:$B$35,2,FALSE)</f>
        <v>华东</v>
      </c>
      <c r="D299" s="54" t="s">
        <v>1462</v>
      </c>
      <c r="E299" s="54"/>
      <c r="F299" s="2" t="s">
        <v>273</v>
      </c>
      <c r="G299" s="2" t="s">
        <v>1440</v>
      </c>
      <c r="H299" s="2"/>
      <c r="I299" s="54" t="s">
        <v>720</v>
      </c>
      <c r="J299" s="54" t="s">
        <v>273</v>
      </c>
      <c r="K299" s="54" t="s">
        <v>605</v>
      </c>
      <c r="L299" s="54" t="s">
        <v>600</v>
      </c>
      <c r="M299" s="54">
        <v>45364</v>
      </c>
      <c r="N299" s="54">
        <v>45373</v>
      </c>
      <c r="O299" s="54">
        <v>45373</v>
      </c>
      <c r="P299" s="54" t="s">
        <v>1463</v>
      </c>
      <c r="Q299" s="54" t="s">
        <v>1464</v>
      </c>
      <c r="R299" s="54" t="s">
        <v>1465</v>
      </c>
      <c r="S299" s="55" t="s">
        <v>1466</v>
      </c>
      <c r="T299" s="54"/>
    </row>
    <row r="300" spans="1:20" s="44" customFormat="1" ht="25.05" customHeight="1" x14ac:dyDescent="0.3">
      <c r="A300" s="41">
        <v>1</v>
      </c>
      <c r="B300" s="41"/>
      <c r="C300" s="51" t="str">
        <f>VLOOKUP(F300,[1]VLOOKUP!$A$2:$B$35,2,FALSE)</f>
        <v>华东</v>
      </c>
      <c r="D300" s="41" t="s">
        <v>1467</v>
      </c>
      <c r="E300" s="41"/>
      <c r="F300" s="2" t="s">
        <v>273</v>
      </c>
      <c r="G300" s="2" t="s">
        <v>1468</v>
      </c>
      <c r="H300" s="2" t="s">
        <v>1469</v>
      </c>
      <c r="I300" s="41" t="s">
        <v>720</v>
      </c>
      <c r="J300" s="41" t="s">
        <v>273</v>
      </c>
      <c r="K300" s="41" t="s">
        <v>611</v>
      </c>
      <c r="L300" s="41" t="s">
        <v>600</v>
      </c>
      <c r="M300" s="42">
        <v>44456</v>
      </c>
      <c r="N300" s="42">
        <v>44457</v>
      </c>
      <c r="O300" s="42">
        <v>46022</v>
      </c>
      <c r="P300" s="41" t="s">
        <v>1470</v>
      </c>
      <c r="Q300" s="41" t="s">
        <v>512</v>
      </c>
      <c r="R300" s="41" t="s">
        <v>1471</v>
      </c>
      <c r="S300" s="43" t="s">
        <v>1472</v>
      </c>
      <c r="T300" s="41" t="s">
        <v>817</v>
      </c>
    </row>
    <row r="301" spans="1:20" s="44" customFormat="1" ht="25.05" customHeight="1" x14ac:dyDescent="0.3">
      <c r="A301" s="41">
        <v>1</v>
      </c>
      <c r="B301" s="41"/>
      <c r="C301" s="51" t="str">
        <f>VLOOKUP(F301,[1]VLOOKUP!$A$2:$B$35,2,FALSE)</f>
        <v>华东</v>
      </c>
      <c r="D301" s="41" t="s">
        <v>1473</v>
      </c>
      <c r="E301" s="41"/>
      <c r="F301" s="2" t="s">
        <v>273</v>
      </c>
      <c r="G301" s="2" t="s">
        <v>1468</v>
      </c>
      <c r="H301" s="2" t="s">
        <v>1469</v>
      </c>
      <c r="I301" s="41" t="s">
        <v>720</v>
      </c>
      <c r="J301" s="41" t="s">
        <v>273</v>
      </c>
      <c r="K301" s="41" t="s">
        <v>611</v>
      </c>
      <c r="L301" s="41" t="s">
        <v>600</v>
      </c>
      <c r="M301" s="42">
        <v>44495</v>
      </c>
      <c r="N301" s="42">
        <v>44495</v>
      </c>
      <c r="O301" s="42">
        <v>46022</v>
      </c>
      <c r="P301" s="41" t="s">
        <v>1470</v>
      </c>
      <c r="Q301" s="41" t="s">
        <v>512</v>
      </c>
      <c r="R301" s="41" t="s">
        <v>1474</v>
      </c>
      <c r="S301" s="43" t="s">
        <v>1475</v>
      </c>
      <c r="T301" s="41" t="s">
        <v>817</v>
      </c>
    </row>
    <row r="302" spans="1:20" s="44" customFormat="1" ht="25.05" customHeight="1" x14ac:dyDescent="0.3">
      <c r="A302" s="41">
        <v>1</v>
      </c>
      <c r="B302" s="41"/>
      <c r="C302" s="51" t="str">
        <f>VLOOKUP(F302,[1]VLOOKUP!$A$2:$B$35,2,FALSE)</f>
        <v>华东</v>
      </c>
      <c r="D302" s="41" t="s">
        <v>1476</v>
      </c>
      <c r="E302" s="41"/>
      <c r="F302" s="2" t="s">
        <v>273</v>
      </c>
      <c r="G302" s="2" t="s">
        <v>1468</v>
      </c>
      <c r="H302" s="2" t="s">
        <v>1469</v>
      </c>
      <c r="I302" s="41" t="s">
        <v>720</v>
      </c>
      <c r="J302" s="41" t="s">
        <v>273</v>
      </c>
      <c r="K302" s="41" t="s">
        <v>605</v>
      </c>
      <c r="L302" s="41" t="s">
        <v>600</v>
      </c>
      <c r="M302" s="42">
        <v>44503</v>
      </c>
      <c r="N302" s="42">
        <v>44503</v>
      </c>
      <c r="O302" s="42">
        <v>46022</v>
      </c>
      <c r="P302" s="41" t="s">
        <v>1470</v>
      </c>
      <c r="Q302" s="41" t="s">
        <v>512</v>
      </c>
      <c r="R302" s="41" t="s">
        <v>1477</v>
      </c>
      <c r="S302" s="43" t="s">
        <v>1478</v>
      </c>
      <c r="T302" s="41" t="s">
        <v>817</v>
      </c>
    </row>
    <row r="303" spans="1:20" s="44" customFormat="1" ht="25.05" customHeight="1" x14ac:dyDescent="0.3">
      <c r="A303" s="41">
        <v>1</v>
      </c>
      <c r="B303" s="41"/>
      <c r="C303" s="51" t="str">
        <f>VLOOKUP(F303,[1]VLOOKUP!$A$2:$B$35,2,FALSE)</f>
        <v>华东</v>
      </c>
      <c r="D303" s="52" t="s">
        <v>1479</v>
      </c>
      <c r="E303" s="52"/>
      <c r="F303" s="2" t="s">
        <v>273</v>
      </c>
      <c r="G303" s="2" t="s">
        <v>1468</v>
      </c>
      <c r="H303" s="2" t="s">
        <v>1469</v>
      </c>
      <c r="I303" s="52" t="s">
        <v>720</v>
      </c>
      <c r="J303" s="52" t="s">
        <v>273</v>
      </c>
      <c r="K303" s="52" t="s">
        <v>605</v>
      </c>
      <c r="L303" s="52" t="s">
        <v>663</v>
      </c>
      <c r="M303" s="52">
        <v>44554</v>
      </c>
      <c r="N303" s="52">
        <v>44554</v>
      </c>
      <c r="O303" s="52">
        <v>45292</v>
      </c>
      <c r="P303" s="52" t="s">
        <v>1470</v>
      </c>
      <c r="Q303" s="52" t="s">
        <v>512</v>
      </c>
      <c r="R303" s="52" t="s">
        <v>1480</v>
      </c>
      <c r="S303" s="53" t="s">
        <v>1481</v>
      </c>
      <c r="T303" s="52" t="s">
        <v>817</v>
      </c>
    </row>
    <row r="304" spans="1:20" s="44" customFormat="1" ht="25.05" customHeight="1" x14ac:dyDescent="0.3">
      <c r="A304" s="41">
        <v>1</v>
      </c>
      <c r="B304" s="41"/>
      <c r="C304" s="51" t="str">
        <f>VLOOKUP(F304,[1]VLOOKUP!$A$2:$B$35,2,FALSE)</f>
        <v>华东</v>
      </c>
      <c r="D304" s="52" t="s">
        <v>1482</v>
      </c>
      <c r="E304" s="52"/>
      <c r="F304" s="2" t="s">
        <v>273</v>
      </c>
      <c r="G304" s="2" t="s">
        <v>1468</v>
      </c>
      <c r="H304" s="2" t="s">
        <v>1469</v>
      </c>
      <c r="I304" s="52" t="s">
        <v>720</v>
      </c>
      <c r="J304" s="52" t="s">
        <v>273</v>
      </c>
      <c r="K304" s="52" t="s">
        <v>605</v>
      </c>
      <c r="L304" s="52" t="s">
        <v>663</v>
      </c>
      <c r="M304" s="52">
        <v>45217</v>
      </c>
      <c r="N304" s="52">
        <v>45217</v>
      </c>
      <c r="O304" s="52">
        <v>45230</v>
      </c>
      <c r="P304" s="52" t="s">
        <v>1470</v>
      </c>
      <c r="Q304" s="52" t="s">
        <v>512</v>
      </c>
      <c r="R304" s="52" t="s">
        <v>1483</v>
      </c>
      <c r="S304" s="53" t="s">
        <v>1484</v>
      </c>
      <c r="T304" s="52"/>
    </row>
    <row r="305" spans="1:20" s="44" customFormat="1" ht="25.05" customHeight="1" x14ac:dyDescent="0.3">
      <c r="A305" s="41">
        <v>1</v>
      </c>
      <c r="B305" s="41"/>
      <c r="C305" s="51" t="str">
        <f>VLOOKUP(F305,[1]VLOOKUP!$A$2:$B$35,2,FALSE)</f>
        <v>华东</v>
      </c>
      <c r="D305" s="41" t="s">
        <v>1485</v>
      </c>
      <c r="E305" s="41"/>
      <c r="F305" s="2" t="s">
        <v>273</v>
      </c>
      <c r="G305" s="2" t="s">
        <v>1468</v>
      </c>
      <c r="H305" s="2" t="s">
        <v>1469</v>
      </c>
      <c r="I305" s="41" t="s">
        <v>720</v>
      </c>
      <c r="J305" s="41" t="s">
        <v>273</v>
      </c>
      <c r="K305" s="41" t="s">
        <v>605</v>
      </c>
      <c r="L305" s="41" t="s">
        <v>600</v>
      </c>
      <c r="M305" s="42">
        <v>45586</v>
      </c>
      <c r="N305" s="42">
        <v>45586</v>
      </c>
      <c r="O305" s="42">
        <v>46022</v>
      </c>
      <c r="P305" s="41" t="s">
        <v>1470</v>
      </c>
      <c r="Q305" s="41" t="s">
        <v>512</v>
      </c>
      <c r="R305" s="41" t="s">
        <v>1486</v>
      </c>
      <c r="S305" s="43" t="s">
        <v>1487</v>
      </c>
      <c r="T305" s="41"/>
    </row>
    <row r="306" spans="1:20" s="44" customFormat="1" ht="25.05" customHeight="1" x14ac:dyDescent="0.3">
      <c r="A306" s="41">
        <v>1</v>
      </c>
      <c r="B306" s="41"/>
      <c r="C306" s="51" t="str">
        <f>VLOOKUP(F306,[1]VLOOKUP!$A$2:$B$35,2,FALSE)</f>
        <v>华东</v>
      </c>
      <c r="D306" s="41" t="s">
        <v>1488</v>
      </c>
      <c r="E306" s="41"/>
      <c r="F306" s="2" t="s">
        <v>273</v>
      </c>
      <c r="G306" s="2" t="s">
        <v>1489</v>
      </c>
      <c r="H306" s="2"/>
      <c r="I306" s="41" t="s">
        <v>720</v>
      </c>
      <c r="J306" s="41" t="s">
        <v>273</v>
      </c>
      <c r="K306" s="41" t="s">
        <v>611</v>
      </c>
      <c r="L306" s="41" t="s">
        <v>600</v>
      </c>
      <c r="M306" s="42">
        <v>45079</v>
      </c>
      <c r="N306" s="42">
        <v>45079</v>
      </c>
      <c r="O306" s="42">
        <v>46022</v>
      </c>
      <c r="P306" s="41" t="s">
        <v>1490</v>
      </c>
      <c r="Q306" s="41" t="s">
        <v>645</v>
      </c>
      <c r="R306" s="41" t="s">
        <v>1491</v>
      </c>
      <c r="S306" s="43" t="s">
        <v>1492</v>
      </c>
      <c r="T306" s="41"/>
    </row>
    <row r="307" spans="1:20" ht="25.05" customHeight="1" x14ac:dyDescent="0.3">
      <c r="A307" s="36"/>
      <c r="B307" s="36"/>
      <c r="C307" s="36"/>
      <c r="D307" s="60"/>
      <c r="E307" s="61"/>
      <c r="F307" s="3" t="s">
        <v>274</v>
      </c>
      <c r="G307" s="3"/>
      <c r="H307" s="3"/>
      <c r="I307" s="60"/>
      <c r="J307" s="60"/>
      <c r="K307" s="60"/>
      <c r="L307" s="60"/>
      <c r="M307" s="60"/>
      <c r="N307" s="60"/>
      <c r="O307" s="60"/>
      <c r="P307" s="60"/>
      <c r="Q307" s="60"/>
      <c r="R307" s="60"/>
      <c r="S307" s="62"/>
      <c r="T307" s="60"/>
    </row>
    <row r="308" spans="1:20" s="44" customFormat="1" ht="25.05" customHeight="1" x14ac:dyDescent="0.3">
      <c r="A308" s="41">
        <v>1</v>
      </c>
      <c r="B308" s="41"/>
      <c r="C308" s="51" t="str">
        <f>VLOOKUP(F308,[1]VLOOKUP!$A$2:$B$35,2,FALSE)</f>
        <v>华东</v>
      </c>
      <c r="D308" s="41" t="s">
        <v>1493</v>
      </c>
      <c r="E308" s="41"/>
      <c r="F308" s="2" t="s">
        <v>274</v>
      </c>
      <c r="G308" s="2"/>
      <c r="H308" s="2"/>
      <c r="I308" s="41" t="s">
        <v>474</v>
      </c>
      <c r="J308" s="41" t="s">
        <v>274</v>
      </c>
      <c r="K308" s="41" t="s">
        <v>611</v>
      </c>
      <c r="L308" s="41" t="s">
        <v>600</v>
      </c>
      <c r="M308" s="42">
        <v>45411</v>
      </c>
      <c r="N308" s="42">
        <v>45422</v>
      </c>
      <c r="O308" s="42">
        <v>49674</v>
      </c>
      <c r="P308" s="41" t="s">
        <v>1494</v>
      </c>
      <c r="Q308" s="41" t="s">
        <v>716</v>
      </c>
      <c r="R308" s="41" t="s">
        <v>1495</v>
      </c>
      <c r="S308" s="43" t="s">
        <v>1496</v>
      </c>
      <c r="T308" s="41"/>
    </row>
    <row r="309" spans="1:20" s="44" customFormat="1" ht="25.05" customHeight="1" x14ac:dyDescent="0.3">
      <c r="A309" s="41">
        <v>1</v>
      </c>
      <c r="B309" s="41"/>
      <c r="C309" s="51" t="str">
        <f>VLOOKUP(F309,[1]VLOOKUP!$A$2:$B$35,2,FALSE)</f>
        <v>华东</v>
      </c>
      <c r="D309" s="41" t="s">
        <v>1497</v>
      </c>
      <c r="E309" s="41"/>
      <c r="F309" s="2" t="s">
        <v>274</v>
      </c>
      <c r="G309" s="2"/>
      <c r="H309" s="2"/>
      <c r="I309" s="41" t="s">
        <v>474</v>
      </c>
      <c r="J309" s="41" t="s">
        <v>274</v>
      </c>
      <c r="K309" s="41" t="s">
        <v>611</v>
      </c>
      <c r="L309" s="41" t="s">
        <v>600</v>
      </c>
      <c r="M309" s="42">
        <v>43704</v>
      </c>
      <c r="N309" s="42">
        <v>43706</v>
      </c>
      <c r="O309" s="42">
        <v>49674</v>
      </c>
      <c r="P309" s="41" t="s">
        <v>1498</v>
      </c>
      <c r="Q309" s="41" t="s">
        <v>1499</v>
      </c>
      <c r="R309" s="41" t="s">
        <v>1500</v>
      </c>
      <c r="S309" s="43" t="s">
        <v>1501</v>
      </c>
      <c r="T309" s="41"/>
    </row>
    <row r="310" spans="1:20" s="44" customFormat="1" ht="25.05" customHeight="1" x14ac:dyDescent="0.3">
      <c r="A310" s="41">
        <v>1</v>
      </c>
      <c r="B310" s="41"/>
      <c r="C310" s="51" t="str">
        <f>VLOOKUP(F310,[1]VLOOKUP!$A$2:$B$35,2,FALSE)</f>
        <v>华东</v>
      </c>
      <c r="D310" s="41" t="s">
        <v>1502</v>
      </c>
      <c r="E310" s="41"/>
      <c r="F310" s="2" t="s">
        <v>274</v>
      </c>
      <c r="G310" s="2"/>
      <c r="H310" s="2"/>
      <c r="I310" s="41" t="s">
        <v>474</v>
      </c>
      <c r="J310" s="41" t="s">
        <v>274</v>
      </c>
      <c r="K310" s="41" t="s">
        <v>611</v>
      </c>
      <c r="L310" s="41" t="s">
        <v>600</v>
      </c>
      <c r="M310" s="42">
        <v>45694</v>
      </c>
      <c r="N310" s="42">
        <v>45694</v>
      </c>
      <c r="O310" s="42">
        <v>47848</v>
      </c>
      <c r="P310" s="41" t="s">
        <v>1503</v>
      </c>
      <c r="Q310" s="41" t="s">
        <v>981</v>
      </c>
      <c r="R310" s="41" t="s">
        <v>1504</v>
      </c>
      <c r="S310" s="43" t="s">
        <v>1505</v>
      </c>
      <c r="T310" s="41"/>
    </row>
    <row r="311" spans="1:20" s="44" customFormat="1" ht="25.05" customHeight="1" x14ac:dyDescent="0.3">
      <c r="A311" s="41">
        <v>1</v>
      </c>
      <c r="B311" s="41"/>
      <c r="C311" s="51" t="str">
        <f>VLOOKUP(F311,[1]VLOOKUP!$A$2:$B$35,2,FALSE)</f>
        <v>华东</v>
      </c>
      <c r="D311" s="41" t="s">
        <v>521</v>
      </c>
      <c r="E311" s="41"/>
      <c r="F311" s="2" t="s">
        <v>274</v>
      </c>
      <c r="G311" s="2" t="s">
        <v>520</v>
      </c>
      <c r="H311" s="2"/>
      <c r="I311" s="41" t="s">
        <v>720</v>
      </c>
      <c r="J311" s="41" t="s">
        <v>274</v>
      </c>
      <c r="K311" s="41" t="s">
        <v>682</v>
      </c>
      <c r="L311" s="41" t="s">
        <v>600</v>
      </c>
      <c r="M311" s="42">
        <v>44713</v>
      </c>
      <c r="N311" s="42">
        <v>44713</v>
      </c>
      <c r="O311" s="42">
        <v>45505</v>
      </c>
      <c r="P311" s="41" t="s">
        <v>1506</v>
      </c>
      <c r="Q311" s="41" t="s">
        <v>1507</v>
      </c>
      <c r="R311" s="41" t="s">
        <v>1508</v>
      </c>
      <c r="S311" s="43" t="s">
        <v>1509</v>
      </c>
      <c r="T311" s="41"/>
    </row>
    <row r="312" spans="1:20" s="44" customFormat="1" ht="25.05" customHeight="1" x14ac:dyDescent="0.3">
      <c r="A312" s="41">
        <v>1</v>
      </c>
      <c r="B312" s="41"/>
      <c r="C312" s="51" t="str">
        <f>VLOOKUP(F312,[1]VLOOKUP!$A$2:$B$35,2,FALSE)</f>
        <v>华东</v>
      </c>
      <c r="D312" s="41" t="s">
        <v>1510</v>
      </c>
      <c r="E312" s="41"/>
      <c r="F312" s="2" t="s">
        <v>274</v>
      </c>
      <c r="G312" s="2" t="s">
        <v>520</v>
      </c>
      <c r="H312" s="2"/>
      <c r="I312" s="41" t="s">
        <v>720</v>
      </c>
      <c r="J312" s="41" t="s">
        <v>274</v>
      </c>
      <c r="K312" s="41" t="s">
        <v>611</v>
      </c>
      <c r="L312" s="41" t="s">
        <v>600</v>
      </c>
      <c r="M312" s="42">
        <v>44971</v>
      </c>
      <c r="N312" s="42">
        <v>44971</v>
      </c>
      <c r="O312" s="42">
        <v>46022</v>
      </c>
      <c r="P312" s="41" t="s">
        <v>1511</v>
      </c>
      <c r="Q312" s="41" t="s">
        <v>519</v>
      </c>
      <c r="R312" s="41"/>
      <c r="S312" s="43"/>
      <c r="T312" s="41"/>
    </row>
    <row r="313" spans="1:20" s="44" customFormat="1" ht="25.05" customHeight="1" x14ac:dyDescent="0.3">
      <c r="A313" s="41"/>
      <c r="B313" s="41"/>
      <c r="C313" s="41"/>
      <c r="D313" s="47" t="s">
        <v>1512</v>
      </c>
      <c r="E313" s="47"/>
      <c r="F313" s="2" t="s">
        <v>274</v>
      </c>
      <c r="G313" s="2" t="s">
        <v>520</v>
      </c>
      <c r="H313" s="2"/>
      <c r="I313" s="47" t="s">
        <v>720</v>
      </c>
      <c r="J313" s="47" t="s">
        <v>274</v>
      </c>
      <c r="K313" s="47" t="s">
        <v>682</v>
      </c>
      <c r="L313" s="47" t="s">
        <v>606</v>
      </c>
      <c r="M313" s="47"/>
      <c r="N313" s="47"/>
      <c r="O313" s="47"/>
      <c r="P313" s="47" t="s">
        <v>1513</v>
      </c>
      <c r="Q313" s="47" t="s">
        <v>1514</v>
      </c>
      <c r="R313" s="47"/>
      <c r="S313" s="64"/>
      <c r="T313" s="47"/>
    </row>
    <row r="314" spans="1:20" s="44" customFormat="1" ht="25.05" customHeight="1" x14ac:dyDescent="0.3">
      <c r="A314" s="41"/>
      <c r="B314" s="41"/>
      <c r="C314" s="41"/>
      <c r="D314" s="47" t="s">
        <v>1515</v>
      </c>
      <c r="E314" s="47"/>
      <c r="F314" s="2" t="s">
        <v>274</v>
      </c>
      <c r="G314" s="2" t="s">
        <v>520</v>
      </c>
      <c r="H314" s="2" t="s">
        <v>1516</v>
      </c>
      <c r="I314" s="47" t="s">
        <v>720</v>
      </c>
      <c r="J314" s="47" t="s">
        <v>274</v>
      </c>
      <c r="K314" s="47" t="s">
        <v>611</v>
      </c>
      <c r="L314" s="47" t="s">
        <v>606</v>
      </c>
      <c r="M314" s="47"/>
      <c r="N314" s="47"/>
      <c r="O314" s="47"/>
      <c r="P314" s="47"/>
      <c r="Q314" s="47"/>
      <c r="R314" s="47"/>
      <c r="S314" s="64"/>
      <c r="T314" s="47"/>
    </row>
    <row r="315" spans="1:20" s="44" customFormat="1" ht="25.05" customHeight="1" x14ac:dyDescent="0.3">
      <c r="A315" s="41">
        <v>1</v>
      </c>
      <c r="B315" s="41"/>
      <c r="C315" s="51" t="str">
        <f>VLOOKUP(F315,[1]VLOOKUP!$A$2:$B$35,2,FALSE)</f>
        <v>华东</v>
      </c>
      <c r="D315" s="41" t="s">
        <v>1517</v>
      </c>
      <c r="E315" s="41"/>
      <c r="F315" s="2" t="s">
        <v>274</v>
      </c>
      <c r="G315" s="2" t="s">
        <v>275</v>
      </c>
      <c r="H315" s="2"/>
      <c r="I315" s="41" t="s">
        <v>720</v>
      </c>
      <c r="J315" s="41" t="s">
        <v>274</v>
      </c>
      <c r="K315" s="41" t="s">
        <v>611</v>
      </c>
      <c r="L315" s="41" t="s">
        <v>600</v>
      </c>
      <c r="M315" s="42">
        <v>43178</v>
      </c>
      <c r="N315" s="42">
        <v>43178</v>
      </c>
      <c r="O315" s="42">
        <v>46022</v>
      </c>
      <c r="P315" s="41" t="s">
        <v>1518</v>
      </c>
      <c r="Q315" s="41" t="s">
        <v>1519</v>
      </c>
      <c r="R315" s="41" t="s">
        <v>1520</v>
      </c>
      <c r="S315" s="43" t="s">
        <v>1521</v>
      </c>
      <c r="T315" s="41"/>
    </row>
    <row r="316" spans="1:20" s="44" customFormat="1" ht="25.05" customHeight="1" x14ac:dyDescent="0.3">
      <c r="A316" s="41">
        <v>1</v>
      </c>
      <c r="B316" s="41"/>
      <c r="C316" s="51" t="str">
        <f>VLOOKUP(F316,[1]VLOOKUP!$A$2:$B$35,2,FALSE)</f>
        <v>华东</v>
      </c>
      <c r="D316" s="47" t="s">
        <v>1522</v>
      </c>
      <c r="E316" s="47"/>
      <c r="F316" s="2" t="s">
        <v>274</v>
      </c>
      <c r="G316" s="2" t="s">
        <v>275</v>
      </c>
      <c r="H316" s="2"/>
      <c r="I316" s="47" t="s">
        <v>720</v>
      </c>
      <c r="J316" s="47" t="s">
        <v>274</v>
      </c>
      <c r="K316" s="47" t="s">
        <v>611</v>
      </c>
      <c r="L316" s="59" t="s">
        <v>600</v>
      </c>
      <c r="M316" s="59">
        <v>44228</v>
      </c>
      <c r="N316" s="59">
        <v>44228</v>
      </c>
      <c r="O316" s="47">
        <v>49674</v>
      </c>
      <c r="P316" s="47" t="s">
        <v>1523</v>
      </c>
      <c r="Q316" s="47" t="s">
        <v>724</v>
      </c>
      <c r="R316" s="47" t="s">
        <v>1524</v>
      </c>
      <c r="S316" s="64"/>
      <c r="T316" s="47"/>
    </row>
    <row r="317" spans="1:20" s="44" customFormat="1" ht="25.05" customHeight="1" x14ac:dyDescent="0.3">
      <c r="A317" s="41">
        <v>1</v>
      </c>
      <c r="B317" s="41"/>
      <c r="C317" s="51" t="str">
        <f>VLOOKUP(F317,[1]VLOOKUP!$A$2:$B$35,2,FALSE)</f>
        <v>华东</v>
      </c>
      <c r="D317" s="52" t="s">
        <v>1525</v>
      </c>
      <c r="E317" s="52"/>
      <c r="F317" s="2" t="s">
        <v>274</v>
      </c>
      <c r="G317" s="2" t="s">
        <v>275</v>
      </c>
      <c r="H317" s="2"/>
      <c r="I317" s="52" t="s">
        <v>720</v>
      </c>
      <c r="J317" s="52" t="s">
        <v>274</v>
      </c>
      <c r="K317" s="52" t="s">
        <v>852</v>
      </c>
      <c r="L317" s="52" t="s">
        <v>663</v>
      </c>
      <c r="M317" s="52">
        <v>44417</v>
      </c>
      <c r="N317" s="52">
        <v>44417</v>
      </c>
      <c r="O317" s="52">
        <v>45200</v>
      </c>
      <c r="P317" s="52" t="s">
        <v>1526</v>
      </c>
      <c r="Q317" s="52" t="s">
        <v>1527</v>
      </c>
      <c r="R317" s="52" t="s">
        <v>1528</v>
      </c>
      <c r="S317" s="53" t="s">
        <v>1529</v>
      </c>
      <c r="T317" s="52"/>
    </row>
    <row r="318" spans="1:20" s="44" customFormat="1" ht="25.05" customHeight="1" x14ac:dyDescent="0.3">
      <c r="A318" s="41">
        <v>1</v>
      </c>
      <c r="B318" s="41"/>
      <c r="C318" s="51" t="str">
        <f>VLOOKUP(F318,[1]VLOOKUP!$A$2:$B$35,2,FALSE)</f>
        <v>华东</v>
      </c>
      <c r="D318" s="57" t="s">
        <v>1530</v>
      </c>
      <c r="E318" s="57"/>
      <c r="F318" s="2" t="s">
        <v>274</v>
      </c>
      <c r="G318" s="2" t="s">
        <v>275</v>
      </c>
      <c r="H318" s="2"/>
      <c r="I318" s="57" t="s">
        <v>720</v>
      </c>
      <c r="J318" s="57" t="s">
        <v>274</v>
      </c>
      <c r="K318" s="57" t="s">
        <v>852</v>
      </c>
      <c r="L318" s="57" t="s">
        <v>780</v>
      </c>
      <c r="M318" s="57">
        <v>44307</v>
      </c>
      <c r="N318" s="57">
        <v>44307</v>
      </c>
      <c r="O318" s="57">
        <v>44322</v>
      </c>
      <c r="P318" s="57" t="s">
        <v>1526</v>
      </c>
      <c r="Q318" s="57" t="s">
        <v>1527</v>
      </c>
      <c r="R318" s="57"/>
      <c r="S318" s="58"/>
      <c r="T318" s="57"/>
    </row>
    <row r="319" spans="1:20" s="44" customFormat="1" ht="25.05" customHeight="1" x14ac:dyDescent="0.3">
      <c r="A319" s="41">
        <v>1</v>
      </c>
      <c r="B319" s="41"/>
      <c r="C319" s="51" t="str">
        <f>VLOOKUP(F319,[1]VLOOKUP!$A$2:$B$35,2,FALSE)</f>
        <v>华东</v>
      </c>
      <c r="D319" s="52" t="s">
        <v>1531</v>
      </c>
      <c r="E319" s="52"/>
      <c r="F319" s="2" t="s">
        <v>274</v>
      </c>
      <c r="G319" s="2" t="s">
        <v>275</v>
      </c>
      <c r="H319" s="2" t="s">
        <v>1532</v>
      </c>
      <c r="I319" s="52" t="s">
        <v>720</v>
      </c>
      <c r="J319" s="52" t="s">
        <v>274</v>
      </c>
      <c r="K319" s="52" t="s">
        <v>611</v>
      </c>
      <c r="L319" s="52" t="s">
        <v>663</v>
      </c>
      <c r="M319" s="52">
        <v>43823</v>
      </c>
      <c r="N319" s="52">
        <v>43824</v>
      </c>
      <c r="O319" s="52">
        <v>44926</v>
      </c>
      <c r="P319" s="52" t="s">
        <v>1533</v>
      </c>
      <c r="Q319" s="52" t="s">
        <v>724</v>
      </c>
      <c r="R319" s="52" t="s">
        <v>1534</v>
      </c>
      <c r="S319" s="53" t="s">
        <v>1535</v>
      </c>
      <c r="T319" s="52"/>
    </row>
    <row r="320" spans="1:20" s="44" customFormat="1" ht="25.05" customHeight="1" x14ac:dyDescent="0.3">
      <c r="A320" s="41">
        <v>1</v>
      </c>
      <c r="B320" s="41"/>
      <c r="C320" s="51" t="str">
        <f>VLOOKUP(F320,[1]VLOOKUP!$A$2:$B$35,2,FALSE)</f>
        <v>华东</v>
      </c>
      <c r="D320" s="52" t="s">
        <v>1536</v>
      </c>
      <c r="E320" s="52"/>
      <c r="F320" s="2" t="s">
        <v>274</v>
      </c>
      <c r="G320" s="2" t="s">
        <v>275</v>
      </c>
      <c r="H320" s="2" t="s">
        <v>1532</v>
      </c>
      <c r="I320" s="52" t="s">
        <v>720</v>
      </c>
      <c r="J320" s="52" t="s">
        <v>274</v>
      </c>
      <c r="K320" s="52" t="s">
        <v>611</v>
      </c>
      <c r="L320" s="52" t="s">
        <v>663</v>
      </c>
      <c r="M320" s="52">
        <v>43824</v>
      </c>
      <c r="N320" s="52">
        <v>43826</v>
      </c>
      <c r="O320" s="52">
        <v>44397</v>
      </c>
      <c r="P320" s="52" t="s">
        <v>1533</v>
      </c>
      <c r="Q320" s="52" t="s">
        <v>724</v>
      </c>
      <c r="R320" s="52" t="s">
        <v>1537</v>
      </c>
      <c r="S320" s="53" t="s">
        <v>1538</v>
      </c>
      <c r="T320" s="52"/>
    </row>
    <row r="321" spans="1:20" s="44" customFormat="1" ht="25.05" customHeight="1" x14ac:dyDescent="0.3">
      <c r="A321" s="41">
        <v>1</v>
      </c>
      <c r="B321" s="41"/>
      <c r="C321" s="51" t="str">
        <f>VLOOKUP(F321,[1]VLOOKUP!$A$2:$B$35,2,FALSE)</f>
        <v>华东</v>
      </c>
      <c r="D321" s="54" t="s">
        <v>1539</v>
      </c>
      <c r="E321" s="54"/>
      <c r="F321" s="2" t="s">
        <v>274</v>
      </c>
      <c r="G321" s="2" t="s">
        <v>275</v>
      </c>
      <c r="H321" s="2" t="s">
        <v>1532</v>
      </c>
      <c r="I321" s="54" t="s">
        <v>720</v>
      </c>
      <c r="J321" s="54" t="s">
        <v>274</v>
      </c>
      <c r="K321" s="54" t="s">
        <v>611</v>
      </c>
      <c r="L321" s="54" t="s">
        <v>600</v>
      </c>
      <c r="M321" s="54">
        <v>43887</v>
      </c>
      <c r="N321" s="54">
        <v>43889</v>
      </c>
      <c r="O321" s="54">
        <v>44196</v>
      </c>
      <c r="P321" s="54" t="s">
        <v>1533</v>
      </c>
      <c r="Q321" s="54" t="s">
        <v>724</v>
      </c>
      <c r="R321" s="54" t="s">
        <v>1540</v>
      </c>
      <c r="S321" s="55" t="s">
        <v>1541</v>
      </c>
      <c r="T321" s="54"/>
    </row>
    <row r="322" spans="1:20" s="44" customFormat="1" ht="25.05" customHeight="1" x14ac:dyDescent="0.3">
      <c r="A322" s="41">
        <v>1</v>
      </c>
      <c r="B322" s="41"/>
      <c r="C322" s="51" t="str">
        <f>VLOOKUP(F322,[1]VLOOKUP!$A$2:$B$35,2,FALSE)</f>
        <v>华东</v>
      </c>
      <c r="D322" s="52" t="s">
        <v>1542</v>
      </c>
      <c r="E322" s="52"/>
      <c r="F322" s="2" t="s">
        <v>274</v>
      </c>
      <c r="G322" s="2" t="s">
        <v>275</v>
      </c>
      <c r="H322" s="2" t="s">
        <v>1532</v>
      </c>
      <c r="I322" s="52" t="s">
        <v>720</v>
      </c>
      <c r="J322" s="52" t="s">
        <v>274</v>
      </c>
      <c r="K322" s="52" t="s">
        <v>605</v>
      </c>
      <c r="L322" s="52" t="s">
        <v>663</v>
      </c>
      <c r="M322" s="52">
        <v>43947</v>
      </c>
      <c r="N322" s="52">
        <v>43948</v>
      </c>
      <c r="O322" s="52">
        <v>44926</v>
      </c>
      <c r="P322" s="52" t="s">
        <v>1533</v>
      </c>
      <c r="Q322" s="52" t="s">
        <v>724</v>
      </c>
      <c r="R322" s="52" t="s">
        <v>1543</v>
      </c>
      <c r="S322" s="53" t="s">
        <v>1544</v>
      </c>
      <c r="T322" s="52"/>
    </row>
    <row r="323" spans="1:20" s="44" customFormat="1" ht="25.05" customHeight="1" x14ac:dyDescent="0.3">
      <c r="A323" s="41">
        <v>1</v>
      </c>
      <c r="B323" s="41"/>
      <c r="C323" s="51" t="str">
        <f>VLOOKUP(F323,[1]VLOOKUP!$A$2:$B$35,2,FALSE)</f>
        <v>华东</v>
      </c>
      <c r="D323" s="54" t="s">
        <v>1545</v>
      </c>
      <c r="E323" s="54"/>
      <c r="F323" s="2" t="s">
        <v>274</v>
      </c>
      <c r="G323" s="2" t="s">
        <v>275</v>
      </c>
      <c r="H323" s="2" t="s">
        <v>1532</v>
      </c>
      <c r="I323" s="54" t="s">
        <v>720</v>
      </c>
      <c r="J323" s="54" t="s">
        <v>274</v>
      </c>
      <c r="K323" s="54" t="s">
        <v>611</v>
      </c>
      <c r="L323" s="54" t="s">
        <v>600</v>
      </c>
      <c r="M323" s="54">
        <v>44285</v>
      </c>
      <c r="N323" s="54">
        <v>44285</v>
      </c>
      <c r="O323" s="54">
        <v>46022</v>
      </c>
      <c r="P323" s="54" t="s">
        <v>1533</v>
      </c>
      <c r="Q323" s="54" t="s">
        <v>724</v>
      </c>
      <c r="R323" s="54" t="s">
        <v>1546</v>
      </c>
      <c r="S323" s="55" t="s">
        <v>1547</v>
      </c>
      <c r="T323" s="54" t="s">
        <v>817</v>
      </c>
    </row>
    <row r="324" spans="1:20" s="44" customFormat="1" ht="25.05" customHeight="1" x14ac:dyDescent="0.3">
      <c r="A324" s="41">
        <v>1</v>
      </c>
      <c r="B324" s="41"/>
      <c r="C324" s="51" t="str">
        <f>VLOOKUP(F324,[1]VLOOKUP!$A$2:$B$35,2,FALSE)</f>
        <v>华东</v>
      </c>
      <c r="D324" s="41" t="s">
        <v>1548</v>
      </c>
      <c r="E324" s="41"/>
      <c r="F324" s="2" t="s">
        <v>274</v>
      </c>
      <c r="G324" s="2" t="s">
        <v>275</v>
      </c>
      <c r="H324" s="2" t="s">
        <v>1532</v>
      </c>
      <c r="I324" s="41" t="s">
        <v>720</v>
      </c>
      <c r="J324" s="41" t="s">
        <v>274</v>
      </c>
      <c r="K324" s="41" t="s">
        <v>611</v>
      </c>
      <c r="L324" s="41" t="s">
        <v>600</v>
      </c>
      <c r="M324" s="42">
        <v>44397</v>
      </c>
      <c r="N324" s="42">
        <v>44403</v>
      </c>
      <c r="O324" s="42">
        <v>47848</v>
      </c>
      <c r="P324" s="41" t="s">
        <v>1533</v>
      </c>
      <c r="Q324" s="41" t="s">
        <v>724</v>
      </c>
      <c r="R324" s="41" t="s">
        <v>1549</v>
      </c>
      <c r="S324" s="43" t="s">
        <v>1550</v>
      </c>
      <c r="T324" s="41"/>
    </row>
    <row r="325" spans="1:20" s="44" customFormat="1" ht="25.05" customHeight="1" x14ac:dyDescent="0.3">
      <c r="A325" s="41">
        <v>1</v>
      </c>
      <c r="B325" s="41"/>
      <c r="C325" s="51" t="str">
        <f>VLOOKUP(F325,[1]VLOOKUP!$A$2:$B$35,2,FALSE)</f>
        <v>华东</v>
      </c>
      <c r="D325" s="54" t="s">
        <v>1551</v>
      </c>
      <c r="E325" s="54"/>
      <c r="F325" s="2" t="s">
        <v>274</v>
      </c>
      <c r="G325" s="2" t="s">
        <v>275</v>
      </c>
      <c r="H325" s="2" t="s">
        <v>1532</v>
      </c>
      <c r="I325" s="54" t="s">
        <v>720</v>
      </c>
      <c r="J325" s="54" t="s">
        <v>274</v>
      </c>
      <c r="K325" s="54" t="s">
        <v>611</v>
      </c>
      <c r="L325" s="54" t="s">
        <v>600</v>
      </c>
      <c r="M325" s="54">
        <v>44644</v>
      </c>
      <c r="N325" s="54">
        <v>44649</v>
      </c>
      <c r="O325" s="54">
        <v>44926</v>
      </c>
      <c r="P325" s="54" t="s">
        <v>1533</v>
      </c>
      <c r="Q325" s="54" t="s">
        <v>724</v>
      </c>
      <c r="R325" s="54" t="s">
        <v>1552</v>
      </c>
      <c r="S325" s="55" t="s">
        <v>1553</v>
      </c>
      <c r="T325" s="54"/>
    </row>
    <row r="326" spans="1:20" s="44" customFormat="1" ht="25.05" customHeight="1" x14ac:dyDescent="0.3">
      <c r="A326" s="41"/>
      <c r="B326" s="41"/>
      <c r="C326" s="41"/>
      <c r="D326" s="54" t="s">
        <v>1554</v>
      </c>
      <c r="E326" s="54"/>
      <c r="F326" s="2" t="s">
        <v>274</v>
      </c>
      <c r="G326" s="2" t="s">
        <v>275</v>
      </c>
      <c r="H326" s="2" t="s">
        <v>1532</v>
      </c>
      <c r="I326" s="54" t="s">
        <v>720</v>
      </c>
      <c r="J326" s="54" t="s">
        <v>274</v>
      </c>
      <c r="K326" s="54" t="s">
        <v>599</v>
      </c>
      <c r="L326" s="54" t="s">
        <v>600</v>
      </c>
      <c r="M326" s="54">
        <v>44232</v>
      </c>
      <c r="N326" s="54">
        <v>44232</v>
      </c>
      <c r="O326" s="54">
        <v>44239</v>
      </c>
      <c r="P326" s="54" t="s">
        <v>1555</v>
      </c>
      <c r="Q326" s="54" t="s">
        <v>716</v>
      </c>
      <c r="R326" s="54"/>
      <c r="S326" s="55" t="s">
        <v>1556</v>
      </c>
      <c r="T326" s="54"/>
    </row>
    <row r="327" spans="1:20" s="44" customFormat="1" ht="25.05" customHeight="1" x14ac:dyDescent="0.3">
      <c r="A327" s="41"/>
      <c r="B327" s="41"/>
      <c r="C327" s="41"/>
      <c r="D327" s="54" t="s">
        <v>1557</v>
      </c>
      <c r="E327" s="54"/>
      <c r="F327" s="2" t="s">
        <v>274</v>
      </c>
      <c r="G327" s="2" t="s">
        <v>275</v>
      </c>
      <c r="H327" s="2" t="s">
        <v>1532</v>
      </c>
      <c r="I327" s="54" t="s">
        <v>720</v>
      </c>
      <c r="J327" s="54" t="s">
        <v>274</v>
      </c>
      <c r="K327" s="54" t="s">
        <v>599</v>
      </c>
      <c r="L327" s="54" t="s">
        <v>600</v>
      </c>
      <c r="M327" s="54">
        <v>44756</v>
      </c>
      <c r="N327" s="54">
        <v>44756</v>
      </c>
      <c r="O327" s="54">
        <v>44763</v>
      </c>
      <c r="P327" s="54" t="s">
        <v>1555</v>
      </c>
      <c r="Q327" s="54" t="s">
        <v>716</v>
      </c>
      <c r="R327" s="54"/>
      <c r="S327" s="55" t="s">
        <v>1558</v>
      </c>
      <c r="T327" s="54"/>
    </row>
    <row r="328" spans="1:20" s="44" customFormat="1" ht="25.05" customHeight="1" x14ac:dyDescent="0.3">
      <c r="A328" s="41">
        <v>1</v>
      </c>
      <c r="B328" s="41"/>
      <c r="C328" s="51" t="str">
        <f>VLOOKUP(F328,[1]VLOOKUP!$A$2:$B$35,2,FALSE)</f>
        <v>华东</v>
      </c>
      <c r="D328" s="54" t="s">
        <v>1559</v>
      </c>
      <c r="E328" s="54"/>
      <c r="F328" s="2" t="s">
        <v>274</v>
      </c>
      <c r="G328" s="2" t="s">
        <v>275</v>
      </c>
      <c r="H328" s="2" t="s">
        <v>1532</v>
      </c>
      <c r="I328" s="54" t="s">
        <v>720</v>
      </c>
      <c r="J328" s="54" t="s">
        <v>274</v>
      </c>
      <c r="K328" s="54" t="s">
        <v>599</v>
      </c>
      <c r="L328" s="54" t="s">
        <v>600</v>
      </c>
      <c r="M328" s="54">
        <v>45202</v>
      </c>
      <c r="N328" s="54">
        <v>45202</v>
      </c>
      <c r="O328" s="54">
        <v>45209</v>
      </c>
      <c r="P328" s="54" t="s">
        <v>1555</v>
      </c>
      <c r="Q328" s="54" t="s">
        <v>716</v>
      </c>
      <c r="R328" s="54"/>
      <c r="S328" s="55" t="s">
        <v>1560</v>
      </c>
      <c r="T328" s="54"/>
    </row>
    <row r="329" spans="1:20" s="44" customFormat="1" ht="25.05" customHeight="1" x14ac:dyDescent="0.3">
      <c r="A329" s="41">
        <v>1</v>
      </c>
      <c r="B329" s="41"/>
      <c r="C329" s="51" t="str">
        <f>VLOOKUP(F329,[1]VLOOKUP!$A$2:$B$35,2,FALSE)</f>
        <v>华东</v>
      </c>
      <c r="D329" s="52" t="s">
        <v>1561</v>
      </c>
      <c r="E329" s="52"/>
      <c r="F329" s="2" t="s">
        <v>274</v>
      </c>
      <c r="G329" s="2" t="s">
        <v>275</v>
      </c>
      <c r="H329" s="2" t="s">
        <v>1562</v>
      </c>
      <c r="I329" s="52" t="s">
        <v>720</v>
      </c>
      <c r="J329" s="52" t="s">
        <v>274</v>
      </c>
      <c r="K329" s="52" t="s">
        <v>611</v>
      </c>
      <c r="L329" s="52" t="s">
        <v>663</v>
      </c>
      <c r="M329" s="52">
        <v>43482</v>
      </c>
      <c r="N329" s="52">
        <v>43482</v>
      </c>
      <c r="O329" s="52">
        <v>44196</v>
      </c>
      <c r="P329" s="52" t="s">
        <v>1563</v>
      </c>
      <c r="Q329" s="52" t="s">
        <v>724</v>
      </c>
      <c r="R329" s="52" t="s">
        <v>1564</v>
      </c>
      <c r="S329" s="53" t="s">
        <v>1565</v>
      </c>
      <c r="T329" s="52"/>
    </row>
    <row r="330" spans="1:20" s="44" customFormat="1" ht="25.05" customHeight="1" x14ac:dyDescent="0.3">
      <c r="A330" s="41">
        <v>1</v>
      </c>
      <c r="B330" s="41"/>
      <c r="C330" s="51" t="str">
        <f>VLOOKUP(F330,[1]VLOOKUP!$A$2:$B$35,2,FALSE)</f>
        <v>华东</v>
      </c>
      <c r="D330" s="41" t="s">
        <v>1566</v>
      </c>
      <c r="E330" s="41"/>
      <c r="F330" s="2" t="s">
        <v>274</v>
      </c>
      <c r="G330" s="2" t="s">
        <v>275</v>
      </c>
      <c r="H330" s="2" t="s">
        <v>1562</v>
      </c>
      <c r="I330" s="41" t="s">
        <v>720</v>
      </c>
      <c r="J330" s="41" t="s">
        <v>274</v>
      </c>
      <c r="K330" s="41" t="s">
        <v>611</v>
      </c>
      <c r="L330" s="41" t="s">
        <v>600</v>
      </c>
      <c r="M330" s="42">
        <v>43633</v>
      </c>
      <c r="N330" s="42">
        <v>43633</v>
      </c>
      <c r="O330" s="42">
        <v>46022</v>
      </c>
      <c r="P330" s="41" t="s">
        <v>1563</v>
      </c>
      <c r="Q330" s="41" t="s">
        <v>724</v>
      </c>
      <c r="R330" s="41" t="s">
        <v>1567</v>
      </c>
      <c r="S330" s="43" t="s">
        <v>1568</v>
      </c>
      <c r="T330" s="41"/>
    </row>
    <row r="331" spans="1:20" s="44" customFormat="1" ht="25.05" customHeight="1" x14ac:dyDescent="0.3">
      <c r="A331" s="41">
        <v>1</v>
      </c>
      <c r="B331" s="41"/>
      <c r="C331" s="51" t="str">
        <f>VLOOKUP(F331,[1]VLOOKUP!$A$2:$B$35,2,FALSE)</f>
        <v>华东</v>
      </c>
      <c r="D331" s="52" t="s">
        <v>1569</v>
      </c>
      <c r="E331" s="52"/>
      <c r="F331" s="2" t="s">
        <v>274</v>
      </c>
      <c r="G331" s="2" t="s">
        <v>275</v>
      </c>
      <c r="H331" s="2" t="s">
        <v>1562</v>
      </c>
      <c r="I331" s="52" t="s">
        <v>720</v>
      </c>
      <c r="J331" s="52" t="s">
        <v>274</v>
      </c>
      <c r="K331" s="52" t="s">
        <v>605</v>
      </c>
      <c r="L331" s="52" t="s">
        <v>663</v>
      </c>
      <c r="M331" s="52">
        <v>44119</v>
      </c>
      <c r="N331" s="52">
        <v>44119</v>
      </c>
      <c r="O331" s="52">
        <v>45214</v>
      </c>
      <c r="P331" s="52" t="s">
        <v>1563</v>
      </c>
      <c r="Q331" s="52" t="s">
        <v>724</v>
      </c>
      <c r="R331" s="52" t="s">
        <v>1570</v>
      </c>
      <c r="S331" s="53" t="s">
        <v>1571</v>
      </c>
      <c r="T331" s="52"/>
    </row>
    <row r="332" spans="1:20" s="44" customFormat="1" ht="25.05" customHeight="1" x14ac:dyDescent="0.3">
      <c r="A332" s="41">
        <v>1</v>
      </c>
      <c r="B332" s="41"/>
      <c r="C332" s="51" t="str">
        <f>VLOOKUP(F332,[1]VLOOKUP!$A$2:$B$35,2,FALSE)</f>
        <v>华东</v>
      </c>
      <c r="D332" s="41" t="s">
        <v>1572</v>
      </c>
      <c r="E332" s="41"/>
      <c r="F332" s="2" t="s">
        <v>274</v>
      </c>
      <c r="G332" s="2" t="s">
        <v>275</v>
      </c>
      <c r="H332" s="2" t="s">
        <v>1562</v>
      </c>
      <c r="I332" s="41" t="s">
        <v>720</v>
      </c>
      <c r="J332" s="41" t="s">
        <v>274</v>
      </c>
      <c r="K332" s="41" t="s">
        <v>605</v>
      </c>
      <c r="L332" s="41" t="s">
        <v>600</v>
      </c>
      <c r="M332" s="42">
        <v>44486</v>
      </c>
      <c r="N332" s="42">
        <v>44489</v>
      </c>
      <c r="O332" s="42">
        <v>46022</v>
      </c>
      <c r="P332" s="41" t="s">
        <v>1563</v>
      </c>
      <c r="Q332" s="41" t="s">
        <v>724</v>
      </c>
      <c r="R332" s="41" t="s">
        <v>1573</v>
      </c>
      <c r="S332" s="43" t="s">
        <v>1574</v>
      </c>
      <c r="T332" s="41"/>
    </row>
    <row r="333" spans="1:20" s="44" customFormat="1" ht="25.05" customHeight="1" x14ac:dyDescent="0.3">
      <c r="A333" s="41">
        <v>1</v>
      </c>
      <c r="B333" s="41"/>
      <c r="C333" s="51" t="str">
        <f>VLOOKUP(F333,[1]VLOOKUP!$A$2:$B$35,2,FALSE)</f>
        <v>华东</v>
      </c>
      <c r="D333" s="54" t="s">
        <v>1575</v>
      </c>
      <c r="E333" s="54"/>
      <c r="F333" s="2" t="s">
        <v>274</v>
      </c>
      <c r="G333" s="2" t="s">
        <v>275</v>
      </c>
      <c r="H333" s="2" t="s">
        <v>1562</v>
      </c>
      <c r="I333" s="54" t="s">
        <v>720</v>
      </c>
      <c r="J333" s="54" t="s">
        <v>274</v>
      </c>
      <c r="K333" s="54" t="s">
        <v>599</v>
      </c>
      <c r="L333" s="54" t="s">
        <v>600</v>
      </c>
      <c r="M333" s="54">
        <v>44428</v>
      </c>
      <c r="N333" s="54">
        <v>44428</v>
      </c>
      <c r="O333" s="54">
        <v>44435</v>
      </c>
      <c r="P333" s="54" t="s">
        <v>1576</v>
      </c>
      <c r="Q333" s="54" t="s">
        <v>716</v>
      </c>
      <c r="R333" s="54"/>
      <c r="S333" s="55" t="s">
        <v>1577</v>
      </c>
      <c r="T333" s="54"/>
    </row>
    <row r="334" spans="1:20" s="44" customFormat="1" ht="25.05" customHeight="1" x14ac:dyDescent="0.3">
      <c r="A334" s="41">
        <v>1</v>
      </c>
      <c r="B334" s="41"/>
      <c r="C334" s="51" t="str">
        <f>VLOOKUP(F334,[1]VLOOKUP!$A$2:$B$35,2,FALSE)</f>
        <v>华东</v>
      </c>
      <c r="D334" s="54" t="s">
        <v>1578</v>
      </c>
      <c r="E334" s="54"/>
      <c r="F334" s="2" t="s">
        <v>274</v>
      </c>
      <c r="G334" s="2" t="s">
        <v>275</v>
      </c>
      <c r="H334" s="2" t="s">
        <v>1562</v>
      </c>
      <c r="I334" s="54" t="s">
        <v>720</v>
      </c>
      <c r="J334" s="54" t="s">
        <v>274</v>
      </c>
      <c r="K334" s="54" t="s">
        <v>599</v>
      </c>
      <c r="L334" s="54" t="s">
        <v>600</v>
      </c>
      <c r="M334" s="54">
        <v>44795</v>
      </c>
      <c r="N334" s="54">
        <v>44795</v>
      </c>
      <c r="O334" s="54">
        <v>44801</v>
      </c>
      <c r="P334" s="54" t="s">
        <v>1576</v>
      </c>
      <c r="Q334" s="54" t="s">
        <v>716</v>
      </c>
      <c r="R334" s="54"/>
      <c r="S334" s="55" t="s">
        <v>1579</v>
      </c>
      <c r="T334" s="54" t="s">
        <v>817</v>
      </c>
    </row>
    <row r="335" spans="1:20" s="44" customFormat="1" ht="25.05" customHeight="1" x14ac:dyDescent="0.3">
      <c r="A335" s="41">
        <v>1</v>
      </c>
      <c r="B335" s="41"/>
      <c r="C335" s="51" t="str">
        <f>VLOOKUP(F335,[1]VLOOKUP!$A$2:$B$35,2,FALSE)</f>
        <v>华东</v>
      </c>
      <c r="D335" s="57" t="s">
        <v>1580</v>
      </c>
      <c r="E335" s="57"/>
      <c r="F335" s="2" t="s">
        <v>274</v>
      </c>
      <c r="G335" s="2" t="s">
        <v>275</v>
      </c>
      <c r="H335" s="2" t="s">
        <v>1581</v>
      </c>
      <c r="I335" s="57" t="s">
        <v>720</v>
      </c>
      <c r="J335" s="57" t="s">
        <v>274</v>
      </c>
      <c r="K335" s="57" t="s">
        <v>611</v>
      </c>
      <c r="L335" s="57" t="s">
        <v>780</v>
      </c>
      <c r="M335" s="57">
        <v>44092</v>
      </c>
      <c r="N335" s="57">
        <v>44092</v>
      </c>
      <c r="O335" s="57">
        <v>44124</v>
      </c>
      <c r="P335" s="57" t="s">
        <v>1582</v>
      </c>
      <c r="Q335" s="57" t="s">
        <v>716</v>
      </c>
      <c r="R335" s="57"/>
      <c r="S335" s="58" t="s">
        <v>1583</v>
      </c>
      <c r="T335" s="57"/>
    </row>
    <row r="336" spans="1:20" s="44" customFormat="1" ht="25.05" customHeight="1" x14ac:dyDescent="0.3">
      <c r="A336" s="41">
        <v>1</v>
      </c>
      <c r="B336" s="41"/>
      <c r="C336" s="51" t="str">
        <f>VLOOKUP(F336,[1]VLOOKUP!$A$2:$B$35,2,FALSE)</f>
        <v>华东</v>
      </c>
      <c r="D336" s="41" t="s">
        <v>1584</v>
      </c>
      <c r="E336" s="41"/>
      <c r="F336" s="2" t="s">
        <v>274</v>
      </c>
      <c r="G336" s="2" t="s">
        <v>1585</v>
      </c>
      <c r="H336" s="2"/>
      <c r="I336" s="41" t="s">
        <v>720</v>
      </c>
      <c r="J336" s="41" t="s">
        <v>274</v>
      </c>
      <c r="K336" s="41" t="s">
        <v>611</v>
      </c>
      <c r="L336" s="41" t="s">
        <v>600</v>
      </c>
      <c r="M336" s="42">
        <v>44865</v>
      </c>
      <c r="N336" s="42">
        <v>44872</v>
      </c>
      <c r="O336" s="42">
        <v>46022</v>
      </c>
      <c r="P336" s="41" t="s">
        <v>1586</v>
      </c>
      <c r="Q336" s="41" t="s">
        <v>519</v>
      </c>
      <c r="R336" s="41" t="s">
        <v>1587</v>
      </c>
      <c r="S336" s="43" t="s">
        <v>1588</v>
      </c>
      <c r="T336" s="41" t="s">
        <v>817</v>
      </c>
    </row>
    <row r="337" spans="1:20" s="44" customFormat="1" ht="25.05" customHeight="1" x14ac:dyDescent="0.3">
      <c r="A337" s="41">
        <v>1</v>
      </c>
      <c r="B337" s="41"/>
      <c r="C337" s="51" t="str">
        <f>VLOOKUP(F337,[1]VLOOKUP!$A$2:$B$35,2,FALSE)</f>
        <v>华东</v>
      </c>
      <c r="D337" s="52" t="s">
        <v>1589</v>
      </c>
      <c r="E337" s="52"/>
      <c r="F337" s="2" t="s">
        <v>274</v>
      </c>
      <c r="G337" s="2" t="s">
        <v>1585</v>
      </c>
      <c r="H337" s="2" t="s">
        <v>1590</v>
      </c>
      <c r="I337" s="52" t="s">
        <v>720</v>
      </c>
      <c r="J337" s="52" t="s">
        <v>274</v>
      </c>
      <c r="K337" s="52" t="s">
        <v>611</v>
      </c>
      <c r="L337" s="52" t="s">
        <v>663</v>
      </c>
      <c r="M337" s="52">
        <v>43382</v>
      </c>
      <c r="N337" s="52">
        <v>43382</v>
      </c>
      <c r="O337" s="52">
        <v>43830</v>
      </c>
      <c r="P337" s="52" t="s">
        <v>1591</v>
      </c>
      <c r="Q337" s="52" t="s">
        <v>724</v>
      </c>
      <c r="R337" s="52" t="s">
        <v>1592</v>
      </c>
      <c r="S337" s="53" t="s">
        <v>1593</v>
      </c>
      <c r="T337" s="52" t="s">
        <v>817</v>
      </c>
    </row>
    <row r="338" spans="1:20" s="44" customFormat="1" ht="25.05" customHeight="1" x14ac:dyDescent="0.3">
      <c r="A338" s="41">
        <v>1</v>
      </c>
      <c r="B338" s="41"/>
      <c r="C338" s="51" t="str">
        <f>VLOOKUP(F338,[1]VLOOKUP!$A$2:$B$35,2,FALSE)</f>
        <v>华东</v>
      </c>
      <c r="D338" s="41" t="s">
        <v>1594</v>
      </c>
      <c r="E338" s="41"/>
      <c r="F338" s="2" t="s">
        <v>274</v>
      </c>
      <c r="G338" s="2" t="s">
        <v>504</v>
      </c>
      <c r="H338" s="2"/>
      <c r="I338" s="41" t="s">
        <v>720</v>
      </c>
      <c r="J338" s="41" t="s">
        <v>274</v>
      </c>
      <c r="K338" s="41" t="s">
        <v>611</v>
      </c>
      <c r="L338" s="41" t="s">
        <v>600</v>
      </c>
      <c r="M338" s="42">
        <v>45064</v>
      </c>
      <c r="N338" s="42">
        <v>45064</v>
      </c>
      <c r="O338" s="42">
        <v>46022</v>
      </c>
      <c r="P338" s="41" t="s">
        <v>1595</v>
      </c>
      <c r="Q338" s="41" t="s">
        <v>716</v>
      </c>
      <c r="R338" s="41"/>
      <c r="S338" s="43" t="s">
        <v>1596</v>
      </c>
      <c r="T338" s="41"/>
    </row>
    <row r="339" spans="1:20" s="44" customFormat="1" ht="25.05" customHeight="1" x14ac:dyDescent="0.3">
      <c r="A339" s="41">
        <v>1</v>
      </c>
      <c r="B339" s="41"/>
      <c r="C339" s="51" t="str">
        <f>VLOOKUP(F339,[1]VLOOKUP!$A$2:$B$35,2,FALSE)</f>
        <v>华东</v>
      </c>
      <c r="D339" s="41" t="s">
        <v>1597</v>
      </c>
      <c r="E339" s="41"/>
      <c r="F339" s="2" t="s">
        <v>274</v>
      </c>
      <c r="G339" s="2" t="s">
        <v>504</v>
      </c>
      <c r="H339" s="2"/>
      <c r="I339" s="41" t="s">
        <v>720</v>
      </c>
      <c r="J339" s="41" t="s">
        <v>274</v>
      </c>
      <c r="K339" s="41" t="s">
        <v>611</v>
      </c>
      <c r="L339" s="41" t="s">
        <v>600</v>
      </c>
      <c r="M339" s="42">
        <v>45421</v>
      </c>
      <c r="N339" s="42">
        <v>45421</v>
      </c>
      <c r="O339" s="42">
        <v>45657</v>
      </c>
      <c r="P339" s="41" t="s">
        <v>1598</v>
      </c>
      <c r="Q339" s="41" t="s">
        <v>1599</v>
      </c>
      <c r="R339" s="41"/>
      <c r="S339" s="43" t="s">
        <v>1600</v>
      </c>
      <c r="T339" s="41"/>
    </row>
    <row r="340" spans="1:20" s="44" customFormat="1" ht="25.05" customHeight="1" x14ac:dyDescent="0.3">
      <c r="A340" s="41">
        <v>1</v>
      </c>
      <c r="B340" s="41"/>
      <c r="C340" s="51" t="str">
        <f>VLOOKUP(F340,[1]VLOOKUP!$A$2:$B$35,2,FALSE)</f>
        <v>华东</v>
      </c>
      <c r="D340" s="41" t="s">
        <v>1601</v>
      </c>
      <c r="E340" s="41"/>
      <c r="F340" s="2" t="s">
        <v>274</v>
      </c>
      <c r="G340" s="2" t="s">
        <v>504</v>
      </c>
      <c r="H340" s="2"/>
      <c r="I340" s="41" t="s">
        <v>720</v>
      </c>
      <c r="J340" s="41" t="s">
        <v>274</v>
      </c>
      <c r="K340" s="41" t="s">
        <v>605</v>
      </c>
      <c r="L340" s="41" t="s">
        <v>600</v>
      </c>
      <c r="M340" s="42">
        <v>45446</v>
      </c>
      <c r="N340" s="42">
        <v>45446</v>
      </c>
      <c r="O340" s="42">
        <v>45657</v>
      </c>
      <c r="P340" s="41" t="s">
        <v>1602</v>
      </c>
      <c r="Q340" s="41" t="s">
        <v>519</v>
      </c>
      <c r="R340" s="41"/>
      <c r="S340" s="43" t="s">
        <v>1603</v>
      </c>
      <c r="T340" s="41"/>
    </row>
    <row r="341" spans="1:20" s="44" customFormat="1" ht="25.05" customHeight="1" x14ac:dyDescent="0.3">
      <c r="A341" s="41"/>
      <c r="B341" s="41"/>
      <c r="C341" s="41"/>
      <c r="D341" s="41" t="s">
        <v>1604</v>
      </c>
      <c r="E341" s="41"/>
      <c r="F341" s="2" t="s">
        <v>274</v>
      </c>
      <c r="G341" s="2" t="s">
        <v>504</v>
      </c>
      <c r="H341" s="2"/>
      <c r="I341" s="41" t="s">
        <v>720</v>
      </c>
      <c r="J341" s="41" t="s">
        <v>274</v>
      </c>
      <c r="K341" s="41" t="s">
        <v>605</v>
      </c>
      <c r="L341" s="41" t="s">
        <v>600</v>
      </c>
      <c r="M341" s="42">
        <v>45642</v>
      </c>
      <c r="N341" s="42">
        <v>45642</v>
      </c>
      <c r="O341" s="42">
        <v>45646</v>
      </c>
      <c r="P341" s="41" t="s">
        <v>1602</v>
      </c>
      <c r="Q341" s="41" t="s">
        <v>519</v>
      </c>
      <c r="R341" s="41"/>
      <c r="S341" s="43" t="s">
        <v>1605</v>
      </c>
      <c r="T341" s="41"/>
    </row>
    <row r="342" spans="1:20" s="44" customFormat="1" ht="25.05" customHeight="1" x14ac:dyDescent="0.3">
      <c r="A342" s="41"/>
      <c r="B342" s="41"/>
      <c r="C342" s="41"/>
      <c r="D342" s="41" t="s">
        <v>1606</v>
      </c>
      <c r="E342" s="41"/>
      <c r="F342" s="2" t="s">
        <v>274</v>
      </c>
      <c r="G342" s="2" t="s">
        <v>504</v>
      </c>
      <c r="H342" s="2"/>
      <c r="I342" s="41" t="s">
        <v>720</v>
      </c>
      <c r="J342" s="41" t="s">
        <v>274</v>
      </c>
      <c r="K342" s="41" t="s">
        <v>605</v>
      </c>
      <c r="L342" s="41" t="s">
        <v>600</v>
      </c>
      <c r="M342" s="42">
        <v>45799</v>
      </c>
      <c r="N342" s="42">
        <v>45799</v>
      </c>
      <c r="O342" s="42">
        <v>45799</v>
      </c>
      <c r="P342" s="41" t="s">
        <v>1602</v>
      </c>
      <c r="Q342" s="41" t="s">
        <v>519</v>
      </c>
      <c r="R342" s="41"/>
      <c r="S342" s="43" t="s">
        <v>1607</v>
      </c>
      <c r="T342" s="41"/>
    </row>
    <row r="343" spans="1:20" s="44" customFormat="1" ht="25.05" customHeight="1" x14ac:dyDescent="0.3">
      <c r="A343" s="41"/>
      <c r="B343" s="41"/>
      <c r="C343" s="41"/>
      <c r="D343" s="41" t="s">
        <v>1608</v>
      </c>
      <c r="E343" s="41"/>
      <c r="F343" s="2" t="s">
        <v>274</v>
      </c>
      <c r="G343" s="2" t="s">
        <v>504</v>
      </c>
      <c r="H343" s="2"/>
      <c r="I343" s="41" t="s">
        <v>720</v>
      </c>
      <c r="J343" s="41" t="s">
        <v>274</v>
      </c>
      <c r="K343" s="41" t="s">
        <v>605</v>
      </c>
      <c r="L343" s="41" t="s">
        <v>600</v>
      </c>
      <c r="M343" s="42">
        <v>45901</v>
      </c>
      <c r="N343" s="42">
        <v>45901</v>
      </c>
      <c r="O343" s="42">
        <v>45905</v>
      </c>
      <c r="P343" s="41" t="s">
        <v>1602</v>
      </c>
      <c r="Q343" s="41" t="s">
        <v>519</v>
      </c>
      <c r="R343" s="41"/>
      <c r="S343" s="43" t="s">
        <v>1609</v>
      </c>
      <c r="T343" s="41"/>
    </row>
    <row r="344" spans="1:20" s="44" customFormat="1" ht="25.05" customHeight="1" x14ac:dyDescent="0.3">
      <c r="A344" s="41">
        <v>1</v>
      </c>
      <c r="B344" s="41"/>
      <c r="C344" s="51" t="str">
        <f>VLOOKUP(F344,[1]VLOOKUP!$A$2:$B$35,2,FALSE)</f>
        <v>华东</v>
      </c>
      <c r="D344" s="41" t="s">
        <v>1610</v>
      </c>
      <c r="E344" s="41"/>
      <c r="F344" s="2" t="s">
        <v>274</v>
      </c>
      <c r="G344" s="2" t="s">
        <v>504</v>
      </c>
      <c r="H344" s="2"/>
      <c r="I344" s="41" t="s">
        <v>720</v>
      </c>
      <c r="J344" s="41" t="s">
        <v>274</v>
      </c>
      <c r="K344" s="41" t="s">
        <v>852</v>
      </c>
      <c r="L344" s="41" t="s">
        <v>600</v>
      </c>
      <c r="M344" s="42">
        <v>44579</v>
      </c>
      <c r="N344" s="42">
        <v>44591</v>
      </c>
      <c r="O344" s="42">
        <v>49674</v>
      </c>
      <c r="P344" s="41" t="s">
        <v>1611</v>
      </c>
      <c r="Q344" s="41" t="s">
        <v>1612</v>
      </c>
      <c r="R344" s="41" t="s">
        <v>1613</v>
      </c>
      <c r="S344" s="43" t="s">
        <v>1614</v>
      </c>
      <c r="T344" s="41"/>
    </row>
    <row r="345" spans="1:20" s="44" customFormat="1" ht="25.05" customHeight="1" x14ac:dyDescent="0.3">
      <c r="A345" s="41"/>
      <c r="B345" s="41"/>
      <c r="C345" s="41"/>
      <c r="D345" s="47" t="s">
        <v>1615</v>
      </c>
      <c r="E345" s="47"/>
      <c r="F345" s="2" t="s">
        <v>274</v>
      </c>
      <c r="G345" s="2" t="s">
        <v>1616</v>
      </c>
      <c r="H345" s="2"/>
      <c r="I345" s="47" t="s">
        <v>720</v>
      </c>
      <c r="J345" s="47" t="s">
        <v>274</v>
      </c>
      <c r="K345" s="47" t="s">
        <v>611</v>
      </c>
      <c r="L345" s="47" t="s">
        <v>606</v>
      </c>
      <c r="M345" s="47"/>
      <c r="N345" s="47"/>
      <c r="O345" s="47"/>
      <c r="P345" s="47" t="s">
        <v>1617</v>
      </c>
      <c r="Q345" s="47" t="s">
        <v>716</v>
      </c>
      <c r="R345" s="47"/>
      <c r="S345" s="64"/>
      <c r="T345" s="47"/>
    </row>
    <row r="346" spans="1:20" s="44" customFormat="1" ht="25.05" customHeight="1" x14ac:dyDescent="0.3">
      <c r="A346" s="41"/>
      <c r="B346" s="41"/>
      <c r="C346" s="41"/>
      <c r="D346" s="47" t="s">
        <v>1618</v>
      </c>
      <c r="E346" s="47"/>
      <c r="F346" s="2" t="s">
        <v>274</v>
      </c>
      <c r="G346" s="2" t="s">
        <v>1619</v>
      </c>
      <c r="H346" s="2"/>
      <c r="I346" s="47" t="s">
        <v>720</v>
      </c>
      <c r="J346" s="47" t="s">
        <v>274</v>
      </c>
      <c r="K346" s="47" t="s">
        <v>611</v>
      </c>
      <c r="L346" s="47" t="s">
        <v>606</v>
      </c>
      <c r="M346" s="47">
        <v>44043</v>
      </c>
      <c r="N346" s="47">
        <v>44043</v>
      </c>
      <c r="O346" s="47"/>
      <c r="P346" s="47" t="s">
        <v>1620</v>
      </c>
      <c r="Q346" s="47" t="s">
        <v>716</v>
      </c>
      <c r="R346" s="47"/>
      <c r="S346" s="64"/>
      <c r="T346" s="47"/>
    </row>
    <row r="347" spans="1:20" s="44" customFormat="1" ht="25.05" customHeight="1" x14ac:dyDescent="0.3">
      <c r="A347" s="41"/>
      <c r="B347" s="41"/>
      <c r="C347" s="41"/>
      <c r="D347" s="47" t="s">
        <v>1621</v>
      </c>
      <c r="E347" s="47"/>
      <c r="F347" s="2" t="s">
        <v>274</v>
      </c>
      <c r="G347" s="2" t="s">
        <v>1619</v>
      </c>
      <c r="H347" s="2"/>
      <c r="I347" s="47" t="s">
        <v>720</v>
      </c>
      <c r="J347" s="47" t="s">
        <v>274</v>
      </c>
      <c r="K347" s="47" t="s">
        <v>611</v>
      </c>
      <c r="L347" s="47" t="s">
        <v>606</v>
      </c>
      <c r="M347" s="47"/>
      <c r="N347" s="47"/>
      <c r="O347" s="47"/>
      <c r="P347" s="47" t="s">
        <v>1620</v>
      </c>
      <c r="Q347" s="47" t="s">
        <v>716</v>
      </c>
      <c r="R347" s="47"/>
      <c r="S347" s="64"/>
      <c r="T347" s="47"/>
    </row>
    <row r="348" spans="1:20" s="44" customFormat="1" ht="25.05" customHeight="1" x14ac:dyDescent="0.3">
      <c r="A348" s="41"/>
      <c r="B348" s="41"/>
      <c r="C348" s="41"/>
      <c r="D348" s="47" t="s">
        <v>1622</v>
      </c>
      <c r="E348" s="47"/>
      <c r="F348" s="2" t="s">
        <v>274</v>
      </c>
      <c r="G348" s="2" t="s">
        <v>1619</v>
      </c>
      <c r="H348" s="2"/>
      <c r="I348" s="47" t="s">
        <v>720</v>
      </c>
      <c r="J348" s="47" t="s">
        <v>274</v>
      </c>
      <c r="K348" s="47" t="s">
        <v>852</v>
      </c>
      <c r="L348" s="47" t="s">
        <v>606</v>
      </c>
      <c r="M348" s="47"/>
      <c r="N348" s="47"/>
      <c r="O348" s="47"/>
      <c r="P348" s="47" t="s">
        <v>1623</v>
      </c>
      <c r="Q348" s="47" t="s">
        <v>1624</v>
      </c>
      <c r="R348" s="47"/>
      <c r="S348" s="64"/>
      <c r="T348" s="47"/>
    </row>
    <row r="349" spans="1:20" s="44" customFormat="1" ht="25.05" customHeight="1" x14ac:dyDescent="0.3">
      <c r="A349" s="41"/>
      <c r="B349" s="41"/>
      <c r="C349" s="41"/>
      <c r="D349" s="47" t="s">
        <v>1625</v>
      </c>
      <c r="E349" s="47"/>
      <c r="F349" s="2" t="s">
        <v>274</v>
      </c>
      <c r="G349" s="2" t="s">
        <v>1619</v>
      </c>
      <c r="H349" s="2"/>
      <c r="I349" s="47" t="s">
        <v>720</v>
      </c>
      <c r="J349" s="47" t="s">
        <v>274</v>
      </c>
      <c r="K349" s="47" t="s">
        <v>852</v>
      </c>
      <c r="L349" s="47" t="s">
        <v>606</v>
      </c>
      <c r="M349" s="47"/>
      <c r="N349" s="47"/>
      <c r="O349" s="47"/>
      <c r="P349" s="47" t="s">
        <v>1623</v>
      </c>
      <c r="Q349" s="47" t="s">
        <v>1624</v>
      </c>
      <c r="R349" s="47"/>
      <c r="S349" s="64"/>
      <c r="T349" s="47"/>
    </row>
    <row r="350" spans="1:20" s="44" customFormat="1" ht="25.05" customHeight="1" x14ac:dyDescent="0.3">
      <c r="A350" s="41">
        <v>1</v>
      </c>
      <c r="B350" s="41"/>
      <c r="C350" s="51" t="str">
        <f>VLOOKUP(F350,[1]VLOOKUP!$A$2:$B$35,2,FALSE)</f>
        <v>华东</v>
      </c>
      <c r="D350" s="41" t="s">
        <v>1626</v>
      </c>
      <c r="E350" s="41"/>
      <c r="F350" s="2" t="s">
        <v>274</v>
      </c>
      <c r="G350" s="2" t="s">
        <v>1619</v>
      </c>
      <c r="H350" s="2"/>
      <c r="I350" s="41" t="s">
        <v>720</v>
      </c>
      <c r="J350" s="41" t="s">
        <v>274</v>
      </c>
      <c r="K350" s="41" t="s">
        <v>611</v>
      </c>
      <c r="L350" s="41" t="s">
        <v>600</v>
      </c>
      <c r="M350" s="42">
        <v>45281</v>
      </c>
      <c r="N350" s="42">
        <v>45281</v>
      </c>
      <c r="O350" s="42">
        <v>49674</v>
      </c>
      <c r="P350" s="41" t="s">
        <v>1627</v>
      </c>
      <c r="Q350" s="41" t="s">
        <v>825</v>
      </c>
      <c r="R350" s="41" t="s">
        <v>1628</v>
      </c>
      <c r="S350" s="43"/>
      <c r="T350" s="41"/>
    </row>
    <row r="351" spans="1:20" s="44" customFormat="1" ht="25.05" customHeight="1" x14ac:dyDescent="0.3">
      <c r="A351" s="41">
        <v>1</v>
      </c>
      <c r="B351" s="41"/>
      <c r="C351" s="51" t="str">
        <f>VLOOKUP(F351,[1]VLOOKUP!$A$2:$B$35,2,FALSE)</f>
        <v>华东</v>
      </c>
      <c r="D351" s="41" t="s">
        <v>1629</v>
      </c>
      <c r="E351" s="41"/>
      <c r="F351" s="2" t="s">
        <v>274</v>
      </c>
      <c r="G351" s="2" t="s">
        <v>1630</v>
      </c>
      <c r="H351" s="2" t="s">
        <v>1631</v>
      </c>
      <c r="I351" s="41" t="s">
        <v>720</v>
      </c>
      <c r="J351" s="41" t="s">
        <v>274</v>
      </c>
      <c r="K351" s="41" t="s">
        <v>611</v>
      </c>
      <c r="L351" s="41" t="s">
        <v>600</v>
      </c>
      <c r="M351" s="42">
        <v>44946</v>
      </c>
      <c r="N351" s="42">
        <v>44966</v>
      </c>
      <c r="O351" s="42">
        <v>46022</v>
      </c>
      <c r="P351" s="41" t="s">
        <v>1632</v>
      </c>
      <c r="Q351" s="41" t="s">
        <v>724</v>
      </c>
      <c r="R351" s="41" t="s">
        <v>1633</v>
      </c>
      <c r="S351" s="43" t="s">
        <v>1634</v>
      </c>
      <c r="T351" s="41" t="s">
        <v>817</v>
      </c>
    </row>
    <row r="352" spans="1:20" s="44" customFormat="1" ht="25.05" customHeight="1" x14ac:dyDescent="0.3">
      <c r="A352" s="41">
        <v>1</v>
      </c>
      <c r="B352" s="41"/>
      <c r="C352" s="51" t="str">
        <f>VLOOKUP(F352,[1]VLOOKUP!$A$2:$B$35,2,FALSE)</f>
        <v>华东</v>
      </c>
      <c r="D352" s="41" t="s">
        <v>1635</v>
      </c>
      <c r="E352" s="41"/>
      <c r="F352" s="2" t="s">
        <v>274</v>
      </c>
      <c r="G352" s="2" t="s">
        <v>1630</v>
      </c>
      <c r="H352" s="2" t="s">
        <v>1631</v>
      </c>
      <c r="I352" s="41" t="s">
        <v>720</v>
      </c>
      <c r="J352" s="41" t="s">
        <v>274</v>
      </c>
      <c r="K352" s="41" t="s">
        <v>605</v>
      </c>
      <c r="L352" s="41" t="s">
        <v>600</v>
      </c>
      <c r="M352" s="42">
        <v>44943</v>
      </c>
      <c r="N352" s="42">
        <v>44954</v>
      </c>
      <c r="O352" s="42">
        <v>46022</v>
      </c>
      <c r="P352" s="41" t="s">
        <v>1632</v>
      </c>
      <c r="Q352" s="41" t="s">
        <v>724</v>
      </c>
      <c r="R352" s="41" t="s">
        <v>1636</v>
      </c>
      <c r="S352" s="43" t="s">
        <v>1637</v>
      </c>
      <c r="T352" s="41"/>
    </row>
    <row r="353" spans="1:20" s="44" customFormat="1" ht="25.05" customHeight="1" x14ac:dyDescent="0.3">
      <c r="A353" s="41"/>
      <c r="B353" s="41"/>
      <c r="C353" s="41"/>
      <c r="D353" s="41" t="s">
        <v>1638</v>
      </c>
      <c r="E353" s="41"/>
      <c r="F353" s="2" t="s">
        <v>274</v>
      </c>
      <c r="G353" s="2" t="s">
        <v>1639</v>
      </c>
      <c r="H353" s="2"/>
      <c r="I353" s="41" t="s">
        <v>720</v>
      </c>
      <c r="J353" s="41" t="s">
        <v>274</v>
      </c>
      <c r="K353" s="41" t="s">
        <v>611</v>
      </c>
      <c r="L353" s="41" t="s">
        <v>600</v>
      </c>
      <c r="M353" s="42">
        <v>43564</v>
      </c>
      <c r="N353" s="42">
        <v>43564</v>
      </c>
      <c r="O353" s="42">
        <v>46022</v>
      </c>
      <c r="P353" s="41" t="s">
        <v>1640</v>
      </c>
      <c r="Q353" s="41" t="s">
        <v>724</v>
      </c>
      <c r="R353" s="41"/>
      <c r="S353" s="43" t="s">
        <v>1641</v>
      </c>
      <c r="T353" s="41"/>
    </row>
    <row r="354" spans="1:20" s="44" customFormat="1" ht="25.05" customHeight="1" x14ac:dyDescent="0.3">
      <c r="A354" s="41">
        <v>1</v>
      </c>
      <c r="B354" s="41"/>
      <c r="C354" s="51" t="str">
        <f>VLOOKUP(F354,[1]VLOOKUP!$A$2:$B$35,2,FALSE)</f>
        <v>华东</v>
      </c>
      <c r="D354" s="41" t="s">
        <v>1642</v>
      </c>
      <c r="E354" s="41"/>
      <c r="F354" s="2" t="s">
        <v>274</v>
      </c>
      <c r="G354" s="2" t="s">
        <v>1643</v>
      </c>
      <c r="H354" s="2"/>
      <c r="I354" s="41" t="s">
        <v>720</v>
      </c>
      <c r="J354" s="41" t="s">
        <v>274</v>
      </c>
      <c r="K354" s="41" t="s">
        <v>611</v>
      </c>
      <c r="L354" s="41" t="s">
        <v>600</v>
      </c>
      <c r="M354" s="42">
        <v>45671</v>
      </c>
      <c r="N354" s="42">
        <v>45671</v>
      </c>
      <c r="O354" s="42">
        <v>46752</v>
      </c>
      <c r="P354" s="41" t="s">
        <v>1644</v>
      </c>
      <c r="Q354" s="41" t="s">
        <v>724</v>
      </c>
      <c r="R354" s="41" t="s">
        <v>1645</v>
      </c>
      <c r="S354" s="43" t="s">
        <v>1646</v>
      </c>
      <c r="T354" s="41"/>
    </row>
    <row r="355" spans="1:20" s="44" customFormat="1" ht="25.05" customHeight="1" x14ac:dyDescent="0.3">
      <c r="A355" s="41">
        <v>1</v>
      </c>
      <c r="B355" s="41"/>
      <c r="C355" s="51" t="str">
        <f>VLOOKUP(F355,[1]VLOOKUP!$A$2:$B$35,2,FALSE)</f>
        <v>华东</v>
      </c>
      <c r="D355" s="57" t="s">
        <v>1647</v>
      </c>
      <c r="E355" s="57"/>
      <c r="F355" s="2" t="s">
        <v>274</v>
      </c>
      <c r="G355" s="2" t="s">
        <v>1648</v>
      </c>
      <c r="H355" s="2"/>
      <c r="I355" s="57" t="s">
        <v>720</v>
      </c>
      <c r="J355" s="57" t="s">
        <v>274</v>
      </c>
      <c r="K355" s="57" t="s">
        <v>611</v>
      </c>
      <c r="L355" s="57" t="s">
        <v>780</v>
      </c>
      <c r="M355" s="57">
        <v>45401</v>
      </c>
      <c r="N355" s="57">
        <v>45401</v>
      </c>
      <c r="O355" s="57">
        <v>45430</v>
      </c>
      <c r="P355" s="57" t="s">
        <v>1649</v>
      </c>
      <c r="Q355" s="57" t="s">
        <v>716</v>
      </c>
      <c r="R355" s="57"/>
      <c r="S355" s="58" t="s">
        <v>1650</v>
      </c>
      <c r="T355" s="57"/>
    </row>
    <row r="356" spans="1:20" s="44" customFormat="1" ht="25.05" customHeight="1" x14ac:dyDescent="0.3">
      <c r="A356" s="41"/>
      <c r="B356" s="41"/>
      <c r="C356" s="41"/>
      <c r="D356" s="47" t="s">
        <v>1651</v>
      </c>
      <c r="E356" s="47"/>
      <c r="F356" s="2" t="s">
        <v>274</v>
      </c>
      <c r="G356" s="2" t="s">
        <v>1652</v>
      </c>
      <c r="H356" s="2"/>
      <c r="I356" s="47" t="s">
        <v>720</v>
      </c>
      <c r="J356" s="47" t="s">
        <v>274</v>
      </c>
      <c r="K356" s="47" t="s">
        <v>611</v>
      </c>
      <c r="L356" s="47" t="s">
        <v>606</v>
      </c>
      <c r="M356" s="47">
        <v>45275</v>
      </c>
      <c r="N356" s="47"/>
      <c r="O356" s="47"/>
      <c r="P356" s="47" t="s">
        <v>1653</v>
      </c>
      <c r="Q356" s="47" t="s">
        <v>716</v>
      </c>
      <c r="R356" s="47" t="s">
        <v>1654</v>
      </c>
      <c r="S356" s="64"/>
      <c r="T356" s="47"/>
    </row>
    <row r="357" spans="1:20" ht="25.05" customHeight="1" x14ac:dyDescent="0.3">
      <c r="A357" s="36"/>
      <c r="B357" s="36"/>
      <c r="C357" s="36"/>
      <c r="D357" s="60"/>
      <c r="E357" s="61"/>
      <c r="F357" s="3" t="s">
        <v>276</v>
      </c>
      <c r="G357" s="3"/>
      <c r="H357" s="3"/>
      <c r="I357" s="60"/>
      <c r="J357" s="60"/>
      <c r="K357" s="60"/>
      <c r="L357" s="60"/>
      <c r="M357" s="60"/>
      <c r="N357" s="60"/>
      <c r="O357" s="60"/>
      <c r="P357" s="60"/>
      <c r="Q357" s="60"/>
      <c r="R357" s="60"/>
      <c r="S357" s="62"/>
      <c r="T357" s="60"/>
    </row>
    <row r="358" spans="1:20" s="44" customFormat="1" ht="25.05" customHeight="1" x14ac:dyDescent="0.3">
      <c r="A358" s="41">
        <v>1</v>
      </c>
      <c r="B358" s="41"/>
      <c r="C358" s="51" t="str">
        <f>VLOOKUP(F358,[1]VLOOKUP!$A$2:$B$35,2,FALSE)</f>
        <v>华东</v>
      </c>
      <c r="D358" s="41" t="s">
        <v>1655</v>
      </c>
      <c r="E358" s="41"/>
      <c r="F358" s="2" t="s">
        <v>276</v>
      </c>
      <c r="G358" s="2"/>
      <c r="H358" s="2"/>
      <c r="I358" s="41" t="s">
        <v>474</v>
      </c>
      <c r="J358" s="41" t="s">
        <v>276</v>
      </c>
      <c r="K358" s="41" t="s">
        <v>611</v>
      </c>
      <c r="L358" s="41" t="s">
        <v>600</v>
      </c>
      <c r="M358" s="42">
        <v>43705</v>
      </c>
      <c r="N358" s="42">
        <v>43705</v>
      </c>
      <c r="O358" s="42">
        <v>46022</v>
      </c>
      <c r="P358" s="41" t="s">
        <v>1656</v>
      </c>
      <c r="Q358" s="41" t="s">
        <v>1657</v>
      </c>
      <c r="R358" s="41" t="s">
        <v>1658</v>
      </c>
      <c r="S358" s="43" t="s">
        <v>1659</v>
      </c>
      <c r="T358" s="41" t="s">
        <v>817</v>
      </c>
    </row>
    <row r="359" spans="1:20" s="44" customFormat="1" ht="25.05" customHeight="1" x14ac:dyDescent="0.3">
      <c r="A359" s="41">
        <v>1</v>
      </c>
      <c r="B359" s="41"/>
      <c r="C359" s="51" t="str">
        <f>VLOOKUP(F359,[1]VLOOKUP!$A$2:$B$35,2,FALSE)</f>
        <v>华东</v>
      </c>
      <c r="D359" s="41" t="s">
        <v>1660</v>
      </c>
      <c r="E359" s="41"/>
      <c r="F359" s="2" t="s">
        <v>276</v>
      </c>
      <c r="G359" s="2"/>
      <c r="H359" s="2"/>
      <c r="I359" s="41" t="s">
        <v>474</v>
      </c>
      <c r="J359" s="41" t="s">
        <v>276</v>
      </c>
      <c r="K359" s="41" t="s">
        <v>611</v>
      </c>
      <c r="L359" s="41" t="s">
        <v>600</v>
      </c>
      <c r="M359" s="42">
        <v>44503</v>
      </c>
      <c r="N359" s="42">
        <v>44508</v>
      </c>
      <c r="O359" s="42">
        <v>46022</v>
      </c>
      <c r="P359" s="41" t="s">
        <v>1661</v>
      </c>
      <c r="Q359" s="41" t="s">
        <v>1662</v>
      </c>
      <c r="R359" s="41" t="s">
        <v>1663</v>
      </c>
      <c r="S359" s="43" t="s">
        <v>1664</v>
      </c>
      <c r="T359" s="41"/>
    </row>
    <row r="360" spans="1:20" s="44" customFormat="1" ht="25.05" customHeight="1" x14ac:dyDescent="0.3">
      <c r="A360" s="41">
        <v>1</v>
      </c>
      <c r="B360" s="41"/>
      <c r="C360" s="51" t="str">
        <f>VLOOKUP(F360,[1]VLOOKUP!$A$2:$B$35,2,FALSE)</f>
        <v>华东</v>
      </c>
      <c r="D360" s="41" t="s">
        <v>1665</v>
      </c>
      <c r="E360" s="41"/>
      <c r="F360" s="2" t="s">
        <v>276</v>
      </c>
      <c r="G360" s="2"/>
      <c r="H360" s="2"/>
      <c r="I360" s="41" t="s">
        <v>474</v>
      </c>
      <c r="J360" s="41" t="s">
        <v>276</v>
      </c>
      <c r="K360" s="41" t="s">
        <v>611</v>
      </c>
      <c r="L360" s="41" t="s">
        <v>600</v>
      </c>
      <c r="M360" s="42">
        <v>45152</v>
      </c>
      <c r="N360" s="42">
        <v>45166</v>
      </c>
      <c r="O360" s="42">
        <v>47848</v>
      </c>
      <c r="P360" s="41" t="s">
        <v>1666</v>
      </c>
      <c r="Q360" s="41" t="s">
        <v>1667</v>
      </c>
      <c r="R360" s="41" t="s">
        <v>1668</v>
      </c>
      <c r="S360" s="43" t="s">
        <v>1669</v>
      </c>
      <c r="T360" s="41"/>
    </row>
    <row r="361" spans="1:20" s="44" customFormat="1" ht="25.05" customHeight="1" x14ac:dyDescent="0.3">
      <c r="A361" s="41">
        <v>1</v>
      </c>
      <c r="B361" s="41"/>
      <c r="C361" s="51" t="str">
        <f>VLOOKUP(F361,[1]VLOOKUP!$A$2:$B$35,2,FALSE)</f>
        <v>华东</v>
      </c>
      <c r="D361" s="41" t="s">
        <v>1670</v>
      </c>
      <c r="E361" s="41"/>
      <c r="F361" s="2" t="s">
        <v>276</v>
      </c>
      <c r="G361" s="2"/>
      <c r="H361" s="2"/>
      <c r="I361" s="41" t="s">
        <v>474</v>
      </c>
      <c r="J361" s="41" t="s">
        <v>276</v>
      </c>
      <c r="K361" s="41" t="s">
        <v>611</v>
      </c>
      <c r="L361" s="41" t="s">
        <v>600</v>
      </c>
      <c r="M361" s="42">
        <v>45176</v>
      </c>
      <c r="N361" s="42">
        <v>45176</v>
      </c>
      <c r="O361" s="42">
        <v>46022</v>
      </c>
      <c r="P361" s="41" t="s">
        <v>1671</v>
      </c>
      <c r="Q361" s="41" t="s">
        <v>645</v>
      </c>
      <c r="R361" s="41" t="s">
        <v>1672</v>
      </c>
      <c r="S361" s="43" t="s">
        <v>1673</v>
      </c>
      <c r="T361" s="41"/>
    </row>
    <row r="362" spans="1:20" s="44" customFormat="1" ht="25.05" customHeight="1" x14ac:dyDescent="0.3">
      <c r="A362" s="41"/>
      <c r="B362" s="41"/>
      <c r="C362" s="41"/>
      <c r="D362" s="47" t="s">
        <v>1674</v>
      </c>
      <c r="E362" s="47"/>
      <c r="F362" s="2" t="s">
        <v>276</v>
      </c>
      <c r="G362" s="2"/>
      <c r="H362" s="2"/>
      <c r="I362" s="47" t="s">
        <v>474</v>
      </c>
      <c r="J362" s="47" t="s">
        <v>276</v>
      </c>
      <c r="K362" s="47" t="s">
        <v>682</v>
      </c>
      <c r="L362" s="47" t="s">
        <v>606</v>
      </c>
      <c r="M362" s="47"/>
      <c r="N362" s="47"/>
      <c r="O362" s="47"/>
      <c r="P362" s="47"/>
      <c r="Q362" s="47"/>
      <c r="R362" s="47" t="s">
        <v>1675</v>
      </c>
      <c r="S362" s="64"/>
      <c r="T362" s="47"/>
    </row>
    <row r="363" spans="1:20" s="44" customFormat="1" ht="25.05" customHeight="1" x14ac:dyDescent="0.3">
      <c r="A363" s="41">
        <v>1</v>
      </c>
      <c r="B363" s="41"/>
      <c r="C363" s="51" t="str">
        <f>VLOOKUP(F363,[1]VLOOKUP!$A$2:$B$35,2,FALSE)</f>
        <v>华东</v>
      </c>
      <c r="D363" s="57" t="s">
        <v>1676</v>
      </c>
      <c r="E363" s="57"/>
      <c r="F363" s="2" t="s">
        <v>276</v>
      </c>
      <c r="G363" s="2"/>
      <c r="H363" s="2"/>
      <c r="I363" s="57" t="s">
        <v>474</v>
      </c>
      <c r="J363" s="57" t="s">
        <v>276</v>
      </c>
      <c r="K363" s="57" t="s">
        <v>611</v>
      </c>
      <c r="L363" s="57" t="s">
        <v>780</v>
      </c>
      <c r="M363" s="57">
        <v>44907</v>
      </c>
      <c r="N363" s="57">
        <v>44907</v>
      </c>
      <c r="O363" s="57">
        <v>44914</v>
      </c>
      <c r="P363" s="57" t="s">
        <v>1677</v>
      </c>
      <c r="Q363" s="57" t="s">
        <v>857</v>
      </c>
      <c r="R363" s="57"/>
      <c r="S363" s="58" t="s">
        <v>1678</v>
      </c>
      <c r="T363" s="57"/>
    </row>
    <row r="364" spans="1:20" s="44" customFormat="1" ht="25.05" customHeight="1" x14ac:dyDescent="0.3">
      <c r="A364" s="41">
        <v>1</v>
      </c>
      <c r="B364" s="41"/>
      <c r="C364" s="51" t="str">
        <f>VLOOKUP(F364,[1]VLOOKUP!$A$2:$B$35,2,FALSE)</f>
        <v>华东</v>
      </c>
      <c r="D364" s="41" t="s">
        <v>1679</v>
      </c>
      <c r="E364" s="41"/>
      <c r="F364" s="2" t="s">
        <v>276</v>
      </c>
      <c r="G364" s="2"/>
      <c r="H364" s="2"/>
      <c r="I364" s="41" t="s">
        <v>474</v>
      </c>
      <c r="J364" s="41" t="s">
        <v>276</v>
      </c>
      <c r="K364" s="41" t="s">
        <v>682</v>
      </c>
      <c r="L364" s="41" t="s">
        <v>600</v>
      </c>
      <c r="M364" s="42">
        <v>45525</v>
      </c>
      <c r="N364" s="42">
        <v>45527</v>
      </c>
      <c r="O364" s="42">
        <v>49674</v>
      </c>
      <c r="P364" s="41" t="s">
        <v>1677</v>
      </c>
      <c r="Q364" s="41" t="s">
        <v>857</v>
      </c>
      <c r="R364" s="41" t="s">
        <v>1680</v>
      </c>
      <c r="S364" s="43" t="s">
        <v>1681</v>
      </c>
      <c r="T364" s="41"/>
    </row>
    <row r="365" spans="1:20" s="44" customFormat="1" ht="25.05" customHeight="1" x14ac:dyDescent="0.3">
      <c r="A365" s="41">
        <v>1</v>
      </c>
      <c r="B365" s="41"/>
      <c r="C365" s="51" t="str">
        <f>VLOOKUP(F365,[1]VLOOKUP!$A$2:$B$35,2,FALSE)</f>
        <v>华东</v>
      </c>
      <c r="D365" s="41" t="s">
        <v>1682</v>
      </c>
      <c r="E365" s="41"/>
      <c r="F365" s="2" t="s">
        <v>276</v>
      </c>
      <c r="G365" s="2"/>
      <c r="H365" s="2"/>
      <c r="I365" s="41" t="s">
        <v>474</v>
      </c>
      <c r="J365" s="41" t="s">
        <v>276</v>
      </c>
      <c r="K365" s="41" t="s">
        <v>682</v>
      </c>
      <c r="L365" s="41" t="s">
        <v>600</v>
      </c>
      <c r="M365" s="42">
        <v>45078</v>
      </c>
      <c r="N365" s="42">
        <v>45085</v>
      </c>
      <c r="O365" s="42">
        <v>46022</v>
      </c>
      <c r="P365" s="41" t="s">
        <v>1683</v>
      </c>
      <c r="Q365" s="41" t="s">
        <v>1684</v>
      </c>
      <c r="R365" s="41" t="s">
        <v>1685</v>
      </c>
      <c r="S365" s="43" t="s">
        <v>1686</v>
      </c>
      <c r="T365" s="41"/>
    </row>
    <row r="366" spans="1:20" s="44" customFormat="1" ht="25.05" customHeight="1" x14ac:dyDescent="0.3">
      <c r="A366" s="41">
        <v>1</v>
      </c>
      <c r="B366" s="41"/>
      <c r="C366" s="51" t="str">
        <f>VLOOKUP(F366,[1]VLOOKUP!$A$2:$B$35,2,FALSE)</f>
        <v>华东</v>
      </c>
      <c r="D366" s="41" t="s">
        <v>551</v>
      </c>
      <c r="E366" s="41"/>
      <c r="F366" s="2" t="s">
        <v>276</v>
      </c>
      <c r="G366" s="2"/>
      <c r="H366" s="2"/>
      <c r="I366" s="41" t="s">
        <v>474</v>
      </c>
      <c r="J366" s="41" t="s">
        <v>276</v>
      </c>
      <c r="K366" s="41" t="s">
        <v>682</v>
      </c>
      <c r="L366" s="41" t="s">
        <v>600</v>
      </c>
      <c r="M366" s="42">
        <v>45237</v>
      </c>
      <c r="N366" s="42">
        <v>45245</v>
      </c>
      <c r="O366" s="42">
        <v>46022</v>
      </c>
      <c r="P366" s="41" t="s">
        <v>1677</v>
      </c>
      <c r="Q366" s="41" t="s">
        <v>857</v>
      </c>
      <c r="R366" s="41" t="s">
        <v>1687</v>
      </c>
      <c r="S366" s="43" t="s">
        <v>1688</v>
      </c>
      <c r="T366" s="41"/>
    </row>
    <row r="367" spans="1:20" s="44" customFormat="1" ht="25.05" customHeight="1" x14ac:dyDescent="0.3">
      <c r="A367" s="41">
        <v>1</v>
      </c>
      <c r="B367" s="41"/>
      <c r="C367" s="51" t="str">
        <f>VLOOKUP(F367,[1]VLOOKUP!$A$2:$B$35,2,FALSE)</f>
        <v>华东</v>
      </c>
      <c r="D367" s="41" t="s">
        <v>1689</v>
      </c>
      <c r="E367" s="41"/>
      <c r="F367" s="2" t="s">
        <v>276</v>
      </c>
      <c r="G367" s="2"/>
      <c r="H367" s="2"/>
      <c r="I367" s="41" t="s">
        <v>474</v>
      </c>
      <c r="J367" s="41" t="s">
        <v>276</v>
      </c>
      <c r="K367" s="41" t="s">
        <v>852</v>
      </c>
      <c r="L367" s="41" t="s">
        <v>600</v>
      </c>
      <c r="M367" s="42">
        <v>45740</v>
      </c>
      <c r="N367" s="42">
        <v>45740</v>
      </c>
      <c r="O367" s="42">
        <v>49674</v>
      </c>
      <c r="P367" s="41" t="s">
        <v>1677</v>
      </c>
      <c r="Q367" s="41" t="s">
        <v>857</v>
      </c>
      <c r="R367" s="41" t="s">
        <v>1690</v>
      </c>
      <c r="S367" s="43" t="s">
        <v>1691</v>
      </c>
      <c r="T367" s="41"/>
    </row>
    <row r="368" spans="1:20" s="44" customFormat="1" ht="25.05" customHeight="1" x14ac:dyDescent="0.3">
      <c r="A368" s="41">
        <v>1</v>
      </c>
      <c r="B368" s="41"/>
      <c r="C368" s="51" t="str">
        <f>VLOOKUP(F368,[1]VLOOKUP!$A$2:$B$35,2,FALSE)</f>
        <v>华东</v>
      </c>
      <c r="D368" s="41" t="s">
        <v>1692</v>
      </c>
      <c r="E368" s="41"/>
      <c r="F368" s="2" t="s">
        <v>276</v>
      </c>
      <c r="G368" s="2"/>
      <c r="H368" s="2"/>
      <c r="I368" s="41" t="s">
        <v>474</v>
      </c>
      <c r="J368" s="41" t="s">
        <v>276</v>
      </c>
      <c r="K368" s="41" t="s">
        <v>611</v>
      </c>
      <c r="L368" s="41" t="s">
        <v>600</v>
      </c>
      <c r="M368" s="42">
        <v>45834</v>
      </c>
      <c r="N368" s="42">
        <v>45834</v>
      </c>
      <c r="O368" s="42">
        <v>45846</v>
      </c>
      <c r="P368" s="41" t="s">
        <v>1693</v>
      </c>
      <c r="Q368" s="41" t="s">
        <v>1054</v>
      </c>
      <c r="R368" s="41"/>
      <c r="S368" s="43" t="s">
        <v>1694</v>
      </c>
      <c r="T368" s="41"/>
    </row>
    <row r="369" spans="1:20" s="44" customFormat="1" ht="25.05" customHeight="1" x14ac:dyDescent="0.3">
      <c r="A369" s="41">
        <v>1</v>
      </c>
      <c r="B369" s="41"/>
      <c r="C369" s="51" t="str">
        <f>VLOOKUP(F369,[1]VLOOKUP!$A$2:$B$35,2,FALSE)</f>
        <v>华东</v>
      </c>
      <c r="D369" s="41" t="s">
        <v>1695</v>
      </c>
      <c r="E369" s="41"/>
      <c r="F369" s="2" t="s">
        <v>276</v>
      </c>
      <c r="G369" s="2" t="s">
        <v>1696</v>
      </c>
      <c r="H369" s="2"/>
      <c r="I369" s="41" t="s">
        <v>720</v>
      </c>
      <c r="J369" s="41" t="s">
        <v>276</v>
      </c>
      <c r="K369" s="41" t="s">
        <v>611</v>
      </c>
      <c r="L369" s="41" t="s">
        <v>600</v>
      </c>
      <c r="M369" s="42">
        <v>43489</v>
      </c>
      <c r="N369" s="42">
        <v>43496</v>
      </c>
      <c r="O369" s="42">
        <v>46022</v>
      </c>
      <c r="P369" s="41" t="s">
        <v>1697</v>
      </c>
      <c r="Q369" s="41" t="s">
        <v>724</v>
      </c>
      <c r="R369" s="41" t="s">
        <v>1698</v>
      </c>
      <c r="S369" s="43" t="s">
        <v>1699</v>
      </c>
      <c r="T369" s="41"/>
    </row>
    <row r="370" spans="1:20" s="44" customFormat="1" ht="25.05" customHeight="1" x14ac:dyDescent="0.3">
      <c r="A370" s="41">
        <v>1</v>
      </c>
      <c r="B370" s="41"/>
      <c r="C370" s="51" t="str">
        <f>VLOOKUP(F370,[1]VLOOKUP!$A$2:$B$35,2,FALSE)</f>
        <v>华东</v>
      </c>
      <c r="D370" s="57" t="s">
        <v>1700</v>
      </c>
      <c r="E370" s="57"/>
      <c r="F370" s="2" t="s">
        <v>276</v>
      </c>
      <c r="G370" s="2" t="s">
        <v>1696</v>
      </c>
      <c r="H370" s="2"/>
      <c r="I370" s="57" t="s">
        <v>720</v>
      </c>
      <c r="J370" s="57" t="s">
        <v>276</v>
      </c>
      <c r="K370" s="57" t="s">
        <v>611</v>
      </c>
      <c r="L370" s="57" t="s">
        <v>780</v>
      </c>
      <c r="M370" s="57">
        <v>44186</v>
      </c>
      <c r="N370" s="57">
        <v>44186</v>
      </c>
      <c r="O370" s="57">
        <v>44195</v>
      </c>
      <c r="P370" s="57" t="s">
        <v>1701</v>
      </c>
      <c r="Q370" s="57" t="s">
        <v>1702</v>
      </c>
      <c r="R370" s="57"/>
      <c r="S370" s="58" t="s">
        <v>1703</v>
      </c>
      <c r="T370" s="57" t="s">
        <v>1201</v>
      </c>
    </row>
    <row r="371" spans="1:20" s="44" customFormat="1" ht="25.05" customHeight="1" x14ac:dyDescent="0.3">
      <c r="A371" s="41">
        <v>1</v>
      </c>
      <c r="B371" s="41"/>
      <c r="C371" s="51" t="str">
        <f>VLOOKUP(F371,[1]VLOOKUP!$A$2:$B$35,2,FALSE)</f>
        <v>华东</v>
      </c>
      <c r="D371" s="41" t="s">
        <v>1704</v>
      </c>
      <c r="E371" s="41"/>
      <c r="F371" s="2" t="s">
        <v>276</v>
      </c>
      <c r="G371" s="2" t="s">
        <v>1696</v>
      </c>
      <c r="H371" s="2"/>
      <c r="I371" s="41" t="s">
        <v>720</v>
      </c>
      <c r="J371" s="41" t="s">
        <v>276</v>
      </c>
      <c r="K371" s="41" t="s">
        <v>605</v>
      </c>
      <c r="L371" s="41" t="s">
        <v>600</v>
      </c>
      <c r="M371" s="42">
        <v>44559</v>
      </c>
      <c r="N371" s="42">
        <v>44559</v>
      </c>
      <c r="O371" s="42">
        <v>46022</v>
      </c>
      <c r="P371" s="41" t="s">
        <v>1705</v>
      </c>
      <c r="Q371" s="41" t="s">
        <v>1706</v>
      </c>
      <c r="R371" s="41" t="s">
        <v>1707</v>
      </c>
      <c r="S371" s="43" t="s">
        <v>1708</v>
      </c>
      <c r="T371" s="41"/>
    </row>
    <row r="372" spans="1:20" s="44" customFormat="1" ht="25.05" customHeight="1" x14ac:dyDescent="0.3">
      <c r="A372" s="41"/>
      <c r="B372" s="41"/>
      <c r="C372" s="41"/>
      <c r="D372" s="47" t="s">
        <v>1709</v>
      </c>
      <c r="E372" s="47"/>
      <c r="F372" s="2" t="s">
        <v>276</v>
      </c>
      <c r="G372" s="2" t="s">
        <v>1696</v>
      </c>
      <c r="H372" s="2"/>
      <c r="I372" s="47" t="s">
        <v>720</v>
      </c>
      <c r="J372" s="47" t="s">
        <v>276</v>
      </c>
      <c r="K372" s="47" t="s">
        <v>852</v>
      </c>
      <c r="L372" s="47" t="s">
        <v>606</v>
      </c>
      <c r="M372" s="47"/>
      <c r="N372" s="47"/>
      <c r="O372" s="47"/>
      <c r="P372" s="47"/>
      <c r="Q372" s="47"/>
      <c r="R372" s="47"/>
      <c r="S372" s="64"/>
      <c r="T372" s="47"/>
    </row>
    <row r="373" spans="1:20" s="44" customFormat="1" ht="25.05" customHeight="1" x14ac:dyDescent="0.3">
      <c r="A373" s="41"/>
      <c r="B373" s="41"/>
      <c r="C373" s="41"/>
      <c r="D373" s="47" t="s">
        <v>1710</v>
      </c>
      <c r="E373" s="47"/>
      <c r="F373" s="2" t="s">
        <v>276</v>
      </c>
      <c r="G373" s="2" t="s">
        <v>1696</v>
      </c>
      <c r="H373" s="2"/>
      <c r="I373" s="47" t="s">
        <v>720</v>
      </c>
      <c r="J373" s="47" t="s">
        <v>276</v>
      </c>
      <c r="K373" s="47" t="s">
        <v>605</v>
      </c>
      <c r="L373" s="47" t="s">
        <v>606</v>
      </c>
      <c r="M373" s="47"/>
      <c r="N373" s="47"/>
      <c r="O373" s="47"/>
      <c r="P373" s="47"/>
      <c r="Q373" s="47"/>
      <c r="R373" s="47" t="s">
        <v>1711</v>
      </c>
      <c r="S373" s="64"/>
      <c r="T373" s="47"/>
    </row>
    <row r="374" spans="1:20" s="44" customFormat="1" ht="25.05" customHeight="1" x14ac:dyDescent="0.3">
      <c r="A374" s="41">
        <v>1</v>
      </c>
      <c r="B374" s="41"/>
      <c r="C374" s="51" t="str">
        <f>VLOOKUP(F374,[1]VLOOKUP!$A$2:$B$35,2,FALSE)</f>
        <v>华东</v>
      </c>
      <c r="D374" s="54" t="s">
        <v>1712</v>
      </c>
      <c r="E374" s="54"/>
      <c r="F374" s="2" t="s">
        <v>276</v>
      </c>
      <c r="G374" s="2" t="s">
        <v>1696</v>
      </c>
      <c r="H374" s="2"/>
      <c r="I374" s="54" t="s">
        <v>720</v>
      </c>
      <c r="J374" s="54" t="s">
        <v>276</v>
      </c>
      <c r="K374" s="54" t="s">
        <v>605</v>
      </c>
      <c r="L374" s="54" t="s">
        <v>600</v>
      </c>
      <c r="M374" s="54">
        <v>44663</v>
      </c>
      <c r="N374" s="54">
        <v>44663</v>
      </c>
      <c r="O374" s="54">
        <v>44666</v>
      </c>
      <c r="P374" s="54" t="s">
        <v>1713</v>
      </c>
      <c r="Q374" s="54" t="s">
        <v>1054</v>
      </c>
      <c r="R374" s="54"/>
      <c r="S374" s="55" t="s">
        <v>1714</v>
      </c>
      <c r="T374" s="54"/>
    </row>
    <row r="375" spans="1:20" s="44" customFormat="1" ht="25.05" customHeight="1" x14ac:dyDescent="0.3">
      <c r="A375" s="41">
        <v>1</v>
      </c>
      <c r="B375" s="41"/>
      <c r="C375" s="51" t="str">
        <f>VLOOKUP(F375,[1]VLOOKUP!$A$2:$B$35,2,FALSE)</f>
        <v>华东</v>
      </c>
      <c r="D375" s="54" t="s">
        <v>1715</v>
      </c>
      <c r="E375" s="54"/>
      <c r="F375" s="2" t="s">
        <v>276</v>
      </c>
      <c r="G375" s="2" t="s">
        <v>1696</v>
      </c>
      <c r="H375" s="2"/>
      <c r="I375" s="54" t="s">
        <v>720</v>
      </c>
      <c r="J375" s="54" t="s">
        <v>276</v>
      </c>
      <c r="K375" s="54" t="s">
        <v>605</v>
      </c>
      <c r="L375" s="54" t="s">
        <v>600</v>
      </c>
      <c r="M375" s="54">
        <v>45279</v>
      </c>
      <c r="N375" s="54">
        <v>45279</v>
      </c>
      <c r="O375" s="54">
        <v>45285</v>
      </c>
      <c r="P375" s="54" t="s">
        <v>1713</v>
      </c>
      <c r="Q375" s="54" t="s">
        <v>1054</v>
      </c>
      <c r="R375" s="54"/>
      <c r="S375" s="55" t="s">
        <v>1716</v>
      </c>
      <c r="T375" s="54"/>
    </row>
    <row r="376" spans="1:20" s="44" customFormat="1" ht="25.05" customHeight="1" x14ac:dyDescent="0.3">
      <c r="A376" s="41">
        <v>1</v>
      </c>
      <c r="B376" s="41"/>
      <c r="C376" s="51" t="str">
        <f>VLOOKUP(F376,[1]VLOOKUP!$A$2:$B$35,2,FALSE)</f>
        <v>华东</v>
      </c>
      <c r="D376" s="54" t="s">
        <v>1717</v>
      </c>
      <c r="E376" s="54"/>
      <c r="F376" s="2" t="s">
        <v>276</v>
      </c>
      <c r="G376" s="2" t="s">
        <v>1696</v>
      </c>
      <c r="H376" s="2"/>
      <c r="I376" s="54" t="s">
        <v>720</v>
      </c>
      <c r="J376" s="54" t="s">
        <v>276</v>
      </c>
      <c r="K376" s="54" t="s">
        <v>605</v>
      </c>
      <c r="L376" s="54" t="s">
        <v>600</v>
      </c>
      <c r="M376" s="54">
        <v>45517</v>
      </c>
      <c r="N376" s="54">
        <v>45517</v>
      </c>
      <c r="O376" s="54">
        <v>45526</v>
      </c>
      <c r="P376" s="54" t="s">
        <v>1713</v>
      </c>
      <c r="Q376" s="54" t="s">
        <v>1054</v>
      </c>
      <c r="R376" s="54"/>
      <c r="S376" s="55" t="s">
        <v>1718</v>
      </c>
      <c r="T376" s="54"/>
    </row>
    <row r="377" spans="1:20" s="44" customFormat="1" ht="25.05" customHeight="1" x14ac:dyDescent="0.3">
      <c r="A377" s="41"/>
      <c r="B377" s="41"/>
      <c r="C377" s="41"/>
      <c r="D377" s="54" t="s">
        <v>1719</v>
      </c>
      <c r="E377" s="54"/>
      <c r="F377" s="2" t="s">
        <v>276</v>
      </c>
      <c r="G377" s="2" t="s">
        <v>1696</v>
      </c>
      <c r="H377" s="2"/>
      <c r="I377" s="54" t="s">
        <v>720</v>
      </c>
      <c r="J377" s="54" t="s">
        <v>276</v>
      </c>
      <c r="K377" s="54" t="s">
        <v>605</v>
      </c>
      <c r="L377" s="54" t="s">
        <v>600</v>
      </c>
      <c r="M377" s="54">
        <v>45735</v>
      </c>
      <c r="N377" s="54">
        <v>45735</v>
      </c>
      <c r="O377" s="54">
        <v>45741</v>
      </c>
      <c r="P377" s="54" t="s">
        <v>1713</v>
      </c>
      <c r="Q377" s="54" t="s">
        <v>1054</v>
      </c>
      <c r="R377" s="54"/>
      <c r="S377" s="55" t="s">
        <v>1720</v>
      </c>
      <c r="T377" s="54"/>
    </row>
    <row r="378" spans="1:20" s="44" customFormat="1" ht="25.05" customHeight="1" x14ac:dyDescent="0.3">
      <c r="A378" s="41"/>
      <c r="B378" s="41"/>
      <c r="C378" s="41"/>
      <c r="D378" s="54" t="s">
        <v>1721</v>
      </c>
      <c r="E378" s="54"/>
      <c r="F378" s="2" t="s">
        <v>276</v>
      </c>
      <c r="G378" s="2" t="s">
        <v>1696</v>
      </c>
      <c r="H378" s="2"/>
      <c r="I378" s="54" t="s">
        <v>720</v>
      </c>
      <c r="J378" s="54" t="s">
        <v>276</v>
      </c>
      <c r="K378" s="54" t="s">
        <v>605</v>
      </c>
      <c r="L378" s="54" t="s">
        <v>600</v>
      </c>
      <c r="M378" s="54">
        <v>46154</v>
      </c>
      <c r="N378" s="54">
        <v>46154</v>
      </c>
      <c r="O378" s="54">
        <v>46161</v>
      </c>
      <c r="P378" s="54" t="s">
        <v>1713</v>
      </c>
      <c r="Q378" s="54" t="s">
        <v>1054</v>
      </c>
      <c r="R378" s="54"/>
      <c r="S378" s="55" t="s">
        <v>1722</v>
      </c>
      <c r="T378" s="54"/>
    </row>
    <row r="379" spans="1:20" s="44" customFormat="1" ht="25.05" customHeight="1" x14ac:dyDescent="0.3">
      <c r="A379" s="41">
        <v>1</v>
      </c>
      <c r="B379" s="41"/>
      <c r="C379" s="51" t="str">
        <f>VLOOKUP(F379,[1]VLOOKUP!$A$2:$B$35,2,FALSE)</f>
        <v>华东</v>
      </c>
      <c r="D379" s="54" t="s">
        <v>1723</v>
      </c>
      <c r="E379" s="54"/>
      <c r="F379" s="2" t="s">
        <v>276</v>
      </c>
      <c r="G379" s="2" t="s">
        <v>1696</v>
      </c>
      <c r="H379" s="2"/>
      <c r="I379" s="54" t="s">
        <v>720</v>
      </c>
      <c r="J379" s="54" t="s">
        <v>276</v>
      </c>
      <c r="K379" s="54" t="s">
        <v>605</v>
      </c>
      <c r="L379" s="54" t="s">
        <v>600</v>
      </c>
      <c r="M379" s="54">
        <v>46043</v>
      </c>
      <c r="N379" s="54">
        <v>46043</v>
      </c>
      <c r="O379" s="54">
        <v>46059</v>
      </c>
      <c r="P379" s="54" t="s">
        <v>1713</v>
      </c>
      <c r="Q379" s="54" t="s">
        <v>1054</v>
      </c>
      <c r="R379" s="54"/>
      <c r="S379" s="55" t="s">
        <v>1724</v>
      </c>
      <c r="T379" s="54"/>
    </row>
    <row r="380" spans="1:20" s="44" customFormat="1" ht="25.05" customHeight="1" x14ac:dyDescent="0.3">
      <c r="A380" s="41">
        <v>1</v>
      </c>
      <c r="B380" s="41"/>
      <c r="C380" s="51" t="str">
        <f>VLOOKUP(F380,[1]VLOOKUP!$A$2:$B$35,2,FALSE)</f>
        <v>华东</v>
      </c>
      <c r="D380" s="57" t="s">
        <v>1725</v>
      </c>
      <c r="E380" s="57"/>
      <c r="F380" s="2" t="s">
        <v>276</v>
      </c>
      <c r="G380" s="2" t="s">
        <v>1696</v>
      </c>
      <c r="H380" s="2" t="s">
        <v>1726</v>
      </c>
      <c r="I380" s="57" t="s">
        <v>720</v>
      </c>
      <c r="J380" s="57" t="s">
        <v>276</v>
      </c>
      <c r="K380" s="57" t="s">
        <v>611</v>
      </c>
      <c r="L380" s="57" t="s">
        <v>780</v>
      </c>
      <c r="M380" s="57">
        <v>45385</v>
      </c>
      <c r="N380" s="57">
        <v>45385</v>
      </c>
      <c r="O380" s="57">
        <v>46387</v>
      </c>
      <c r="P380" s="57" t="s">
        <v>1727</v>
      </c>
      <c r="Q380" s="57" t="s">
        <v>716</v>
      </c>
      <c r="R380" s="57"/>
      <c r="S380" s="58" t="s">
        <v>1728</v>
      </c>
      <c r="T380" s="57"/>
    </row>
    <row r="381" spans="1:20" s="44" customFormat="1" ht="25.05" customHeight="1" x14ac:dyDescent="0.3">
      <c r="A381" s="41"/>
      <c r="B381" s="41"/>
      <c r="C381" s="41"/>
      <c r="D381" s="41" t="s">
        <v>1729</v>
      </c>
      <c r="E381" s="41"/>
      <c r="F381" s="2" t="s">
        <v>276</v>
      </c>
      <c r="G381" s="2" t="s">
        <v>1696</v>
      </c>
      <c r="H381" s="2" t="s">
        <v>1726</v>
      </c>
      <c r="I381" s="41" t="s">
        <v>720</v>
      </c>
      <c r="J381" s="41" t="s">
        <v>276</v>
      </c>
      <c r="K381" s="41" t="s">
        <v>605</v>
      </c>
      <c r="L381" s="41" t="s">
        <v>600</v>
      </c>
      <c r="M381" s="42">
        <v>45674</v>
      </c>
      <c r="N381" s="42">
        <v>45674</v>
      </c>
      <c r="O381" s="42">
        <v>45680</v>
      </c>
      <c r="P381" s="41" t="s">
        <v>1727</v>
      </c>
      <c r="Q381" s="41" t="s">
        <v>716</v>
      </c>
      <c r="R381" s="41"/>
      <c r="S381" s="43" t="s">
        <v>1730</v>
      </c>
      <c r="T381" s="41"/>
    </row>
    <row r="382" spans="1:20" s="44" customFormat="1" ht="25.05" customHeight="1" x14ac:dyDescent="0.3">
      <c r="A382" s="41">
        <v>1</v>
      </c>
      <c r="B382" s="41"/>
      <c r="C382" s="51" t="str">
        <f>VLOOKUP(F382,[1]VLOOKUP!$A$2:$B$35,2,FALSE)</f>
        <v>华东</v>
      </c>
      <c r="D382" s="41" t="s">
        <v>1731</v>
      </c>
      <c r="E382" s="41"/>
      <c r="F382" s="2" t="s">
        <v>276</v>
      </c>
      <c r="G382" s="2" t="s">
        <v>277</v>
      </c>
      <c r="H382" s="2"/>
      <c r="I382" s="41" t="s">
        <v>720</v>
      </c>
      <c r="J382" s="41" t="s">
        <v>276</v>
      </c>
      <c r="K382" s="41" t="s">
        <v>611</v>
      </c>
      <c r="L382" s="41" t="s">
        <v>600</v>
      </c>
      <c r="M382" s="42">
        <v>43850</v>
      </c>
      <c r="N382" s="42">
        <v>43850</v>
      </c>
      <c r="O382" s="42">
        <v>46022</v>
      </c>
      <c r="P382" s="41" t="s">
        <v>1732</v>
      </c>
      <c r="Q382" s="41" t="s">
        <v>716</v>
      </c>
      <c r="R382" s="41"/>
      <c r="S382" s="43" t="s">
        <v>1733</v>
      </c>
      <c r="T382" s="41"/>
    </row>
    <row r="383" spans="1:20" s="44" customFormat="1" ht="25.05" customHeight="1" x14ac:dyDescent="0.3">
      <c r="A383" s="41">
        <v>1</v>
      </c>
      <c r="B383" s="41"/>
      <c r="C383" s="51" t="str">
        <f>VLOOKUP(F383,[1]VLOOKUP!$A$2:$B$35,2,FALSE)</f>
        <v>华东</v>
      </c>
      <c r="D383" s="52" t="s">
        <v>1734</v>
      </c>
      <c r="E383" s="52"/>
      <c r="F383" s="2" t="s">
        <v>276</v>
      </c>
      <c r="G383" s="2" t="s">
        <v>277</v>
      </c>
      <c r="H383" s="2"/>
      <c r="I383" s="52" t="s">
        <v>720</v>
      </c>
      <c r="J383" s="52" t="s">
        <v>276</v>
      </c>
      <c r="K383" s="52" t="s">
        <v>611</v>
      </c>
      <c r="L383" s="52" t="s">
        <v>663</v>
      </c>
      <c r="M383" s="52">
        <v>44314</v>
      </c>
      <c r="N383" s="52">
        <v>44362</v>
      </c>
      <c r="O383" s="52">
        <v>46022</v>
      </c>
      <c r="P383" s="52" t="s">
        <v>1735</v>
      </c>
      <c r="Q383" s="52" t="s">
        <v>724</v>
      </c>
      <c r="R383" s="52" t="s">
        <v>1736</v>
      </c>
      <c r="S383" s="53" t="s">
        <v>1737</v>
      </c>
      <c r="T383" s="52"/>
    </row>
    <row r="384" spans="1:20" s="44" customFormat="1" ht="25.05" customHeight="1" x14ac:dyDescent="0.3">
      <c r="A384" s="41">
        <v>1</v>
      </c>
      <c r="B384" s="41"/>
      <c r="C384" s="51" t="str">
        <f>VLOOKUP(F384,[1]VLOOKUP!$A$2:$B$35,2,FALSE)</f>
        <v>华东</v>
      </c>
      <c r="D384" s="41" t="s">
        <v>1738</v>
      </c>
      <c r="E384" s="41"/>
      <c r="F384" s="2" t="s">
        <v>276</v>
      </c>
      <c r="G384" s="2" t="s">
        <v>277</v>
      </c>
      <c r="H384" s="2"/>
      <c r="I384" s="41" t="s">
        <v>720</v>
      </c>
      <c r="J384" s="41" t="s">
        <v>276</v>
      </c>
      <c r="K384" s="41" t="s">
        <v>611</v>
      </c>
      <c r="L384" s="41" t="s">
        <v>600</v>
      </c>
      <c r="M384" s="42">
        <v>44355</v>
      </c>
      <c r="N384" s="42">
        <v>44547</v>
      </c>
      <c r="O384" s="42">
        <v>49674</v>
      </c>
      <c r="P384" s="41" t="s">
        <v>1739</v>
      </c>
      <c r="Q384" s="41" t="s">
        <v>1740</v>
      </c>
      <c r="R384" s="41" t="s">
        <v>1741</v>
      </c>
      <c r="S384" s="43" t="s">
        <v>1742</v>
      </c>
      <c r="T384" s="41"/>
    </row>
    <row r="385" spans="1:20" s="44" customFormat="1" ht="25.05" customHeight="1" x14ac:dyDescent="0.3">
      <c r="A385" s="41">
        <v>1</v>
      </c>
      <c r="B385" s="41"/>
      <c r="C385" s="51" t="str">
        <f>VLOOKUP(F385,[1]VLOOKUP!$A$2:$B$35,2,FALSE)</f>
        <v>华东</v>
      </c>
      <c r="D385" s="41" t="s">
        <v>1743</v>
      </c>
      <c r="E385" s="41"/>
      <c r="F385" s="2" t="s">
        <v>276</v>
      </c>
      <c r="G385" s="2" t="s">
        <v>277</v>
      </c>
      <c r="H385" s="2"/>
      <c r="I385" s="41" t="s">
        <v>720</v>
      </c>
      <c r="J385" s="41" t="s">
        <v>276</v>
      </c>
      <c r="K385" s="41" t="s">
        <v>605</v>
      </c>
      <c r="L385" s="41" t="s">
        <v>600</v>
      </c>
      <c r="M385" s="42">
        <v>44580</v>
      </c>
      <c r="N385" s="42">
        <v>44585</v>
      </c>
      <c r="O385" s="42">
        <v>46022</v>
      </c>
      <c r="P385" s="41" t="s">
        <v>1744</v>
      </c>
      <c r="Q385" s="41" t="s">
        <v>1745</v>
      </c>
      <c r="R385" s="41" t="s">
        <v>1746</v>
      </c>
      <c r="S385" s="43" t="s">
        <v>1747</v>
      </c>
      <c r="T385" s="41"/>
    </row>
    <row r="386" spans="1:20" s="44" customFormat="1" ht="25.05" customHeight="1" x14ac:dyDescent="0.3">
      <c r="A386" s="41">
        <v>1</v>
      </c>
      <c r="B386" s="41"/>
      <c r="C386" s="51" t="str">
        <f>VLOOKUP(F386,[1]VLOOKUP!$A$2:$B$35,2,FALSE)</f>
        <v>华东</v>
      </c>
      <c r="D386" s="41" t="s">
        <v>1748</v>
      </c>
      <c r="E386" s="41"/>
      <c r="F386" s="2" t="s">
        <v>276</v>
      </c>
      <c r="G386" s="2" t="s">
        <v>277</v>
      </c>
      <c r="H386" s="2"/>
      <c r="I386" s="41" t="s">
        <v>720</v>
      </c>
      <c r="J386" s="41" t="s">
        <v>276</v>
      </c>
      <c r="K386" s="41" t="s">
        <v>605</v>
      </c>
      <c r="L386" s="41" t="s">
        <v>600</v>
      </c>
      <c r="M386" s="42">
        <v>45225</v>
      </c>
      <c r="N386" s="42">
        <v>45226</v>
      </c>
      <c r="O386" s="42">
        <v>46022</v>
      </c>
      <c r="P386" s="41" t="s">
        <v>1749</v>
      </c>
      <c r="Q386" s="41" t="s">
        <v>645</v>
      </c>
      <c r="R386" s="41" t="s">
        <v>1750</v>
      </c>
      <c r="S386" s="43" t="s">
        <v>1751</v>
      </c>
      <c r="T386" s="41"/>
    </row>
    <row r="387" spans="1:20" s="44" customFormat="1" ht="25.05" customHeight="1" x14ac:dyDescent="0.3">
      <c r="A387" s="41">
        <v>1</v>
      </c>
      <c r="B387" s="41"/>
      <c r="C387" s="51" t="str">
        <f>VLOOKUP(F387,[1]VLOOKUP!$A$2:$B$35,2,FALSE)</f>
        <v>华东</v>
      </c>
      <c r="D387" s="41" t="s">
        <v>1752</v>
      </c>
      <c r="E387" s="41"/>
      <c r="F387" s="2" t="s">
        <v>276</v>
      </c>
      <c r="G387" s="2" t="s">
        <v>277</v>
      </c>
      <c r="H387" s="2"/>
      <c r="I387" s="41" t="s">
        <v>720</v>
      </c>
      <c r="J387" s="41" t="s">
        <v>276</v>
      </c>
      <c r="K387" s="41" t="s">
        <v>682</v>
      </c>
      <c r="L387" s="41" t="s">
        <v>600</v>
      </c>
      <c r="M387" s="42">
        <v>45184</v>
      </c>
      <c r="N387" s="42">
        <v>45191</v>
      </c>
      <c r="O387" s="42">
        <v>45945</v>
      </c>
      <c r="P387" s="41" t="s">
        <v>1753</v>
      </c>
      <c r="Q387" s="41" t="s">
        <v>1754</v>
      </c>
      <c r="R387" s="41" t="s">
        <v>1755</v>
      </c>
      <c r="S387" s="43" t="s">
        <v>1756</v>
      </c>
      <c r="T387" s="41"/>
    </row>
    <row r="388" spans="1:20" s="44" customFormat="1" ht="25.05" customHeight="1" x14ac:dyDescent="0.3">
      <c r="A388" s="41">
        <v>1</v>
      </c>
      <c r="B388" s="41"/>
      <c r="C388" s="51" t="str">
        <f>VLOOKUP(F388,[1]VLOOKUP!$A$2:$B$35,2,FALSE)</f>
        <v>华东</v>
      </c>
      <c r="D388" s="54" t="s">
        <v>1757</v>
      </c>
      <c r="E388" s="54"/>
      <c r="F388" s="2" t="s">
        <v>276</v>
      </c>
      <c r="G388" s="2" t="s">
        <v>277</v>
      </c>
      <c r="H388" s="2"/>
      <c r="I388" s="54" t="s">
        <v>720</v>
      </c>
      <c r="J388" s="54" t="s">
        <v>276</v>
      </c>
      <c r="K388" s="54" t="s">
        <v>605</v>
      </c>
      <c r="L388" s="54" t="s">
        <v>600</v>
      </c>
      <c r="M388" s="54">
        <v>45197</v>
      </c>
      <c r="N388" s="54">
        <v>45197</v>
      </c>
      <c r="O388" s="54">
        <v>45206</v>
      </c>
      <c r="P388" s="54" t="s">
        <v>1732</v>
      </c>
      <c r="Q388" s="54" t="s">
        <v>716</v>
      </c>
      <c r="R388" s="54"/>
      <c r="S388" s="55" t="s">
        <v>1758</v>
      </c>
      <c r="T388" s="54"/>
    </row>
    <row r="389" spans="1:20" s="44" customFormat="1" ht="25.05" customHeight="1" x14ac:dyDescent="0.3">
      <c r="A389" s="41"/>
      <c r="B389" s="41"/>
      <c r="C389" s="41"/>
      <c r="D389" s="47" t="s">
        <v>1759</v>
      </c>
      <c r="E389" s="47"/>
      <c r="F389" s="2" t="s">
        <v>276</v>
      </c>
      <c r="G389" s="2" t="s">
        <v>277</v>
      </c>
      <c r="H389" s="2"/>
      <c r="I389" s="47" t="s">
        <v>720</v>
      </c>
      <c r="J389" s="47" t="s">
        <v>276</v>
      </c>
      <c r="K389" s="47" t="s">
        <v>599</v>
      </c>
      <c r="L389" s="47" t="s">
        <v>606</v>
      </c>
      <c r="M389" s="47">
        <v>44827</v>
      </c>
      <c r="N389" s="47">
        <v>44827</v>
      </c>
      <c r="O389" s="47">
        <v>46022</v>
      </c>
      <c r="P389" s="47" t="s">
        <v>1760</v>
      </c>
      <c r="Q389" s="47" t="s">
        <v>1761</v>
      </c>
      <c r="R389" s="47"/>
      <c r="S389" s="64"/>
      <c r="T389" s="47"/>
    </row>
    <row r="390" spans="1:20" s="44" customFormat="1" ht="25.05" customHeight="1" x14ac:dyDescent="0.3">
      <c r="A390" s="41">
        <v>1</v>
      </c>
      <c r="B390" s="41"/>
      <c r="C390" s="51" t="str">
        <f>VLOOKUP(F390,[1]VLOOKUP!$A$2:$B$35,2,FALSE)</f>
        <v>华东</v>
      </c>
      <c r="D390" s="41" t="s">
        <v>1762</v>
      </c>
      <c r="E390" s="41"/>
      <c r="F390" s="2" t="s">
        <v>276</v>
      </c>
      <c r="G390" s="2" t="s">
        <v>277</v>
      </c>
      <c r="H390" s="2"/>
      <c r="I390" s="41" t="s">
        <v>720</v>
      </c>
      <c r="J390" s="41" t="s">
        <v>276</v>
      </c>
      <c r="K390" s="41" t="s">
        <v>605</v>
      </c>
      <c r="L390" s="41" t="s">
        <v>600</v>
      </c>
      <c r="M390" s="42">
        <v>45548</v>
      </c>
      <c r="N390" s="42">
        <v>45559</v>
      </c>
      <c r="O390" s="42">
        <v>46752</v>
      </c>
      <c r="P390" s="41" t="s">
        <v>1735</v>
      </c>
      <c r="Q390" s="41" t="s">
        <v>724</v>
      </c>
      <c r="R390" s="41" t="s">
        <v>1763</v>
      </c>
      <c r="S390" s="43" t="s">
        <v>1764</v>
      </c>
      <c r="T390" s="41"/>
    </row>
    <row r="391" spans="1:20" s="44" customFormat="1" ht="25.05" customHeight="1" x14ac:dyDescent="0.3">
      <c r="A391" s="41">
        <v>1</v>
      </c>
      <c r="B391" s="41"/>
      <c r="C391" s="51" t="str">
        <f>VLOOKUP(F391,[1]VLOOKUP!$A$2:$B$35,2,FALSE)</f>
        <v>华东</v>
      </c>
      <c r="D391" s="41" t="s">
        <v>1765</v>
      </c>
      <c r="E391" s="41"/>
      <c r="F391" s="2" t="s">
        <v>276</v>
      </c>
      <c r="G391" s="2" t="s">
        <v>277</v>
      </c>
      <c r="H391" s="2"/>
      <c r="I391" s="41" t="s">
        <v>720</v>
      </c>
      <c r="J391" s="41" t="s">
        <v>276</v>
      </c>
      <c r="K391" s="41" t="s">
        <v>615</v>
      </c>
      <c r="L391" s="41" t="s">
        <v>600</v>
      </c>
      <c r="M391" s="42">
        <v>45946</v>
      </c>
      <c r="N391" s="42">
        <v>45946</v>
      </c>
      <c r="O391" s="42">
        <v>49674</v>
      </c>
      <c r="P391" s="41" t="s">
        <v>1766</v>
      </c>
      <c r="Q391" s="41" t="s">
        <v>1269</v>
      </c>
      <c r="R391" s="41"/>
      <c r="S391" s="43" t="s">
        <v>1767</v>
      </c>
      <c r="T391" s="41"/>
    </row>
    <row r="392" spans="1:20" s="44" customFormat="1" ht="25.05" customHeight="1" x14ac:dyDescent="0.3">
      <c r="A392" s="41">
        <v>1</v>
      </c>
      <c r="B392" s="41"/>
      <c r="C392" s="51" t="str">
        <f>VLOOKUP(F392,[1]VLOOKUP!$A$2:$B$35,2,FALSE)</f>
        <v>华东</v>
      </c>
      <c r="D392" s="52" t="s">
        <v>1768</v>
      </c>
      <c r="E392" s="52"/>
      <c r="F392" s="2" t="s">
        <v>276</v>
      </c>
      <c r="G392" s="2" t="s">
        <v>277</v>
      </c>
      <c r="H392" s="2" t="s">
        <v>1769</v>
      </c>
      <c r="I392" s="52" t="s">
        <v>720</v>
      </c>
      <c r="J392" s="52" t="s">
        <v>276</v>
      </c>
      <c r="K392" s="52" t="s">
        <v>611</v>
      </c>
      <c r="L392" s="52" t="s">
        <v>663</v>
      </c>
      <c r="M392" s="52">
        <v>43497</v>
      </c>
      <c r="N392" s="52">
        <v>43497</v>
      </c>
      <c r="O392" s="52">
        <v>44926</v>
      </c>
      <c r="P392" s="52" t="s">
        <v>1770</v>
      </c>
      <c r="Q392" s="52" t="s">
        <v>724</v>
      </c>
      <c r="R392" s="52" t="s">
        <v>1771</v>
      </c>
      <c r="S392" s="53" t="s">
        <v>1772</v>
      </c>
      <c r="T392" s="52"/>
    </row>
    <row r="393" spans="1:20" s="44" customFormat="1" ht="25.05" customHeight="1" x14ac:dyDescent="0.3">
      <c r="A393" s="41">
        <v>1</v>
      </c>
      <c r="B393" s="41"/>
      <c r="C393" s="51" t="str">
        <f>VLOOKUP(F393,[1]VLOOKUP!$A$2:$B$35,2,FALSE)</f>
        <v>华东</v>
      </c>
      <c r="D393" s="52" t="s">
        <v>1773</v>
      </c>
      <c r="E393" s="52"/>
      <c r="F393" s="2" t="s">
        <v>276</v>
      </c>
      <c r="G393" s="2" t="s">
        <v>277</v>
      </c>
      <c r="H393" s="2" t="s">
        <v>1769</v>
      </c>
      <c r="I393" s="52" t="s">
        <v>720</v>
      </c>
      <c r="J393" s="52" t="s">
        <v>276</v>
      </c>
      <c r="K393" s="52" t="s">
        <v>605</v>
      </c>
      <c r="L393" s="52" t="s">
        <v>663</v>
      </c>
      <c r="M393" s="52">
        <v>43928</v>
      </c>
      <c r="N393" s="52">
        <v>43928</v>
      </c>
      <c r="O393" s="52">
        <v>44561</v>
      </c>
      <c r="P393" s="52" t="s">
        <v>1770</v>
      </c>
      <c r="Q393" s="52" t="s">
        <v>724</v>
      </c>
      <c r="R393" s="52" t="s">
        <v>1774</v>
      </c>
      <c r="S393" s="53" t="s">
        <v>1775</v>
      </c>
      <c r="T393" s="52"/>
    </row>
    <row r="394" spans="1:20" s="44" customFormat="1" ht="25.05" customHeight="1" x14ac:dyDescent="0.3">
      <c r="A394" s="41">
        <v>1</v>
      </c>
      <c r="B394" s="41"/>
      <c r="C394" s="51" t="str">
        <f>VLOOKUP(F394,[1]VLOOKUP!$A$2:$B$35,2,FALSE)</f>
        <v>华东</v>
      </c>
      <c r="D394" s="52" t="s">
        <v>1776</v>
      </c>
      <c r="E394" s="52"/>
      <c r="F394" s="2" t="s">
        <v>276</v>
      </c>
      <c r="G394" s="2" t="s">
        <v>277</v>
      </c>
      <c r="H394" s="2" t="s">
        <v>1769</v>
      </c>
      <c r="I394" s="52" t="s">
        <v>720</v>
      </c>
      <c r="J394" s="52" t="s">
        <v>276</v>
      </c>
      <c r="K394" s="52" t="s">
        <v>605</v>
      </c>
      <c r="L394" s="52" t="s">
        <v>663</v>
      </c>
      <c r="M394" s="52">
        <v>44148</v>
      </c>
      <c r="N394" s="52">
        <v>44148</v>
      </c>
      <c r="O394" s="52">
        <v>44561</v>
      </c>
      <c r="P394" s="52" t="s">
        <v>1770</v>
      </c>
      <c r="Q394" s="52" t="s">
        <v>724</v>
      </c>
      <c r="R394" s="52" t="s">
        <v>1777</v>
      </c>
      <c r="S394" s="53" t="s">
        <v>1778</v>
      </c>
      <c r="T394" s="52"/>
    </row>
    <row r="395" spans="1:20" s="44" customFormat="1" ht="25.05" customHeight="1" x14ac:dyDescent="0.3">
      <c r="A395" s="41">
        <v>1</v>
      </c>
      <c r="B395" s="41"/>
      <c r="C395" s="51" t="str">
        <f>VLOOKUP(F395,[1]VLOOKUP!$A$2:$B$35,2,FALSE)</f>
        <v>华东</v>
      </c>
      <c r="D395" s="41" t="s">
        <v>1779</v>
      </c>
      <c r="E395" s="41"/>
      <c r="F395" s="2" t="s">
        <v>276</v>
      </c>
      <c r="G395" s="2" t="s">
        <v>277</v>
      </c>
      <c r="H395" s="2" t="s">
        <v>1769</v>
      </c>
      <c r="I395" s="41" t="s">
        <v>720</v>
      </c>
      <c r="J395" s="41" t="s">
        <v>276</v>
      </c>
      <c r="K395" s="41" t="s">
        <v>605</v>
      </c>
      <c r="L395" s="41" t="s">
        <v>600</v>
      </c>
      <c r="M395" s="42">
        <v>44774</v>
      </c>
      <c r="N395" s="42">
        <v>44782</v>
      </c>
      <c r="O395" s="42">
        <v>45657</v>
      </c>
      <c r="P395" s="41" t="s">
        <v>1770</v>
      </c>
      <c r="Q395" s="41" t="s">
        <v>724</v>
      </c>
      <c r="R395" s="41" t="s">
        <v>1780</v>
      </c>
      <c r="S395" s="43" t="s">
        <v>1781</v>
      </c>
      <c r="T395" s="41"/>
    </row>
    <row r="396" spans="1:20" s="44" customFormat="1" ht="25.05" customHeight="1" x14ac:dyDescent="0.3">
      <c r="A396" s="41"/>
      <c r="B396" s="41"/>
      <c r="C396" s="41"/>
      <c r="D396" s="41" t="s">
        <v>1782</v>
      </c>
      <c r="E396" s="41"/>
      <c r="F396" s="2" t="s">
        <v>276</v>
      </c>
      <c r="G396" s="2" t="s">
        <v>277</v>
      </c>
      <c r="H396" s="2" t="s">
        <v>1769</v>
      </c>
      <c r="I396" s="41" t="s">
        <v>720</v>
      </c>
      <c r="J396" s="41" t="s">
        <v>276</v>
      </c>
      <c r="K396" s="41" t="s">
        <v>605</v>
      </c>
      <c r="L396" s="41" t="s">
        <v>600</v>
      </c>
      <c r="M396" s="42">
        <v>45733</v>
      </c>
      <c r="N396" s="42">
        <v>45733</v>
      </c>
      <c r="O396" s="42">
        <v>45740</v>
      </c>
      <c r="P396" s="41" t="s">
        <v>1783</v>
      </c>
      <c r="Q396" s="41" t="s">
        <v>645</v>
      </c>
      <c r="R396" s="41"/>
      <c r="S396" s="43" t="s">
        <v>1784</v>
      </c>
      <c r="T396" s="41"/>
    </row>
    <row r="397" spans="1:20" s="44" customFormat="1" ht="25.05" customHeight="1" x14ac:dyDescent="0.3">
      <c r="A397" s="41"/>
      <c r="B397" s="41"/>
      <c r="C397" s="41"/>
      <c r="D397" s="41" t="s">
        <v>1785</v>
      </c>
      <c r="E397" s="41"/>
      <c r="F397" s="2" t="s">
        <v>276</v>
      </c>
      <c r="G397" s="2" t="s">
        <v>277</v>
      </c>
      <c r="H397" s="2" t="s">
        <v>1769</v>
      </c>
      <c r="I397" s="41" t="s">
        <v>720</v>
      </c>
      <c r="J397" s="41" t="s">
        <v>276</v>
      </c>
      <c r="K397" s="41" t="s">
        <v>605</v>
      </c>
      <c r="L397" s="41" t="s">
        <v>600</v>
      </c>
      <c r="M397" s="42">
        <v>45842</v>
      </c>
      <c r="N397" s="42">
        <v>45842</v>
      </c>
      <c r="O397" s="42">
        <v>45848</v>
      </c>
      <c r="P397" s="41" t="s">
        <v>1783</v>
      </c>
      <c r="Q397" s="41" t="s">
        <v>645</v>
      </c>
      <c r="R397" s="41"/>
      <c r="S397" s="43" t="s">
        <v>1786</v>
      </c>
      <c r="T397" s="41"/>
    </row>
    <row r="398" spans="1:20" s="44" customFormat="1" ht="25.05" customHeight="1" x14ac:dyDescent="0.3">
      <c r="A398" s="41"/>
      <c r="B398" s="41"/>
      <c r="C398" s="41"/>
      <c r="D398" s="47" t="s">
        <v>1787</v>
      </c>
      <c r="E398" s="47"/>
      <c r="F398" s="2" t="s">
        <v>276</v>
      </c>
      <c r="G398" s="2" t="s">
        <v>277</v>
      </c>
      <c r="H398" s="2" t="s">
        <v>1788</v>
      </c>
      <c r="I398" s="47" t="s">
        <v>720</v>
      </c>
      <c r="J398" s="47" t="s">
        <v>276</v>
      </c>
      <c r="K398" s="47" t="s">
        <v>611</v>
      </c>
      <c r="L398" s="47" t="s">
        <v>606</v>
      </c>
      <c r="M398" s="47"/>
      <c r="N398" s="47"/>
      <c r="O398" s="47"/>
      <c r="P398" s="47"/>
      <c r="Q398" s="47"/>
      <c r="R398" s="47"/>
      <c r="S398" s="64"/>
      <c r="T398" s="47"/>
    </row>
    <row r="399" spans="1:20" s="44" customFormat="1" ht="25.05" customHeight="1" x14ac:dyDescent="0.3">
      <c r="A399" s="41">
        <v>1</v>
      </c>
      <c r="B399" s="41"/>
      <c r="C399" s="51" t="str">
        <f>VLOOKUP(F399,[1]VLOOKUP!$A$2:$B$35,2,FALSE)</f>
        <v>华东</v>
      </c>
      <c r="D399" s="52" t="s">
        <v>1789</v>
      </c>
      <c r="E399" s="52"/>
      <c r="F399" s="2" t="s">
        <v>276</v>
      </c>
      <c r="G399" s="2" t="s">
        <v>277</v>
      </c>
      <c r="H399" s="2" t="s">
        <v>1788</v>
      </c>
      <c r="I399" s="52" t="s">
        <v>720</v>
      </c>
      <c r="J399" s="52" t="s">
        <v>276</v>
      </c>
      <c r="K399" s="52" t="s">
        <v>605</v>
      </c>
      <c r="L399" s="52" t="s">
        <v>663</v>
      </c>
      <c r="M399" s="52">
        <v>44688</v>
      </c>
      <c r="N399" s="52">
        <v>44691</v>
      </c>
      <c r="O399" s="52">
        <v>46022</v>
      </c>
      <c r="P399" s="52" t="s">
        <v>1790</v>
      </c>
      <c r="Q399" s="52" t="s">
        <v>512</v>
      </c>
      <c r="R399" s="52" t="s">
        <v>1791</v>
      </c>
      <c r="S399" s="53" t="s">
        <v>1792</v>
      </c>
      <c r="T399" s="52"/>
    </row>
    <row r="400" spans="1:20" s="44" customFormat="1" ht="25.05" customHeight="1" x14ac:dyDescent="0.3">
      <c r="A400" s="41">
        <v>1</v>
      </c>
      <c r="B400" s="41"/>
      <c r="C400" s="51" t="str">
        <f>VLOOKUP(F400,[1]VLOOKUP!$A$2:$B$35,2,FALSE)</f>
        <v>华东</v>
      </c>
      <c r="D400" s="41" t="s">
        <v>1793</v>
      </c>
      <c r="E400" s="41"/>
      <c r="F400" s="2" t="s">
        <v>276</v>
      </c>
      <c r="G400" s="2" t="s">
        <v>277</v>
      </c>
      <c r="H400" s="2" t="s">
        <v>1788</v>
      </c>
      <c r="I400" s="41" t="s">
        <v>720</v>
      </c>
      <c r="J400" s="41" t="s">
        <v>276</v>
      </c>
      <c r="K400" s="41" t="s">
        <v>605</v>
      </c>
      <c r="L400" s="41" t="s">
        <v>600</v>
      </c>
      <c r="M400" s="42">
        <v>45785</v>
      </c>
      <c r="N400" s="42">
        <v>45789</v>
      </c>
      <c r="O400" s="42">
        <v>46387</v>
      </c>
      <c r="P400" s="41" t="s">
        <v>1794</v>
      </c>
      <c r="Q400" s="41" t="s">
        <v>512</v>
      </c>
      <c r="R400" s="41"/>
      <c r="S400" s="43" t="s">
        <v>1795</v>
      </c>
      <c r="T400" s="41"/>
    </row>
    <row r="401" spans="1:20" s="44" customFormat="1" ht="25.05" customHeight="1" x14ac:dyDescent="0.3">
      <c r="A401" s="41">
        <v>1</v>
      </c>
      <c r="B401" s="41"/>
      <c r="C401" s="51" t="s">
        <v>1418</v>
      </c>
      <c r="D401" s="41" t="s">
        <v>1796</v>
      </c>
      <c r="E401" s="41"/>
      <c r="F401" s="2" t="s">
        <v>276</v>
      </c>
      <c r="G401" s="2" t="s">
        <v>277</v>
      </c>
      <c r="H401" s="2" t="s">
        <v>1788</v>
      </c>
      <c r="I401" s="41" t="s">
        <v>720</v>
      </c>
      <c r="J401" s="41" t="s">
        <v>276</v>
      </c>
      <c r="K401" s="41" t="s">
        <v>605</v>
      </c>
      <c r="L401" s="41" t="s">
        <v>600</v>
      </c>
      <c r="M401" s="42">
        <v>45894</v>
      </c>
      <c r="N401" s="42">
        <v>45895</v>
      </c>
      <c r="O401" s="42">
        <v>46387</v>
      </c>
      <c r="P401" s="41" t="s">
        <v>1797</v>
      </c>
      <c r="Q401" s="41" t="s">
        <v>1798</v>
      </c>
      <c r="R401" s="41" t="s">
        <v>1799</v>
      </c>
      <c r="S401" s="43" t="s">
        <v>1800</v>
      </c>
      <c r="T401" s="41"/>
    </row>
    <row r="402" spans="1:20" s="44" customFormat="1" ht="25.05" customHeight="1" x14ac:dyDescent="0.3">
      <c r="A402" s="41">
        <v>1</v>
      </c>
      <c r="B402" s="41"/>
      <c r="C402" s="51" t="str">
        <f>VLOOKUP(F402,[1]VLOOKUP!$A$2:$B$35,2,FALSE)</f>
        <v>华东</v>
      </c>
      <c r="D402" s="41" t="s">
        <v>1801</v>
      </c>
      <c r="E402" s="41"/>
      <c r="F402" s="2" t="s">
        <v>276</v>
      </c>
      <c r="G402" s="2" t="s">
        <v>277</v>
      </c>
      <c r="H402" s="2" t="s">
        <v>1802</v>
      </c>
      <c r="I402" s="41" t="s">
        <v>720</v>
      </c>
      <c r="J402" s="41" t="s">
        <v>276</v>
      </c>
      <c r="K402" s="41" t="s">
        <v>605</v>
      </c>
      <c r="L402" s="41" t="s">
        <v>600</v>
      </c>
      <c r="M402" s="42">
        <v>45103</v>
      </c>
      <c r="N402" s="42">
        <v>45112</v>
      </c>
      <c r="O402" s="42">
        <v>46022</v>
      </c>
      <c r="P402" s="41" t="s">
        <v>1803</v>
      </c>
      <c r="Q402" s="41" t="s">
        <v>724</v>
      </c>
      <c r="R402" s="41" t="s">
        <v>1804</v>
      </c>
      <c r="S402" s="43" t="s">
        <v>1805</v>
      </c>
      <c r="T402" s="41"/>
    </row>
    <row r="403" spans="1:20" s="44" customFormat="1" ht="25.05" customHeight="1" x14ac:dyDescent="0.3">
      <c r="A403" s="41">
        <v>1</v>
      </c>
      <c r="B403" s="41"/>
      <c r="C403" s="51" t="str">
        <f>VLOOKUP(F403,[1]VLOOKUP!$A$2:$B$35,2,FALSE)</f>
        <v>华东</v>
      </c>
      <c r="D403" s="57" t="s">
        <v>1806</v>
      </c>
      <c r="E403" s="57"/>
      <c r="F403" s="2" t="s">
        <v>276</v>
      </c>
      <c r="G403" s="2" t="s">
        <v>277</v>
      </c>
      <c r="H403" s="2" t="s">
        <v>1802</v>
      </c>
      <c r="I403" s="57" t="s">
        <v>720</v>
      </c>
      <c r="J403" s="57" t="s">
        <v>276</v>
      </c>
      <c r="K403" s="57" t="s">
        <v>605</v>
      </c>
      <c r="L403" s="57" t="s">
        <v>780</v>
      </c>
      <c r="M403" s="57">
        <v>45943</v>
      </c>
      <c r="N403" s="57">
        <v>45943</v>
      </c>
      <c r="O403" s="57">
        <v>45974</v>
      </c>
      <c r="P403" s="57" t="s">
        <v>1807</v>
      </c>
      <c r="Q403" s="57" t="s">
        <v>645</v>
      </c>
      <c r="R403" s="57"/>
      <c r="S403" s="58" t="s">
        <v>1808</v>
      </c>
      <c r="T403" s="57"/>
    </row>
    <row r="404" spans="1:20" s="44" customFormat="1" ht="25.05" customHeight="1" x14ac:dyDescent="0.3">
      <c r="A404" s="41">
        <v>1</v>
      </c>
      <c r="B404" s="41"/>
      <c r="C404" s="51" t="str">
        <f>VLOOKUP(F404,[1]VLOOKUP!$A$2:$B$35,2,FALSE)</f>
        <v>华东</v>
      </c>
      <c r="D404" s="41" t="s">
        <v>1809</v>
      </c>
      <c r="E404" s="41"/>
      <c r="F404" s="2" t="s">
        <v>276</v>
      </c>
      <c r="G404" s="2" t="s">
        <v>277</v>
      </c>
      <c r="H404" s="2" t="s">
        <v>1810</v>
      </c>
      <c r="I404" s="41" t="s">
        <v>720</v>
      </c>
      <c r="J404" s="41" t="s">
        <v>276</v>
      </c>
      <c r="K404" s="41" t="s">
        <v>611</v>
      </c>
      <c r="L404" s="41" t="s">
        <v>600</v>
      </c>
      <c r="M404" s="42">
        <v>44186</v>
      </c>
      <c r="N404" s="42">
        <v>44190</v>
      </c>
      <c r="O404" s="42">
        <v>46022</v>
      </c>
      <c r="P404" s="41" t="s">
        <v>1811</v>
      </c>
      <c r="Q404" s="41" t="s">
        <v>724</v>
      </c>
      <c r="R404" s="41" t="s">
        <v>1812</v>
      </c>
      <c r="S404" s="43" t="s">
        <v>1813</v>
      </c>
      <c r="T404" s="41"/>
    </row>
    <row r="405" spans="1:20" s="44" customFormat="1" ht="25.05" customHeight="1" x14ac:dyDescent="0.3">
      <c r="A405" s="41">
        <v>1</v>
      </c>
      <c r="B405" s="41"/>
      <c r="C405" s="51" t="str">
        <f>VLOOKUP(F405,[1]VLOOKUP!$A$2:$B$35,2,FALSE)</f>
        <v>华东</v>
      </c>
      <c r="D405" s="41" t="s">
        <v>1814</v>
      </c>
      <c r="E405" s="41"/>
      <c r="F405" s="2" t="s">
        <v>276</v>
      </c>
      <c r="G405" s="2" t="s">
        <v>1815</v>
      </c>
      <c r="H405" s="2"/>
      <c r="I405" s="41" t="s">
        <v>720</v>
      </c>
      <c r="J405" s="41" t="s">
        <v>276</v>
      </c>
      <c r="K405" s="41" t="s">
        <v>611</v>
      </c>
      <c r="L405" s="41" t="s">
        <v>600</v>
      </c>
      <c r="M405" s="42">
        <v>44190</v>
      </c>
      <c r="N405" s="42">
        <v>44190</v>
      </c>
      <c r="O405" s="42">
        <v>46022</v>
      </c>
      <c r="P405" s="41" t="s">
        <v>1816</v>
      </c>
      <c r="Q405" s="41" t="s">
        <v>724</v>
      </c>
      <c r="R405" s="41" t="s">
        <v>1817</v>
      </c>
      <c r="S405" s="43" t="s">
        <v>1818</v>
      </c>
      <c r="T405" s="41"/>
    </row>
    <row r="406" spans="1:20" s="44" customFormat="1" ht="25.05" customHeight="1" x14ac:dyDescent="0.3">
      <c r="A406" s="41">
        <v>1</v>
      </c>
      <c r="B406" s="41"/>
      <c r="C406" s="51" t="str">
        <f>VLOOKUP(F406,[1]VLOOKUP!$A$2:$B$35,2,FALSE)</f>
        <v>华东</v>
      </c>
      <c r="D406" s="41" t="s">
        <v>1819</v>
      </c>
      <c r="E406" s="41"/>
      <c r="F406" s="2" t="s">
        <v>276</v>
      </c>
      <c r="G406" s="2" t="s">
        <v>1815</v>
      </c>
      <c r="H406" s="2" t="s">
        <v>1820</v>
      </c>
      <c r="I406" s="41" t="s">
        <v>720</v>
      </c>
      <c r="J406" s="41" t="s">
        <v>276</v>
      </c>
      <c r="K406" s="41" t="s">
        <v>605</v>
      </c>
      <c r="L406" s="41" t="s">
        <v>600</v>
      </c>
      <c r="M406" s="42">
        <v>44222</v>
      </c>
      <c r="N406" s="42">
        <v>44222</v>
      </c>
      <c r="O406" s="42">
        <v>46022</v>
      </c>
      <c r="P406" s="41" t="s">
        <v>1821</v>
      </c>
      <c r="Q406" s="41" t="s">
        <v>724</v>
      </c>
      <c r="R406" s="41" t="s">
        <v>1822</v>
      </c>
      <c r="S406" s="43" t="s">
        <v>1823</v>
      </c>
      <c r="T406" s="41"/>
    </row>
    <row r="407" spans="1:20" s="44" customFormat="1" ht="25.05" customHeight="1" x14ac:dyDescent="0.3">
      <c r="A407" s="41">
        <v>1</v>
      </c>
      <c r="B407" s="41"/>
      <c r="C407" s="51" t="str">
        <f>VLOOKUP(F407,[1]VLOOKUP!$A$2:$B$35,2,FALSE)</f>
        <v>华东</v>
      </c>
      <c r="D407" s="57" t="s">
        <v>1824</v>
      </c>
      <c r="E407" s="57"/>
      <c r="F407" s="2" t="s">
        <v>276</v>
      </c>
      <c r="G407" s="2" t="s">
        <v>1825</v>
      </c>
      <c r="H407" s="2"/>
      <c r="I407" s="57" t="s">
        <v>720</v>
      </c>
      <c r="J407" s="57" t="s">
        <v>276</v>
      </c>
      <c r="K407" s="57" t="s">
        <v>611</v>
      </c>
      <c r="L407" s="57" t="s">
        <v>780</v>
      </c>
      <c r="M407" s="57">
        <v>44203</v>
      </c>
      <c r="N407" s="57">
        <v>44203</v>
      </c>
      <c r="O407" s="57">
        <v>44210</v>
      </c>
      <c r="P407" s="57" t="s">
        <v>1826</v>
      </c>
      <c r="Q407" s="57" t="s">
        <v>716</v>
      </c>
      <c r="R407" s="57"/>
      <c r="S407" s="58" t="s">
        <v>1827</v>
      </c>
      <c r="T407" s="57"/>
    </row>
    <row r="408" spans="1:20" s="44" customFormat="1" ht="25.05" customHeight="1" x14ac:dyDescent="0.3">
      <c r="A408" s="41">
        <v>1</v>
      </c>
      <c r="B408" s="41"/>
      <c r="C408" s="51" t="str">
        <f>VLOOKUP(F408,[1]VLOOKUP!$A$2:$B$35,2,FALSE)</f>
        <v>华东</v>
      </c>
      <c r="D408" s="41" t="s">
        <v>1828</v>
      </c>
      <c r="E408" s="41"/>
      <c r="F408" s="2" t="s">
        <v>276</v>
      </c>
      <c r="G408" s="2" t="s">
        <v>1825</v>
      </c>
      <c r="H408" s="2" t="s">
        <v>1829</v>
      </c>
      <c r="I408" s="41" t="s">
        <v>720</v>
      </c>
      <c r="J408" s="41" t="s">
        <v>276</v>
      </c>
      <c r="K408" s="41" t="s">
        <v>605</v>
      </c>
      <c r="L408" s="41" t="s">
        <v>600</v>
      </c>
      <c r="M408" s="42">
        <v>45251</v>
      </c>
      <c r="N408" s="42">
        <v>45366</v>
      </c>
      <c r="O408" s="42">
        <v>46022</v>
      </c>
      <c r="P408" s="41" t="s">
        <v>1830</v>
      </c>
      <c r="Q408" s="41" t="s">
        <v>825</v>
      </c>
      <c r="R408" s="41" t="s">
        <v>1831</v>
      </c>
      <c r="S408" s="43" t="s">
        <v>1832</v>
      </c>
      <c r="T408" s="41"/>
    </row>
    <row r="409" spans="1:20" s="44" customFormat="1" ht="25.05" customHeight="1" x14ac:dyDescent="0.3">
      <c r="A409" s="41"/>
      <c r="B409" s="41"/>
      <c r="C409" s="41"/>
      <c r="D409" s="47" t="s">
        <v>1833</v>
      </c>
      <c r="E409" s="47"/>
      <c r="F409" s="2" t="s">
        <v>276</v>
      </c>
      <c r="G409" s="2" t="s">
        <v>1834</v>
      </c>
      <c r="H409" s="2"/>
      <c r="I409" s="47" t="s">
        <v>720</v>
      </c>
      <c r="J409" s="47" t="s">
        <v>276</v>
      </c>
      <c r="K409" s="47" t="s">
        <v>611</v>
      </c>
      <c r="L409" s="47" t="s">
        <v>606</v>
      </c>
      <c r="M409" s="47"/>
      <c r="N409" s="47"/>
      <c r="O409" s="47"/>
      <c r="P409" s="47" t="s">
        <v>1835</v>
      </c>
      <c r="Q409" s="47" t="s">
        <v>716</v>
      </c>
      <c r="R409" s="47"/>
      <c r="S409" s="47"/>
      <c r="T409" s="47"/>
    </row>
    <row r="410" spans="1:20" s="44" customFormat="1" ht="25.05" customHeight="1" x14ac:dyDescent="0.3">
      <c r="A410" s="41">
        <v>1</v>
      </c>
      <c r="B410" s="41"/>
      <c r="C410" s="51" t="str">
        <f>VLOOKUP(F410,[1]VLOOKUP!$A$2:$B$35,2,FALSE)</f>
        <v>华东</v>
      </c>
      <c r="D410" s="52" t="s">
        <v>1836</v>
      </c>
      <c r="E410" s="52"/>
      <c r="F410" s="2" t="s">
        <v>276</v>
      </c>
      <c r="G410" s="2" t="s">
        <v>569</v>
      </c>
      <c r="H410" s="2"/>
      <c r="I410" s="52" t="s">
        <v>720</v>
      </c>
      <c r="J410" s="52" t="s">
        <v>276</v>
      </c>
      <c r="K410" s="52" t="s">
        <v>611</v>
      </c>
      <c r="L410" s="52" t="s">
        <v>663</v>
      </c>
      <c r="M410" s="52">
        <v>45132</v>
      </c>
      <c r="N410" s="52">
        <v>45142</v>
      </c>
      <c r="O410" s="52">
        <v>49674</v>
      </c>
      <c r="P410" s="52" t="s">
        <v>1837</v>
      </c>
      <c r="Q410" s="52" t="s">
        <v>1740</v>
      </c>
      <c r="R410" s="52" t="s">
        <v>1838</v>
      </c>
      <c r="S410" s="53" t="s">
        <v>1839</v>
      </c>
      <c r="T410" s="52"/>
    </row>
    <row r="411" spans="1:20" s="44" customFormat="1" ht="25.05" customHeight="1" x14ac:dyDescent="0.3">
      <c r="A411" s="41">
        <v>1</v>
      </c>
      <c r="B411" s="41"/>
      <c r="C411" s="51" t="str">
        <f>VLOOKUP(F411,[1]VLOOKUP!$A$2:$B$35,2,FALSE)</f>
        <v>华东</v>
      </c>
      <c r="D411" s="41" t="s">
        <v>1840</v>
      </c>
      <c r="E411" s="41"/>
      <c r="F411" s="2" t="s">
        <v>276</v>
      </c>
      <c r="G411" s="2" t="s">
        <v>569</v>
      </c>
      <c r="H411" s="2"/>
      <c r="I411" s="41" t="s">
        <v>720</v>
      </c>
      <c r="J411" s="41" t="s">
        <v>276</v>
      </c>
      <c r="K411" s="41" t="s">
        <v>611</v>
      </c>
      <c r="L411" s="41" t="s">
        <v>600</v>
      </c>
      <c r="M411" s="42">
        <v>45378</v>
      </c>
      <c r="N411" s="42">
        <v>45380</v>
      </c>
      <c r="O411" s="42">
        <v>49674</v>
      </c>
      <c r="P411" s="41" t="s">
        <v>1837</v>
      </c>
      <c r="Q411" s="41" t="s">
        <v>1740</v>
      </c>
      <c r="R411" s="41" t="s">
        <v>1841</v>
      </c>
      <c r="S411" s="43" t="s">
        <v>1842</v>
      </c>
      <c r="T411" s="41"/>
    </row>
    <row r="412" spans="1:20" s="44" customFormat="1" ht="25.05" customHeight="1" x14ac:dyDescent="0.3">
      <c r="A412" s="41">
        <v>1</v>
      </c>
      <c r="B412" s="41"/>
      <c r="C412" s="51" t="str">
        <f>VLOOKUP(F412,[1]VLOOKUP!$A$2:$B$35,2,FALSE)</f>
        <v>华东</v>
      </c>
      <c r="D412" s="41" t="s">
        <v>1843</v>
      </c>
      <c r="E412" s="41"/>
      <c r="F412" s="2" t="s">
        <v>276</v>
      </c>
      <c r="G412" s="2" t="s">
        <v>569</v>
      </c>
      <c r="H412" s="2"/>
      <c r="I412" s="41" t="s">
        <v>720</v>
      </c>
      <c r="J412" s="41" t="s">
        <v>276</v>
      </c>
      <c r="K412" s="41" t="s">
        <v>611</v>
      </c>
      <c r="L412" s="41" t="s">
        <v>600</v>
      </c>
      <c r="M412" s="42">
        <v>45211</v>
      </c>
      <c r="N412" s="42">
        <v>45245</v>
      </c>
      <c r="O412" s="42">
        <v>46752</v>
      </c>
      <c r="P412" s="41" t="s">
        <v>1844</v>
      </c>
      <c r="Q412" s="41" t="s">
        <v>1845</v>
      </c>
      <c r="R412" s="41"/>
      <c r="S412" s="43" t="s">
        <v>1846</v>
      </c>
      <c r="T412" s="41"/>
    </row>
    <row r="413" spans="1:20" s="44" customFormat="1" ht="25.05" customHeight="1" x14ac:dyDescent="0.3">
      <c r="A413" s="41">
        <v>1</v>
      </c>
      <c r="B413" s="41"/>
      <c r="C413" s="51" t="str">
        <f>VLOOKUP(F413,[1]VLOOKUP!$A$2:$B$35,2,FALSE)</f>
        <v>华东</v>
      </c>
      <c r="D413" s="41" t="s">
        <v>570</v>
      </c>
      <c r="E413" s="41"/>
      <c r="F413" s="2" t="s">
        <v>276</v>
      </c>
      <c r="G413" s="2" t="s">
        <v>569</v>
      </c>
      <c r="H413" s="2"/>
      <c r="I413" s="41" t="s">
        <v>720</v>
      </c>
      <c r="J413" s="41" t="s">
        <v>276</v>
      </c>
      <c r="K413" s="41" t="s">
        <v>682</v>
      </c>
      <c r="L413" s="41" t="s">
        <v>600</v>
      </c>
      <c r="M413" s="42">
        <v>45830</v>
      </c>
      <c r="N413" s="42">
        <v>45847</v>
      </c>
      <c r="O413" s="42">
        <v>46569</v>
      </c>
      <c r="P413" s="41" t="s">
        <v>1847</v>
      </c>
      <c r="Q413" s="41" t="s">
        <v>1848</v>
      </c>
      <c r="R413" s="41" t="s">
        <v>1849</v>
      </c>
      <c r="S413" s="43" t="s">
        <v>1850</v>
      </c>
      <c r="T413" s="41"/>
    </row>
    <row r="414" spans="1:20" s="44" customFormat="1" ht="25.05" customHeight="1" x14ac:dyDescent="0.3">
      <c r="A414" s="41">
        <v>1</v>
      </c>
      <c r="B414" s="41"/>
      <c r="C414" s="51" t="str">
        <f>VLOOKUP(F414,[1]VLOOKUP!$A$2:$B$35,2,FALSE)</f>
        <v>华东</v>
      </c>
      <c r="D414" s="57" t="s">
        <v>1851</v>
      </c>
      <c r="E414" s="57"/>
      <c r="F414" s="2" t="s">
        <v>276</v>
      </c>
      <c r="G414" s="2" t="s">
        <v>1852</v>
      </c>
      <c r="H414" s="2" t="s">
        <v>1853</v>
      </c>
      <c r="I414" s="57" t="s">
        <v>720</v>
      </c>
      <c r="J414" s="57" t="s">
        <v>276</v>
      </c>
      <c r="K414" s="57" t="s">
        <v>605</v>
      </c>
      <c r="L414" s="57" t="s">
        <v>780</v>
      </c>
      <c r="M414" s="57">
        <v>45639</v>
      </c>
      <c r="N414" s="57">
        <v>45640</v>
      </c>
      <c r="O414" s="57">
        <v>45671</v>
      </c>
      <c r="P414" s="57" t="s">
        <v>1854</v>
      </c>
      <c r="Q414" s="57" t="s">
        <v>716</v>
      </c>
      <c r="R414" s="57"/>
      <c r="S414" s="58" t="s">
        <v>1855</v>
      </c>
      <c r="T414" s="57"/>
    </row>
    <row r="415" spans="1:20" ht="25.05" customHeight="1" x14ac:dyDescent="0.3">
      <c r="A415" s="36"/>
      <c r="B415" s="36"/>
      <c r="C415" s="36"/>
      <c r="D415" s="60"/>
      <c r="E415" s="61"/>
      <c r="F415" s="3" t="s">
        <v>278</v>
      </c>
      <c r="G415" s="3"/>
      <c r="H415" s="3"/>
      <c r="I415" s="60"/>
      <c r="J415" s="60"/>
      <c r="K415" s="60"/>
      <c r="L415" s="60"/>
      <c r="M415" s="60"/>
      <c r="N415" s="60"/>
      <c r="O415" s="60"/>
      <c r="P415" s="60"/>
      <c r="Q415" s="60"/>
      <c r="R415" s="60"/>
      <c r="S415" s="62"/>
      <c r="T415" s="60"/>
    </row>
    <row r="416" spans="1:20" s="44" customFormat="1" ht="25.05" customHeight="1" x14ac:dyDescent="0.3">
      <c r="A416" s="41">
        <v>1</v>
      </c>
      <c r="B416" s="41"/>
      <c r="C416" s="51" t="str">
        <f>VLOOKUP(F416,[1]VLOOKUP!$A$2:$B$35,2,FALSE)</f>
        <v>华东</v>
      </c>
      <c r="D416" s="41" t="s">
        <v>1856</v>
      </c>
      <c r="E416" s="41"/>
      <c r="F416" s="2" t="s">
        <v>278</v>
      </c>
      <c r="G416" s="2"/>
      <c r="H416" s="2"/>
      <c r="I416" s="41" t="s">
        <v>474</v>
      </c>
      <c r="J416" s="41" t="s">
        <v>278</v>
      </c>
      <c r="K416" s="41" t="s">
        <v>611</v>
      </c>
      <c r="L416" s="41" t="s">
        <v>600</v>
      </c>
      <c r="M416" s="42">
        <v>44645</v>
      </c>
      <c r="N416" s="42">
        <v>44879</v>
      </c>
      <c r="O416" s="42">
        <v>49674</v>
      </c>
      <c r="P416" s="41" t="s">
        <v>1857</v>
      </c>
      <c r="Q416" s="41" t="s">
        <v>1702</v>
      </c>
      <c r="R416" s="41"/>
      <c r="S416" s="43" t="s">
        <v>1858</v>
      </c>
      <c r="T416" s="41"/>
    </row>
    <row r="417" spans="1:20" s="44" customFormat="1" ht="25.05" customHeight="1" x14ac:dyDescent="0.3">
      <c r="A417" s="41">
        <v>1</v>
      </c>
      <c r="B417" s="41"/>
      <c r="C417" s="51" t="str">
        <f>VLOOKUP(F417,[1]VLOOKUP!$A$2:$B$35,2,FALSE)</f>
        <v>华东</v>
      </c>
      <c r="D417" s="41" t="s">
        <v>1859</v>
      </c>
      <c r="E417" s="41"/>
      <c r="F417" s="2" t="s">
        <v>278</v>
      </c>
      <c r="G417" s="2"/>
      <c r="H417" s="2"/>
      <c r="I417" s="41" t="s">
        <v>474</v>
      </c>
      <c r="J417" s="41" t="s">
        <v>278</v>
      </c>
      <c r="K417" s="41" t="s">
        <v>611</v>
      </c>
      <c r="L417" s="41" t="s">
        <v>600</v>
      </c>
      <c r="M417" s="42">
        <v>45288</v>
      </c>
      <c r="N417" s="42">
        <v>45301</v>
      </c>
      <c r="O417" s="42">
        <v>46022</v>
      </c>
      <c r="P417" s="41" t="s">
        <v>1860</v>
      </c>
      <c r="Q417" s="41" t="s">
        <v>716</v>
      </c>
      <c r="R417" s="41" t="s">
        <v>1861</v>
      </c>
      <c r="S417" s="43"/>
      <c r="T417" s="41" t="s">
        <v>1862</v>
      </c>
    </row>
    <row r="418" spans="1:20" s="44" customFormat="1" ht="25.05" customHeight="1" x14ac:dyDescent="0.3">
      <c r="A418" s="41">
        <v>1</v>
      </c>
      <c r="B418" s="41"/>
      <c r="C418" s="51" t="str">
        <f>VLOOKUP(F418,[1]VLOOKUP!$A$2:$B$35,2,FALSE)</f>
        <v>华东</v>
      </c>
      <c r="D418" s="41" t="s">
        <v>562</v>
      </c>
      <c r="E418" s="41"/>
      <c r="F418" s="2" t="s">
        <v>278</v>
      </c>
      <c r="G418" s="2"/>
      <c r="H418" s="2"/>
      <c r="I418" s="41" t="s">
        <v>474</v>
      </c>
      <c r="J418" s="41" t="s">
        <v>278</v>
      </c>
      <c r="K418" s="41" t="s">
        <v>682</v>
      </c>
      <c r="L418" s="41" t="s">
        <v>600</v>
      </c>
      <c r="M418" s="42">
        <v>45699</v>
      </c>
      <c r="N418" s="42">
        <v>45699</v>
      </c>
      <c r="O418" s="42">
        <v>49674</v>
      </c>
      <c r="P418" s="41" t="s">
        <v>1860</v>
      </c>
      <c r="Q418" s="41" t="s">
        <v>716</v>
      </c>
      <c r="R418" s="41" t="s">
        <v>1863</v>
      </c>
      <c r="S418" s="43" t="s">
        <v>1864</v>
      </c>
      <c r="T418" s="41"/>
    </row>
    <row r="419" spans="1:20" s="44" customFormat="1" ht="25.05" customHeight="1" x14ac:dyDescent="0.3">
      <c r="A419" s="41"/>
      <c r="B419" s="41"/>
      <c r="C419" s="41"/>
      <c r="D419" s="47" t="s">
        <v>1865</v>
      </c>
      <c r="E419" s="47"/>
      <c r="F419" s="2" t="s">
        <v>278</v>
      </c>
      <c r="G419" s="2" t="s">
        <v>1866</v>
      </c>
      <c r="H419" s="2"/>
      <c r="I419" s="47" t="s">
        <v>720</v>
      </c>
      <c r="J419" s="47" t="s">
        <v>278</v>
      </c>
      <c r="K419" s="47" t="s">
        <v>611</v>
      </c>
      <c r="L419" s="47" t="s">
        <v>606</v>
      </c>
      <c r="M419" s="47"/>
      <c r="N419" s="47"/>
      <c r="O419" s="47"/>
      <c r="P419" s="47"/>
      <c r="Q419" s="47"/>
      <c r="R419" s="47"/>
      <c r="S419" s="47"/>
      <c r="T419" s="47"/>
    </row>
    <row r="420" spans="1:20" s="44" customFormat="1" ht="25.05" customHeight="1" x14ac:dyDescent="0.3">
      <c r="A420" s="41"/>
      <c r="B420" s="41"/>
      <c r="C420" s="41"/>
      <c r="D420" s="47" t="s">
        <v>1867</v>
      </c>
      <c r="E420" s="47"/>
      <c r="F420" s="2" t="s">
        <v>278</v>
      </c>
      <c r="G420" s="2" t="s">
        <v>1866</v>
      </c>
      <c r="H420" s="2"/>
      <c r="I420" s="47" t="s">
        <v>720</v>
      </c>
      <c r="J420" s="47" t="s">
        <v>278</v>
      </c>
      <c r="K420" s="47" t="s">
        <v>599</v>
      </c>
      <c r="L420" s="47" t="s">
        <v>606</v>
      </c>
      <c r="M420" s="47"/>
      <c r="N420" s="47"/>
      <c r="O420" s="47"/>
      <c r="P420" s="47"/>
      <c r="Q420" s="47"/>
      <c r="R420" s="47"/>
      <c r="S420" s="47"/>
      <c r="T420" s="47"/>
    </row>
    <row r="421" spans="1:20" s="44" customFormat="1" ht="25.05" customHeight="1" x14ac:dyDescent="0.3">
      <c r="A421" s="41">
        <v>1</v>
      </c>
      <c r="B421" s="41"/>
      <c r="C421" s="51" t="str">
        <f>VLOOKUP(F421,[1]VLOOKUP!$A$2:$B$35,2,FALSE)</f>
        <v>华东</v>
      </c>
      <c r="D421" s="41" t="s">
        <v>1868</v>
      </c>
      <c r="E421" s="41"/>
      <c r="F421" s="2" t="s">
        <v>278</v>
      </c>
      <c r="G421" s="2" t="s">
        <v>279</v>
      </c>
      <c r="H421" s="2"/>
      <c r="I421" s="41" t="s">
        <v>720</v>
      </c>
      <c r="J421" s="41" t="s">
        <v>278</v>
      </c>
      <c r="K421" s="41" t="s">
        <v>611</v>
      </c>
      <c r="L421" s="41" t="s">
        <v>600</v>
      </c>
      <c r="M421" s="42">
        <v>44097</v>
      </c>
      <c r="N421" s="42">
        <v>44097</v>
      </c>
      <c r="O421" s="42">
        <v>46022</v>
      </c>
      <c r="P421" s="41" t="s">
        <v>1869</v>
      </c>
      <c r="Q421" s="41" t="s">
        <v>724</v>
      </c>
      <c r="R421" s="41" t="s">
        <v>1870</v>
      </c>
      <c r="S421" s="43" t="s">
        <v>1871</v>
      </c>
      <c r="T421" s="41"/>
    </row>
    <row r="422" spans="1:20" s="44" customFormat="1" ht="25.05" customHeight="1" x14ac:dyDescent="0.3">
      <c r="A422" s="41">
        <v>1</v>
      </c>
      <c r="B422" s="41"/>
      <c r="C422" s="51" t="str">
        <f>VLOOKUP(F422,[1]VLOOKUP!$A$2:$B$35,2,FALSE)</f>
        <v>华东</v>
      </c>
      <c r="D422" s="41" t="s">
        <v>1872</v>
      </c>
      <c r="E422" s="41"/>
      <c r="F422" s="2" t="s">
        <v>278</v>
      </c>
      <c r="G422" s="2" t="s">
        <v>279</v>
      </c>
      <c r="H422" s="2"/>
      <c r="I422" s="41" t="s">
        <v>720</v>
      </c>
      <c r="J422" s="41" t="s">
        <v>278</v>
      </c>
      <c r="K422" s="41" t="s">
        <v>611</v>
      </c>
      <c r="L422" s="41" t="s">
        <v>600</v>
      </c>
      <c r="M422" s="42">
        <v>43577</v>
      </c>
      <c r="N422" s="42">
        <v>43577</v>
      </c>
      <c r="O422" s="42">
        <v>46022</v>
      </c>
      <c r="P422" s="41" t="s">
        <v>1869</v>
      </c>
      <c r="Q422" s="41" t="s">
        <v>724</v>
      </c>
      <c r="R422" s="41" t="s">
        <v>1873</v>
      </c>
      <c r="S422" s="43" t="s">
        <v>1874</v>
      </c>
      <c r="T422" s="41"/>
    </row>
    <row r="423" spans="1:20" s="44" customFormat="1" ht="25.05" customHeight="1" x14ac:dyDescent="0.3">
      <c r="A423" s="41">
        <v>1</v>
      </c>
      <c r="B423" s="41"/>
      <c r="C423" s="51" t="str">
        <f>VLOOKUP(F423,[1]VLOOKUP!$A$2:$B$35,2,FALSE)</f>
        <v>华东</v>
      </c>
      <c r="D423" s="41" t="s">
        <v>1875</v>
      </c>
      <c r="E423" s="41"/>
      <c r="F423" s="2" t="s">
        <v>278</v>
      </c>
      <c r="G423" s="2" t="s">
        <v>279</v>
      </c>
      <c r="H423" s="2"/>
      <c r="I423" s="41" t="s">
        <v>720</v>
      </c>
      <c r="J423" s="41" t="s">
        <v>278</v>
      </c>
      <c r="K423" s="41" t="s">
        <v>611</v>
      </c>
      <c r="L423" s="41" t="s">
        <v>600</v>
      </c>
      <c r="M423" s="42">
        <v>45446</v>
      </c>
      <c r="N423" s="42">
        <v>45446</v>
      </c>
      <c r="O423" s="42">
        <v>46539</v>
      </c>
      <c r="P423" s="41" t="s">
        <v>1869</v>
      </c>
      <c r="Q423" s="41" t="s">
        <v>724</v>
      </c>
      <c r="R423" s="41" t="s">
        <v>1876</v>
      </c>
      <c r="S423" s="43" t="s">
        <v>1877</v>
      </c>
      <c r="T423" s="41"/>
    </row>
    <row r="424" spans="1:20" s="44" customFormat="1" ht="25.05" customHeight="1" x14ac:dyDescent="0.3">
      <c r="A424" s="41">
        <v>1</v>
      </c>
      <c r="B424" s="41"/>
      <c r="C424" s="51" t="str">
        <f>VLOOKUP(F424,[1]VLOOKUP!$A$2:$B$35,2,FALSE)</f>
        <v>华东</v>
      </c>
      <c r="D424" s="41" t="s">
        <v>561</v>
      </c>
      <c r="E424" s="41"/>
      <c r="F424" s="2" t="s">
        <v>278</v>
      </c>
      <c r="G424" s="2" t="s">
        <v>279</v>
      </c>
      <c r="H424" s="2"/>
      <c r="I424" s="41" t="s">
        <v>720</v>
      </c>
      <c r="J424" s="41" t="s">
        <v>278</v>
      </c>
      <c r="K424" s="41" t="s">
        <v>682</v>
      </c>
      <c r="L424" s="41" t="s">
        <v>600</v>
      </c>
      <c r="M424" s="42">
        <v>45575</v>
      </c>
      <c r="N424" s="42">
        <v>45575</v>
      </c>
      <c r="O424" s="42">
        <v>46387</v>
      </c>
      <c r="P424" s="41" t="s">
        <v>1878</v>
      </c>
      <c r="Q424" s="41" t="s">
        <v>1879</v>
      </c>
      <c r="R424" s="41" t="s">
        <v>1880</v>
      </c>
      <c r="S424" s="43"/>
      <c r="T424" s="41"/>
    </row>
    <row r="425" spans="1:20" s="44" customFormat="1" ht="25.05" customHeight="1" x14ac:dyDescent="0.3">
      <c r="A425" s="41">
        <v>1</v>
      </c>
      <c r="B425" s="41"/>
      <c r="C425" s="51" t="str">
        <f>VLOOKUP(F425,[1]VLOOKUP!$A$2:$B$35,2,FALSE)</f>
        <v>华东</v>
      </c>
      <c r="D425" s="41" t="s">
        <v>1881</v>
      </c>
      <c r="E425" s="41"/>
      <c r="F425" s="2" t="s">
        <v>278</v>
      </c>
      <c r="G425" s="2" t="s">
        <v>279</v>
      </c>
      <c r="H425" s="2" t="s">
        <v>1882</v>
      </c>
      <c r="I425" s="41" t="s">
        <v>720</v>
      </c>
      <c r="J425" s="41" t="s">
        <v>278</v>
      </c>
      <c r="K425" s="41" t="s">
        <v>605</v>
      </c>
      <c r="L425" s="41" t="s">
        <v>600</v>
      </c>
      <c r="M425" s="42">
        <v>45176</v>
      </c>
      <c r="N425" s="42">
        <v>45176</v>
      </c>
      <c r="O425" s="42">
        <v>46022</v>
      </c>
      <c r="P425" s="41" t="s">
        <v>1883</v>
      </c>
      <c r="Q425" s="41" t="s">
        <v>724</v>
      </c>
      <c r="R425" s="41" t="s">
        <v>1884</v>
      </c>
      <c r="S425" s="43" t="s">
        <v>1885</v>
      </c>
      <c r="T425" s="41"/>
    </row>
    <row r="426" spans="1:20" s="44" customFormat="1" ht="25.05" customHeight="1" x14ac:dyDescent="0.3">
      <c r="A426" s="41">
        <v>1</v>
      </c>
      <c r="B426" s="41"/>
      <c r="C426" s="51" t="str">
        <f>VLOOKUP(F426,[1]VLOOKUP!$A$2:$B$35,2,FALSE)</f>
        <v>华东</v>
      </c>
      <c r="D426" s="47" t="s">
        <v>1886</v>
      </c>
      <c r="E426" s="47"/>
      <c r="F426" s="2" t="s">
        <v>278</v>
      </c>
      <c r="G426" s="2" t="s">
        <v>1887</v>
      </c>
      <c r="H426" s="2"/>
      <c r="I426" s="47" t="s">
        <v>720</v>
      </c>
      <c r="J426" s="47" t="s">
        <v>278</v>
      </c>
      <c r="K426" s="47" t="s">
        <v>611</v>
      </c>
      <c r="L426" s="59" t="s">
        <v>600</v>
      </c>
      <c r="M426" s="47">
        <v>44314</v>
      </c>
      <c r="N426" s="47">
        <v>44314</v>
      </c>
      <c r="O426" s="47">
        <v>46022</v>
      </c>
      <c r="P426" s="47" t="s">
        <v>1888</v>
      </c>
      <c r="Q426" s="47" t="s">
        <v>724</v>
      </c>
      <c r="R426" s="47"/>
      <c r="S426" s="47"/>
      <c r="T426" s="47"/>
    </row>
    <row r="427" spans="1:20" s="44" customFormat="1" ht="25.05" customHeight="1" x14ac:dyDescent="0.3">
      <c r="A427" s="41">
        <v>1</v>
      </c>
      <c r="B427" s="41"/>
      <c r="C427" s="51" t="str">
        <f>VLOOKUP(F427,[1]VLOOKUP!$A$2:$B$35,2,FALSE)</f>
        <v>华东</v>
      </c>
      <c r="D427" s="57" t="s">
        <v>1889</v>
      </c>
      <c r="E427" s="57"/>
      <c r="F427" s="2" t="s">
        <v>278</v>
      </c>
      <c r="G427" s="2" t="s">
        <v>488</v>
      </c>
      <c r="H427" s="2"/>
      <c r="I427" s="57" t="s">
        <v>720</v>
      </c>
      <c r="J427" s="57" t="s">
        <v>278</v>
      </c>
      <c r="K427" s="57" t="s">
        <v>682</v>
      </c>
      <c r="L427" s="57" t="s">
        <v>780</v>
      </c>
      <c r="M427" s="57">
        <v>44188</v>
      </c>
      <c r="N427" s="57">
        <v>44188</v>
      </c>
      <c r="O427" s="57">
        <v>44192</v>
      </c>
      <c r="P427" s="57" t="s">
        <v>1890</v>
      </c>
      <c r="Q427" s="57" t="s">
        <v>857</v>
      </c>
      <c r="R427" s="57"/>
      <c r="S427" s="58" t="s">
        <v>1891</v>
      </c>
      <c r="T427" s="57"/>
    </row>
    <row r="428" spans="1:20" s="44" customFormat="1" ht="25.05" customHeight="1" x14ac:dyDescent="0.3">
      <c r="A428" s="41"/>
      <c r="B428" s="41"/>
      <c r="C428" s="41"/>
      <c r="D428" s="47" t="s">
        <v>1892</v>
      </c>
      <c r="E428" s="47"/>
      <c r="F428" s="2" t="s">
        <v>278</v>
      </c>
      <c r="G428" s="2" t="s">
        <v>488</v>
      </c>
      <c r="H428" s="2"/>
      <c r="I428" s="47" t="s">
        <v>720</v>
      </c>
      <c r="J428" s="47" t="s">
        <v>278</v>
      </c>
      <c r="K428" s="47" t="s">
        <v>611</v>
      </c>
      <c r="L428" s="47" t="s">
        <v>606</v>
      </c>
      <c r="M428" s="47"/>
      <c r="N428" s="47"/>
      <c r="O428" s="47"/>
      <c r="P428" s="47" t="s">
        <v>1893</v>
      </c>
      <c r="Q428" s="47" t="s">
        <v>825</v>
      </c>
      <c r="R428" s="47"/>
      <c r="S428" s="47"/>
      <c r="T428" s="47"/>
    </row>
    <row r="429" spans="1:20" s="44" customFormat="1" ht="25.05" customHeight="1" x14ac:dyDescent="0.3">
      <c r="A429" s="41"/>
      <c r="B429" s="41"/>
      <c r="C429" s="41"/>
      <c r="D429" s="47" t="s">
        <v>1894</v>
      </c>
      <c r="E429" s="47"/>
      <c r="F429" s="2" t="s">
        <v>278</v>
      </c>
      <c r="G429" s="2" t="s">
        <v>488</v>
      </c>
      <c r="H429" s="2"/>
      <c r="I429" s="47" t="s">
        <v>720</v>
      </c>
      <c r="J429" s="47" t="s">
        <v>278</v>
      </c>
      <c r="K429" s="47" t="s">
        <v>611</v>
      </c>
      <c r="L429" s="47" t="s">
        <v>606</v>
      </c>
      <c r="M429" s="47"/>
      <c r="N429" s="47"/>
      <c r="O429" s="47"/>
      <c r="P429" s="47"/>
      <c r="Q429" s="47"/>
      <c r="R429" s="47"/>
      <c r="S429" s="47"/>
      <c r="T429" s="47"/>
    </row>
    <row r="430" spans="1:20" s="44" customFormat="1" ht="25.05" customHeight="1" x14ac:dyDescent="0.3">
      <c r="A430" s="41">
        <v>1</v>
      </c>
      <c r="B430" s="41"/>
      <c r="C430" s="51" t="str">
        <f>VLOOKUP(F430,[1]VLOOKUP!$A$2:$B$35,2,FALSE)</f>
        <v>华东</v>
      </c>
      <c r="D430" s="41" t="s">
        <v>1895</v>
      </c>
      <c r="E430" s="41"/>
      <c r="F430" s="2" t="s">
        <v>278</v>
      </c>
      <c r="G430" s="2" t="s">
        <v>488</v>
      </c>
      <c r="H430" s="2" t="s">
        <v>248</v>
      </c>
      <c r="I430" s="41" t="s">
        <v>720</v>
      </c>
      <c r="J430" s="41" t="s">
        <v>278</v>
      </c>
      <c r="K430" s="41" t="s">
        <v>605</v>
      </c>
      <c r="L430" s="41" t="s">
        <v>600</v>
      </c>
      <c r="M430" s="42">
        <v>46009</v>
      </c>
      <c r="N430" s="42">
        <v>46009</v>
      </c>
      <c r="O430" s="42">
        <v>46374</v>
      </c>
      <c r="P430" s="41" t="s">
        <v>1896</v>
      </c>
      <c r="Q430" s="41" t="s">
        <v>1897</v>
      </c>
      <c r="R430" s="41" t="s">
        <v>1898</v>
      </c>
      <c r="S430" s="43" t="s">
        <v>1899</v>
      </c>
      <c r="T430" s="41"/>
    </row>
    <row r="431" spans="1:20" s="44" customFormat="1" ht="25.05" customHeight="1" x14ac:dyDescent="0.3">
      <c r="A431" s="41">
        <v>1</v>
      </c>
      <c r="B431" s="41"/>
      <c r="C431" s="51" t="str">
        <f>VLOOKUP(F431,[1]VLOOKUP!$A$2:$B$35,2,FALSE)</f>
        <v>华东</v>
      </c>
      <c r="D431" s="41" t="s">
        <v>1695</v>
      </c>
      <c r="E431" s="41"/>
      <c r="F431" s="2" t="s">
        <v>278</v>
      </c>
      <c r="G431" s="2" t="s">
        <v>1900</v>
      </c>
      <c r="H431" s="2" t="s">
        <v>1901</v>
      </c>
      <c r="I431" s="41" t="s">
        <v>720</v>
      </c>
      <c r="J431" s="41" t="s">
        <v>278</v>
      </c>
      <c r="K431" s="41" t="s">
        <v>611</v>
      </c>
      <c r="L431" s="41" t="s">
        <v>600</v>
      </c>
      <c r="M431" s="42">
        <v>44144</v>
      </c>
      <c r="N431" s="42">
        <v>44253</v>
      </c>
      <c r="O431" s="42">
        <v>49674</v>
      </c>
      <c r="P431" s="41" t="s">
        <v>1902</v>
      </c>
      <c r="Q431" s="41" t="s">
        <v>724</v>
      </c>
      <c r="R431" s="41"/>
      <c r="S431" s="43" t="s">
        <v>1903</v>
      </c>
      <c r="T431" s="41"/>
    </row>
    <row r="432" spans="1:20" s="44" customFormat="1" ht="25.05" customHeight="1" x14ac:dyDescent="0.3">
      <c r="A432" s="41"/>
      <c r="B432" s="41"/>
      <c r="C432" s="41"/>
      <c r="D432" s="47" t="s">
        <v>1904</v>
      </c>
      <c r="E432" s="47"/>
      <c r="F432" s="2" t="s">
        <v>278</v>
      </c>
      <c r="G432" s="2" t="s">
        <v>1900</v>
      </c>
      <c r="H432" s="2" t="s">
        <v>1901</v>
      </c>
      <c r="I432" s="47" t="s">
        <v>720</v>
      </c>
      <c r="J432" s="47" t="s">
        <v>278</v>
      </c>
      <c r="K432" s="47" t="s">
        <v>611</v>
      </c>
      <c r="L432" s="47" t="s">
        <v>606</v>
      </c>
      <c r="M432" s="47"/>
      <c r="N432" s="47"/>
      <c r="O432" s="47"/>
      <c r="P432" s="47"/>
      <c r="Q432" s="47"/>
      <c r="R432" s="47"/>
      <c r="S432" s="47"/>
      <c r="T432" s="47"/>
    </row>
    <row r="433" spans="1:20" s="44" customFormat="1" ht="25.05" customHeight="1" x14ac:dyDescent="0.3">
      <c r="A433" s="41"/>
      <c r="B433" s="41"/>
      <c r="C433" s="41"/>
      <c r="D433" s="47" t="s">
        <v>1905</v>
      </c>
      <c r="E433" s="47"/>
      <c r="F433" s="2" t="s">
        <v>278</v>
      </c>
      <c r="G433" s="2" t="s">
        <v>1900</v>
      </c>
      <c r="H433" s="2" t="s">
        <v>1901</v>
      </c>
      <c r="I433" s="47" t="s">
        <v>720</v>
      </c>
      <c r="J433" s="47" t="s">
        <v>278</v>
      </c>
      <c r="K433" s="47" t="s">
        <v>611</v>
      </c>
      <c r="L433" s="47" t="s">
        <v>606</v>
      </c>
      <c r="M433" s="47"/>
      <c r="N433" s="47"/>
      <c r="O433" s="47"/>
      <c r="P433" s="47"/>
      <c r="Q433" s="47"/>
      <c r="R433" s="47"/>
      <c r="S433" s="47"/>
      <c r="T433" s="47"/>
    </row>
    <row r="434" spans="1:20" s="44" customFormat="1" ht="25.05" customHeight="1" x14ac:dyDescent="0.3">
      <c r="A434" s="41"/>
      <c r="B434" s="41"/>
      <c r="C434" s="41"/>
      <c r="D434" s="47" t="s">
        <v>1906</v>
      </c>
      <c r="E434" s="47"/>
      <c r="F434" s="2" t="s">
        <v>278</v>
      </c>
      <c r="G434" s="2" t="s">
        <v>1907</v>
      </c>
      <c r="H434" s="2"/>
      <c r="I434" s="47" t="s">
        <v>720</v>
      </c>
      <c r="J434" s="47" t="s">
        <v>278</v>
      </c>
      <c r="K434" s="47" t="s">
        <v>611</v>
      </c>
      <c r="L434" s="47" t="s">
        <v>606</v>
      </c>
      <c r="M434" s="47"/>
      <c r="N434" s="47"/>
      <c r="O434" s="47"/>
      <c r="P434" s="47"/>
      <c r="Q434" s="47"/>
      <c r="R434" s="47"/>
      <c r="S434" s="47"/>
      <c r="T434" s="47"/>
    </row>
    <row r="435" spans="1:20" s="44" customFormat="1" ht="25.05" customHeight="1" x14ac:dyDescent="0.3">
      <c r="A435" s="41"/>
      <c r="B435" s="41"/>
      <c r="C435" s="41"/>
      <c r="D435" s="47" t="s">
        <v>1908</v>
      </c>
      <c r="E435" s="47"/>
      <c r="F435" s="2" t="s">
        <v>278</v>
      </c>
      <c r="G435" s="2" t="s">
        <v>1907</v>
      </c>
      <c r="H435" s="2"/>
      <c r="I435" s="47" t="s">
        <v>720</v>
      </c>
      <c r="J435" s="47" t="s">
        <v>278</v>
      </c>
      <c r="K435" s="47" t="s">
        <v>605</v>
      </c>
      <c r="L435" s="47" t="s">
        <v>606</v>
      </c>
      <c r="M435" s="47"/>
      <c r="N435" s="47"/>
      <c r="O435" s="47"/>
      <c r="P435" s="47"/>
      <c r="Q435" s="47"/>
      <c r="R435" s="47"/>
      <c r="S435" s="47"/>
      <c r="T435" s="47"/>
    </row>
    <row r="436" spans="1:20" s="44" customFormat="1" ht="25.05" customHeight="1" x14ac:dyDescent="0.3">
      <c r="A436" s="41"/>
      <c r="B436" s="41"/>
      <c r="C436" s="41"/>
      <c r="D436" s="47" t="s">
        <v>1909</v>
      </c>
      <c r="E436" s="47"/>
      <c r="F436" s="2" t="s">
        <v>278</v>
      </c>
      <c r="G436" s="2" t="s">
        <v>1907</v>
      </c>
      <c r="H436" s="2"/>
      <c r="I436" s="47" t="s">
        <v>720</v>
      </c>
      <c r="J436" s="47" t="s">
        <v>278</v>
      </c>
      <c r="K436" s="47" t="s">
        <v>682</v>
      </c>
      <c r="L436" s="47" t="s">
        <v>606</v>
      </c>
      <c r="M436" s="47"/>
      <c r="N436" s="47"/>
      <c r="O436" s="47"/>
      <c r="P436" s="47"/>
      <c r="Q436" s="47"/>
      <c r="R436" s="47"/>
      <c r="S436" s="47"/>
      <c r="T436" s="47"/>
    </row>
    <row r="437" spans="1:20" s="44" customFormat="1" ht="25.05" customHeight="1" x14ac:dyDescent="0.3">
      <c r="A437" s="41">
        <v>1</v>
      </c>
      <c r="B437" s="41"/>
      <c r="C437" s="51" t="str">
        <f>VLOOKUP(F437,[1]VLOOKUP!$A$2:$B$35,2,FALSE)</f>
        <v>华东</v>
      </c>
      <c r="D437" s="57" t="s">
        <v>1910</v>
      </c>
      <c r="E437" s="57"/>
      <c r="F437" s="2" t="s">
        <v>278</v>
      </c>
      <c r="G437" s="2" t="s">
        <v>1911</v>
      </c>
      <c r="H437" s="2"/>
      <c r="I437" s="57" t="s">
        <v>720</v>
      </c>
      <c r="J437" s="57" t="s">
        <v>278</v>
      </c>
      <c r="K437" s="57" t="s">
        <v>611</v>
      </c>
      <c r="L437" s="57" t="s">
        <v>780</v>
      </c>
      <c r="M437" s="57">
        <v>44727</v>
      </c>
      <c r="N437" s="57">
        <v>44727</v>
      </c>
      <c r="O437" s="57">
        <v>44757</v>
      </c>
      <c r="P437" s="57" t="s">
        <v>1912</v>
      </c>
      <c r="Q437" s="57" t="s">
        <v>716</v>
      </c>
      <c r="R437" s="57"/>
      <c r="S437" s="58" t="s">
        <v>1913</v>
      </c>
      <c r="T437" s="57"/>
    </row>
    <row r="438" spans="1:20" s="44" customFormat="1" ht="25.05" customHeight="1" x14ac:dyDescent="0.3">
      <c r="A438" s="41"/>
      <c r="B438" s="41"/>
      <c r="C438" s="41"/>
      <c r="D438" s="57" t="s">
        <v>1914</v>
      </c>
      <c r="E438" s="57"/>
      <c r="F438" s="2" t="s">
        <v>278</v>
      </c>
      <c r="G438" s="2" t="s">
        <v>1915</v>
      </c>
      <c r="H438" s="2"/>
      <c r="I438" s="57" t="s">
        <v>720</v>
      </c>
      <c r="J438" s="57" t="s">
        <v>278</v>
      </c>
      <c r="K438" s="57" t="s">
        <v>682</v>
      </c>
      <c r="L438" s="57" t="s">
        <v>780</v>
      </c>
      <c r="M438" s="57">
        <v>45831</v>
      </c>
      <c r="N438" s="57">
        <v>45831</v>
      </c>
      <c r="O438" s="57">
        <v>45861</v>
      </c>
      <c r="P438" s="57" t="s">
        <v>1916</v>
      </c>
      <c r="Q438" s="57" t="s">
        <v>716</v>
      </c>
      <c r="R438" s="57"/>
      <c r="S438" s="58" t="s">
        <v>1917</v>
      </c>
      <c r="T438" s="57"/>
    </row>
    <row r="439" spans="1:20" ht="25.05" customHeight="1" x14ac:dyDescent="0.3">
      <c r="A439" s="36"/>
      <c r="B439" s="36"/>
      <c r="C439" s="36"/>
      <c r="D439" s="60"/>
      <c r="E439" s="61"/>
      <c r="F439" s="3" t="s">
        <v>392</v>
      </c>
      <c r="G439" s="3"/>
      <c r="H439" s="3"/>
      <c r="I439" s="60"/>
      <c r="J439" s="60"/>
      <c r="K439" s="60"/>
      <c r="L439" s="60"/>
      <c r="M439" s="60"/>
      <c r="N439" s="60"/>
      <c r="O439" s="60"/>
      <c r="P439" s="60"/>
      <c r="Q439" s="60"/>
      <c r="R439" s="60"/>
      <c r="S439" s="62"/>
      <c r="T439" s="60"/>
    </row>
    <row r="440" spans="1:20" s="44" customFormat="1" ht="25.05" customHeight="1" x14ac:dyDescent="0.3">
      <c r="A440" s="41">
        <v>1</v>
      </c>
      <c r="B440" s="41"/>
      <c r="C440" s="51" t="str">
        <f>VLOOKUP(F440,[1]VLOOKUP!$A$2:$B$35,2,FALSE)</f>
        <v>华东</v>
      </c>
      <c r="D440" s="41" t="s">
        <v>1918</v>
      </c>
      <c r="E440" s="41"/>
      <c r="F440" s="2" t="s">
        <v>392</v>
      </c>
      <c r="G440" s="2"/>
      <c r="H440" s="2"/>
      <c r="I440" s="41" t="s">
        <v>474</v>
      </c>
      <c r="J440" s="41" t="s">
        <v>392</v>
      </c>
      <c r="K440" s="41" t="s">
        <v>611</v>
      </c>
      <c r="L440" s="41" t="s">
        <v>600</v>
      </c>
      <c r="M440" s="42">
        <v>44916</v>
      </c>
      <c r="N440" s="42">
        <v>44916</v>
      </c>
      <c r="O440" s="42">
        <v>46022</v>
      </c>
      <c r="P440" s="41" t="s">
        <v>1919</v>
      </c>
      <c r="Q440" s="41" t="s">
        <v>716</v>
      </c>
      <c r="R440" s="41" t="s">
        <v>1920</v>
      </c>
      <c r="S440" s="43" t="s">
        <v>1921</v>
      </c>
      <c r="T440" s="41"/>
    </row>
    <row r="441" spans="1:20" s="44" customFormat="1" ht="25.05" customHeight="1" x14ac:dyDescent="0.3">
      <c r="A441" s="41">
        <v>1</v>
      </c>
      <c r="B441" s="41"/>
      <c r="C441" s="51" t="str">
        <f>VLOOKUP(F441,[1]VLOOKUP!$A$2:$B$35,2,FALSE)</f>
        <v>华东</v>
      </c>
      <c r="D441" s="41" t="s">
        <v>1922</v>
      </c>
      <c r="E441" s="41"/>
      <c r="F441" s="2" t="s">
        <v>392</v>
      </c>
      <c r="G441" s="2"/>
      <c r="H441" s="2"/>
      <c r="I441" s="41" t="s">
        <v>474</v>
      </c>
      <c r="J441" s="41" t="s">
        <v>392</v>
      </c>
      <c r="K441" s="41" t="s">
        <v>611</v>
      </c>
      <c r="L441" s="41" t="s">
        <v>600</v>
      </c>
      <c r="M441" s="42">
        <v>45824</v>
      </c>
      <c r="N441" s="42">
        <v>45826</v>
      </c>
      <c r="O441" s="42">
        <v>49674</v>
      </c>
      <c r="P441" s="41" t="s">
        <v>1919</v>
      </c>
      <c r="Q441" s="41" t="s">
        <v>716</v>
      </c>
      <c r="R441" s="41" t="s">
        <v>1923</v>
      </c>
      <c r="S441" s="43" t="s">
        <v>1924</v>
      </c>
      <c r="T441" s="41"/>
    </row>
    <row r="442" spans="1:20" s="44" customFormat="1" ht="25.05" customHeight="1" x14ac:dyDescent="0.3">
      <c r="A442" s="41">
        <v>1</v>
      </c>
      <c r="B442" s="41"/>
      <c r="C442" s="51" t="str">
        <f>VLOOKUP(F442,[1]VLOOKUP!$A$2:$B$35,2,FALSE)</f>
        <v>华东</v>
      </c>
      <c r="D442" s="52" t="s">
        <v>1925</v>
      </c>
      <c r="E442" s="52"/>
      <c r="F442" s="2" t="s">
        <v>392</v>
      </c>
      <c r="G442" s="2" t="s">
        <v>484</v>
      </c>
      <c r="H442" s="2"/>
      <c r="I442" s="52" t="s">
        <v>720</v>
      </c>
      <c r="J442" s="52" t="s">
        <v>392</v>
      </c>
      <c r="K442" s="52" t="s">
        <v>605</v>
      </c>
      <c r="L442" s="52" t="s">
        <v>663</v>
      </c>
      <c r="M442" s="52">
        <v>44172</v>
      </c>
      <c r="N442" s="52">
        <v>44208</v>
      </c>
      <c r="O442" s="52">
        <v>45291</v>
      </c>
      <c r="P442" s="52" t="s">
        <v>1926</v>
      </c>
      <c r="Q442" s="52" t="s">
        <v>1927</v>
      </c>
      <c r="R442" s="52" t="s">
        <v>1928</v>
      </c>
      <c r="S442" s="53" t="s">
        <v>1929</v>
      </c>
      <c r="T442" s="52"/>
    </row>
    <row r="443" spans="1:20" s="44" customFormat="1" ht="25.05" customHeight="1" x14ac:dyDescent="0.3">
      <c r="A443" s="41">
        <v>1</v>
      </c>
      <c r="B443" s="41"/>
      <c r="C443" s="51" t="str">
        <f>VLOOKUP(F443,[1]VLOOKUP!$A$2:$B$35,2,FALSE)</f>
        <v>华东</v>
      </c>
      <c r="D443" s="52" t="s">
        <v>1930</v>
      </c>
      <c r="E443" s="52"/>
      <c r="F443" s="2" t="s">
        <v>392</v>
      </c>
      <c r="G443" s="2" t="s">
        <v>484</v>
      </c>
      <c r="H443" s="2"/>
      <c r="I443" s="52" t="s">
        <v>720</v>
      </c>
      <c r="J443" s="52" t="s">
        <v>392</v>
      </c>
      <c r="K443" s="52" t="s">
        <v>682</v>
      </c>
      <c r="L443" s="52" t="s">
        <v>663</v>
      </c>
      <c r="M443" s="52">
        <v>44152</v>
      </c>
      <c r="N443" s="52">
        <v>44152</v>
      </c>
      <c r="O443" s="52">
        <v>44882</v>
      </c>
      <c r="P443" s="52" t="s">
        <v>1931</v>
      </c>
      <c r="Q443" s="52"/>
      <c r="R443" s="52" t="s">
        <v>1932</v>
      </c>
      <c r="S443" s="53" t="s">
        <v>1933</v>
      </c>
      <c r="T443" s="52"/>
    </row>
    <row r="444" spans="1:20" s="44" customFormat="1" ht="25.05" customHeight="1" x14ac:dyDescent="0.3">
      <c r="A444" s="41">
        <v>1</v>
      </c>
      <c r="B444" s="41"/>
      <c r="C444" s="51" t="str">
        <f>VLOOKUP(F444,[1]VLOOKUP!$A$2:$B$35,2,FALSE)</f>
        <v>华东</v>
      </c>
      <c r="D444" s="41" t="s">
        <v>1934</v>
      </c>
      <c r="E444" s="41"/>
      <c r="F444" s="2" t="s">
        <v>392</v>
      </c>
      <c r="G444" s="2" t="s">
        <v>393</v>
      </c>
      <c r="H444" s="2"/>
      <c r="I444" s="41" t="s">
        <v>720</v>
      </c>
      <c r="J444" s="41" t="s">
        <v>392</v>
      </c>
      <c r="K444" s="41" t="s">
        <v>599</v>
      </c>
      <c r="L444" s="41" t="s">
        <v>600</v>
      </c>
      <c r="M444" s="42">
        <v>45922</v>
      </c>
      <c r="N444" s="42">
        <v>45922</v>
      </c>
      <c r="O444" s="42">
        <v>46752</v>
      </c>
      <c r="P444" s="41" t="s">
        <v>1935</v>
      </c>
      <c r="Q444" s="41" t="s">
        <v>716</v>
      </c>
      <c r="R444" s="41" t="s">
        <v>1936</v>
      </c>
      <c r="S444" s="43" t="s">
        <v>1937</v>
      </c>
      <c r="T444" s="41"/>
    </row>
    <row r="445" spans="1:20" s="44" customFormat="1" ht="25.05" customHeight="1" x14ac:dyDescent="0.3">
      <c r="A445" s="41"/>
      <c r="B445" s="41"/>
      <c r="C445" s="41"/>
      <c r="D445" s="57" t="s">
        <v>1938</v>
      </c>
      <c r="E445" s="57"/>
      <c r="F445" s="2" t="s">
        <v>392</v>
      </c>
      <c r="G445" s="2" t="s">
        <v>393</v>
      </c>
      <c r="H445" s="2"/>
      <c r="I445" s="57" t="s">
        <v>720</v>
      </c>
      <c r="J445" s="57" t="s">
        <v>392</v>
      </c>
      <c r="K445" s="57" t="s">
        <v>682</v>
      </c>
      <c r="L445" s="57" t="s">
        <v>780</v>
      </c>
      <c r="M445" s="57">
        <v>46008</v>
      </c>
      <c r="N445" s="57">
        <v>46008</v>
      </c>
      <c r="O445" s="57">
        <v>46040</v>
      </c>
      <c r="P445" s="57" t="s">
        <v>1939</v>
      </c>
      <c r="Q445" s="57" t="s">
        <v>1940</v>
      </c>
      <c r="R445" s="57"/>
      <c r="S445" s="58" t="s">
        <v>1941</v>
      </c>
      <c r="T445" s="57"/>
    </row>
    <row r="446" spans="1:20" s="44" customFormat="1" ht="25.05" customHeight="1" x14ac:dyDescent="0.3">
      <c r="A446" s="41">
        <v>1</v>
      </c>
      <c r="B446" s="41"/>
      <c r="C446" s="51" t="str">
        <f>VLOOKUP(F446,[1]VLOOKUP!$A$2:$B$35,2,FALSE)</f>
        <v>华东</v>
      </c>
      <c r="D446" s="57" t="s">
        <v>1942</v>
      </c>
      <c r="E446" s="57"/>
      <c r="F446" s="2" t="s">
        <v>392</v>
      </c>
      <c r="G446" s="2" t="s">
        <v>393</v>
      </c>
      <c r="H446" s="2"/>
      <c r="I446" s="57" t="s">
        <v>720</v>
      </c>
      <c r="J446" s="57" t="s">
        <v>392</v>
      </c>
      <c r="K446" s="57" t="s">
        <v>605</v>
      </c>
      <c r="L446" s="57" t="s">
        <v>780</v>
      </c>
      <c r="M446" s="57">
        <v>46020</v>
      </c>
      <c r="N446" s="57">
        <v>46020</v>
      </c>
      <c r="O446" s="57">
        <v>46030</v>
      </c>
      <c r="P446" s="57" t="s">
        <v>1935</v>
      </c>
      <c r="Q446" s="57" t="s">
        <v>716</v>
      </c>
      <c r="R446" s="57"/>
      <c r="S446" s="58" t="s">
        <v>1943</v>
      </c>
      <c r="T446" s="57"/>
    </row>
    <row r="447" spans="1:20" ht="25.05" customHeight="1" x14ac:dyDescent="0.3">
      <c r="A447" s="36"/>
      <c r="B447" s="36"/>
      <c r="C447" s="36"/>
      <c r="D447" s="60"/>
      <c r="E447" s="61"/>
      <c r="F447" s="3" t="s">
        <v>352</v>
      </c>
      <c r="G447" s="3"/>
      <c r="H447" s="3"/>
      <c r="I447" s="60"/>
      <c r="J447" s="60"/>
      <c r="K447" s="60"/>
      <c r="L447" s="60"/>
      <c r="M447" s="60"/>
      <c r="N447" s="60"/>
      <c r="O447" s="60"/>
      <c r="P447" s="60"/>
      <c r="Q447" s="60"/>
      <c r="R447" s="60"/>
      <c r="S447" s="62"/>
      <c r="T447" s="60"/>
    </row>
    <row r="448" spans="1:20" s="44" customFormat="1" ht="25.05" customHeight="1" x14ac:dyDescent="0.3">
      <c r="A448" s="41">
        <v>1</v>
      </c>
      <c r="B448" s="41"/>
      <c r="C448" s="51" t="str">
        <f>VLOOKUP(F448,[1]VLOOKUP!$A$2:$B$35,2,FALSE)</f>
        <v>华东</v>
      </c>
      <c r="D448" s="41" t="s">
        <v>1944</v>
      </c>
      <c r="E448" s="41"/>
      <c r="F448" s="2" t="s">
        <v>352</v>
      </c>
      <c r="G448" s="2"/>
      <c r="H448" s="2"/>
      <c r="I448" s="41" t="s">
        <v>474</v>
      </c>
      <c r="J448" s="41" t="s">
        <v>352</v>
      </c>
      <c r="K448" s="41" t="s">
        <v>611</v>
      </c>
      <c r="L448" s="41" t="s">
        <v>600</v>
      </c>
      <c r="M448" s="42">
        <v>44945</v>
      </c>
      <c r="N448" s="42">
        <v>44945</v>
      </c>
      <c r="O448" s="42">
        <v>49674</v>
      </c>
      <c r="P448" s="41" t="s">
        <v>1945</v>
      </c>
      <c r="Q448" s="41" t="s">
        <v>1702</v>
      </c>
      <c r="R448" s="41"/>
      <c r="S448" s="43" t="s">
        <v>1946</v>
      </c>
      <c r="T448" s="41"/>
    </row>
    <row r="449" spans="1:20" s="44" customFormat="1" ht="25.05" customHeight="1" x14ac:dyDescent="0.3">
      <c r="A449" s="41">
        <v>1</v>
      </c>
      <c r="B449" s="41"/>
      <c r="C449" s="51" t="str">
        <f>VLOOKUP(F449,[1]VLOOKUP!$A$2:$B$35,2,FALSE)</f>
        <v>华东</v>
      </c>
      <c r="D449" s="57" t="s">
        <v>1947</v>
      </c>
      <c r="E449" s="57"/>
      <c r="F449" s="2" t="s">
        <v>352</v>
      </c>
      <c r="G449" s="2"/>
      <c r="H449" s="2"/>
      <c r="I449" s="57" t="s">
        <v>474</v>
      </c>
      <c r="J449" s="57" t="s">
        <v>352</v>
      </c>
      <c r="K449" s="57" t="s">
        <v>611</v>
      </c>
      <c r="L449" s="57" t="s">
        <v>600</v>
      </c>
      <c r="M449" s="57">
        <v>45513</v>
      </c>
      <c r="N449" s="57">
        <v>45513</v>
      </c>
      <c r="O449" s="57">
        <v>45521</v>
      </c>
      <c r="P449" s="57" t="s">
        <v>1948</v>
      </c>
      <c r="Q449" s="57" t="s">
        <v>716</v>
      </c>
      <c r="R449" s="57"/>
      <c r="S449" s="58" t="s">
        <v>1949</v>
      </c>
      <c r="T449" s="57"/>
    </row>
    <row r="450" spans="1:20" s="44" customFormat="1" ht="25.05" customHeight="1" x14ac:dyDescent="0.3">
      <c r="A450" s="41">
        <v>1</v>
      </c>
      <c r="B450" s="41"/>
      <c r="C450" s="51" t="str">
        <f>VLOOKUP(F450,[1]VLOOKUP!$A$2:$B$35,2,FALSE)</f>
        <v>华东</v>
      </c>
      <c r="D450" s="57" t="s">
        <v>1950</v>
      </c>
      <c r="E450" s="57"/>
      <c r="F450" s="2" t="s">
        <v>352</v>
      </c>
      <c r="G450" s="2" t="s">
        <v>1951</v>
      </c>
      <c r="H450" s="2"/>
      <c r="I450" s="57" t="s">
        <v>720</v>
      </c>
      <c r="J450" s="57" t="s">
        <v>352</v>
      </c>
      <c r="K450" s="57" t="s">
        <v>611</v>
      </c>
      <c r="L450" s="57" t="s">
        <v>780</v>
      </c>
      <c r="M450" s="57">
        <v>44834</v>
      </c>
      <c r="N450" s="57">
        <v>44834</v>
      </c>
      <c r="O450" s="57">
        <v>44864</v>
      </c>
      <c r="P450" s="57" t="s">
        <v>1952</v>
      </c>
      <c r="Q450" s="57" t="s">
        <v>716</v>
      </c>
      <c r="R450" s="57"/>
      <c r="S450" s="58" t="s">
        <v>1953</v>
      </c>
      <c r="T450" s="57" t="s">
        <v>1201</v>
      </c>
    </row>
    <row r="451" spans="1:20" s="44" customFormat="1" ht="25.05" customHeight="1" x14ac:dyDescent="0.3">
      <c r="A451" s="41">
        <v>1</v>
      </c>
      <c r="B451" s="41"/>
      <c r="C451" s="51" t="str">
        <f>VLOOKUP(F451,[1]VLOOKUP!$A$2:$B$35,2,FALSE)</f>
        <v>华东</v>
      </c>
      <c r="D451" s="52" t="s">
        <v>1954</v>
      </c>
      <c r="E451" s="52"/>
      <c r="F451" s="2" t="s">
        <v>352</v>
      </c>
      <c r="G451" s="2" t="s">
        <v>1951</v>
      </c>
      <c r="H451" s="2"/>
      <c r="I451" s="52" t="s">
        <v>720</v>
      </c>
      <c r="J451" s="52" t="s">
        <v>352</v>
      </c>
      <c r="K451" s="52" t="s">
        <v>605</v>
      </c>
      <c r="L451" s="52" t="s">
        <v>663</v>
      </c>
      <c r="M451" s="52">
        <v>45410</v>
      </c>
      <c r="N451" s="52">
        <v>45411</v>
      </c>
      <c r="O451" s="52">
        <v>45658</v>
      </c>
      <c r="P451" s="52" t="s">
        <v>1955</v>
      </c>
      <c r="Q451" s="52" t="s">
        <v>724</v>
      </c>
      <c r="R451" s="52" t="s">
        <v>1956</v>
      </c>
      <c r="S451" s="53" t="s">
        <v>1957</v>
      </c>
      <c r="T451" s="52"/>
    </row>
    <row r="452" spans="1:20" s="44" customFormat="1" ht="25.05" customHeight="1" x14ac:dyDescent="0.3">
      <c r="A452" s="41">
        <v>1</v>
      </c>
      <c r="B452" s="41"/>
      <c r="C452" s="51" t="str">
        <f>VLOOKUP(F452,[1]VLOOKUP!$A$2:$B$35,2,FALSE)</f>
        <v>华东</v>
      </c>
      <c r="D452" s="41" t="s">
        <v>1958</v>
      </c>
      <c r="E452" s="41"/>
      <c r="F452" s="2" t="s">
        <v>352</v>
      </c>
      <c r="G452" s="2" t="s">
        <v>1951</v>
      </c>
      <c r="H452" s="2"/>
      <c r="I452" s="41" t="s">
        <v>720</v>
      </c>
      <c r="J452" s="41" t="s">
        <v>352</v>
      </c>
      <c r="K452" s="41" t="s">
        <v>605</v>
      </c>
      <c r="L452" s="41" t="s">
        <v>600</v>
      </c>
      <c r="M452" s="42">
        <v>45869</v>
      </c>
      <c r="N452" s="42">
        <v>45881</v>
      </c>
      <c r="O452" s="42">
        <v>46752</v>
      </c>
      <c r="P452" s="41" t="s">
        <v>1955</v>
      </c>
      <c r="Q452" s="41" t="s">
        <v>724</v>
      </c>
      <c r="R452" s="41" t="s">
        <v>1959</v>
      </c>
      <c r="S452" s="43" t="s">
        <v>1960</v>
      </c>
      <c r="T452" s="41"/>
    </row>
    <row r="453" spans="1:20" s="44" customFormat="1" ht="25.05" customHeight="1" x14ac:dyDescent="0.3">
      <c r="A453" s="41">
        <v>1</v>
      </c>
      <c r="B453" s="41"/>
      <c r="C453" s="51" t="str">
        <f>VLOOKUP(F453,[1]VLOOKUP!$A$2:$B$35,2,FALSE)</f>
        <v>华东</v>
      </c>
      <c r="D453" s="41" t="s">
        <v>1961</v>
      </c>
      <c r="E453" s="41"/>
      <c r="F453" s="2" t="s">
        <v>352</v>
      </c>
      <c r="G453" s="2" t="s">
        <v>1951</v>
      </c>
      <c r="H453" s="2"/>
      <c r="I453" s="41" t="s">
        <v>720</v>
      </c>
      <c r="J453" s="41" t="s">
        <v>352</v>
      </c>
      <c r="K453" s="41" t="s">
        <v>605</v>
      </c>
      <c r="L453" s="41" t="s">
        <v>600</v>
      </c>
      <c r="M453" s="42">
        <v>46083</v>
      </c>
      <c r="N453" s="42">
        <v>46083</v>
      </c>
      <c r="O453" s="42">
        <v>46387</v>
      </c>
      <c r="P453" s="41" t="s">
        <v>1962</v>
      </c>
      <c r="Q453" s="41" t="s">
        <v>1177</v>
      </c>
      <c r="R453" s="41" t="s">
        <v>1963</v>
      </c>
      <c r="S453" s="43" t="s">
        <v>1964</v>
      </c>
      <c r="T453" s="41"/>
    </row>
    <row r="454" spans="1:20" s="44" customFormat="1" ht="25.05" customHeight="1" x14ac:dyDescent="0.3">
      <c r="A454" s="41"/>
      <c r="B454" s="41"/>
      <c r="C454" s="41"/>
      <c r="D454" s="47" t="s">
        <v>1965</v>
      </c>
      <c r="E454" s="47"/>
      <c r="F454" s="2" t="s">
        <v>352</v>
      </c>
      <c r="G454" s="2" t="s">
        <v>1966</v>
      </c>
      <c r="H454" s="2"/>
      <c r="I454" s="47" t="s">
        <v>720</v>
      </c>
      <c r="J454" s="47" t="s">
        <v>352</v>
      </c>
      <c r="K454" s="47" t="s">
        <v>682</v>
      </c>
      <c r="L454" s="47" t="s">
        <v>606</v>
      </c>
      <c r="M454" s="47">
        <v>45504</v>
      </c>
      <c r="N454" s="47"/>
      <c r="O454" s="47"/>
      <c r="P454" s="47" t="s">
        <v>1967</v>
      </c>
      <c r="Q454" s="47" t="s">
        <v>1968</v>
      </c>
      <c r="R454" s="47" t="s">
        <v>1969</v>
      </c>
      <c r="S454" s="47"/>
      <c r="T454" s="47"/>
    </row>
    <row r="455" spans="1:20" ht="25.05" customHeight="1" x14ac:dyDescent="0.3">
      <c r="A455" s="36"/>
      <c r="B455" s="36"/>
      <c r="C455" s="36"/>
      <c r="D455" s="60"/>
      <c r="E455" s="61"/>
      <c r="F455" s="3" t="s">
        <v>280</v>
      </c>
      <c r="G455" s="3"/>
      <c r="H455" s="3"/>
      <c r="I455" s="60"/>
      <c r="J455" s="60"/>
      <c r="K455" s="60"/>
      <c r="L455" s="60"/>
      <c r="M455" s="60"/>
      <c r="N455" s="60"/>
      <c r="O455" s="60"/>
      <c r="P455" s="60"/>
      <c r="Q455" s="60"/>
      <c r="R455" s="60"/>
      <c r="S455" s="62"/>
      <c r="T455" s="60"/>
    </row>
    <row r="456" spans="1:20" s="44" customFormat="1" ht="25.05" customHeight="1" x14ac:dyDescent="0.3">
      <c r="A456" s="41">
        <v>1</v>
      </c>
      <c r="B456" s="41"/>
      <c r="C456" s="51" t="str">
        <f>VLOOKUP(F456,[1]VLOOKUP!$A$2:$B$35,2,FALSE)</f>
        <v>华东</v>
      </c>
      <c r="D456" s="41" t="s">
        <v>1970</v>
      </c>
      <c r="E456" s="41"/>
      <c r="F456" s="2" t="s">
        <v>280</v>
      </c>
      <c r="G456" s="2"/>
      <c r="H456" s="2"/>
      <c r="I456" s="41" t="s">
        <v>474</v>
      </c>
      <c r="J456" s="41" t="s">
        <v>280</v>
      </c>
      <c r="K456" s="41" t="s">
        <v>611</v>
      </c>
      <c r="L456" s="41" t="s">
        <v>600</v>
      </c>
      <c r="M456" s="42">
        <v>43999</v>
      </c>
      <c r="N456" s="42">
        <v>44006</v>
      </c>
      <c r="O456" s="42">
        <v>47848</v>
      </c>
      <c r="P456" s="41" t="s">
        <v>1971</v>
      </c>
      <c r="Q456" s="41" t="s">
        <v>724</v>
      </c>
      <c r="R456" s="41" t="s">
        <v>1972</v>
      </c>
      <c r="S456" s="43" t="s">
        <v>1973</v>
      </c>
      <c r="T456" s="41"/>
    </row>
    <row r="457" spans="1:20" ht="25.05" customHeight="1" x14ac:dyDescent="0.3">
      <c r="A457" s="69">
        <v>1</v>
      </c>
      <c r="B457" s="69"/>
      <c r="C457" s="51" t="str">
        <f>VLOOKUP(F457,[1]VLOOKUP!$A$2:$B$35,2,FALSE)</f>
        <v>华东</v>
      </c>
      <c r="D457" s="70" t="s">
        <v>1974</v>
      </c>
      <c r="E457" s="70"/>
      <c r="F457" s="2" t="s">
        <v>280</v>
      </c>
      <c r="G457" s="2"/>
      <c r="H457" s="2"/>
      <c r="I457" s="70" t="s">
        <v>474</v>
      </c>
      <c r="J457" s="70" t="s">
        <v>280</v>
      </c>
      <c r="K457" s="70" t="s">
        <v>605</v>
      </c>
      <c r="L457" s="59" t="s">
        <v>663</v>
      </c>
      <c r="M457" s="59">
        <v>44834</v>
      </c>
      <c r="N457" s="59">
        <v>44834</v>
      </c>
      <c r="O457" s="71">
        <v>44834</v>
      </c>
      <c r="P457" s="70" t="s">
        <v>1975</v>
      </c>
      <c r="Q457" s="70" t="s">
        <v>1976</v>
      </c>
      <c r="R457" s="70" t="s">
        <v>1977</v>
      </c>
      <c r="S457" s="72"/>
      <c r="T457" s="70"/>
    </row>
    <row r="458" spans="1:20" ht="25.05" customHeight="1" x14ac:dyDescent="0.3">
      <c r="A458" s="69"/>
      <c r="B458" s="69"/>
      <c r="C458" s="69"/>
      <c r="D458" s="70" t="s">
        <v>1978</v>
      </c>
      <c r="E458" s="70"/>
      <c r="F458" s="2" t="s">
        <v>280</v>
      </c>
      <c r="G458" s="2"/>
      <c r="H458" s="2"/>
      <c r="I458" s="70" t="s">
        <v>474</v>
      </c>
      <c r="J458" s="70" t="s">
        <v>280</v>
      </c>
      <c r="K458" s="70" t="s">
        <v>611</v>
      </c>
      <c r="L458" s="70" t="s">
        <v>606</v>
      </c>
      <c r="M458" s="71"/>
      <c r="N458" s="71"/>
      <c r="O458" s="70"/>
      <c r="P458" s="70" t="s">
        <v>1979</v>
      </c>
      <c r="Q458" s="70" t="s">
        <v>1054</v>
      </c>
      <c r="R458" s="70"/>
      <c r="S458" s="72"/>
      <c r="T458" s="70"/>
    </row>
    <row r="459" spans="1:20" ht="25.05" customHeight="1" x14ac:dyDescent="0.3">
      <c r="A459" s="69">
        <v>1</v>
      </c>
      <c r="B459" s="69"/>
      <c r="C459" s="51" t="str">
        <f>VLOOKUP(F459,[1]VLOOKUP!$A$2:$B$35,2,FALSE)</f>
        <v>华东</v>
      </c>
      <c r="D459" s="73" t="s">
        <v>1980</v>
      </c>
      <c r="E459" s="73"/>
      <c r="F459" s="2" t="s">
        <v>280</v>
      </c>
      <c r="G459" s="2"/>
      <c r="H459" s="2"/>
      <c r="I459" s="73" t="s">
        <v>474</v>
      </c>
      <c r="J459" s="73" t="s">
        <v>280</v>
      </c>
      <c r="K459" s="73" t="s">
        <v>599</v>
      </c>
      <c r="L459" s="73" t="s">
        <v>600</v>
      </c>
      <c r="M459" s="73">
        <v>44299</v>
      </c>
      <c r="N459" s="73">
        <v>44299</v>
      </c>
      <c r="O459" s="73">
        <v>44305</v>
      </c>
      <c r="P459" s="73" t="s">
        <v>1981</v>
      </c>
      <c r="Q459" s="73" t="s">
        <v>1054</v>
      </c>
      <c r="R459" s="73"/>
      <c r="S459" s="74" t="s">
        <v>1982</v>
      </c>
      <c r="T459" s="73"/>
    </row>
    <row r="460" spans="1:20" ht="25.05" customHeight="1" x14ac:dyDescent="0.3">
      <c r="A460" s="69"/>
      <c r="B460" s="69"/>
      <c r="C460" s="69"/>
      <c r="D460" s="71" t="s">
        <v>1983</v>
      </c>
      <c r="E460" s="71"/>
      <c r="F460" s="2" t="s">
        <v>280</v>
      </c>
      <c r="G460" s="2"/>
      <c r="H460" s="2"/>
      <c r="I460" s="71" t="s">
        <v>474</v>
      </c>
      <c r="J460" s="71" t="s">
        <v>280</v>
      </c>
      <c r="K460" s="71" t="s">
        <v>615</v>
      </c>
      <c r="L460" s="71" t="s">
        <v>606</v>
      </c>
      <c r="M460" s="71"/>
      <c r="N460" s="71"/>
      <c r="O460" s="71"/>
      <c r="P460" s="71" t="s">
        <v>1984</v>
      </c>
      <c r="Q460" s="71" t="s">
        <v>1985</v>
      </c>
      <c r="R460" s="70" t="s">
        <v>1986</v>
      </c>
      <c r="S460" s="75"/>
      <c r="T460" s="71"/>
    </row>
    <row r="461" spans="1:20" ht="25.05" customHeight="1" x14ac:dyDescent="0.3">
      <c r="A461" s="69"/>
      <c r="B461" s="69"/>
      <c r="C461" s="69"/>
      <c r="D461" s="71" t="s">
        <v>1987</v>
      </c>
      <c r="E461" s="71"/>
      <c r="F461" s="2" t="s">
        <v>280</v>
      </c>
      <c r="G461" s="2"/>
      <c r="H461" s="2"/>
      <c r="I461" s="71" t="s">
        <v>474</v>
      </c>
      <c r="J461" s="71" t="s">
        <v>280</v>
      </c>
      <c r="K461" s="71" t="s">
        <v>599</v>
      </c>
      <c r="L461" s="71" t="s">
        <v>606</v>
      </c>
      <c r="M461" s="71"/>
      <c r="N461" s="71"/>
      <c r="O461" s="71"/>
      <c r="P461" s="71" t="s">
        <v>1988</v>
      </c>
      <c r="Q461" s="71" t="s">
        <v>1989</v>
      </c>
      <c r="R461" s="70" t="s">
        <v>1990</v>
      </c>
      <c r="S461" s="75"/>
      <c r="T461" s="71"/>
    </row>
    <row r="462" spans="1:20" ht="25.05" customHeight="1" x14ac:dyDescent="0.3">
      <c r="A462" s="69">
        <v>1</v>
      </c>
      <c r="B462" s="69"/>
      <c r="C462" s="51" t="str">
        <f>VLOOKUP(F462,[1]VLOOKUP!$A$2:$B$35,2,FALSE)</f>
        <v>华东</v>
      </c>
      <c r="D462" s="76" t="s">
        <v>1991</v>
      </c>
      <c r="E462" s="76"/>
      <c r="F462" s="2" t="s">
        <v>280</v>
      </c>
      <c r="G462" s="2" t="s">
        <v>539</v>
      </c>
      <c r="H462" s="2"/>
      <c r="I462" s="76" t="s">
        <v>720</v>
      </c>
      <c r="J462" s="76" t="s">
        <v>280</v>
      </c>
      <c r="K462" s="76" t="s">
        <v>611</v>
      </c>
      <c r="L462" s="76" t="s">
        <v>663</v>
      </c>
      <c r="M462" s="76">
        <v>44040</v>
      </c>
      <c r="N462" s="76">
        <v>44040</v>
      </c>
      <c r="O462" s="76">
        <v>44926</v>
      </c>
      <c r="P462" s="76" t="s">
        <v>1992</v>
      </c>
      <c r="Q462" s="76" t="s">
        <v>724</v>
      </c>
      <c r="R462" s="76" t="s">
        <v>1993</v>
      </c>
      <c r="S462" s="77" t="s">
        <v>1994</v>
      </c>
      <c r="T462" s="76"/>
    </row>
    <row r="463" spans="1:20" ht="25.05" customHeight="1" x14ac:dyDescent="0.3">
      <c r="A463" s="69">
        <v>1</v>
      </c>
      <c r="B463" s="69"/>
      <c r="C463" s="51" t="str">
        <f>VLOOKUP(F463,[1]VLOOKUP!$A$2:$B$35,2,FALSE)</f>
        <v>华东</v>
      </c>
      <c r="D463" s="76" t="s">
        <v>1995</v>
      </c>
      <c r="E463" s="76"/>
      <c r="F463" s="2" t="s">
        <v>280</v>
      </c>
      <c r="G463" s="2" t="s">
        <v>539</v>
      </c>
      <c r="H463" s="2"/>
      <c r="I463" s="76" t="s">
        <v>720</v>
      </c>
      <c r="J463" s="76" t="s">
        <v>280</v>
      </c>
      <c r="K463" s="76" t="s">
        <v>682</v>
      </c>
      <c r="L463" s="76" t="s">
        <v>663</v>
      </c>
      <c r="M463" s="76">
        <v>44144</v>
      </c>
      <c r="N463" s="76">
        <v>44144</v>
      </c>
      <c r="O463" s="76">
        <v>44874</v>
      </c>
      <c r="P463" s="76" t="s">
        <v>1992</v>
      </c>
      <c r="Q463" s="76" t="s">
        <v>724</v>
      </c>
      <c r="R463" s="76" t="s">
        <v>1996</v>
      </c>
      <c r="S463" s="77" t="s">
        <v>1997</v>
      </c>
      <c r="T463" s="76"/>
    </row>
    <row r="464" spans="1:20" ht="25.05" customHeight="1" x14ac:dyDescent="0.3">
      <c r="A464" s="69">
        <v>1</v>
      </c>
      <c r="B464" s="69"/>
      <c r="C464" s="51" t="str">
        <f>VLOOKUP(F464,[1]VLOOKUP!$A$2:$B$35,2,FALSE)</f>
        <v>华东</v>
      </c>
      <c r="D464" s="69" t="s">
        <v>540</v>
      </c>
      <c r="E464" s="69"/>
      <c r="F464" s="2" t="s">
        <v>280</v>
      </c>
      <c r="G464" s="2" t="s">
        <v>539</v>
      </c>
      <c r="H464" s="2"/>
      <c r="I464" s="69" t="s">
        <v>720</v>
      </c>
      <c r="J464" s="69" t="s">
        <v>280</v>
      </c>
      <c r="K464" s="78" t="s">
        <v>682</v>
      </c>
      <c r="L464" s="78" t="s">
        <v>600</v>
      </c>
      <c r="M464" s="78">
        <v>44991</v>
      </c>
      <c r="N464" s="78">
        <v>44991</v>
      </c>
      <c r="O464" s="78">
        <v>46112</v>
      </c>
      <c r="P464" s="78" t="s">
        <v>1992</v>
      </c>
      <c r="Q464" s="78" t="s">
        <v>724</v>
      </c>
      <c r="R464" s="78" t="s">
        <v>1998</v>
      </c>
      <c r="S464" s="79" t="s">
        <v>1999</v>
      </c>
      <c r="T464" s="78"/>
    </row>
    <row r="465" spans="1:20" ht="25.05" customHeight="1" x14ac:dyDescent="0.3">
      <c r="A465" s="69">
        <v>1</v>
      </c>
      <c r="B465" s="69"/>
      <c r="C465" s="51" t="str">
        <f>VLOOKUP(F465,[1]VLOOKUP!$A$2:$B$35,2,FALSE)</f>
        <v>华东</v>
      </c>
      <c r="D465" s="69" t="s">
        <v>2000</v>
      </c>
      <c r="E465" s="69"/>
      <c r="F465" s="2" t="s">
        <v>280</v>
      </c>
      <c r="G465" s="2" t="s">
        <v>542</v>
      </c>
      <c r="H465" s="2"/>
      <c r="I465" s="69" t="s">
        <v>720</v>
      </c>
      <c r="J465" s="69" t="s">
        <v>280</v>
      </c>
      <c r="K465" s="78" t="s">
        <v>611</v>
      </c>
      <c r="L465" s="78" t="s">
        <v>600</v>
      </c>
      <c r="M465" s="78">
        <v>44179</v>
      </c>
      <c r="N465" s="78">
        <v>44179</v>
      </c>
      <c r="O465" s="78">
        <v>47848</v>
      </c>
      <c r="P465" s="78" t="s">
        <v>2001</v>
      </c>
      <c r="Q465" s="78" t="s">
        <v>724</v>
      </c>
      <c r="R465" s="78"/>
      <c r="S465" s="79" t="s">
        <v>2002</v>
      </c>
      <c r="T465" s="78"/>
    </row>
    <row r="466" spans="1:20" ht="25.05" customHeight="1" x14ac:dyDescent="0.3">
      <c r="A466" s="69">
        <v>1</v>
      </c>
      <c r="B466" s="69"/>
      <c r="C466" s="51" t="str">
        <f>VLOOKUP(F466,[1]VLOOKUP!$A$2:$B$35,2,FALSE)</f>
        <v>华东</v>
      </c>
      <c r="D466" s="69" t="s">
        <v>2003</v>
      </c>
      <c r="E466" s="69"/>
      <c r="F466" s="2" t="s">
        <v>280</v>
      </c>
      <c r="G466" s="2" t="s">
        <v>542</v>
      </c>
      <c r="H466" s="2"/>
      <c r="I466" s="69" t="s">
        <v>720</v>
      </c>
      <c r="J466" s="69" t="s">
        <v>280</v>
      </c>
      <c r="K466" s="78" t="s">
        <v>611</v>
      </c>
      <c r="L466" s="78" t="s">
        <v>600</v>
      </c>
      <c r="M466" s="78">
        <v>45000</v>
      </c>
      <c r="N466" s="78">
        <v>45000</v>
      </c>
      <c r="O466" s="78">
        <v>46022</v>
      </c>
      <c r="P466" s="78" t="s">
        <v>2004</v>
      </c>
      <c r="Q466" s="78" t="s">
        <v>857</v>
      </c>
      <c r="R466" s="78"/>
      <c r="S466" s="79" t="s">
        <v>2005</v>
      </c>
      <c r="T466" s="78"/>
    </row>
    <row r="467" spans="1:20" s="44" customFormat="1" ht="25.05" customHeight="1" x14ac:dyDescent="0.3">
      <c r="A467" s="41">
        <v>1</v>
      </c>
      <c r="B467" s="69"/>
      <c r="C467" s="51" t="str">
        <f>VLOOKUP(F467,[1]VLOOKUP!$A$2:$B$35,2,FALSE)</f>
        <v>华东</v>
      </c>
      <c r="D467" s="57" t="s">
        <v>2006</v>
      </c>
      <c r="E467" s="57"/>
      <c r="F467" s="2" t="s">
        <v>280</v>
      </c>
      <c r="G467" s="2" t="s">
        <v>542</v>
      </c>
      <c r="H467" s="2"/>
      <c r="I467" s="57" t="s">
        <v>720</v>
      </c>
      <c r="J467" s="57" t="s">
        <v>280</v>
      </c>
      <c r="K467" s="57" t="s">
        <v>682</v>
      </c>
      <c r="L467" s="57" t="s">
        <v>780</v>
      </c>
      <c r="M467" s="57">
        <v>45097</v>
      </c>
      <c r="N467" s="57">
        <v>45097</v>
      </c>
      <c r="O467" s="57">
        <v>45127</v>
      </c>
      <c r="P467" s="57" t="s">
        <v>2007</v>
      </c>
      <c r="Q467" s="57" t="s">
        <v>654</v>
      </c>
      <c r="R467" s="57"/>
      <c r="S467" s="58" t="s">
        <v>2008</v>
      </c>
      <c r="T467" s="57"/>
    </row>
    <row r="468" spans="1:20" ht="25.05" customHeight="1" x14ac:dyDescent="0.3">
      <c r="A468" s="69">
        <v>1</v>
      </c>
      <c r="B468" s="69"/>
      <c r="C468" s="51" t="str">
        <f>VLOOKUP(F468,[1]VLOOKUP!$A$2:$B$35,2,FALSE)</f>
        <v>华东</v>
      </c>
      <c r="D468" s="69" t="s">
        <v>2009</v>
      </c>
      <c r="E468" s="69"/>
      <c r="F468" s="2" t="s">
        <v>280</v>
      </c>
      <c r="G468" s="2" t="s">
        <v>542</v>
      </c>
      <c r="H468" s="2"/>
      <c r="I468" s="69" t="s">
        <v>720</v>
      </c>
      <c r="J468" s="69" t="s">
        <v>280</v>
      </c>
      <c r="K468" s="78" t="s">
        <v>611</v>
      </c>
      <c r="L468" s="78" t="s">
        <v>600</v>
      </c>
      <c r="M468" s="78">
        <v>45169</v>
      </c>
      <c r="N468" s="78">
        <v>45169</v>
      </c>
      <c r="O468" s="78">
        <v>49674</v>
      </c>
      <c r="P468" s="78" t="s">
        <v>2004</v>
      </c>
      <c r="Q468" s="78" t="s">
        <v>857</v>
      </c>
      <c r="R468" s="78"/>
      <c r="S468" s="79" t="s">
        <v>2010</v>
      </c>
      <c r="T468" s="78"/>
    </row>
    <row r="469" spans="1:20" ht="25.05" customHeight="1" x14ac:dyDescent="0.3">
      <c r="A469" s="69">
        <v>1</v>
      </c>
      <c r="B469" s="69"/>
      <c r="C469" s="51" t="str">
        <f>VLOOKUP(F469,[1]VLOOKUP!$A$2:$B$35,2,FALSE)</f>
        <v>华东</v>
      </c>
      <c r="D469" s="69" t="s">
        <v>2011</v>
      </c>
      <c r="E469" s="69"/>
      <c r="F469" s="2" t="s">
        <v>280</v>
      </c>
      <c r="G469" s="2" t="s">
        <v>542</v>
      </c>
      <c r="H469" s="2"/>
      <c r="I469" s="69" t="s">
        <v>720</v>
      </c>
      <c r="J469" s="69" t="s">
        <v>280</v>
      </c>
      <c r="K469" s="78" t="s">
        <v>605</v>
      </c>
      <c r="L469" s="78" t="s">
        <v>600</v>
      </c>
      <c r="M469" s="78">
        <v>45209</v>
      </c>
      <c r="N469" s="78">
        <v>45211</v>
      </c>
      <c r="O469" s="78">
        <v>46307</v>
      </c>
      <c r="P469" s="78" t="s">
        <v>2001</v>
      </c>
      <c r="Q469" s="78" t="s">
        <v>724</v>
      </c>
      <c r="R469" s="78" t="s">
        <v>2012</v>
      </c>
      <c r="S469" s="79" t="s">
        <v>2013</v>
      </c>
      <c r="T469" s="78"/>
    </row>
    <row r="470" spans="1:20" ht="25.05" customHeight="1" x14ac:dyDescent="0.3">
      <c r="A470" s="69">
        <v>1</v>
      </c>
      <c r="B470" s="69"/>
      <c r="C470" s="51" t="str">
        <f>VLOOKUP(F470,[1]VLOOKUP!$A$2:$B$35,2,FALSE)</f>
        <v>华东</v>
      </c>
      <c r="D470" s="69" t="s">
        <v>2014</v>
      </c>
      <c r="E470" s="69"/>
      <c r="F470" s="2" t="s">
        <v>280</v>
      </c>
      <c r="G470" s="2" t="s">
        <v>542</v>
      </c>
      <c r="H470" s="2"/>
      <c r="I470" s="69" t="s">
        <v>720</v>
      </c>
      <c r="J470" s="69" t="s">
        <v>280</v>
      </c>
      <c r="K470" s="78" t="s">
        <v>605</v>
      </c>
      <c r="L470" s="78" t="s">
        <v>600</v>
      </c>
      <c r="M470" s="78">
        <v>45952</v>
      </c>
      <c r="N470" s="78">
        <v>45952</v>
      </c>
      <c r="O470" s="78">
        <v>45961</v>
      </c>
      <c r="P470" s="78" t="s">
        <v>2015</v>
      </c>
      <c r="Q470" s="78" t="s">
        <v>519</v>
      </c>
      <c r="R470" s="78"/>
      <c r="S470" s="79"/>
      <c r="T470" s="78"/>
    </row>
    <row r="471" spans="1:20" ht="25.05" customHeight="1" x14ac:dyDescent="0.3">
      <c r="A471" s="69">
        <v>1</v>
      </c>
      <c r="B471" s="69"/>
      <c r="C471" s="51" t="str">
        <f>VLOOKUP(F471,[1]VLOOKUP!$A$2:$B$35,2,FALSE)</f>
        <v>华东</v>
      </c>
      <c r="D471" s="76" t="s">
        <v>2016</v>
      </c>
      <c r="E471" s="76"/>
      <c r="F471" s="2" t="s">
        <v>280</v>
      </c>
      <c r="G471" s="2" t="s">
        <v>542</v>
      </c>
      <c r="H471" s="2" t="s">
        <v>2017</v>
      </c>
      <c r="I471" s="76" t="s">
        <v>720</v>
      </c>
      <c r="J471" s="76" t="s">
        <v>280</v>
      </c>
      <c r="K471" s="76" t="s">
        <v>682</v>
      </c>
      <c r="L471" s="76" t="s">
        <v>663</v>
      </c>
      <c r="M471" s="76">
        <v>43998</v>
      </c>
      <c r="N471" s="76">
        <v>44029</v>
      </c>
      <c r="O471" s="76">
        <v>44562</v>
      </c>
      <c r="P471" s="76" t="s">
        <v>2018</v>
      </c>
      <c r="Q471" s="76" t="s">
        <v>1761</v>
      </c>
      <c r="R471" s="76" t="s">
        <v>2019</v>
      </c>
      <c r="S471" s="77" t="s">
        <v>2020</v>
      </c>
      <c r="T471" s="76"/>
    </row>
    <row r="472" spans="1:20" ht="25.05" customHeight="1" x14ac:dyDescent="0.3">
      <c r="A472" s="69">
        <v>1</v>
      </c>
      <c r="B472" s="69"/>
      <c r="C472" s="51" t="str">
        <f>VLOOKUP(F472,[1]VLOOKUP!$A$2:$B$35,2,FALSE)</f>
        <v>华东</v>
      </c>
      <c r="D472" s="69" t="s">
        <v>2021</v>
      </c>
      <c r="E472" s="69"/>
      <c r="F472" s="2" t="s">
        <v>280</v>
      </c>
      <c r="G472" s="2" t="s">
        <v>542</v>
      </c>
      <c r="H472" s="2" t="s">
        <v>2017</v>
      </c>
      <c r="I472" s="69" t="s">
        <v>720</v>
      </c>
      <c r="J472" s="69" t="s">
        <v>280</v>
      </c>
      <c r="K472" s="78" t="s">
        <v>611</v>
      </c>
      <c r="L472" s="78" t="s">
        <v>600</v>
      </c>
      <c r="M472" s="78">
        <v>44585</v>
      </c>
      <c r="N472" s="78">
        <v>44585</v>
      </c>
      <c r="O472" s="78">
        <v>47848</v>
      </c>
      <c r="P472" s="78" t="s">
        <v>2018</v>
      </c>
      <c r="Q472" s="78" t="s">
        <v>1761</v>
      </c>
      <c r="R472" s="78" t="s">
        <v>2022</v>
      </c>
      <c r="S472" s="79" t="s">
        <v>2023</v>
      </c>
      <c r="T472" s="78"/>
    </row>
    <row r="473" spans="1:20" ht="25.05" customHeight="1" x14ac:dyDescent="0.3">
      <c r="A473" s="69">
        <v>1</v>
      </c>
      <c r="B473" s="69"/>
      <c r="C473" s="51" t="str">
        <f>VLOOKUP(F473,[1]VLOOKUP!$A$2:$B$35,2,FALSE)</f>
        <v>华东</v>
      </c>
      <c r="D473" s="76" t="s">
        <v>2024</v>
      </c>
      <c r="E473" s="76"/>
      <c r="F473" s="2" t="s">
        <v>280</v>
      </c>
      <c r="G473" s="2" t="s">
        <v>463</v>
      </c>
      <c r="H473" s="2"/>
      <c r="I473" s="76" t="s">
        <v>720</v>
      </c>
      <c r="J473" s="76" t="s">
        <v>280</v>
      </c>
      <c r="K473" s="76" t="s">
        <v>611</v>
      </c>
      <c r="L473" s="76" t="s">
        <v>663</v>
      </c>
      <c r="M473" s="76">
        <v>43830</v>
      </c>
      <c r="N473" s="76">
        <v>43830</v>
      </c>
      <c r="O473" s="76">
        <v>44561</v>
      </c>
      <c r="P473" s="76" t="s">
        <v>2025</v>
      </c>
      <c r="Q473" s="76" t="s">
        <v>724</v>
      </c>
      <c r="R473" s="76" t="s">
        <v>2026</v>
      </c>
      <c r="S473" s="77" t="s">
        <v>2027</v>
      </c>
      <c r="T473" s="76"/>
    </row>
    <row r="474" spans="1:20" s="44" customFormat="1" ht="25.05" customHeight="1" x14ac:dyDescent="0.3">
      <c r="A474" s="41">
        <v>1</v>
      </c>
      <c r="B474" s="41"/>
      <c r="C474" s="51" t="str">
        <f>VLOOKUP(F474,[1]VLOOKUP!$A$2:$B$35,2,FALSE)</f>
        <v>华东</v>
      </c>
      <c r="D474" s="41" t="s">
        <v>2028</v>
      </c>
      <c r="E474" s="41"/>
      <c r="F474" s="2" t="s">
        <v>280</v>
      </c>
      <c r="G474" s="2" t="s">
        <v>463</v>
      </c>
      <c r="H474" s="2"/>
      <c r="I474" s="41" t="s">
        <v>720</v>
      </c>
      <c r="J474" s="41" t="s">
        <v>280</v>
      </c>
      <c r="K474" s="41" t="s">
        <v>611</v>
      </c>
      <c r="L474" s="41" t="s">
        <v>600</v>
      </c>
      <c r="M474" s="42">
        <v>44195</v>
      </c>
      <c r="N474" s="42">
        <v>44201</v>
      </c>
      <c r="O474" s="42">
        <v>47848</v>
      </c>
      <c r="P474" s="41" t="s">
        <v>2025</v>
      </c>
      <c r="Q474" s="41" t="s">
        <v>724</v>
      </c>
      <c r="R474" s="41" t="s">
        <v>2029</v>
      </c>
      <c r="S474" s="43" t="s">
        <v>2030</v>
      </c>
      <c r="T474" s="41"/>
    </row>
    <row r="475" spans="1:20" ht="25.05" customHeight="1" x14ac:dyDescent="0.3">
      <c r="A475" s="69">
        <v>1</v>
      </c>
      <c r="B475" s="69"/>
      <c r="C475" s="51" t="str">
        <f>VLOOKUP(F475,[1]VLOOKUP!$A$2:$B$35,2,FALSE)</f>
        <v>华东</v>
      </c>
      <c r="D475" s="76" t="s">
        <v>464</v>
      </c>
      <c r="E475" s="76"/>
      <c r="F475" s="2" t="s">
        <v>280</v>
      </c>
      <c r="G475" s="2" t="s">
        <v>463</v>
      </c>
      <c r="H475" s="2"/>
      <c r="I475" s="76" t="s">
        <v>720</v>
      </c>
      <c r="J475" s="76" t="s">
        <v>280</v>
      </c>
      <c r="K475" s="76" t="s">
        <v>682</v>
      </c>
      <c r="L475" s="76" t="s">
        <v>663</v>
      </c>
      <c r="M475" s="76">
        <v>43609</v>
      </c>
      <c r="N475" s="76">
        <v>43609</v>
      </c>
      <c r="O475" s="76">
        <v>44712</v>
      </c>
      <c r="P475" s="76" t="s">
        <v>2025</v>
      </c>
      <c r="Q475" s="76" t="s">
        <v>724</v>
      </c>
      <c r="R475" s="76" t="s">
        <v>2031</v>
      </c>
      <c r="S475" s="77" t="s">
        <v>2032</v>
      </c>
      <c r="T475" s="76"/>
    </row>
    <row r="476" spans="1:20" ht="25.05" customHeight="1" x14ac:dyDescent="0.3">
      <c r="A476" s="69">
        <v>1</v>
      </c>
      <c r="B476" s="69"/>
      <c r="C476" s="51" t="str">
        <f>VLOOKUP(F476,[1]VLOOKUP!$A$2:$B$35,2,FALSE)</f>
        <v>华东</v>
      </c>
      <c r="D476" s="76" t="s">
        <v>2033</v>
      </c>
      <c r="E476" s="76"/>
      <c r="F476" s="2" t="s">
        <v>280</v>
      </c>
      <c r="G476" s="2" t="s">
        <v>463</v>
      </c>
      <c r="H476" s="2"/>
      <c r="I476" s="76" t="s">
        <v>720</v>
      </c>
      <c r="J476" s="76" t="s">
        <v>280</v>
      </c>
      <c r="K476" s="76" t="s">
        <v>605</v>
      </c>
      <c r="L476" s="76" t="s">
        <v>663</v>
      </c>
      <c r="M476" s="76">
        <v>43906</v>
      </c>
      <c r="N476" s="76">
        <v>43906</v>
      </c>
      <c r="O476" s="76">
        <v>44561</v>
      </c>
      <c r="P476" s="76" t="s">
        <v>2025</v>
      </c>
      <c r="Q476" s="76" t="s">
        <v>724</v>
      </c>
      <c r="R476" s="76" t="s">
        <v>2034</v>
      </c>
      <c r="S476" s="77" t="s">
        <v>2035</v>
      </c>
      <c r="T476" s="76"/>
    </row>
    <row r="477" spans="1:20" ht="25.05" customHeight="1" x14ac:dyDescent="0.3">
      <c r="A477" s="69">
        <v>1</v>
      </c>
      <c r="B477" s="69"/>
      <c r="C477" s="51" t="str">
        <f>VLOOKUP(F477,[1]VLOOKUP!$A$2:$B$35,2,FALSE)</f>
        <v>华东</v>
      </c>
      <c r="D477" s="71" t="s">
        <v>2036</v>
      </c>
      <c r="E477" s="71"/>
      <c r="F477" s="2" t="s">
        <v>280</v>
      </c>
      <c r="G477" s="2" t="s">
        <v>463</v>
      </c>
      <c r="H477" s="2"/>
      <c r="I477" s="71" t="s">
        <v>720</v>
      </c>
      <c r="J477" s="71" t="s">
        <v>280</v>
      </c>
      <c r="K477" s="71" t="s">
        <v>611</v>
      </c>
      <c r="L477" s="59" t="s">
        <v>600</v>
      </c>
      <c r="M477" s="71">
        <v>44408</v>
      </c>
      <c r="N477" s="71">
        <v>44408</v>
      </c>
      <c r="O477" s="71">
        <v>46022</v>
      </c>
      <c r="P477" s="71" t="s">
        <v>2037</v>
      </c>
      <c r="Q477" s="71" t="s">
        <v>1761</v>
      </c>
      <c r="R477" s="70" t="s">
        <v>2038</v>
      </c>
      <c r="S477" s="75"/>
      <c r="T477" s="71"/>
    </row>
    <row r="478" spans="1:20" ht="25.05" customHeight="1" x14ac:dyDescent="0.3">
      <c r="A478" s="69">
        <v>1</v>
      </c>
      <c r="B478" s="69"/>
      <c r="C478" s="51" t="str">
        <f>VLOOKUP(F478,[1]VLOOKUP!$A$2:$B$35,2,FALSE)</f>
        <v>华东</v>
      </c>
      <c r="D478" s="76" t="s">
        <v>2039</v>
      </c>
      <c r="E478" s="76"/>
      <c r="F478" s="2" t="s">
        <v>280</v>
      </c>
      <c r="G478" s="2" t="s">
        <v>463</v>
      </c>
      <c r="H478" s="2"/>
      <c r="I478" s="76" t="s">
        <v>720</v>
      </c>
      <c r="J478" s="76" t="s">
        <v>280</v>
      </c>
      <c r="K478" s="76" t="s">
        <v>605</v>
      </c>
      <c r="L478" s="76" t="s">
        <v>663</v>
      </c>
      <c r="M478" s="76">
        <v>44553</v>
      </c>
      <c r="N478" s="76">
        <v>44553</v>
      </c>
      <c r="O478" s="76">
        <v>45291</v>
      </c>
      <c r="P478" s="76" t="s">
        <v>2025</v>
      </c>
      <c r="Q478" s="76" t="s">
        <v>724</v>
      </c>
      <c r="R478" s="76" t="s">
        <v>2040</v>
      </c>
      <c r="S478" s="77" t="s">
        <v>2041</v>
      </c>
      <c r="T478" s="76"/>
    </row>
    <row r="479" spans="1:20" ht="25.05" customHeight="1" x14ac:dyDescent="0.3">
      <c r="A479" s="69">
        <v>1</v>
      </c>
      <c r="B479" s="69"/>
      <c r="C479" s="51" t="str">
        <f>VLOOKUP(F479,[1]VLOOKUP!$A$2:$B$35,2,FALSE)</f>
        <v>华东</v>
      </c>
      <c r="D479" s="76" t="s">
        <v>2042</v>
      </c>
      <c r="E479" s="76"/>
      <c r="F479" s="2" t="s">
        <v>280</v>
      </c>
      <c r="G479" s="2" t="s">
        <v>463</v>
      </c>
      <c r="H479" s="2"/>
      <c r="I479" s="76" t="s">
        <v>720</v>
      </c>
      <c r="J479" s="76" t="s">
        <v>280</v>
      </c>
      <c r="K479" s="76" t="s">
        <v>605</v>
      </c>
      <c r="L479" s="76" t="s">
        <v>663</v>
      </c>
      <c r="M479" s="76">
        <v>44562</v>
      </c>
      <c r="N479" s="76">
        <v>44568</v>
      </c>
      <c r="O479" s="76">
        <v>45291</v>
      </c>
      <c r="P479" s="76" t="s">
        <v>2025</v>
      </c>
      <c r="Q479" s="76" t="s">
        <v>724</v>
      </c>
      <c r="R479" s="76" t="s">
        <v>2043</v>
      </c>
      <c r="S479" s="77" t="s">
        <v>2044</v>
      </c>
      <c r="T479" s="76"/>
    </row>
    <row r="480" spans="1:20" s="44" customFormat="1" ht="25.05" customHeight="1" x14ac:dyDescent="0.3">
      <c r="A480" s="41">
        <v>1</v>
      </c>
      <c r="B480" s="41"/>
      <c r="C480" s="51" t="str">
        <f>VLOOKUP(F480,[1]VLOOKUP!$A$2:$B$35,2,FALSE)</f>
        <v>华东</v>
      </c>
      <c r="D480" s="41" t="s">
        <v>2045</v>
      </c>
      <c r="E480" s="41"/>
      <c r="F480" s="2" t="s">
        <v>280</v>
      </c>
      <c r="G480" s="2" t="s">
        <v>463</v>
      </c>
      <c r="H480" s="2"/>
      <c r="I480" s="41" t="s">
        <v>720</v>
      </c>
      <c r="J480" s="41" t="s">
        <v>280</v>
      </c>
      <c r="K480" s="41" t="s">
        <v>682</v>
      </c>
      <c r="L480" s="41" t="s">
        <v>600</v>
      </c>
      <c r="M480" s="42">
        <v>44719</v>
      </c>
      <c r="N480" s="42">
        <v>44719</v>
      </c>
      <c r="O480" s="42">
        <v>45814</v>
      </c>
      <c r="P480" s="41" t="s">
        <v>2025</v>
      </c>
      <c r="Q480" s="41" t="s">
        <v>724</v>
      </c>
      <c r="R480" s="41" t="s">
        <v>2046</v>
      </c>
      <c r="S480" s="43" t="s">
        <v>2047</v>
      </c>
      <c r="T480" s="41"/>
    </row>
    <row r="481" spans="1:20" ht="25.05" customHeight="1" x14ac:dyDescent="0.3">
      <c r="A481" s="69">
        <v>1</v>
      </c>
      <c r="B481" s="69"/>
      <c r="C481" s="51" t="str">
        <f>VLOOKUP(F481,[1]VLOOKUP!$A$2:$B$35,2,FALSE)</f>
        <v>华东</v>
      </c>
      <c r="D481" s="80" t="s">
        <v>2048</v>
      </c>
      <c r="E481" s="80"/>
      <c r="F481" s="2" t="s">
        <v>280</v>
      </c>
      <c r="G481" s="2" t="s">
        <v>463</v>
      </c>
      <c r="H481" s="2"/>
      <c r="I481" s="80" t="s">
        <v>720</v>
      </c>
      <c r="J481" s="80" t="s">
        <v>280</v>
      </c>
      <c r="K481" s="80" t="s">
        <v>611</v>
      </c>
      <c r="L481" s="80" t="s">
        <v>600</v>
      </c>
      <c r="M481" s="80">
        <v>45014</v>
      </c>
      <c r="N481" s="80">
        <v>45014</v>
      </c>
      <c r="O481" s="80">
        <v>45044</v>
      </c>
      <c r="P481" s="80" t="s">
        <v>2025</v>
      </c>
      <c r="Q481" s="80" t="s">
        <v>724</v>
      </c>
      <c r="R481" s="80"/>
      <c r="S481" s="81" t="s">
        <v>2049</v>
      </c>
      <c r="T481" s="80" t="s">
        <v>1201</v>
      </c>
    </row>
    <row r="482" spans="1:20" s="44" customFormat="1" ht="25.05" customHeight="1" x14ac:dyDescent="0.3">
      <c r="A482" s="41">
        <v>1</v>
      </c>
      <c r="B482" s="41"/>
      <c r="C482" s="51" t="str">
        <f>VLOOKUP(F482,[1]VLOOKUP!$A$2:$B$35,2,FALSE)</f>
        <v>华东</v>
      </c>
      <c r="D482" s="41" t="s">
        <v>2039</v>
      </c>
      <c r="E482" s="41"/>
      <c r="F482" s="2" t="s">
        <v>280</v>
      </c>
      <c r="G482" s="2" t="s">
        <v>463</v>
      </c>
      <c r="H482" s="2"/>
      <c r="I482" s="41" t="s">
        <v>720</v>
      </c>
      <c r="J482" s="41" t="s">
        <v>280</v>
      </c>
      <c r="K482" s="41" t="s">
        <v>605</v>
      </c>
      <c r="L482" s="41" t="s">
        <v>600</v>
      </c>
      <c r="M482" s="42">
        <v>45757</v>
      </c>
      <c r="N482" s="42">
        <v>45757</v>
      </c>
      <c r="O482" s="42">
        <v>46752</v>
      </c>
      <c r="P482" s="41" t="s">
        <v>2050</v>
      </c>
      <c r="Q482" s="41" t="s">
        <v>2051</v>
      </c>
      <c r="R482" s="41" t="s">
        <v>2052</v>
      </c>
      <c r="S482" s="43" t="s">
        <v>2053</v>
      </c>
      <c r="T482" s="41"/>
    </row>
    <row r="483" spans="1:20" ht="25.05" customHeight="1" x14ac:dyDescent="0.3">
      <c r="A483" s="69">
        <v>1</v>
      </c>
      <c r="B483" s="69"/>
      <c r="C483" s="51" t="str">
        <f>VLOOKUP(F483,[1]VLOOKUP!$A$2:$B$35,2,FALSE)</f>
        <v>华东</v>
      </c>
      <c r="D483" s="76" t="s">
        <v>2054</v>
      </c>
      <c r="E483" s="76"/>
      <c r="F483" s="2" t="s">
        <v>280</v>
      </c>
      <c r="G483" s="2" t="s">
        <v>469</v>
      </c>
      <c r="H483" s="2"/>
      <c r="I483" s="76" t="s">
        <v>720</v>
      </c>
      <c r="J483" s="76" t="s">
        <v>280</v>
      </c>
      <c r="K483" s="76" t="s">
        <v>605</v>
      </c>
      <c r="L483" s="76" t="s">
        <v>663</v>
      </c>
      <c r="M483" s="76">
        <v>43787</v>
      </c>
      <c r="N483" s="76">
        <v>43823</v>
      </c>
      <c r="O483" s="76">
        <v>44196</v>
      </c>
      <c r="P483" s="76" t="s">
        <v>2055</v>
      </c>
      <c r="Q483" s="76" t="s">
        <v>724</v>
      </c>
      <c r="R483" s="76" t="s">
        <v>2056</v>
      </c>
      <c r="S483" s="77" t="s">
        <v>2057</v>
      </c>
      <c r="T483" s="76"/>
    </row>
    <row r="484" spans="1:20" ht="25.05" customHeight="1" x14ac:dyDescent="0.3">
      <c r="A484" s="69"/>
      <c r="B484" s="69"/>
      <c r="C484" s="69"/>
      <c r="D484" s="76" t="s">
        <v>2054</v>
      </c>
      <c r="E484" s="76"/>
      <c r="F484" s="2" t="s">
        <v>280</v>
      </c>
      <c r="G484" s="2" t="s">
        <v>469</v>
      </c>
      <c r="H484" s="2"/>
      <c r="I484" s="76" t="s">
        <v>720</v>
      </c>
      <c r="J484" s="76" t="s">
        <v>280</v>
      </c>
      <c r="K484" s="76" t="s">
        <v>605</v>
      </c>
      <c r="L484" s="76" t="s">
        <v>663</v>
      </c>
      <c r="M484" s="76">
        <v>44184</v>
      </c>
      <c r="N484" s="76">
        <v>44184</v>
      </c>
      <c r="O484" s="76">
        <v>45278</v>
      </c>
      <c r="P484" s="76" t="s">
        <v>2055</v>
      </c>
      <c r="Q484" s="76" t="s">
        <v>724</v>
      </c>
      <c r="R484" s="76" t="s">
        <v>2058</v>
      </c>
      <c r="S484" s="77" t="s">
        <v>2059</v>
      </c>
      <c r="T484" s="76"/>
    </row>
    <row r="485" spans="1:20" ht="25.05" customHeight="1" x14ac:dyDescent="0.3">
      <c r="A485" s="69">
        <v>1</v>
      </c>
      <c r="B485" s="69"/>
      <c r="C485" s="51" t="str">
        <f>VLOOKUP(F485,[1]VLOOKUP!$A$2:$B$35,2,FALSE)</f>
        <v>华东</v>
      </c>
      <c r="D485" s="76" t="s">
        <v>2060</v>
      </c>
      <c r="E485" s="76"/>
      <c r="F485" s="2" t="s">
        <v>280</v>
      </c>
      <c r="G485" s="2" t="s">
        <v>469</v>
      </c>
      <c r="H485" s="2"/>
      <c r="I485" s="76" t="s">
        <v>720</v>
      </c>
      <c r="J485" s="76" t="s">
        <v>280</v>
      </c>
      <c r="K485" s="76" t="s">
        <v>682</v>
      </c>
      <c r="L485" s="76" t="s">
        <v>663</v>
      </c>
      <c r="M485" s="76">
        <v>43777</v>
      </c>
      <c r="N485" s="76">
        <v>43787</v>
      </c>
      <c r="O485" s="76">
        <v>44537</v>
      </c>
      <c r="P485" s="76" t="s">
        <v>2055</v>
      </c>
      <c r="Q485" s="76" t="s">
        <v>724</v>
      </c>
      <c r="R485" s="76" t="s">
        <v>2061</v>
      </c>
      <c r="S485" s="77" t="s">
        <v>2062</v>
      </c>
      <c r="T485" s="76"/>
    </row>
    <row r="486" spans="1:20" s="44" customFormat="1" ht="25.05" customHeight="1" x14ac:dyDescent="0.3">
      <c r="A486" s="41">
        <v>1</v>
      </c>
      <c r="B486" s="41"/>
      <c r="C486" s="51" t="str">
        <f>VLOOKUP(F486,[1]VLOOKUP!$A$2:$B$35,2,FALSE)</f>
        <v>华东</v>
      </c>
      <c r="D486" s="41" t="s">
        <v>2063</v>
      </c>
      <c r="E486" s="41"/>
      <c r="F486" s="2" t="s">
        <v>280</v>
      </c>
      <c r="G486" s="2" t="s">
        <v>469</v>
      </c>
      <c r="H486" s="2"/>
      <c r="I486" s="41" t="s">
        <v>720</v>
      </c>
      <c r="J486" s="41" t="s">
        <v>280</v>
      </c>
      <c r="K486" s="41" t="s">
        <v>611</v>
      </c>
      <c r="L486" s="41" t="s">
        <v>600</v>
      </c>
      <c r="M486" s="42">
        <v>44377</v>
      </c>
      <c r="N486" s="42">
        <v>44377</v>
      </c>
      <c r="O486" s="42">
        <v>47848</v>
      </c>
      <c r="P486" s="41" t="s">
        <v>2064</v>
      </c>
      <c r="Q486" s="41" t="s">
        <v>519</v>
      </c>
      <c r="R486" s="41" t="s">
        <v>2065</v>
      </c>
      <c r="S486" s="43" t="s">
        <v>2066</v>
      </c>
      <c r="T486" s="41"/>
    </row>
    <row r="487" spans="1:20" s="44" customFormat="1" ht="25.05" customHeight="1" x14ac:dyDescent="0.3">
      <c r="A487" s="41">
        <v>1</v>
      </c>
      <c r="B487" s="41"/>
      <c r="C487" s="51" t="str">
        <f>VLOOKUP(F487,[1]VLOOKUP!$A$2:$B$35,2,FALSE)</f>
        <v>华东</v>
      </c>
      <c r="D487" s="41" t="s">
        <v>2067</v>
      </c>
      <c r="E487" s="41"/>
      <c r="F487" s="2" t="s">
        <v>280</v>
      </c>
      <c r="G487" s="2" t="s">
        <v>2068</v>
      </c>
      <c r="H487" s="2"/>
      <c r="I487" s="41" t="s">
        <v>720</v>
      </c>
      <c r="J487" s="41" t="s">
        <v>280</v>
      </c>
      <c r="K487" s="41" t="s">
        <v>611</v>
      </c>
      <c r="L487" s="41" t="s">
        <v>600</v>
      </c>
      <c r="M487" s="42">
        <v>44194</v>
      </c>
      <c r="N487" s="42">
        <v>44201</v>
      </c>
      <c r="O487" s="42">
        <v>46022</v>
      </c>
      <c r="P487" s="41" t="s">
        <v>2069</v>
      </c>
      <c r="Q487" s="41" t="s">
        <v>724</v>
      </c>
      <c r="R487" s="41" t="s">
        <v>2070</v>
      </c>
      <c r="S487" s="43" t="s">
        <v>2071</v>
      </c>
      <c r="T487" s="41"/>
    </row>
    <row r="488" spans="1:20" s="44" customFormat="1" ht="25.05" customHeight="1" x14ac:dyDescent="0.3">
      <c r="A488" s="41">
        <v>1</v>
      </c>
      <c r="B488" s="41"/>
      <c r="C488" s="51" t="str">
        <f>VLOOKUP(F488,[1]VLOOKUP!$A$2:$B$35,2,FALSE)</f>
        <v>华东</v>
      </c>
      <c r="D488" s="41" t="s">
        <v>2072</v>
      </c>
      <c r="E488" s="41"/>
      <c r="F488" s="2" t="s">
        <v>280</v>
      </c>
      <c r="G488" s="2" t="s">
        <v>2068</v>
      </c>
      <c r="H488" s="2"/>
      <c r="I488" s="41" t="s">
        <v>720</v>
      </c>
      <c r="J488" s="41" t="s">
        <v>280</v>
      </c>
      <c r="K488" s="41" t="s">
        <v>611</v>
      </c>
      <c r="L488" s="41" t="s">
        <v>600</v>
      </c>
      <c r="M488" s="42">
        <v>45282</v>
      </c>
      <c r="N488" s="42">
        <v>45282</v>
      </c>
      <c r="O488" s="42">
        <v>45324</v>
      </c>
      <c r="P488" s="41" t="s">
        <v>2073</v>
      </c>
      <c r="Q488" s="41" t="s">
        <v>2074</v>
      </c>
      <c r="R488" s="41"/>
      <c r="S488" s="43" t="s">
        <v>2075</v>
      </c>
      <c r="T488" s="41"/>
    </row>
    <row r="489" spans="1:20" s="44" customFormat="1" ht="25.05" customHeight="1" x14ac:dyDescent="0.3">
      <c r="A489" s="41"/>
      <c r="B489" s="41"/>
      <c r="C489" s="69"/>
      <c r="D489" s="41" t="s">
        <v>2076</v>
      </c>
      <c r="E489" s="41"/>
      <c r="F489" s="2" t="s">
        <v>280</v>
      </c>
      <c r="G489" s="2" t="s">
        <v>2068</v>
      </c>
      <c r="H489" s="2" t="s">
        <v>2077</v>
      </c>
      <c r="I489" s="41" t="s">
        <v>720</v>
      </c>
      <c r="J489" s="41" t="s">
        <v>280</v>
      </c>
      <c r="K489" s="41" t="s">
        <v>682</v>
      </c>
      <c r="L489" s="41" t="s">
        <v>600</v>
      </c>
      <c r="M489" s="42">
        <v>45747</v>
      </c>
      <c r="N489" s="42">
        <v>45747</v>
      </c>
      <c r="O489" s="42">
        <v>46507</v>
      </c>
      <c r="P489" s="41" t="s">
        <v>2078</v>
      </c>
      <c r="Q489" s="41" t="s">
        <v>724</v>
      </c>
      <c r="R489" s="41" t="s">
        <v>2079</v>
      </c>
      <c r="S489" s="43" t="s">
        <v>2080</v>
      </c>
      <c r="T489" s="41"/>
    </row>
    <row r="490" spans="1:20" ht="25.05" customHeight="1" x14ac:dyDescent="0.3">
      <c r="A490" s="69">
        <v>1</v>
      </c>
      <c r="B490" s="69"/>
      <c r="C490" s="51" t="str">
        <f>VLOOKUP(F490,[1]VLOOKUP!$A$2:$B$35,2,FALSE)</f>
        <v>华东</v>
      </c>
      <c r="D490" s="76" t="s">
        <v>2081</v>
      </c>
      <c r="E490" s="76"/>
      <c r="F490" s="2" t="s">
        <v>280</v>
      </c>
      <c r="G490" s="2" t="s">
        <v>281</v>
      </c>
      <c r="H490" s="2"/>
      <c r="I490" s="76" t="s">
        <v>720</v>
      </c>
      <c r="J490" s="76" t="s">
        <v>280</v>
      </c>
      <c r="K490" s="76" t="s">
        <v>611</v>
      </c>
      <c r="L490" s="76" t="s">
        <v>663</v>
      </c>
      <c r="M490" s="76">
        <v>44458</v>
      </c>
      <c r="N490" s="76">
        <v>44463</v>
      </c>
      <c r="O490" s="76">
        <v>44926</v>
      </c>
      <c r="P490" s="76" t="s">
        <v>2082</v>
      </c>
      <c r="Q490" s="76" t="s">
        <v>724</v>
      </c>
      <c r="R490" s="76" t="s">
        <v>2083</v>
      </c>
      <c r="S490" s="77" t="s">
        <v>2084</v>
      </c>
      <c r="T490" s="76"/>
    </row>
    <row r="491" spans="1:20" s="44" customFormat="1" ht="25.05" customHeight="1" x14ac:dyDescent="0.3">
      <c r="A491" s="41">
        <v>1</v>
      </c>
      <c r="B491" s="41"/>
      <c r="C491" s="51" t="str">
        <f>VLOOKUP(F491,[1]VLOOKUP!$A$2:$B$35,2,FALSE)</f>
        <v>华东</v>
      </c>
      <c r="D491" s="41" t="s">
        <v>2085</v>
      </c>
      <c r="E491" s="41"/>
      <c r="F491" s="2" t="s">
        <v>280</v>
      </c>
      <c r="G491" s="2" t="s">
        <v>281</v>
      </c>
      <c r="H491" s="2"/>
      <c r="I491" s="41" t="s">
        <v>720</v>
      </c>
      <c r="J491" s="41" t="s">
        <v>280</v>
      </c>
      <c r="K491" s="41" t="s">
        <v>611</v>
      </c>
      <c r="L491" s="41" t="s">
        <v>600</v>
      </c>
      <c r="M491" s="42">
        <v>44787</v>
      </c>
      <c r="N491" s="42">
        <v>44797</v>
      </c>
      <c r="O491" s="42">
        <v>47848</v>
      </c>
      <c r="P491" s="41" t="s">
        <v>2082</v>
      </c>
      <c r="Q491" s="41" t="s">
        <v>724</v>
      </c>
      <c r="R491" s="41" t="s">
        <v>2086</v>
      </c>
      <c r="S491" s="43" t="s">
        <v>2087</v>
      </c>
      <c r="T491" s="41"/>
    </row>
    <row r="492" spans="1:20" ht="25.05" customHeight="1" x14ac:dyDescent="0.3">
      <c r="A492" s="69"/>
      <c r="B492" s="69"/>
      <c r="C492" s="69"/>
      <c r="D492" s="71" t="s">
        <v>2088</v>
      </c>
      <c r="E492" s="71"/>
      <c r="F492" s="2" t="s">
        <v>280</v>
      </c>
      <c r="G492" s="2" t="s">
        <v>281</v>
      </c>
      <c r="H492" s="2"/>
      <c r="I492" s="71" t="s">
        <v>720</v>
      </c>
      <c r="J492" s="71" t="s">
        <v>280</v>
      </c>
      <c r="K492" s="71" t="s">
        <v>611</v>
      </c>
      <c r="L492" s="71" t="s">
        <v>606</v>
      </c>
      <c r="M492" s="71"/>
      <c r="N492" s="71"/>
      <c r="O492" s="71"/>
      <c r="P492" s="71" t="s">
        <v>2082</v>
      </c>
      <c r="Q492" s="71" t="s">
        <v>724</v>
      </c>
      <c r="R492" s="71"/>
      <c r="S492" s="75"/>
      <c r="T492" s="71"/>
    </row>
    <row r="493" spans="1:20" s="44" customFormat="1" ht="25.05" customHeight="1" x14ac:dyDescent="0.3">
      <c r="A493" s="41">
        <v>1</v>
      </c>
      <c r="B493" s="41"/>
      <c r="C493" s="51" t="str">
        <f>VLOOKUP(F493,[1]VLOOKUP!$A$2:$B$35,2,FALSE)</f>
        <v>华东</v>
      </c>
      <c r="D493" s="41" t="s">
        <v>530</v>
      </c>
      <c r="E493" s="41"/>
      <c r="F493" s="2" t="s">
        <v>280</v>
      </c>
      <c r="G493" s="2" t="s">
        <v>281</v>
      </c>
      <c r="H493" s="2"/>
      <c r="I493" s="41" t="s">
        <v>720</v>
      </c>
      <c r="J493" s="41" t="s">
        <v>280</v>
      </c>
      <c r="K493" s="41" t="s">
        <v>682</v>
      </c>
      <c r="L493" s="41" t="s">
        <v>600</v>
      </c>
      <c r="M493" s="42">
        <v>44844</v>
      </c>
      <c r="N493" s="42">
        <v>44844</v>
      </c>
      <c r="O493" s="42">
        <v>45605</v>
      </c>
      <c r="P493" s="41" t="s">
        <v>2089</v>
      </c>
      <c r="Q493" s="41" t="s">
        <v>2090</v>
      </c>
      <c r="R493" s="41" t="s">
        <v>2091</v>
      </c>
      <c r="S493" s="43" t="s">
        <v>2092</v>
      </c>
      <c r="T493" s="41" t="s">
        <v>2093</v>
      </c>
    </row>
    <row r="494" spans="1:20" ht="25.05" customHeight="1" x14ac:dyDescent="0.3">
      <c r="A494" s="69">
        <v>1</v>
      </c>
      <c r="B494" s="69"/>
      <c r="C494" s="51" t="str">
        <f>VLOOKUP(F494,[1]VLOOKUP!$A$2:$B$35,2,FALSE)</f>
        <v>华东</v>
      </c>
      <c r="D494" s="76" t="s">
        <v>2094</v>
      </c>
      <c r="E494" s="76"/>
      <c r="F494" s="2" t="s">
        <v>280</v>
      </c>
      <c r="G494" s="2" t="s">
        <v>281</v>
      </c>
      <c r="H494" s="2"/>
      <c r="I494" s="76" t="s">
        <v>720</v>
      </c>
      <c r="J494" s="76" t="s">
        <v>280</v>
      </c>
      <c r="K494" s="76" t="s">
        <v>599</v>
      </c>
      <c r="L494" s="76" t="s">
        <v>663</v>
      </c>
      <c r="M494" s="76">
        <v>44802</v>
      </c>
      <c r="N494" s="76">
        <v>44802</v>
      </c>
      <c r="O494" s="76">
        <v>44830</v>
      </c>
      <c r="P494" s="76" t="s">
        <v>2095</v>
      </c>
      <c r="Q494" s="76" t="s">
        <v>519</v>
      </c>
      <c r="R494" s="76"/>
      <c r="S494" s="77" t="s">
        <v>2096</v>
      </c>
      <c r="T494" s="76"/>
    </row>
    <row r="495" spans="1:20" s="44" customFormat="1" ht="25.05" customHeight="1" x14ac:dyDescent="0.3">
      <c r="A495" s="41">
        <v>1</v>
      </c>
      <c r="B495" s="41"/>
      <c r="C495" s="51" t="str">
        <f>VLOOKUP(F495,[1]VLOOKUP!$A$2:$B$35,2,FALSE)</f>
        <v>华东</v>
      </c>
      <c r="D495" s="41" t="s">
        <v>2097</v>
      </c>
      <c r="E495" s="41"/>
      <c r="F495" s="2" t="s">
        <v>280</v>
      </c>
      <c r="G495" s="2" t="s">
        <v>281</v>
      </c>
      <c r="H495" s="2" t="s">
        <v>2098</v>
      </c>
      <c r="I495" s="41" t="s">
        <v>720</v>
      </c>
      <c r="J495" s="41" t="s">
        <v>280</v>
      </c>
      <c r="K495" s="41" t="s">
        <v>611</v>
      </c>
      <c r="L495" s="41" t="s">
        <v>600</v>
      </c>
      <c r="M495" s="42">
        <v>45489</v>
      </c>
      <c r="N495" s="42">
        <v>45489</v>
      </c>
      <c r="O495" s="42">
        <v>47848</v>
      </c>
      <c r="P495" s="41" t="s">
        <v>2099</v>
      </c>
      <c r="Q495" s="41" t="s">
        <v>724</v>
      </c>
      <c r="R495" s="41" t="s">
        <v>2100</v>
      </c>
      <c r="S495" s="43" t="s">
        <v>2101</v>
      </c>
      <c r="T495" s="41"/>
    </row>
    <row r="496" spans="1:20" s="44" customFormat="1" ht="25.05" customHeight="1" x14ac:dyDescent="0.3">
      <c r="A496" s="41">
        <v>1</v>
      </c>
      <c r="B496" s="41"/>
      <c r="C496" s="51" t="str">
        <f>VLOOKUP(F496,[1]VLOOKUP!$A$2:$B$35,2,FALSE)</f>
        <v>华东</v>
      </c>
      <c r="D496" s="41" t="s">
        <v>470</v>
      </c>
      <c r="E496" s="41"/>
      <c r="F496" s="2" t="s">
        <v>280</v>
      </c>
      <c r="G496" s="2" t="s">
        <v>2102</v>
      </c>
      <c r="H496" s="2" t="s">
        <v>2103</v>
      </c>
      <c r="I496" s="41" t="s">
        <v>720</v>
      </c>
      <c r="J496" s="41" t="s">
        <v>280</v>
      </c>
      <c r="K496" s="41" t="s">
        <v>682</v>
      </c>
      <c r="L496" s="41" t="s">
        <v>600</v>
      </c>
      <c r="M496" s="42">
        <v>44333</v>
      </c>
      <c r="N496" s="42">
        <v>44333</v>
      </c>
      <c r="O496" s="42">
        <v>46022</v>
      </c>
      <c r="P496" s="41" t="s">
        <v>2104</v>
      </c>
      <c r="Q496" s="41" t="s">
        <v>724</v>
      </c>
      <c r="R496" s="41" t="s">
        <v>2105</v>
      </c>
      <c r="S496" s="43" t="s">
        <v>2106</v>
      </c>
      <c r="T496" s="41"/>
    </row>
    <row r="497" spans="1:20" s="44" customFormat="1" ht="25.05" customHeight="1" x14ac:dyDescent="0.3">
      <c r="A497" s="41">
        <v>1</v>
      </c>
      <c r="B497" s="41"/>
      <c r="C497" s="51" t="str">
        <f>VLOOKUP(F497,[1]VLOOKUP!$A$2:$B$35,2,FALSE)</f>
        <v>华东</v>
      </c>
      <c r="D497" s="41" t="s">
        <v>2107</v>
      </c>
      <c r="E497" s="41"/>
      <c r="F497" s="2" t="s">
        <v>280</v>
      </c>
      <c r="G497" s="2" t="s">
        <v>2108</v>
      </c>
      <c r="H497" s="2"/>
      <c r="I497" s="41" t="s">
        <v>720</v>
      </c>
      <c r="J497" s="41" t="s">
        <v>280</v>
      </c>
      <c r="K497" s="41" t="s">
        <v>611</v>
      </c>
      <c r="L497" s="41" t="s">
        <v>600</v>
      </c>
      <c r="M497" s="42">
        <v>44994</v>
      </c>
      <c r="N497" s="42">
        <v>44994</v>
      </c>
      <c r="O497" s="42">
        <v>46022</v>
      </c>
      <c r="P497" s="41" t="s">
        <v>2109</v>
      </c>
      <c r="Q497" s="41" t="s">
        <v>724</v>
      </c>
      <c r="R497" s="41" t="s">
        <v>2110</v>
      </c>
      <c r="S497" s="43" t="s">
        <v>2111</v>
      </c>
      <c r="T497" s="41"/>
    </row>
    <row r="498" spans="1:20" s="44" customFormat="1" ht="25.05" customHeight="1" x14ac:dyDescent="0.3">
      <c r="A498" s="41">
        <v>1</v>
      </c>
      <c r="B498" s="41"/>
      <c r="C498" s="51" t="str">
        <f>VLOOKUP(F498,[1]VLOOKUP!$A$2:$B$35,2,FALSE)</f>
        <v>华东</v>
      </c>
      <c r="D498" s="41" t="s">
        <v>2112</v>
      </c>
      <c r="E498" s="41"/>
      <c r="F498" s="2" t="s">
        <v>280</v>
      </c>
      <c r="G498" s="2" t="s">
        <v>554</v>
      </c>
      <c r="H498" s="2"/>
      <c r="I498" s="41" t="s">
        <v>720</v>
      </c>
      <c r="J498" s="41" t="s">
        <v>280</v>
      </c>
      <c r="K498" s="41" t="s">
        <v>611</v>
      </c>
      <c r="L498" s="41" t="s">
        <v>600</v>
      </c>
      <c r="M498" s="42">
        <v>45112</v>
      </c>
      <c r="N498" s="42">
        <v>45207</v>
      </c>
      <c r="O498" s="42">
        <v>47848</v>
      </c>
      <c r="P498" s="41" t="s">
        <v>2113</v>
      </c>
      <c r="Q498" s="41" t="s">
        <v>724</v>
      </c>
      <c r="R498" s="41" t="s">
        <v>2114</v>
      </c>
      <c r="S498" s="43" t="s">
        <v>2115</v>
      </c>
      <c r="T498" s="41"/>
    </row>
    <row r="499" spans="1:20" ht="25.05" customHeight="1" x14ac:dyDescent="0.3">
      <c r="A499" s="69"/>
      <c r="B499" s="69"/>
      <c r="C499" s="69"/>
      <c r="D499" s="71" t="s">
        <v>555</v>
      </c>
      <c r="E499" s="71"/>
      <c r="F499" s="2" t="s">
        <v>280</v>
      </c>
      <c r="G499" s="2" t="s">
        <v>554</v>
      </c>
      <c r="H499" s="2"/>
      <c r="I499" s="71" t="s">
        <v>720</v>
      </c>
      <c r="J499" s="71" t="s">
        <v>280</v>
      </c>
      <c r="K499" s="71" t="s">
        <v>682</v>
      </c>
      <c r="L499" s="71" t="s">
        <v>600</v>
      </c>
      <c r="M499" s="71"/>
      <c r="N499" s="71"/>
      <c r="O499" s="71"/>
      <c r="P499" s="71"/>
      <c r="Q499" s="71"/>
      <c r="R499" s="71"/>
      <c r="S499" s="75"/>
      <c r="T499" s="71"/>
    </row>
    <row r="500" spans="1:20" ht="25.05" customHeight="1" x14ac:dyDescent="0.3">
      <c r="A500" s="69">
        <v>1</v>
      </c>
      <c r="B500" s="69"/>
      <c r="C500" s="51" t="str">
        <f>VLOOKUP(F500,[1]VLOOKUP!$A$2:$B$35,2,FALSE)</f>
        <v>华东</v>
      </c>
      <c r="D500" s="80" t="s">
        <v>2116</v>
      </c>
      <c r="E500" s="80"/>
      <c r="F500" s="2" t="s">
        <v>280</v>
      </c>
      <c r="G500" s="2" t="s">
        <v>282</v>
      </c>
      <c r="H500" s="2"/>
      <c r="I500" s="80" t="s">
        <v>720</v>
      </c>
      <c r="J500" s="80" t="s">
        <v>280</v>
      </c>
      <c r="K500" s="80" t="s">
        <v>611</v>
      </c>
      <c r="L500" s="80" t="s">
        <v>780</v>
      </c>
      <c r="M500" s="80">
        <v>44986</v>
      </c>
      <c r="N500" s="80">
        <v>44986</v>
      </c>
      <c r="O500" s="80">
        <v>45016</v>
      </c>
      <c r="P500" s="80" t="s">
        <v>2117</v>
      </c>
      <c r="Q500" s="80" t="s">
        <v>716</v>
      </c>
      <c r="R500" s="80"/>
      <c r="S500" s="81" t="s">
        <v>2118</v>
      </c>
      <c r="T500" s="80" t="s">
        <v>1201</v>
      </c>
    </row>
    <row r="501" spans="1:20" ht="25.05" customHeight="1" x14ac:dyDescent="0.3">
      <c r="A501" s="69">
        <v>1</v>
      </c>
      <c r="B501" s="69"/>
      <c r="C501" s="51" t="str">
        <f>VLOOKUP(F501,[1]VLOOKUP!$A$2:$B$35,2,FALSE)</f>
        <v>华东</v>
      </c>
      <c r="D501" s="80" t="s">
        <v>2119</v>
      </c>
      <c r="E501" s="80"/>
      <c r="F501" s="2" t="s">
        <v>280</v>
      </c>
      <c r="G501" s="2" t="s">
        <v>282</v>
      </c>
      <c r="H501" s="2"/>
      <c r="I501" s="80" t="s">
        <v>720</v>
      </c>
      <c r="J501" s="80" t="s">
        <v>280</v>
      </c>
      <c r="K501" s="80" t="s">
        <v>611</v>
      </c>
      <c r="L501" s="80" t="s">
        <v>780</v>
      </c>
      <c r="M501" s="80">
        <v>45434</v>
      </c>
      <c r="N501" s="80">
        <v>45434</v>
      </c>
      <c r="O501" s="80">
        <v>45465</v>
      </c>
      <c r="P501" s="80" t="s">
        <v>2120</v>
      </c>
      <c r="Q501" s="80" t="s">
        <v>857</v>
      </c>
      <c r="R501" s="80"/>
      <c r="S501" s="81" t="s">
        <v>2121</v>
      </c>
      <c r="T501" s="80"/>
    </row>
    <row r="502" spans="1:20" ht="25.05" customHeight="1" x14ac:dyDescent="0.3">
      <c r="A502" s="36"/>
      <c r="B502" s="36"/>
      <c r="C502" s="36"/>
      <c r="D502" s="60"/>
      <c r="E502" s="61"/>
      <c r="F502" s="3" t="s">
        <v>283</v>
      </c>
      <c r="G502" s="3"/>
      <c r="H502" s="3"/>
      <c r="I502" s="60"/>
      <c r="J502" s="60"/>
      <c r="K502" s="60"/>
      <c r="L502" s="60"/>
      <c r="M502" s="60"/>
      <c r="N502" s="60"/>
      <c r="O502" s="60"/>
      <c r="P502" s="60"/>
      <c r="Q502" s="60"/>
      <c r="R502" s="60"/>
      <c r="S502" s="62"/>
      <c r="T502" s="60"/>
    </row>
    <row r="503" spans="1:20" ht="25.05" customHeight="1" x14ac:dyDescent="0.3">
      <c r="A503" s="69"/>
      <c r="B503" s="69"/>
      <c r="C503" s="69"/>
      <c r="D503" s="71" t="s">
        <v>2122</v>
      </c>
      <c r="E503" s="71"/>
      <c r="F503" s="2" t="s">
        <v>283</v>
      </c>
      <c r="G503" s="2"/>
      <c r="H503" s="2"/>
      <c r="I503" s="71" t="s">
        <v>474</v>
      </c>
      <c r="J503" s="71" t="s">
        <v>283</v>
      </c>
      <c r="K503" s="71" t="s">
        <v>611</v>
      </c>
      <c r="L503" s="71" t="s">
        <v>606</v>
      </c>
      <c r="M503" s="71">
        <v>44147</v>
      </c>
      <c r="N503" s="71">
        <v>44147</v>
      </c>
      <c r="O503" s="71">
        <v>45608</v>
      </c>
      <c r="P503" s="71" t="s">
        <v>2123</v>
      </c>
      <c r="Q503" s="71" t="s">
        <v>1761</v>
      </c>
      <c r="R503" s="71" t="s">
        <v>2124</v>
      </c>
      <c r="S503" s="75"/>
      <c r="T503" s="71"/>
    </row>
    <row r="504" spans="1:20" s="44" customFormat="1" ht="25.05" customHeight="1" x14ac:dyDescent="0.3">
      <c r="A504" s="41">
        <v>1</v>
      </c>
      <c r="B504" s="41"/>
      <c r="C504" s="51" t="str">
        <f>VLOOKUP(F504,[1]VLOOKUP!$A$2:$B$35,2,FALSE)</f>
        <v>华中</v>
      </c>
      <c r="D504" s="41" t="s">
        <v>2125</v>
      </c>
      <c r="E504" s="41"/>
      <c r="F504" s="2" t="s">
        <v>283</v>
      </c>
      <c r="G504" s="2"/>
      <c r="H504" s="2"/>
      <c r="I504" s="41" t="s">
        <v>474</v>
      </c>
      <c r="J504" s="41" t="s">
        <v>283</v>
      </c>
      <c r="K504" s="41" t="s">
        <v>611</v>
      </c>
      <c r="L504" s="41" t="s">
        <v>600</v>
      </c>
      <c r="M504" s="42">
        <v>43945</v>
      </c>
      <c r="N504" s="42">
        <v>44047</v>
      </c>
      <c r="O504" s="42">
        <v>46022</v>
      </c>
      <c r="P504" s="41" t="s">
        <v>2126</v>
      </c>
      <c r="Q504" s="41" t="s">
        <v>2127</v>
      </c>
      <c r="R504" s="41" t="s">
        <v>2128</v>
      </c>
      <c r="S504" s="43" t="s">
        <v>2129</v>
      </c>
      <c r="T504" s="41"/>
    </row>
    <row r="505" spans="1:20" s="44" customFormat="1" ht="25.05" customHeight="1" x14ac:dyDescent="0.3">
      <c r="A505" s="41">
        <v>1</v>
      </c>
      <c r="B505" s="41"/>
      <c r="C505" s="51" t="str">
        <f>VLOOKUP(F505,[1]VLOOKUP!$A$2:$B$35,2,FALSE)</f>
        <v>华中</v>
      </c>
      <c r="D505" s="41" t="s">
        <v>2130</v>
      </c>
      <c r="E505" s="41"/>
      <c r="F505" s="2" t="s">
        <v>283</v>
      </c>
      <c r="G505" s="2"/>
      <c r="H505" s="2"/>
      <c r="I505" s="41" t="s">
        <v>474</v>
      </c>
      <c r="J505" s="41" t="s">
        <v>283</v>
      </c>
      <c r="K505" s="41" t="s">
        <v>611</v>
      </c>
      <c r="L505" s="41" t="s">
        <v>600</v>
      </c>
      <c r="M505" s="42">
        <v>44799</v>
      </c>
      <c r="N505" s="42">
        <v>44810</v>
      </c>
      <c r="O505" s="42">
        <v>49674</v>
      </c>
      <c r="P505" s="41" t="s">
        <v>2131</v>
      </c>
      <c r="Q505" s="41" t="s">
        <v>724</v>
      </c>
      <c r="R505" s="41" t="s">
        <v>2132</v>
      </c>
      <c r="S505" s="43" t="s">
        <v>2133</v>
      </c>
      <c r="T505" s="41"/>
    </row>
    <row r="506" spans="1:20" ht="25.05" customHeight="1" x14ac:dyDescent="0.3">
      <c r="A506" s="69">
        <v>1</v>
      </c>
      <c r="B506" s="69"/>
      <c r="C506" s="51" t="str">
        <f>VLOOKUP(F506,[1]VLOOKUP!$A$2:$B$35,2,FALSE)</f>
        <v>华中</v>
      </c>
      <c r="D506" s="76" t="s">
        <v>2134</v>
      </c>
      <c r="E506" s="76"/>
      <c r="F506" s="2" t="s">
        <v>283</v>
      </c>
      <c r="G506" s="2"/>
      <c r="H506" s="2"/>
      <c r="I506" s="76" t="s">
        <v>474</v>
      </c>
      <c r="J506" s="76" t="s">
        <v>283</v>
      </c>
      <c r="K506" s="76" t="s">
        <v>599</v>
      </c>
      <c r="L506" s="76" t="s">
        <v>663</v>
      </c>
      <c r="M506" s="76">
        <v>44533</v>
      </c>
      <c r="N506" s="76">
        <v>44533</v>
      </c>
      <c r="O506" s="76">
        <v>44905</v>
      </c>
      <c r="P506" s="76" t="s">
        <v>2135</v>
      </c>
      <c r="Q506" s="76" t="s">
        <v>716</v>
      </c>
      <c r="R506" s="76" t="s">
        <v>2136</v>
      </c>
      <c r="S506" s="77" t="s">
        <v>2137</v>
      </c>
      <c r="T506" s="76"/>
    </row>
    <row r="507" spans="1:20" ht="25.05" customHeight="1" x14ac:dyDescent="0.3">
      <c r="A507" s="69">
        <v>1</v>
      </c>
      <c r="B507" s="69"/>
      <c r="C507" s="51" t="str">
        <f>VLOOKUP(F507,[1]VLOOKUP!$A$2:$B$35,2,FALSE)</f>
        <v>华中</v>
      </c>
      <c r="D507" s="73" t="s">
        <v>2138</v>
      </c>
      <c r="E507" s="73"/>
      <c r="F507" s="2" t="s">
        <v>283</v>
      </c>
      <c r="G507" s="2"/>
      <c r="H507" s="2"/>
      <c r="I507" s="73" t="s">
        <v>474</v>
      </c>
      <c r="J507" s="73" t="s">
        <v>283</v>
      </c>
      <c r="K507" s="73" t="s">
        <v>611</v>
      </c>
      <c r="L507" s="73" t="s">
        <v>600</v>
      </c>
      <c r="M507" s="73">
        <v>44585</v>
      </c>
      <c r="N507" s="73">
        <v>44585</v>
      </c>
      <c r="O507" s="73">
        <v>44585</v>
      </c>
      <c r="P507" s="73" t="s">
        <v>2135</v>
      </c>
      <c r="Q507" s="73" t="s">
        <v>716</v>
      </c>
      <c r="R507" s="73" t="s">
        <v>2139</v>
      </c>
      <c r="S507" s="74" t="s">
        <v>2140</v>
      </c>
      <c r="T507" s="73"/>
    </row>
    <row r="508" spans="1:20" ht="25.05" customHeight="1" x14ac:dyDescent="0.3">
      <c r="A508" s="69"/>
      <c r="B508" s="69"/>
      <c r="C508" s="69"/>
      <c r="D508" s="71" t="s">
        <v>2141</v>
      </c>
      <c r="E508" s="71"/>
      <c r="F508" s="2" t="s">
        <v>283</v>
      </c>
      <c r="G508" s="2"/>
      <c r="H508" s="2"/>
      <c r="I508" s="71" t="s">
        <v>474</v>
      </c>
      <c r="J508" s="71" t="s">
        <v>283</v>
      </c>
      <c r="K508" s="71" t="s">
        <v>611</v>
      </c>
      <c r="L508" s="71" t="s">
        <v>606</v>
      </c>
      <c r="M508" s="71"/>
      <c r="N508" s="71"/>
      <c r="O508" s="71"/>
      <c r="P508" s="71"/>
      <c r="Q508" s="71"/>
      <c r="R508" s="71"/>
      <c r="S508" s="75"/>
      <c r="T508" s="71"/>
    </row>
    <row r="509" spans="1:20" ht="25.05" customHeight="1" x14ac:dyDescent="0.3">
      <c r="A509" s="69"/>
      <c r="B509" s="69"/>
      <c r="C509" s="69"/>
      <c r="D509" s="71" t="s">
        <v>2142</v>
      </c>
      <c r="E509" s="71"/>
      <c r="F509" s="2" t="s">
        <v>283</v>
      </c>
      <c r="G509" s="2"/>
      <c r="H509" s="2"/>
      <c r="I509" s="71" t="s">
        <v>474</v>
      </c>
      <c r="J509" s="71" t="s">
        <v>283</v>
      </c>
      <c r="K509" s="71" t="s">
        <v>611</v>
      </c>
      <c r="L509" s="71" t="s">
        <v>606</v>
      </c>
      <c r="M509" s="71"/>
      <c r="N509" s="71"/>
      <c r="O509" s="71"/>
      <c r="P509" s="71" t="s">
        <v>2143</v>
      </c>
      <c r="Q509" s="71" t="s">
        <v>2144</v>
      </c>
      <c r="R509" s="71" t="s">
        <v>2145</v>
      </c>
      <c r="S509" s="75"/>
      <c r="T509" s="71"/>
    </row>
    <row r="510" spans="1:20" ht="25.05" customHeight="1" x14ac:dyDescent="0.3">
      <c r="A510" s="69"/>
      <c r="B510" s="69"/>
      <c r="C510" s="69"/>
      <c r="D510" s="71" t="s">
        <v>2146</v>
      </c>
      <c r="E510" s="71"/>
      <c r="F510" s="2" t="s">
        <v>283</v>
      </c>
      <c r="G510" s="2"/>
      <c r="H510" s="2"/>
      <c r="I510" s="71" t="s">
        <v>474</v>
      </c>
      <c r="J510" s="71" t="s">
        <v>283</v>
      </c>
      <c r="K510" s="71" t="s">
        <v>605</v>
      </c>
      <c r="L510" s="71" t="s">
        <v>606</v>
      </c>
      <c r="M510" s="71"/>
      <c r="N510" s="71"/>
      <c r="O510" s="71"/>
      <c r="P510" s="71" t="s">
        <v>2147</v>
      </c>
      <c r="Q510" s="71" t="s">
        <v>1002</v>
      </c>
      <c r="R510" s="71" t="s">
        <v>2148</v>
      </c>
      <c r="S510" s="75"/>
      <c r="T510" s="71"/>
    </row>
    <row r="511" spans="1:20" ht="25.05" customHeight="1" x14ac:dyDescent="0.3">
      <c r="A511" s="69">
        <v>1</v>
      </c>
      <c r="B511" s="69"/>
      <c r="C511" s="51" t="str">
        <f>VLOOKUP(F511,[1]VLOOKUP!$A$2:$B$35,2,FALSE)</f>
        <v>华中</v>
      </c>
      <c r="D511" s="76" t="s">
        <v>2149</v>
      </c>
      <c r="E511" s="76"/>
      <c r="F511" s="2" t="s">
        <v>283</v>
      </c>
      <c r="G511" s="2"/>
      <c r="H511" s="2"/>
      <c r="I511" s="76" t="s">
        <v>474</v>
      </c>
      <c r="J511" s="76" t="s">
        <v>283</v>
      </c>
      <c r="K511" s="76" t="s">
        <v>599</v>
      </c>
      <c r="L511" s="76" t="s">
        <v>663</v>
      </c>
      <c r="M511" s="76">
        <v>44993</v>
      </c>
      <c r="N511" s="76">
        <v>44993</v>
      </c>
      <c r="O511" s="76">
        <v>45007</v>
      </c>
      <c r="P511" s="76" t="s">
        <v>2150</v>
      </c>
      <c r="Q511" s="76" t="s">
        <v>519</v>
      </c>
      <c r="R511" s="76" t="s">
        <v>2151</v>
      </c>
      <c r="S511" s="77" t="s">
        <v>2152</v>
      </c>
      <c r="T511" s="76"/>
    </row>
    <row r="512" spans="1:20" ht="25.05" customHeight="1" x14ac:dyDescent="0.3">
      <c r="A512" s="69">
        <v>1</v>
      </c>
      <c r="B512" s="69"/>
      <c r="C512" s="51" t="str">
        <f>VLOOKUP(F512,[1]VLOOKUP!$A$2:$B$35,2,FALSE)</f>
        <v>华中</v>
      </c>
      <c r="D512" s="73" t="s">
        <v>2153</v>
      </c>
      <c r="E512" s="73"/>
      <c r="F512" s="2" t="s">
        <v>283</v>
      </c>
      <c r="G512" s="2"/>
      <c r="H512" s="2"/>
      <c r="I512" s="73" t="s">
        <v>474</v>
      </c>
      <c r="J512" s="73" t="s">
        <v>283</v>
      </c>
      <c r="K512" s="73" t="s">
        <v>599</v>
      </c>
      <c r="L512" s="73" t="s">
        <v>600</v>
      </c>
      <c r="M512" s="73">
        <v>45067</v>
      </c>
      <c r="N512" s="73">
        <v>45069</v>
      </c>
      <c r="O512" s="73">
        <v>45291</v>
      </c>
      <c r="P512" s="73" t="s">
        <v>2135</v>
      </c>
      <c r="Q512" s="73" t="s">
        <v>716</v>
      </c>
      <c r="R512" s="73" t="s">
        <v>2154</v>
      </c>
      <c r="S512" s="74" t="s">
        <v>2155</v>
      </c>
      <c r="T512" s="73"/>
    </row>
    <row r="513" spans="1:20" s="44" customFormat="1" ht="25.05" customHeight="1" x14ac:dyDescent="0.3">
      <c r="A513" s="41">
        <v>1</v>
      </c>
      <c r="B513" s="41"/>
      <c r="C513" s="51" t="str">
        <f>VLOOKUP(F513,[1]VLOOKUP!$A$2:$B$35,2,FALSE)</f>
        <v>华中</v>
      </c>
      <c r="D513" s="41" t="s">
        <v>2156</v>
      </c>
      <c r="E513" s="41"/>
      <c r="F513" s="2" t="s">
        <v>283</v>
      </c>
      <c r="G513" s="2"/>
      <c r="H513" s="2"/>
      <c r="I513" s="41" t="s">
        <v>474</v>
      </c>
      <c r="J513" s="41" t="s">
        <v>283</v>
      </c>
      <c r="K513" s="41" t="s">
        <v>605</v>
      </c>
      <c r="L513" s="41" t="s">
        <v>600</v>
      </c>
      <c r="M513" s="42">
        <v>45677</v>
      </c>
      <c r="N513" s="42">
        <v>45677</v>
      </c>
      <c r="O513" s="42">
        <v>46022</v>
      </c>
      <c r="P513" s="41" t="s">
        <v>2157</v>
      </c>
      <c r="Q513" s="41" t="s">
        <v>1177</v>
      </c>
      <c r="R513" s="41"/>
      <c r="S513" s="43" t="s">
        <v>2158</v>
      </c>
      <c r="T513" s="41"/>
    </row>
    <row r="514" spans="1:20" s="44" customFormat="1" ht="25.05" customHeight="1" x14ac:dyDescent="0.3">
      <c r="A514" s="41">
        <v>1</v>
      </c>
      <c r="B514" s="41"/>
      <c r="C514" s="51" t="str">
        <f>VLOOKUP(F514,[1]VLOOKUP!$A$2:$B$35,2,FALSE)</f>
        <v>华中</v>
      </c>
      <c r="D514" s="41" t="s">
        <v>524</v>
      </c>
      <c r="E514" s="41"/>
      <c r="F514" s="2" t="s">
        <v>283</v>
      </c>
      <c r="G514" s="2" t="s">
        <v>284</v>
      </c>
      <c r="H514" s="2"/>
      <c r="I514" s="41" t="s">
        <v>720</v>
      </c>
      <c r="J514" s="41" t="s">
        <v>283</v>
      </c>
      <c r="K514" s="41" t="s">
        <v>682</v>
      </c>
      <c r="L514" s="41" t="s">
        <v>600</v>
      </c>
      <c r="M514" s="42">
        <v>44757</v>
      </c>
      <c r="N514" s="42">
        <v>44781</v>
      </c>
      <c r="O514" s="42">
        <v>46022</v>
      </c>
      <c r="P514" s="41" t="s">
        <v>2159</v>
      </c>
      <c r="Q514" s="41" t="s">
        <v>724</v>
      </c>
      <c r="R514" s="41" t="s">
        <v>2160</v>
      </c>
      <c r="S514" s="43" t="s">
        <v>2161</v>
      </c>
      <c r="T514" s="41"/>
    </row>
    <row r="515" spans="1:20" s="44" customFormat="1" ht="25.05" customHeight="1" x14ac:dyDescent="0.3">
      <c r="A515" s="41">
        <v>1</v>
      </c>
      <c r="B515" s="41"/>
      <c r="C515" s="51" t="str">
        <f>VLOOKUP(F515,[1]VLOOKUP!$A$2:$B$35,2,FALSE)</f>
        <v>华中</v>
      </c>
      <c r="D515" s="41" t="s">
        <v>2162</v>
      </c>
      <c r="E515" s="41"/>
      <c r="F515" s="2" t="s">
        <v>283</v>
      </c>
      <c r="G515" s="2" t="s">
        <v>284</v>
      </c>
      <c r="H515" s="2"/>
      <c r="I515" s="41" t="s">
        <v>720</v>
      </c>
      <c r="J515" s="41" t="s">
        <v>283</v>
      </c>
      <c r="K515" s="41" t="s">
        <v>611</v>
      </c>
      <c r="L515" s="41" t="s">
        <v>600</v>
      </c>
      <c r="M515" s="42">
        <v>45363</v>
      </c>
      <c r="N515" s="42">
        <v>45390</v>
      </c>
      <c r="O515" s="42">
        <v>49674</v>
      </c>
      <c r="P515" s="41" t="s">
        <v>2159</v>
      </c>
      <c r="Q515" s="41" t="s">
        <v>724</v>
      </c>
      <c r="R515" s="41" t="s">
        <v>2163</v>
      </c>
      <c r="S515" s="43" t="s">
        <v>2164</v>
      </c>
      <c r="T515" s="41"/>
    </row>
    <row r="516" spans="1:20" ht="25.05" customHeight="1" x14ac:dyDescent="0.3">
      <c r="A516" s="69"/>
      <c r="B516" s="69"/>
      <c r="C516" s="69"/>
      <c r="D516" s="71" t="s">
        <v>2165</v>
      </c>
      <c r="E516" s="71"/>
      <c r="F516" s="2" t="s">
        <v>283</v>
      </c>
      <c r="G516" s="2" t="s">
        <v>284</v>
      </c>
      <c r="H516" s="2"/>
      <c r="I516" s="71" t="s">
        <v>720</v>
      </c>
      <c r="J516" s="71" t="s">
        <v>283</v>
      </c>
      <c r="K516" s="71" t="s">
        <v>611</v>
      </c>
      <c r="L516" s="71" t="s">
        <v>606</v>
      </c>
      <c r="M516" s="71"/>
      <c r="N516" s="71"/>
      <c r="O516" s="71"/>
      <c r="P516" s="71" t="s">
        <v>2166</v>
      </c>
      <c r="Q516" s="71" t="s">
        <v>519</v>
      </c>
      <c r="R516" s="71"/>
      <c r="S516" s="75"/>
      <c r="T516" s="71"/>
    </row>
    <row r="517" spans="1:20" ht="25.05" customHeight="1" x14ac:dyDescent="0.3">
      <c r="A517" s="69"/>
      <c r="B517" s="69"/>
      <c r="C517" s="69"/>
      <c r="D517" s="71" t="s">
        <v>2167</v>
      </c>
      <c r="E517" s="71"/>
      <c r="F517" s="2" t="s">
        <v>283</v>
      </c>
      <c r="G517" s="2" t="s">
        <v>284</v>
      </c>
      <c r="H517" s="2"/>
      <c r="I517" s="71" t="s">
        <v>720</v>
      </c>
      <c r="J517" s="71" t="s">
        <v>283</v>
      </c>
      <c r="K517" s="71" t="s">
        <v>611</v>
      </c>
      <c r="L517" s="71" t="s">
        <v>606</v>
      </c>
      <c r="M517" s="71"/>
      <c r="N517" s="71"/>
      <c r="O517" s="71"/>
      <c r="P517" s="71" t="s">
        <v>2168</v>
      </c>
      <c r="Q517" s="71" t="s">
        <v>519</v>
      </c>
      <c r="R517" s="71"/>
      <c r="S517" s="75"/>
      <c r="T517" s="71"/>
    </row>
    <row r="518" spans="1:20" ht="25.05" customHeight="1" x14ac:dyDescent="0.3">
      <c r="A518" s="69"/>
      <c r="B518" s="69"/>
      <c r="C518" s="69"/>
      <c r="D518" s="71" t="s">
        <v>2169</v>
      </c>
      <c r="E518" s="71"/>
      <c r="F518" s="2" t="s">
        <v>283</v>
      </c>
      <c r="G518" s="2" t="s">
        <v>284</v>
      </c>
      <c r="H518" s="2"/>
      <c r="I518" s="71" t="s">
        <v>720</v>
      </c>
      <c r="J518" s="71" t="s">
        <v>283</v>
      </c>
      <c r="K518" s="71" t="s">
        <v>611</v>
      </c>
      <c r="L518" s="71" t="s">
        <v>606</v>
      </c>
      <c r="M518" s="71"/>
      <c r="N518" s="71"/>
      <c r="O518" s="71"/>
      <c r="P518" s="71" t="s">
        <v>2168</v>
      </c>
      <c r="Q518" s="71" t="s">
        <v>519</v>
      </c>
      <c r="R518" s="71" t="s">
        <v>2170</v>
      </c>
      <c r="S518" s="75"/>
      <c r="T518" s="71"/>
    </row>
    <row r="519" spans="1:20" ht="25.05" customHeight="1" x14ac:dyDescent="0.3">
      <c r="A519" s="69">
        <v>1</v>
      </c>
      <c r="B519" s="69"/>
      <c r="C519" s="51" t="str">
        <f>VLOOKUP(F519,[1]VLOOKUP!$A$2:$B$35,2,FALSE)</f>
        <v>华中</v>
      </c>
      <c r="D519" s="80" t="s">
        <v>2171</v>
      </c>
      <c r="E519" s="80"/>
      <c r="F519" s="2" t="s">
        <v>283</v>
      </c>
      <c r="G519" s="2" t="s">
        <v>284</v>
      </c>
      <c r="H519" s="2"/>
      <c r="I519" s="80" t="s">
        <v>720</v>
      </c>
      <c r="J519" s="80" t="s">
        <v>283</v>
      </c>
      <c r="K519" s="80" t="s">
        <v>605</v>
      </c>
      <c r="L519" s="80" t="s">
        <v>780</v>
      </c>
      <c r="M519" s="80">
        <v>44711</v>
      </c>
      <c r="N519" s="80">
        <v>44711</v>
      </c>
      <c r="O519" s="80">
        <v>44717</v>
      </c>
      <c r="P519" s="80" t="s">
        <v>2166</v>
      </c>
      <c r="Q519" s="80" t="s">
        <v>519</v>
      </c>
      <c r="R519" s="80"/>
      <c r="S519" s="81" t="s">
        <v>2172</v>
      </c>
      <c r="T519" s="80" t="s">
        <v>1201</v>
      </c>
    </row>
    <row r="520" spans="1:20" ht="25.05" customHeight="1" x14ac:dyDescent="0.3">
      <c r="A520" s="69">
        <v>1</v>
      </c>
      <c r="B520" s="69"/>
      <c r="C520" s="51" t="str">
        <f>VLOOKUP(F520,[1]VLOOKUP!$A$2:$B$35,2,FALSE)</f>
        <v>华中</v>
      </c>
      <c r="D520" s="80" t="s">
        <v>2173</v>
      </c>
      <c r="E520" s="80"/>
      <c r="F520" s="2" t="s">
        <v>283</v>
      </c>
      <c r="G520" s="2" t="s">
        <v>284</v>
      </c>
      <c r="H520" s="2"/>
      <c r="I520" s="80" t="s">
        <v>720</v>
      </c>
      <c r="J520" s="80" t="s">
        <v>283</v>
      </c>
      <c r="K520" s="80" t="s">
        <v>611</v>
      </c>
      <c r="L520" s="80" t="s">
        <v>780</v>
      </c>
      <c r="M520" s="80">
        <v>44966</v>
      </c>
      <c r="N520" s="80">
        <v>44966</v>
      </c>
      <c r="O520" s="80">
        <v>44995</v>
      </c>
      <c r="P520" s="80" t="s">
        <v>2174</v>
      </c>
      <c r="Q520" s="80" t="s">
        <v>1434</v>
      </c>
      <c r="R520" s="80"/>
      <c r="S520" s="81" t="s">
        <v>2175</v>
      </c>
      <c r="T520" s="80"/>
    </row>
    <row r="521" spans="1:20" ht="25.05" customHeight="1" x14ac:dyDescent="0.3">
      <c r="A521" s="69">
        <v>1</v>
      </c>
      <c r="B521" s="69"/>
      <c r="C521" s="51" t="str">
        <f>VLOOKUP(F521,[1]VLOOKUP!$A$2:$B$35,2,FALSE)</f>
        <v>华中</v>
      </c>
      <c r="D521" s="76" t="s">
        <v>2176</v>
      </c>
      <c r="E521" s="76"/>
      <c r="F521" s="2" t="s">
        <v>283</v>
      </c>
      <c r="G521" s="2" t="s">
        <v>284</v>
      </c>
      <c r="H521" s="2"/>
      <c r="I521" s="76" t="s">
        <v>720</v>
      </c>
      <c r="J521" s="76" t="s">
        <v>283</v>
      </c>
      <c r="K521" s="76" t="s">
        <v>605</v>
      </c>
      <c r="L521" s="76" t="s">
        <v>663</v>
      </c>
      <c r="M521" s="76">
        <v>45211</v>
      </c>
      <c r="N521" s="76">
        <v>45216</v>
      </c>
      <c r="O521" s="76">
        <v>45222</v>
      </c>
      <c r="P521" s="76" t="s">
        <v>2177</v>
      </c>
      <c r="Q521" s="76" t="s">
        <v>1976</v>
      </c>
      <c r="R521" s="76"/>
      <c r="S521" s="77" t="s">
        <v>2178</v>
      </c>
      <c r="T521" s="76"/>
    </row>
    <row r="522" spans="1:20" ht="25.05" customHeight="1" x14ac:dyDescent="0.3">
      <c r="A522" s="69"/>
      <c r="B522" s="69"/>
      <c r="C522" s="69"/>
      <c r="D522" s="71" t="s">
        <v>2179</v>
      </c>
      <c r="E522" s="71"/>
      <c r="F522" s="2" t="s">
        <v>283</v>
      </c>
      <c r="G522" s="2" t="s">
        <v>284</v>
      </c>
      <c r="H522" s="2"/>
      <c r="I522" s="71" t="s">
        <v>720</v>
      </c>
      <c r="J522" s="71" t="s">
        <v>283</v>
      </c>
      <c r="K522" s="71" t="s">
        <v>605</v>
      </c>
      <c r="L522" s="71" t="s">
        <v>606</v>
      </c>
      <c r="M522" s="71"/>
      <c r="N522" s="71"/>
      <c r="O522" s="71"/>
      <c r="P522" s="71"/>
      <c r="Q522" s="71"/>
      <c r="R522" s="71" t="s">
        <v>2180</v>
      </c>
      <c r="S522" s="75"/>
      <c r="T522" s="71"/>
    </row>
    <row r="523" spans="1:20" ht="25.05" customHeight="1" x14ac:dyDescent="0.3">
      <c r="A523" s="69">
        <v>1</v>
      </c>
      <c r="B523" s="69"/>
      <c r="C523" s="51" t="str">
        <f>VLOOKUP(F523,[1]VLOOKUP!$A$2:$B$35,2,FALSE)</f>
        <v>华中</v>
      </c>
      <c r="D523" s="76" t="s">
        <v>2181</v>
      </c>
      <c r="E523" s="76"/>
      <c r="F523" s="2" t="s">
        <v>283</v>
      </c>
      <c r="G523" s="2" t="s">
        <v>284</v>
      </c>
      <c r="H523" s="2"/>
      <c r="I523" s="76" t="s">
        <v>720</v>
      </c>
      <c r="J523" s="76" t="s">
        <v>283</v>
      </c>
      <c r="K523" s="76" t="s">
        <v>605</v>
      </c>
      <c r="L523" s="76" t="s">
        <v>663</v>
      </c>
      <c r="M523" s="76">
        <v>45261</v>
      </c>
      <c r="N523" s="76">
        <v>45261</v>
      </c>
      <c r="O523" s="76">
        <v>45264</v>
      </c>
      <c r="P523" s="76" t="s">
        <v>2177</v>
      </c>
      <c r="Q523" s="76" t="s">
        <v>1976</v>
      </c>
      <c r="R523" s="76"/>
      <c r="S523" s="77" t="s">
        <v>2182</v>
      </c>
      <c r="T523" s="76"/>
    </row>
    <row r="524" spans="1:20" ht="25.05" customHeight="1" x14ac:dyDescent="0.3">
      <c r="A524" s="69">
        <v>1</v>
      </c>
      <c r="B524" s="69"/>
      <c r="C524" s="51" t="str">
        <f>VLOOKUP(F524,[1]VLOOKUP!$A$2:$B$35,2,FALSE)</f>
        <v>华中</v>
      </c>
      <c r="D524" s="73" t="s">
        <v>2183</v>
      </c>
      <c r="E524" s="73"/>
      <c r="F524" s="2" t="s">
        <v>283</v>
      </c>
      <c r="G524" s="2" t="s">
        <v>284</v>
      </c>
      <c r="H524" s="2"/>
      <c r="I524" s="73" t="s">
        <v>720</v>
      </c>
      <c r="J524" s="73" t="s">
        <v>283</v>
      </c>
      <c r="K524" s="73" t="s">
        <v>605</v>
      </c>
      <c r="L524" s="73" t="s">
        <v>600</v>
      </c>
      <c r="M524" s="73">
        <v>45727</v>
      </c>
      <c r="N524" s="73">
        <v>45727</v>
      </c>
      <c r="O524" s="73">
        <v>45730</v>
      </c>
      <c r="P524" s="73" t="s">
        <v>2177</v>
      </c>
      <c r="Q524" s="73" t="s">
        <v>1976</v>
      </c>
      <c r="R524" s="73"/>
      <c r="S524" s="74" t="s">
        <v>2184</v>
      </c>
      <c r="T524" s="73"/>
    </row>
    <row r="525" spans="1:20" s="44" customFormat="1" ht="25.05" customHeight="1" x14ac:dyDescent="0.3">
      <c r="A525" s="41">
        <v>1</v>
      </c>
      <c r="B525" s="41"/>
      <c r="C525" s="51" t="str">
        <f>VLOOKUP(F525,[1]VLOOKUP!$A$2:$B$35,2,FALSE)</f>
        <v>华中</v>
      </c>
      <c r="D525" s="41" t="s">
        <v>2185</v>
      </c>
      <c r="E525" s="41"/>
      <c r="F525" s="2" t="s">
        <v>283</v>
      </c>
      <c r="G525" s="2" t="s">
        <v>284</v>
      </c>
      <c r="H525" s="2"/>
      <c r="I525" s="41" t="s">
        <v>720</v>
      </c>
      <c r="J525" s="41" t="s">
        <v>283</v>
      </c>
      <c r="K525" s="41" t="s">
        <v>605</v>
      </c>
      <c r="L525" s="41" t="s">
        <v>600</v>
      </c>
      <c r="M525" s="42">
        <v>45280</v>
      </c>
      <c r="N525" s="42">
        <v>45280</v>
      </c>
      <c r="O525" s="42">
        <v>45286</v>
      </c>
      <c r="P525" s="41" t="s">
        <v>2166</v>
      </c>
      <c r="Q525" s="41" t="s">
        <v>519</v>
      </c>
      <c r="R525" s="41"/>
      <c r="S525" s="43" t="s">
        <v>2186</v>
      </c>
      <c r="T525" s="41"/>
    </row>
    <row r="526" spans="1:20" s="44" customFormat="1" ht="25.05" customHeight="1" x14ac:dyDescent="0.3">
      <c r="A526" s="41">
        <v>1</v>
      </c>
      <c r="B526" s="41"/>
      <c r="C526" s="51" t="str">
        <f>VLOOKUP(F526,[1]VLOOKUP!$A$2:$B$35,2,FALSE)</f>
        <v>华中</v>
      </c>
      <c r="D526" s="41" t="s">
        <v>2187</v>
      </c>
      <c r="E526" s="41"/>
      <c r="F526" s="2" t="s">
        <v>283</v>
      </c>
      <c r="G526" s="2" t="s">
        <v>284</v>
      </c>
      <c r="H526" s="2"/>
      <c r="I526" s="41" t="s">
        <v>720</v>
      </c>
      <c r="J526" s="41" t="s">
        <v>283</v>
      </c>
      <c r="K526" s="41" t="s">
        <v>605</v>
      </c>
      <c r="L526" s="41" t="s">
        <v>600</v>
      </c>
      <c r="M526" s="42">
        <v>45771</v>
      </c>
      <c r="N526" s="42">
        <v>45771</v>
      </c>
      <c r="O526" s="42">
        <v>45776</v>
      </c>
      <c r="P526" s="41" t="s">
        <v>2166</v>
      </c>
      <c r="Q526" s="41" t="s">
        <v>519</v>
      </c>
      <c r="R526" s="41"/>
      <c r="S526" s="43" t="s">
        <v>2188</v>
      </c>
      <c r="T526" s="41"/>
    </row>
    <row r="527" spans="1:20" s="44" customFormat="1" ht="25.05" customHeight="1" x14ac:dyDescent="0.3">
      <c r="A527" s="41">
        <v>1</v>
      </c>
      <c r="B527" s="41"/>
      <c r="C527" s="51" t="str">
        <f>VLOOKUP(F527,[1]VLOOKUP!$A$2:$B$35,2,FALSE)</f>
        <v>华中</v>
      </c>
      <c r="D527" s="41" t="s">
        <v>2189</v>
      </c>
      <c r="E527" s="41"/>
      <c r="F527" s="2" t="s">
        <v>283</v>
      </c>
      <c r="G527" s="2" t="s">
        <v>284</v>
      </c>
      <c r="H527" s="2"/>
      <c r="I527" s="41" t="s">
        <v>720</v>
      </c>
      <c r="J527" s="41" t="s">
        <v>283</v>
      </c>
      <c r="K527" s="41" t="s">
        <v>605</v>
      </c>
      <c r="L527" s="41" t="s">
        <v>600</v>
      </c>
      <c r="M527" s="42">
        <v>45887</v>
      </c>
      <c r="N527" s="42">
        <v>45887</v>
      </c>
      <c r="O527" s="42">
        <v>45893</v>
      </c>
      <c r="P527" s="41" t="s">
        <v>2166</v>
      </c>
      <c r="Q527" s="41" t="s">
        <v>519</v>
      </c>
      <c r="R527" s="41"/>
      <c r="S527" s="43" t="s">
        <v>2190</v>
      </c>
      <c r="T527" s="41"/>
    </row>
    <row r="528" spans="1:20" ht="25.05" customHeight="1" x14ac:dyDescent="0.3">
      <c r="A528" s="69"/>
      <c r="B528" s="69"/>
      <c r="C528" s="69"/>
      <c r="D528" s="73" t="s">
        <v>2191</v>
      </c>
      <c r="E528" s="73"/>
      <c r="F528" s="2" t="s">
        <v>283</v>
      </c>
      <c r="G528" s="2" t="s">
        <v>284</v>
      </c>
      <c r="H528" s="2"/>
      <c r="I528" s="73" t="s">
        <v>720</v>
      </c>
      <c r="J528" s="73" t="s">
        <v>283</v>
      </c>
      <c r="K528" s="73" t="s">
        <v>605</v>
      </c>
      <c r="L528" s="73" t="s">
        <v>600</v>
      </c>
      <c r="M528" s="73">
        <v>45800</v>
      </c>
      <c r="N528" s="73">
        <v>45800</v>
      </c>
      <c r="O528" s="73">
        <v>45807</v>
      </c>
      <c r="P528" s="73" t="s">
        <v>2177</v>
      </c>
      <c r="Q528" s="73" t="s">
        <v>1976</v>
      </c>
      <c r="R528" s="73"/>
      <c r="S528" s="74" t="s">
        <v>2192</v>
      </c>
      <c r="T528" s="73"/>
    </row>
    <row r="529" spans="1:20" ht="25.05" customHeight="1" x14ac:dyDescent="0.3">
      <c r="A529" s="69"/>
      <c r="B529" s="69"/>
      <c r="C529" s="69" t="str">
        <f>VLOOKUP(F529,[1]VLOOKUP!$A$2:$B$35,2,FALSE)</f>
        <v>华中</v>
      </c>
      <c r="D529" s="73" t="s">
        <v>2193</v>
      </c>
      <c r="E529" s="73"/>
      <c r="F529" s="2" t="s">
        <v>283</v>
      </c>
      <c r="G529" s="2" t="s">
        <v>284</v>
      </c>
      <c r="H529" s="2"/>
      <c r="I529" s="73" t="s">
        <v>720</v>
      </c>
      <c r="J529" s="73" t="s">
        <v>283</v>
      </c>
      <c r="K529" s="73" t="s">
        <v>605</v>
      </c>
      <c r="L529" s="73" t="s">
        <v>600</v>
      </c>
      <c r="M529" s="73">
        <v>46161</v>
      </c>
      <c r="N529" s="73">
        <v>46161</v>
      </c>
      <c r="O529" s="73">
        <v>46164</v>
      </c>
      <c r="P529" s="73" t="s">
        <v>2177</v>
      </c>
      <c r="Q529" s="73" t="s">
        <v>1976</v>
      </c>
      <c r="R529" s="73"/>
      <c r="S529" s="74" t="s">
        <v>2194</v>
      </c>
      <c r="T529" s="73"/>
    </row>
    <row r="530" spans="1:20" ht="25.05" customHeight="1" x14ac:dyDescent="0.3">
      <c r="A530" s="69">
        <v>1</v>
      </c>
      <c r="B530" s="69"/>
      <c r="C530" s="51" t="str">
        <f>VLOOKUP(F530,[1]VLOOKUP!$A$2:$B$35,2,FALSE)</f>
        <v>华中</v>
      </c>
      <c r="D530" s="76" t="s">
        <v>2195</v>
      </c>
      <c r="E530" s="76"/>
      <c r="F530" s="2" t="s">
        <v>283</v>
      </c>
      <c r="G530" s="2" t="s">
        <v>284</v>
      </c>
      <c r="H530" s="2"/>
      <c r="I530" s="76" t="s">
        <v>720</v>
      </c>
      <c r="J530" s="76" t="s">
        <v>283</v>
      </c>
      <c r="K530" s="76" t="s">
        <v>605</v>
      </c>
      <c r="L530" s="76" t="s">
        <v>663</v>
      </c>
      <c r="M530" s="76">
        <v>45294</v>
      </c>
      <c r="N530" s="76">
        <v>45294</v>
      </c>
      <c r="O530" s="76">
        <v>45299</v>
      </c>
      <c r="P530" s="76" t="s">
        <v>2177</v>
      </c>
      <c r="Q530" s="76" t="s">
        <v>1976</v>
      </c>
      <c r="R530" s="76"/>
      <c r="S530" s="77" t="s">
        <v>2196</v>
      </c>
      <c r="T530" s="76"/>
    </row>
    <row r="531" spans="1:20" ht="25.05" customHeight="1" x14ac:dyDescent="0.3">
      <c r="A531" s="69">
        <v>1</v>
      </c>
      <c r="B531" s="69"/>
      <c r="C531" s="51" t="str">
        <f>VLOOKUP(F531,[1]VLOOKUP!$A$2:$B$35,2,FALSE)</f>
        <v>华中</v>
      </c>
      <c r="D531" s="80" t="s">
        <v>2197</v>
      </c>
      <c r="E531" s="80"/>
      <c r="F531" s="2" t="s">
        <v>283</v>
      </c>
      <c r="G531" s="2" t="s">
        <v>284</v>
      </c>
      <c r="H531" s="2" t="s">
        <v>2198</v>
      </c>
      <c r="I531" s="80" t="s">
        <v>720</v>
      </c>
      <c r="J531" s="80" t="s">
        <v>283</v>
      </c>
      <c r="K531" s="80" t="s">
        <v>611</v>
      </c>
      <c r="L531" s="80" t="s">
        <v>780</v>
      </c>
      <c r="M531" s="80">
        <v>45462</v>
      </c>
      <c r="N531" s="80">
        <v>45462</v>
      </c>
      <c r="O531" s="80">
        <v>45492</v>
      </c>
      <c r="P531" s="80" t="s">
        <v>2199</v>
      </c>
      <c r="Q531" s="80" t="s">
        <v>2200</v>
      </c>
      <c r="R531" s="80"/>
      <c r="S531" s="81" t="s">
        <v>2201</v>
      </c>
      <c r="T531" s="80"/>
    </row>
    <row r="532" spans="1:20" s="44" customFormat="1" ht="25.05" customHeight="1" x14ac:dyDescent="0.3">
      <c r="A532" s="41">
        <v>1</v>
      </c>
      <c r="B532" s="41"/>
      <c r="C532" s="51" t="str">
        <f>VLOOKUP(F532,[1]VLOOKUP!$A$2:$B$35,2,FALSE)</f>
        <v>华中</v>
      </c>
      <c r="D532" s="41" t="s">
        <v>2202</v>
      </c>
      <c r="E532" s="41"/>
      <c r="F532" s="2" t="s">
        <v>283</v>
      </c>
      <c r="G532" s="2" t="s">
        <v>284</v>
      </c>
      <c r="H532" s="2" t="s">
        <v>866</v>
      </c>
      <c r="I532" s="41" t="s">
        <v>720</v>
      </c>
      <c r="J532" s="41" t="s">
        <v>283</v>
      </c>
      <c r="K532" s="41" t="s">
        <v>599</v>
      </c>
      <c r="L532" s="41" t="s">
        <v>600</v>
      </c>
      <c r="M532" s="42">
        <v>45825</v>
      </c>
      <c r="N532" s="42">
        <v>45825</v>
      </c>
      <c r="O532" s="42">
        <v>45838</v>
      </c>
      <c r="P532" s="41" t="s">
        <v>2203</v>
      </c>
      <c r="Q532" s="41" t="s">
        <v>512</v>
      </c>
      <c r="R532" s="41"/>
      <c r="S532" s="43" t="s">
        <v>2204</v>
      </c>
      <c r="T532" s="41"/>
    </row>
    <row r="533" spans="1:20" ht="25.05" customHeight="1" x14ac:dyDescent="0.3">
      <c r="A533" s="69">
        <v>1</v>
      </c>
      <c r="B533" s="69"/>
      <c r="C533" s="51" t="str">
        <f>VLOOKUP(F533,[1]VLOOKUP!$A$2:$B$35,2,FALSE)</f>
        <v>华中</v>
      </c>
      <c r="D533" s="76" t="s">
        <v>2205</v>
      </c>
      <c r="E533" s="76"/>
      <c r="F533" s="2" t="s">
        <v>283</v>
      </c>
      <c r="G533" s="2" t="s">
        <v>288</v>
      </c>
      <c r="H533" s="2"/>
      <c r="I533" s="76" t="s">
        <v>720</v>
      </c>
      <c r="J533" s="76" t="s">
        <v>283</v>
      </c>
      <c r="K533" s="76" t="s">
        <v>611</v>
      </c>
      <c r="L533" s="76" t="s">
        <v>663</v>
      </c>
      <c r="M533" s="76">
        <v>43929</v>
      </c>
      <c r="N533" s="76">
        <v>43948</v>
      </c>
      <c r="O533" s="76">
        <v>44926</v>
      </c>
      <c r="P533" s="76" t="s">
        <v>2206</v>
      </c>
      <c r="Q533" s="76" t="s">
        <v>724</v>
      </c>
      <c r="R533" s="76" t="s">
        <v>2207</v>
      </c>
      <c r="S533" s="77" t="s">
        <v>2208</v>
      </c>
      <c r="T533" s="76"/>
    </row>
    <row r="534" spans="1:20" s="44" customFormat="1" ht="25.05" customHeight="1" x14ac:dyDescent="0.3">
      <c r="A534" s="41">
        <v>1</v>
      </c>
      <c r="B534" s="41"/>
      <c r="C534" s="51" t="str">
        <f>VLOOKUP(F534,[1]VLOOKUP!$A$2:$B$35,2,FALSE)</f>
        <v>华中</v>
      </c>
      <c r="D534" s="41" t="s">
        <v>2209</v>
      </c>
      <c r="E534" s="41"/>
      <c r="F534" s="2" t="s">
        <v>283</v>
      </c>
      <c r="G534" s="2" t="s">
        <v>288</v>
      </c>
      <c r="H534" s="2"/>
      <c r="I534" s="41" t="s">
        <v>720</v>
      </c>
      <c r="J534" s="41" t="s">
        <v>283</v>
      </c>
      <c r="K534" s="41" t="s">
        <v>682</v>
      </c>
      <c r="L534" s="41" t="s">
        <v>600</v>
      </c>
      <c r="M534" s="42">
        <v>44650</v>
      </c>
      <c r="N534" s="42">
        <v>44650</v>
      </c>
      <c r="O534" s="42">
        <v>46022</v>
      </c>
      <c r="P534" s="41" t="s">
        <v>2206</v>
      </c>
      <c r="Q534" s="41" t="s">
        <v>724</v>
      </c>
      <c r="R534" s="41" t="s">
        <v>2210</v>
      </c>
      <c r="S534" s="43" t="s">
        <v>2211</v>
      </c>
      <c r="T534" s="41"/>
    </row>
    <row r="535" spans="1:20" s="44" customFormat="1" ht="25.05" customHeight="1" x14ac:dyDescent="0.3">
      <c r="A535" s="41">
        <v>1</v>
      </c>
      <c r="B535" s="41"/>
      <c r="C535" s="51" t="str">
        <f>VLOOKUP(F535,[1]VLOOKUP!$A$2:$B$35,2,FALSE)</f>
        <v>华中</v>
      </c>
      <c r="D535" s="41" t="s">
        <v>2212</v>
      </c>
      <c r="E535" s="41"/>
      <c r="F535" s="2" t="s">
        <v>283</v>
      </c>
      <c r="G535" s="2" t="s">
        <v>288</v>
      </c>
      <c r="H535" s="2"/>
      <c r="I535" s="41" t="s">
        <v>720</v>
      </c>
      <c r="J535" s="41" t="s">
        <v>283</v>
      </c>
      <c r="K535" s="41" t="s">
        <v>611</v>
      </c>
      <c r="L535" s="41" t="s">
        <v>600</v>
      </c>
      <c r="M535" s="42">
        <v>44924</v>
      </c>
      <c r="N535" s="42">
        <v>44954</v>
      </c>
      <c r="O535" s="42">
        <v>49674</v>
      </c>
      <c r="P535" s="41" t="s">
        <v>2206</v>
      </c>
      <c r="Q535" s="41" t="s">
        <v>724</v>
      </c>
      <c r="R535" s="41" t="s">
        <v>2213</v>
      </c>
      <c r="S535" s="43" t="s">
        <v>2214</v>
      </c>
      <c r="T535" s="41"/>
    </row>
    <row r="536" spans="1:20" ht="25.05" customHeight="1" x14ac:dyDescent="0.3">
      <c r="A536" s="69"/>
      <c r="B536" s="69"/>
      <c r="C536" s="69"/>
      <c r="D536" s="71" t="s">
        <v>2215</v>
      </c>
      <c r="E536" s="71"/>
      <c r="F536" s="2" t="s">
        <v>283</v>
      </c>
      <c r="G536" s="2" t="s">
        <v>288</v>
      </c>
      <c r="H536" s="2"/>
      <c r="I536" s="71" t="s">
        <v>720</v>
      </c>
      <c r="J536" s="71" t="s">
        <v>283</v>
      </c>
      <c r="K536" s="71" t="s">
        <v>682</v>
      </c>
      <c r="L536" s="71" t="s">
        <v>606</v>
      </c>
      <c r="M536" s="71"/>
      <c r="N536" s="71"/>
      <c r="O536" s="71"/>
      <c r="P536" s="71" t="s">
        <v>2206</v>
      </c>
      <c r="Q536" s="71" t="s">
        <v>724</v>
      </c>
      <c r="R536" s="71"/>
      <c r="S536" s="75"/>
      <c r="T536" s="71"/>
    </row>
    <row r="537" spans="1:20" s="44" customFormat="1" ht="25.05" customHeight="1" x14ac:dyDescent="0.3">
      <c r="A537" s="41">
        <v>1</v>
      </c>
      <c r="B537" s="41"/>
      <c r="C537" s="51" t="str">
        <f>VLOOKUP(F537,[1]VLOOKUP!$A$2:$B$35,2,FALSE)</f>
        <v>华中</v>
      </c>
      <c r="D537" s="52" t="s">
        <v>2216</v>
      </c>
      <c r="E537" s="52"/>
      <c r="F537" s="2" t="s">
        <v>283</v>
      </c>
      <c r="G537" s="2" t="s">
        <v>291</v>
      </c>
      <c r="H537" s="46"/>
      <c r="I537" s="52" t="s">
        <v>720</v>
      </c>
      <c r="J537" s="52" t="s">
        <v>283</v>
      </c>
      <c r="K537" s="52" t="s">
        <v>605</v>
      </c>
      <c r="L537" s="52" t="s">
        <v>663</v>
      </c>
      <c r="M537" s="52">
        <v>44491</v>
      </c>
      <c r="N537" s="52">
        <v>44508</v>
      </c>
      <c r="O537" s="52">
        <v>44755</v>
      </c>
      <c r="P537" s="52" t="s">
        <v>2217</v>
      </c>
      <c r="Q537" s="52" t="s">
        <v>724</v>
      </c>
      <c r="R537" s="52" t="s">
        <v>2218</v>
      </c>
      <c r="S537" s="53" t="s">
        <v>2219</v>
      </c>
      <c r="T537" s="52"/>
    </row>
    <row r="538" spans="1:20" s="44" customFormat="1" ht="25.05" customHeight="1" x14ac:dyDescent="0.3">
      <c r="A538" s="41">
        <v>1</v>
      </c>
      <c r="B538" s="41"/>
      <c r="C538" s="51" t="str">
        <f>VLOOKUP(F538,[1]VLOOKUP!$A$2:$B$35,2,FALSE)</f>
        <v>华中</v>
      </c>
      <c r="D538" s="41" t="s">
        <v>2220</v>
      </c>
      <c r="E538" s="41"/>
      <c r="F538" s="2" t="s">
        <v>283</v>
      </c>
      <c r="G538" s="2" t="s">
        <v>291</v>
      </c>
      <c r="H538" s="2"/>
      <c r="I538" s="41" t="s">
        <v>720</v>
      </c>
      <c r="J538" s="41" t="s">
        <v>283</v>
      </c>
      <c r="K538" s="41" t="s">
        <v>682</v>
      </c>
      <c r="L538" s="41" t="s">
        <v>600</v>
      </c>
      <c r="M538" s="42">
        <v>45152</v>
      </c>
      <c r="N538" s="42">
        <v>45163</v>
      </c>
      <c r="O538" s="42">
        <v>46022</v>
      </c>
      <c r="P538" s="41" t="s">
        <v>2217</v>
      </c>
      <c r="Q538" s="41" t="s">
        <v>724</v>
      </c>
      <c r="R538" s="41" t="s">
        <v>2221</v>
      </c>
      <c r="S538" s="43" t="s">
        <v>2222</v>
      </c>
      <c r="T538" s="41"/>
    </row>
    <row r="539" spans="1:20" s="44" customFormat="1" ht="25.05" customHeight="1" x14ac:dyDescent="0.3">
      <c r="A539" s="41"/>
      <c r="B539" s="41"/>
      <c r="C539" s="41"/>
      <c r="D539" s="47" t="s">
        <v>2223</v>
      </c>
      <c r="E539" s="47"/>
      <c r="F539" s="2" t="s">
        <v>283</v>
      </c>
      <c r="G539" s="2" t="s">
        <v>291</v>
      </c>
      <c r="H539" s="2"/>
      <c r="I539" s="47" t="s">
        <v>720</v>
      </c>
      <c r="J539" s="47" t="s">
        <v>283</v>
      </c>
      <c r="K539" s="47" t="s">
        <v>611</v>
      </c>
      <c r="L539" s="47" t="s">
        <v>606</v>
      </c>
      <c r="M539" s="47"/>
      <c r="N539" s="47"/>
      <c r="O539" s="47"/>
      <c r="P539" s="47" t="s">
        <v>2217</v>
      </c>
      <c r="Q539" s="47" t="s">
        <v>724</v>
      </c>
      <c r="R539" s="47"/>
      <c r="S539" s="64"/>
      <c r="T539" s="47"/>
    </row>
    <row r="540" spans="1:20" s="44" customFormat="1" ht="25.05" customHeight="1" x14ac:dyDescent="0.3">
      <c r="A540" s="41">
        <v>1</v>
      </c>
      <c r="B540" s="41"/>
      <c r="C540" s="51" t="str">
        <f>VLOOKUP(F540,[1]VLOOKUP!$A$2:$B$35,2,FALSE)</f>
        <v>华中</v>
      </c>
      <c r="D540" s="41" t="s">
        <v>2224</v>
      </c>
      <c r="E540" s="41"/>
      <c r="F540" s="2" t="s">
        <v>283</v>
      </c>
      <c r="G540" s="2" t="s">
        <v>291</v>
      </c>
      <c r="H540" s="2"/>
      <c r="I540" s="41" t="s">
        <v>720</v>
      </c>
      <c r="J540" s="41" t="s">
        <v>283</v>
      </c>
      <c r="K540" s="41" t="s">
        <v>611</v>
      </c>
      <c r="L540" s="41" t="s">
        <v>600</v>
      </c>
      <c r="M540" s="42">
        <v>44906</v>
      </c>
      <c r="N540" s="42">
        <v>44909</v>
      </c>
      <c r="O540" s="42">
        <v>46022</v>
      </c>
      <c r="P540" s="41" t="s">
        <v>2217</v>
      </c>
      <c r="Q540" s="41" t="s">
        <v>724</v>
      </c>
      <c r="R540" s="41" t="s">
        <v>2225</v>
      </c>
      <c r="S540" s="43" t="s">
        <v>2226</v>
      </c>
      <c r="T540" s="41"/>
    </row>
    <row r="541" spans="1:20" s="44" customFormat="1" ht="25.05" customHeight="1" x14ac:dyDescent="0.3">
      <c r="A541" s="41">
        <v>1</v>
      </c>
      <c r="B541" s="41"/>
      <c r="C541" s="51" t="str">
        <f>VLOOKUP(F541,[1]VLOOKUP!$A$2:$B$35,2,FALSE)</f>
        <v>华中</v>
      </c>
      <c r="D541" s="52" t="s">
        <v>2227</v>
      </c>
      <c r="E541" s="52"/>
      <c r="F541" s="2" t="s">
        <v>283</v>
      </c>
      <c r="G541" s="2" t="s">
        <v>291</v>
      </c>
      <c r="H541" s="2"/>
      <c r="I541" s="52" t="s">
        <v>720</v>
      </c>
      <c r="J541" s="52" t="s">
        <v>283</v>
      </c>
      <c r="K541" s="52" t="s">
        <v>605</v>
      </c>
      <c r="L541" s="52" t="s">
        <v>663</v>
      </c>
      <c r="M541" s="52">
        <v>44755</v>
      </c>
      <c r="N541" s="52">
        <v>44776</v>
      </c>
      <c r="O541" s="52">
        <v>46022</v>
      </c>
      <c r="P541" s="52" t="s">
        <v>2217</v>
      </c>
      <c r="Q541" s="52" t="s">
        <v>724</v>
      </c>
      <c r="R541" s="52" t="s">
        <v>2228</v>
      </c>
      <c r="S541" s="53" t="s">
        <v>2229</v>
      </c>
      <c r="T541" s="52"/>
    </row>
    <row r="542" spans="1:20" s="44" customFormat="1" ht="25.05" customHeight="1" x14ac:dyDescent="0.3">
      <c r="A542" s="41">
        <v>1</v>
      </c>
      <c r="B542" s="41"/>
      <c r="C542" s="51" t="str">
        <f>VLOOKUP(F542,[1]VLOOKUP!$A$2:$B$35,2,FALSE)</f>
        <v>华中</v>
      </c>
      <c r="D542" s="41" t="s">
        <v>2230</v>
      </c>
      <c r="E542" s="41"/>
      <c r="F542" s="2" t="s">
        <v>283</v>
      </c>
      <c r="G542" s="2" t="s">
        <v>291</v>
      </c>
      <c r="H542" s="2"/>
      <c r="I542" s="41" t="s">
        <v>720</v>
      </c>
      <c r="J542" s="41" t="s">
        <v>283</v>
      </c>
      <c r="K542" s="41" t="s">
        <v>605</v>
      </c>
      <c r="L542" s="41" t="s">
        <v>600</v>
      </c>
      <c r="M542" s="42">
        <v>45161</v>
      </c>
      <c r="N542" s="42">
        <v>45169</v>
      </c>
      <c r="O542" s="42">
        <v>46022</v>
      </c>
      <c r="P542" s="41" t="s">
        <v>2217</v>
      </c>
      <c r="Q542" s="41" t="s">
        <v>724</v>
      </c>
      <c r="R542" s="41" t="s">
        <v>2231</v>
      </c>
      <c r="S542" s="43" t="s">
        <v>2232</v>
      </c>
      <c r="T542" s="41"/>
    </row>
    <row r="543" spans="1:20" s="44" customFormat="1" ht="25.05" customHeight="1" x14ac:dyDescent="0.3">
      <c r="A543" s="41">
        <v>1</v>
      </c>
      <c r="B543" s="41"/>
      <c r="C543" s="51" t="str">
        <f>VLOOKUP(F543,[1]VLOOKUP!$A$2:$B$35,2,FALSE)</f>
        <v>华中</v>
      </c>
      <c r="D543" s="52" t="s">
        <v>2233</v>
      </c>
      <c r="E543" s="52"/>
      <c r="F543" s="2" t="s">
        <v>283</v>
      </c>
      <c r="G543" s="2" t="s">
        <v>291</v>
      </c>
      <c r="H543" s="2"/>
      <c r="I543" s="52" t="s">
        <v>720</v>
      </c>
      <c r="J543" s="52" t="s">
        <v>283</v>
      </c>
      <c r="K543" s="52" t="s">
        <v>605</v>
      </c>
      <c r="L543" s="52" t="s">
        <v>663</v>
      </c>
      <c r="M543" s="52">
        <v>44902</v>
      </c>
      <c r="N543" s="52">
        <v>44902</v>
      </c>
      <c r="O543" s="52">
        <v>44902</v>
      </c>
      <c r="P543" s="52" t="s">
        <v>2234</v>
      </c>
      <c r="Q543" s="52" t="s">
        <v>519</v>
      </c>
      <c r="R543" s="52"/>
      <c r="S543" s="53" t="s">
        <v>2235</v>
      </c>
      <c r="T543" s="52"/>
    </row>
    <row r="544" spans="1:20" s="44" customFormat="1" ht="25.05" customHeight="1" x14ac:dyDescent="0.3">
      <c r="A544" s="41">
        <v>1</v>
      </c>
      <c r="B544" s="41"/>
      <c r="C544" s="51" t="str">
        <f>VLOOKUP(F544,[1]VLOOKUP!$A$2:$B$35,2,FALSE)</f>
        <v>华中</v>
      </c>
      <c r="D544" s="52" t="s">
        <v>2236</v>
      </c>
      <c r="E544" s="52"/>
      <c r="F544" s="2" t="s">
        <v>283</v>
      </c>
      <c r="G544" s="2" t="s">
        <v>291</v>
      </c>
      <c r="H544" s="2"/>
      <c r="I544" s="52" t="s">
        <v>720</v>
      </c>
      <c r="J544" s="52" t="s">
        <v>283</v>
      </c>
      <c r="K544" s="52" t="s">
        <v>605</v>
      </c>
      <c r="L544" s="52" t="s">
        <v>663</v>
      </c>
      <c r="M544" s="52">
        <v>45141</v>
      </c>
      <c r="N544" s="52">
        <v>45141</v>
      </c>
      <c r="O544" s="52">
        <v>45153</v>
      </c>
      <c r="P544" s="52" t="s">
        <v>2237</v>
      </c>
      <c r="Q544" s="52" t="s">
        <v>2144</v>
      </c>
      <c r="R544" s="52" t="s">
        <v>2238</v>
      </c>
      <c r="S544" s="53" t="s">
        <v>2239</v>
      </c>
      <c r="T544" s="52"/>
    </row>
    <row r="545" spans="1:20" s="44" customFormat="1" ht="25.05" customHeight="1" x14ac:dyDescent="0.3">
      <c r="A545" s="41"/>
      <c r="B545" s="41"/>
      <c r="C545" s="41"/>
      <c r="D545" s="47" t="s">
        <v>2240</v>
      </c>
      <c r="E545" s="47"/>
      <c r="F545" s="2" t="s">
        <v>283</v>
      </c>
      <c r="G545" s="2" t="s">
        <v>291</v>
      </c>
      <c r="H545" s="2"/>
      <c r="I545" s="47" t="s">
        <v>720</v>
      </c>
      <c r="J545" s="47" t="s">
        <v>283</v>
      </c>
      <c r="K545" s="47" t="s">
        <v>611</v>
      </c>
      <c r="L545" s="47" t="s">
        <v>606</v>
      </c>
      <c r="M545" s="47"/>
      <c r="N545" s="47"/>
      <c r="O545" s="47"/>
      <c r="P545" s="47"/>
      <c r="Q545" s="47"/>
      <c r="R545" s="47"/>
      <c r="S545" s="64"/>
      <c r="T545" s="47"/>
    </row>
    <row r="546" spans="1:20" s="44" customFormat="1" ht="25.05" customHeight="1" x14ac:dyDescent="0.3">
      <c r="A546" s="41"/>
      <c r="B546" s="41"/>
      <c r="C546" s="41"/>
      <c r="D546" s="47" t="s">
        <v>2241</v>
      </c>
      <c r="E546" s="47"/>
      <c r="F546" s="2" t="s">
        <v>283</v>
      </c>
      <c r="G546" s="2" t="s">
        <v>286</v>
      </c>
      <c r="H546" s="2"/>
      <c r="I546" s="47" t="s">
        <v>720</v>
      </c>
      <c r="J546" s="47" t="s">
        <v>283</v>
      </c>
      <c r="K546" s="47" t="s">
        <v>611</v>
      </c>
      <c r="L546" s="47" t="s">
        <v>606</v>
      </c>
      <c r="M546" s="47"/>
      <c r="N546" s="47"/>
      <c r="O546" s="47"/>
      <c r="P546" s="47" t="s">
        <v>2242</v>
      </c>
      <c r="Q546" s="47" t="s">
        <v>519</v>
      </c>
      <c r="R546" s="47"/>
      <c r="S546" s="64"/>
      <c r="T546" s="47"/>
    </row>
    <row r="547" spans="1:20" s="44" customFormat="1" ht="25.05" customHeight="1" x14ac:dyDescent="0.3">
      <c r="A547" s="41">
        <v>1</v>
      </c>
      <c r="B547" s="41"/>
      <c r="C547" s="51" t="str">
        <f>VLOOKUP(F547,[1]VLOOKUP!$A$2:$B$35,2,FALSE)</f>
        <v>华中</v>
      </c>
      <c r="D547" s="41" t="s">
        <v>538</v>
      </c>
      <c r="E547" s="41"/>
      <c r="F547" s="2" t="s">
        <v>283</v>
      </c>
      <c r="G547" s="2" t="s">
        <v>286</v>
      </c>
      <c r="H547" s="2"/>
      <c r="I547" s="41" t="s">
        <v>720</v>
      </c>
      <c r="J547" s="41" t="s">
        <v>283</v>
      </c>
      <c r="K547" s="41" t="s">
        <v>682</v>
      </c>
      <c r="L547" s="41" t="s">
        <v>600</v>
      </c>
      <c r="M547" s="42">
        <v>44931</v>
      </c>
      <c r="N547" s="42">
        <v>44963</v>
      </c>
      <c r="O547" s="42">
        <v>46022</v>
      </c>
      <c r="P547" s="41" t="s">
        <v>2243</v>
      </c>
      <c r="Q547" s="41" t="s">
        <v>724</v>
      </c>
      <c r="R547" s="41" t="s">
        <v>2244</v>
      </c>
      <c r="S547" s="43" t="s">
        <v>2245</v>
      </c>
      <c r="T547" s="41"/>
    </row>
    <row r="548" spans="1:20" s="44" customFormat="1" ht="25.05" customHeight="1" x14ac:dyDescent="0.3">
      <c r="A548" s="41">
        <v>1</v>
      </c>
      <c r="B548" s="41"/>
      <c r="C548" s="51" t="str">
        <f>VLOOKUP(F548,[1]VLOOKUP!$A$2:$B$35,2,FALSE)</f>
        <v>华中</v>
      </c>
      <c r="D548" s="41" t="s">
        <v>2246</v>
      </c>
      <c r="E548" s="41"/>
      <c r="F548" s="2" t="s">
        <v>283</v>
      </c>
      <c r="G548" s="2" t="s">
        <v>286</v>
      </c>
      <c r="H548" s="2"/>
      <c r="I548" s="41" t="s">
        <v>720</v>
      </c>
      <c r="J548" s="41" t="s">
        <v>283</v>
      </c>
      <c r="K548" s="41" t="s">
        <v>611</v>
      </c>
      <c r="L548" s="41" t="s">
        <v>600</v>
      </c>
      <c r="M548" s="42">
        <v>45084</v>
      </c>
      <c r="N548" s="42">
        <v>45102</v>
      </c>
      <c r="O548" s="42">
        <v>46010</v>
      </c>
      <c r="P548" s="41" t="s">
        <v>2243</v>
      </c>
      <c r="Q548" s="41" t="s">
        <v>724</v>
      </c>
      <c r="R548" s="41" t="s">
        <v>2247</v>
      </c>
      <c r="S548" s="43" t="s">
        <v>2248</v>
      </c>
      <c r="T548" s="41"/>
    </row>
    <row r="549" spans="1:20" s="44" customFormat="1" ht="25.05" customHeight="1" x14ac:dyDescent="0.3">
      <c r="A549" s="41">
        <v>1</v>
      </c>
      <c r="B549" s="41"/>
      <c r="C549" s="51" t="str">
        <f>VLOOKUP(F549,[1]VLOOKUP!$A$2:$B$35,2,FALSE)</f>
        <v>华中</v>
      </c>
      <c r="D549" s="57" t="s">
        <v>2249</v>
      </c>
      <c r="E549" s="57"/>
      <c r="F549" s="2" t="s">
        <v>283</v>
      </c>
      <c r="G549" s="2" t="s">
        <v>285</v>
      </c>
      <c r="H549" s="2"/>
      <c r="I549" s="57" t="s">
        <v>720</v>
      </c>
      <c r="J549" s="57" t="s">
        <v>283</v>
      </c>
      <c r="K549" s="57" t="s">
        <v>682</v>
      </c>
      <c r="L549" s="57" t="s">
        <v>780</v>
      </c>
      <c r="M549" s="57">
        <v>44432</v>
      </c>
      <c r="N549" s="57">
        <v>44432</v>
      </c>
      <c r="O549" s="57">
        <v>44441</v>
      </c>
      <c r="P549" s="57" t="s">
        <v>2250</v>
      </c>
      <c r="Q549" s="57" t="s">
        <v>654</v>
      </c>
      <c r="R549" s="57"/>
      <c r="S549" s="58" t="s">
        <v>2251</v>
      </c>
      <c r="T549" s="57"/>
    </row>
    <row r="550" spans="1:20" s="44" customFormat="1" ht="25.05" customHeight="1" x14ac:dyDescent="0.3">
      <c r="A550" s="41">
        <v>1</v>
      </c>
      <c r="B550" s="41"/>
      <c r="C550" s="51" t="str">
        <f>VLOOKUP(F550,[1]VLOOKUP!$A$2:$B$35,2,FALSE)</f>
        <v>华中</v>
      </c>
      <c r="D550" s="41" t="s">
        <v>2252</v>
      </c>
      <c r="E550" s="41"/>
      <c r="F550" s="2" t="s">
        <v>283</v>
      </c>
      <c r="G550" s="2" t="s">
        <v>285</v>
      </c>
      <c r="H550" s="2"/>
      <c r="I550" s="41" t="s">
        <v>720</v>
      </c>
      <c r="J550" s="41" t="s">
        <v>283</v>
      </c>
      <c r="K550" s="41" t="s">
        <v>611</v>
      </c>
      <c r="L550" s="41" t="s">
        <v>600</v>
      </c>
      <c r="M550" s="42">
        <v>44865</v>
      </c>
      <c r="N550" s="42">
        <v>44873</v>
      </c>
      <c r="O550" s="42">
        <v>46022</v>
      </c>
      <c r="P550" s="41" t="s">
        <v>2253</v>
      </c>
      <c r="Q550" s="41" t="s">
        <v>2144</v>
      </c>
      <c r="R550" s="41" t="s">
        <v>2254</v>
      </c>
      <c r="S550" s="43" t="s">
        <v>2255</v>
      </c>
      <c r="T550" s="41"/>
    </row>
    <row r="551" spans="1:20" s="44" customFormat="1" ht="25.05" customHeight="1" x14ac:dyDescent="0.3">
      <c r="A551" s="41"/>
      <c r="B551" s="41"/>
      <c r="C551" s="41"/>
      <c r="D551" s="47" t="s">
        <v>2256</v>
      </c>
      <c r="E551" s="47"/>
      <c r="F551" s="2" t="s">
        <v>283</v>
      </c>
      <c r="G551" s="2" t="s">
        <v>287</v>
      </c>
      <c r="H551" s="2"/>
      <c r="I551" s="47" t="s">
        <v>720</v>
      </c>
      <c r="J551" s="47" t="s">
        <v>283</v>
      </c>
      <c r="K551" s="47" t="s">
        <v>611</v>
      </c>
      <c r="L551" s="47" t="s">
        <v>606</v>
      </c>
      <c r="M551" s="47"/>
      <c r="N551" s="47"/>
      <c r="O551" s="47"/>
      <c r="P551" s="59" t="s">
        <v>2257</v>
      </c>
      <c r="Q551" s="59" t="s">
        <v>716</v>
      </c>
      <c r="R551" s="47"/>
      <c r="S551" s="64"/>
      <c r="T551" s="47"/>
    </row>
    <row r="552" spans="1:20" s="44" customFormat="1" ht="25.05" customHeight="1" x14ac:dyDescent="0.3">
      <c r="A552" s="41"/>
      <c r="B552" s="41"/>
      <c r="C552" s="41"/>
      <c r="D552" s="47" t="s">
        <v>2258</v>
      </c>
      <c r="E552" s="47"/>
      <c r="F552" s="2" t="s">
        <v>283</v>
      </c>
      <c r="G552" s="2" t="s">
        <v>287</v>
      </c>
      <c r="H552" s="2"/>
      <c r="I552" s="47" t="s">
        <v>720</v>
      </c>
      <c r="J552" s="47" t="s">
        <v>283</v>
      </c>
      <c r="K552" s="47" t="s">
        <v>611</v>
      </c>
      <c r="L552" s="47" t="s">
        <v>606</v>
      </c>
      <c r="M552" s="47"/>
      <c r="N552" s="47"/>
      <c r="O552" s="47"/>
      <c r="P552" s="59" t="s">
        <v>2257</v>
      </c>
      <c r="Q552" s="59" t="s">
        <v>716</v>
      </c>
      <c r="R552" s="47"/>
      <c r="S552" s="64"/>
      <c r="T552" s="47"/>
    </row>
    <row r="553" spans="1:20" s="44" customFormat="1" ht="25.05" customHeight="1" x14ac:dyDescent="0.3">
      <c r="A553" s="41"/>
      <c r="B553" s="41"/>
      <c r="C553" s="41"/>
      <c r="D553" s="47" t="s">
        <v>2259</v>
      </c>
      <c r="E553" s="47"/>
      <c r="F553" s="2" t="s">
        <v>283</v>
      </c>
      <c r="G553" s="2" t="s">
        <v>287</v>
      </c>
      <c r="H553" s="2"/>
      <c r="I553" s="47" t="s">
        <v>720</v>
      </c>
      <c r="J553" s="47" t="s">
        <v>283</v>
      </c>
      <c r="K553" s="47" t="s">
        <v>611</v>
      </c>
      <c r="L553" s="47" t="s">
        <v>606</v>
      </c>
      <c r="M553" s="47"/>
      <c r="N553" s="47"/>
      <c r="O553" s="47"/>
      <c r="P553" s="59" t="s">
        <v>2257</v>
      </c>
      <c r="Q553" s="59" t="s">
        <v>716</v>
      </c>
      <c r="R553" s="47"/>
      <c r="S553" s="64"/>
      <c r="T553" s="47"/>
    </row>
    <row r="554" spans="1:20" s="44" customFormat="1" ht="25.05" customHeight="1" x14ac:dyDescent="0.3">
      <c r="A554" s="41">
        <v>1</v>
      </c>
      <c r="B554" s="41"/>
      <c r="C554" s="51" t="str">
        <f>VLOOKUP(F554,[1]VLOOKUP!$A$2:$B$35,2,FALSE)</f>
        <v>华中</v>
      </c>
      <c r="D554" s="41" t="s">
        <v>544</v>
      </c>
      <c r="E554" s="41"/>
      <c r="F554" s="2" t="s">
        <v>283</v>
      </c>
      <c r="G554" s="2" t="s">
        <v>287</v>
      </c>
      <c r="H554" s="2"/>
      <c r="I554" s="41" t="s">
        <v>720</v>
      </c>
      <c r="J554" s="41" t="s">
        <v>283</v>
      </c>
      <c r="K554" s="41" t="s">
        <v>682</v>
      </c>
      <c r="L554" s="41" t="s">
        <v>600</v>
      </c>
      <c r="M554" s="42">
        <v>45157</v>
      </c>
      <c r="N554" s="42">
        <v>45168</v>
      </c>
      <c r="O554" s="42">
        <v>45899</v>
      </c>
      <c r="P554" s="41" t="s">
        <v>2260</v>
      </c>
      <c r="Q554" s="41" t="s">
        <v>724</v>
      </c>
      <c r="R554" s="41" t="s">
        <v>2261</v>
      </c>
      <c r="S554" s="43" t="s">
        <v>2262</v>
      </c>
      <c r="T554" s="41"/>
    </row>
    <row r="555" spans="1:20" s="44" customFormat="1" ht="25.05" customHeight="1" x14ac:dyDescent="0.3">
      <c r="A555" s="41">
        <v>1</v>
      </c>
      <c r="B555" s="41"/>
      <c r="C555" s="51" t="str">
        <f>VLOOKUP(F555,[1]VLOOKUP!$A$2:$B$35,2,FALSE)</f>
        <v>华中</v>
      </c>
      <c r="D555" s="41" t="s">
        <v>2263</v>
      </c>
      <c r="E555" s="41"/>
      <c r="F555" s="2" t="s">
        <v>283</v>
      </c>
      <c r="G555" s="2" t="s">
        <v>287</v>
      </c>
      <c r="H555" s="2"/>
      <c r="I555" s="41" t="s">
        <v>720</v>
      </c>
      <c r="J555" s="41" t="s">
        <v>283</v>
      </c>
      <c r="K555" s="41" t="s">
        <v>605</v>
      </c>
      <c r="L555" s="41" t="s">
        <v>600</v>
      </c>
      <c r="M555" s="42">
        <v>45281</v>
      </c>
      <c r="N555" s="42">
        <v>45309</v>
      </c>
      <c r="O555" s="42">
        <v>46022</v>
      </c>
      <c r="P555" s="41" t="s">
        <v>2260</v>
      </c>
      <c r="Q555" s="41" t="s">
        <v>724</v>
      </c>
      <c r="R555" s="41" t="s">
        <v>2264</v>
      </c>
      <c r="S555" s="43" t="s">
        <v>2265</v>
      </c>
      <c r="T555" s="41"/>
    </row>
    <row r="556" spans="1:20" s="44" customFormat="1" ht="25.05" customHeight="1" x14ac:dyDescent="0.3">
      <c r="A556" s="41">
        <v>1</v>
      </c>
      <c r="B556" s="41"/>
      <c r="C556" s="51" t="str">
        <f>VLOOKUP(F556,[1]VLOOKUP!$A$2:$B$35,2,FALSE)</f>
        <v>华中</v>
      </c>
      <c r="D556" s="57" t="s">
        <v>2266</v>
      </c>
      <c r="E556" s="57"/>
      <c r="F556" s="2" t="s">
        <v>283</v>
      </c>
      <c r="G556" s="2" t="s">
        <v>287</v>
      </c>
      <c r="H556" s="2"/>
      <c r="I556" s="57" t="s">
        <v>720</v>
      </c>
      <c r="J556" s="57" t="s">
        <v>283</v>
      </c>
      <c r="K556" s="57" t="s">
        <v>611</v>
      </c>
      <c r="L556" s="57" t="s">
        <v>780</v>
      </c>
      <c r="M556" s="57">
        <v>45372</v>
      </c>
      <c r="N556" s="57">
        <v>45372</v>
      </c>
      <c r="O556" s="57">
        <v>45403</v>
      </c>
      <c r="P556" s="57" t="s">
        <v>2267</v>
      </c>
      <c r="Q556" s="57" t="s">
        <v>654</v>
      </c>
      <c r="R556" s="57"/>
      <c r="S556" s="58" t="s">
        <v>2268</v>
      </c>
      <c r="T556" s="57"/>
    </row>
    <row r="557" spans="1:20" s="44" customFormat="1" ht="25.05" customHeight="1" x14ac:dyDescent="0.3">
      <c r="A557" s="41">
        <v>1</v>
      </c>
      <c r="B557" s="41"/>
      <c r="C557" s="51" t="str">
        <f>VLOOKUP(F557,[1]VLOOKUP!$A$2:$B$35,2,FALSE)</f>
        <v>华中</v>
      </c>
      <c r="D557" s="41" t="s">
        <v>2269</v>
      </c>
      <c r="E557" s="41"/>
      <c r="F557" s="2" t="s">
        <v>283</v>
      </c>
      <c r="G557" s="2" t="s">
        <v>287</v>
      </c>
      <c r="H557" s="2" t="s">
        <v>2270</v>
      </c>
      <c r="I557" s="41" t="s">
        <v>720</v>
      </c>
      <c r="J557" s="41" t="s">
        <v>283</v>
      </c>
      <c r="K557" s="41" t="s">
        <v>605</v>
      </c>
      <c r="L557" s="41" t="s">
        <v>600</v>
      </c>
      <c r="M557" s="42">
        <v>45772</v>
      </c>
      <c r="N557" s="42">
        <v>45785</v>
      </c>
      <c r="O557" s="42">
        <v>47611</v>
      </c>
      <c r="P557" s="41" t="s">
        <v>2271</v>
      </c>
      <c r="Q557" s="41" t="s">
        <v>724</v>
      </c>
      <c r="R557" s="41" t="s">
        <v>2272</v>
      </c>
      <c r="S557" s="43" t="s">
        <v>2273</v>
      </c>
      <c r="T557" s="41"/>
    </row>
    <row r="558" spans="1:20" s="44" customFormat="1" ht="25.05" customHeight="1" x14ac:dyDescent="0.3">
      <c r="A558" s="41"/>
      <c r="B558" s="41"/>
      <c r="C558" s="41"/>
      <c r="D558" s="47" t="s">
        <v>2274</v>
      </c>
      <c r="E558" s="47"/>
      <c r="F558" s="2" t="s">
        <v>283</v>
      </c>
      <c r="G558" s="2" t="s">
        <v>289</v>
      </c>
      <c r="H558" s="2"/>
      <c r="I558" s="47" t="s">
        <v>720</v>
      </c>
      <c r="J558" s="47" t="s">
        <v>283</v>
      </c>
      <c r="K558" s="47" t="s">
        <v>611</v>
      </c>
      <c r="L558" s="47" t="s">
        <v>606</v>
      </c>
      <c r="M558" s="47"/>
      <c r="N558" s="47"/>
      <c r="O558" s="47"/>
      <c r="P558" s="59" t="s">
        <v>2275</v>
      </c>
      <c r="Q558" s="59" t="s">
        <v>724</v>
      </c>
      <c r="R558" s="47"/>
      <c r="S558" s="64"/>
      <c r="T558" s="47"/>
    </row>
    <row r="559" spans="1:20" s="44" customFormat="1" ht="25.05" customHeight="1" x14ac:dyDescent="0.3">
      <c r="A559" s="41">
        <v>1</v>
      </c>
      <c r="B559" s="41"/>
      <c r="C559" s="51" t="str">
        <f>VLOOKUP(F559,[1]VLOOKUP!$A$2:$B$35,2,FALSE)</f>
        <v>华中</v>
      </c>
      <c r="D559" s="41" t="s">
        <v>2276</v>
      </c>
      <c r="E559" s="41"/>
      <c r="F559" s="2" t="s">
        <v>283</v>
      </c>
      <c r="G559" s="2" t="s">
        <v>289</v>
      </c>
      <c r="H559" s="2"/>
      <c r="I559" s="41" t="s">
        <v>720</v>
      </c>
      <c r="J559" s="41" t="s">
        <v>283</v>
      </c>
      <c r="K559" s="41" t="s">
        <v>611</v>
      </c>
      <c r="L559" s="41" t="s">
        <v>600</v>
      </c>
      <c r="M559" s="42">
        <v>44817</v>
      </c>
      <c r="N559" s="42">
        <v>44818</v>
      </c>
      <c r="O559" s="42">
        <v>46022</v>
      </c>
      <c r="P559" s="41" t="s">
        <v>2277</v>
      </c>
      <c r="Q559" s="41" t="s">
        <v>2144</v>
      </c>
      <c r="R559" s="41" t="s">
        <v>2278</v>
      </c>
      <c r="S559" s="43" t="s">
        <v>2279</v>
      </c>
      <c r="T559" s="41"/>
    </row>
    <row r="560" spans="1:20" ht="25.05" customHeight="1" x14ac:dyDescent="0.3">
      <c r="A560" s="36"/>
      <c r="B560" s="36"/>
      <c r="C560" s="36"/>
      <c r="D560" s="60"/>
      <c r="E560" s="61"/>
      <c r="F560" s="3" t="s">
        <v>368</v>
      </c>
      <c r="G560" s="3"/>
      <c r="H560" s="3"/>
      <c r="I560" s="60"/>
      <c r="J560" s="60"/>
      <c r="K560" s="60"/>
      <c r="L560" s="60"/>
      <c r="M560" s="60"/>
      <c r="N560" s="60"/>
      <c r="O560" s="60"/>
      <c r="P560" s="60"/>
      <c r="Q560" s="60"/>
      <c r="R560" s="60"/>
      <c r="S560" s="62"/>
      <c r="T560" s="60"/>
    </row>
    <row r="561" spans="1:20" s="44" customFormat="1" ht="25.05" customHeight="1" x14ac:dyDescent="0.3">
      <c r="A561" s="41"/>
      <c r="B561" s="41"/>
      <c r="C561" s="41"/>
      <c r="D561" s="47" t="s">
        <v>2280</v>
      </c>
      <c r="E561" s="47"/>
      <c r="F561" s="2" t="s">
        <v>368</v>
      </c>
      <c r="G561" s="2"/>
      <c r="H561" s="2"/>
      <c r="I561" s="45" t="s">
        <v>474</v>
      </c>
      <c r="J561" s="45" t="s">
        <v>368</v>
      </c>
      <c r="K561" s="45" t="s">
        <v>611</v>
      </c>
      <c r="L561" s="45" t="s">
        <v>606</v>
      </c>
      <c r="M561" s="47">
        <v>44627</v>
      </c>
      <c r="N561" s="47">
        <v>44627</v>
      </c>
      <c r="O561" s="47">
        <v>49674</v>
      </c>
      <c r="P561" s="45" t="s">
        <v>2281</v>
      </c>
      <c r="Q561" s="45" t="s">
        <v>1702</v>
      </c>
      <c r="R561" s="64" t="s">
        <v>2282</v>
      </c>
      <c r="S561" s="48"/>
      <c r="T561" s="45"/>
    </row>
    <row r="562" spans="1:20" s="44" customFormat="1" ht="25.05" customHeight="1" x14ac:dyDescent="0.3">
      <c r="A562" s="41">
        <v>1</v>
      </c>
      <c r="B562" s="41"/>
      <c r="C562" s="51" t="str">
        <f>VLOOKUP(F562,[1]VLOOKUP!$A$2:$B$35,2,FALSE)</f>
        <v>华中</v>
      </c>
      <c r="D562" s="41" t="s">
        <v>2283</v>
      </c>
      <c r="E562" s="41"/>
      <c r="F562" s="2" t="s">
        <v>368</v>
      </c>
      <c r="G562" s="2"/>
      <c r="H562" s="2"/>
      <c r="I562" s="41" t="s">
        <v>474</v>
      </c>
      <c r="J562" s="41" t="s">
        <v>368</v>
      </c>
      <c r="K562" s="41" t="s">
        <v>599</v>
      </c>
      <c r="L562" s="41" t="s">
        <v>600</v>
      </c>
      <c r="M562" s="42">
        <v>45820</v>
      </c>
      <c r="N562" s="42">
        <v>45821</v>
      </c>
      <c r="O562" s="42">
        <v>45839</v>
      </c>
      <c r="P562" s="41" t="s">
        <v>2284</v>
      </c>
      <c r="Q562" s="41" t="s">
        <v>1054</v>
      </c>
      <c r="R562" s="41"/>
      <c r="S562" s="43" t="s">
        <v>2285</v>
      </c>
      <c r="T562" s="41"/>
    </row>
    <row r="563" spans="1:20" s="44" customFormat="1" ht="25.05" customHeight="1" x14ac:dyDescent="0.3">
      <c r="A563" s="41">
        <v>1</v>
      </c>
      <c r="B563" s="41"/>
      <c r="C563" s="51" t="str">
        <f>VLOOKUP(F563,[1]VLOOKUP!$A$2:$B$35,2,FALSE)</f>
        <v>华中</v>
      </c>
      <c r="D563" s="41" t="s">
        <v>2286</v>
      </c>
      <c r="E563" s="41"/>
      <c r="F563" s="2" t="s">
        <v>368</v>
      </c>
      <c r="G563" s="2"/>
      <c r="H563" s="2"/>
      <c r="I563" s="41" t="s">
        <v>474</v>
      </c>
      <c r="J563" s="41" t="s">
        <v>368</v>
      </c>
      <c r="K563" s="41" t="s">
        <v>682</v>
      </c>
      <c r="L563" s="41" t="s">
        <v>600</v>
      </c>
      <c r="M563" s="42">
        <v>44869</v>
      </c>
      <c r="N563" s="42">
        <v>44869</v>
      </c>
      <c r="O563" s="42">
        <v>46022</v>
      </c>
      <c r="P563" s="41" t="s">
        <v>2281</v>
      </c>
      <c r="Q563" s="41" t="s">
        <v>1702</v>
      </c>
      <c r="R563" s="41" t="s">
        <v>2287</v>
      </c>
      <c r="S563" s="43" t="s">
        <v>2288</v>
      </c>
      <c r="T563" s="41"/>
    </row>
    <row r="564" spans="1:20" s="44" customFormat="1" ht="25.05" customHeight="1" x14ac:dyDescent="0.3">
      <c r="A564" s="41">
        <v>1</v>
      </c>
      <c r="B564" s="41"/>
      <c r="C564" s="51" t="str">
        <f>VLOOKUP(F564,[1]VLOOKUP!$A$2:$B$35,2,FALSE)</f>
        <v>华中</v>
      </c>
      <c r="D564" s="41" t="s">
        <v>2289</v>
      </c>
      <c r="E564" s="41"/>
      <c r="F564" s="2" t="s">
        <v>368</v>
      </c>
      <c r="G564" s="2"/>
      <c r="H564" s="2"/>
      <c r="I564" s="41" t="s">
        <v>474</v>
      </c>
      <c r="J564" s="41" t="s">
        <v>368</v>
      </c>
      <c r="K564" s="41" t="s">
        <v>682</v>
      </c>
      <c r="L564" s="41" t="s">
        <v>600</v>
      </c>
      <c r="M564" s="42">
        <v>45594</v>
      </c>
      <c r="N564" s="42">
        <v>45604</v>
      </c>
      <c r="O564" s="42">
        <v>46752</v>
      </c>
      <c r="P564" s="41" t="s">
        <v>2290</v>
      </c>
      <c r="Q564" s="41" t="s">
        <v>724</v>
      </c>
      <c r="R564" s="41" t="s">
        <v>2291</v>
      </c>
      <c r="S564" s="43" t="s">
        <v>2292</v>
      </c>
      <c r="T564" s="41"/>
    </row>
    <row r="565" spans="1:20" s="32" customFormat="1" ht="25.05" customHeight="1" x14ac:dyDescent="0.3">
      <c r="A565" s="30">
        <v>1</v>
      </c>
      <c r="B565" s="30" t="s">
        <v>2293</v>
      </c>
      <c r="C565" s="51" t="str">
        <f>VLOOKUP(F565,[1]VLOOKUP!$A$2:$B$35,2,FALSE)</f>
        <v>华中</v>
      </c>
      <c r="D565" s="30" t="s">
        <v>2294</v>
      </c>
      <c r="E565" s="30"/>
      <c r="F565" s="38" t="s">
        <v>368</v>
      </c>
      <c r="G565" s="38"/>
      <c r="H565" s="38"/>
      <c r="I565" s="30" t="s">
        <v>474</v>
      </c>
      <c r="J565" s="30" t="s">
        <v>368</v>
      </c>
      <c r="K565" s="30" t="s">
        <v>599</v>
      </c>
      <c r="L565" s="30" t="s">
        <v>600</v>
      </c>
      <c r="M565" s="82">
        <v>46161</v>
      </c>
      <c r="N565" s="82">
        <v>46161</v>
      </c>
      <c r="O565" s="82">
        <v>46752</v>
      </c>
      <c r="P565" s="30" t="s">
        <v>2295</v>
      </c>
      <c r="Q565" s="30" t="s">
        <v>1177</v>
      </c>
      <c r="R565" s="30" t="s">
        <v>2296</v>
      </c>
      <c r="S565" s="83" t="s">
        <v>2297</v>
      </c>
      <c r="T565" s="30"/>
    </row>
    <row r="566" spans="1:20" s="44" customFormat="1" ht="25.05" customHeight="1" x14ac:dyDescent="0.3">
      <c r="A566" s="41">
        <v>1</v>
      </c>
      <c r="B566" s="41"/>
      <c r="C566" s="51" t="str">
        <f>VLOOKUP(F566,[1]VLOOKUP!$A$2:$B$35,2,FALSE)</f>
        <v>华中</v>
      </c>
      <c r="D566" s="41" t="s">
        <v>2298</v>
      </c>
      <c r="E566" s="41"/>
      <c r="F566" s="2" t="s">
        <v>368</v>
      </c>
      <c r="G566" s="2" t="s">
        <v>397</v>
      </c>
      <c r="H566" s="2"/>
      <c r="I566" s="41" t="s">
        <v>720</v>
      </c>
      <c r="J566" s="41" t="s">
        <v>368</v>
      </c>
      <c r="K566" s="41" t="s">
        <v>611</v>
      </c>
      <c r="L566" s="41" t="s">
        <v>600</v>
      </c>
      <c r="M566" s="42">
        <v>44088</v>
      </c>
      <c r="N566" s="42">
        <v>44096</v>
      </c>
      <c r="O566" s="42">
        <v>46022</v>
      </c>
      <c r="P566" s="41" t="s">
        <v>2299</v>
      </c>
      <c r="Q566" s="41" t="s">
        <v>724</v>
      </c>
      <c r="R566" s="41" t="s">
        <v>2300</v>
      </c>
      <c r="S566" s="43" t="s">
        <v>2301</v>
      </c>
      <c r="T566" s="41"/>
    </row>
    <row r="567" spans="1:20" s="44" customFormat="1" ht="25.05" customHeight="1" x14ac:dyDescent="0.3">
      <c r="A567" s="41">
        <v>1</v>
      </c>
      <c r="B567" s="41"/>
      <c r="C567" s="51" t="str">
        <f>VLOOKUP(F567,[1]VLOOKUP!$A$2:$B$35,2,FALSE)</f>
        <v>华中</v>
      </c>
      <c r="D567" s="57" t="s">
        <v>2302</v>
      </c>
      <c r="E567" s="57"/>
      <c r="F567" s="2" t="s">
        <v>368</v>
      </c>
      <c r="G567" s="2" t="s">
        <v>397</v>
      </c>
      <c r="H567" s="2"/>
      <c r="I567" s="57" t="s">
        <v>720</v>
      </c>
      <c r="J567" s="57" t="s">
        <v>368</v>
      </c>
      <c r="K567" s="57" t="s">
        <v>599</v>
      </c>
      <c r="L567" s="57" t="s">
        <v>780</v>
      </c>
      <c r="M567" s="57">
        <v>44400</v>
      </c>
      <c r="N567" s="57">
        <v>44400</v>
      </c>
      <c r="O567" s="57">
        <v>44409</v>
      </c>
      <c r="P567" s="57" t="s">
        <v>2303</v>
      </c>
      <c r="Q567" s="57" t="s">
        <v>645</v>
      </c>
      <c r="R567" s="57"/>
      <c r="S567" s="58" t="s">
        <v>2304</v>
      </c>
      <c r="T567" s="57"/>
    </row>
    <row r="568" spans="1:20" s="44" customFormat="1" ht="25.05" customHeight="1" x14ac:dyDescent="0.3">
      <c r="A568" s="41">
        <v>1</v>
      </c>
      <c r="B568" s="41"/>
      <c r="C568" s="51" t="str">
        <f>VLOOKUP(F568,[1]VLOOKUP!$A$2:$B$35,2,FALSE)</f>
        <v>华中</v>
      </c>
      <c r="D568" s="41" t="s">
        <v>2054</v>
      </c>
      <c r="E568" s="41"/>
      <c r="F568" s="2" t="s">
        <v>368</v>
      </c>
      <c r="G568" s="2" t="s">
        <v>397</v>
      </c>
      <c r="H568" s="2"/>
      <c r="I568" s="41" t="s">
        <v>720</v>
      </c>
      <c r="J568" s="41" t="s">
        <v>368</v>
      </c>
      <c r="K568" s="41" t="s">
        <v>611</v>
      </c>
      <c r="L568" s="41" t="s">
        <v>600</v>
      </c>
      <c r="M568" s="42">
        <v>44647</v>
      </c>
      <c r="N568" s="42">
        <v>44651</v>
      </c>
      <c r="O568" s="42">
        <v>46022</v>
      </c>
      <c r="P568" s="41" t="s">
        <v>2299</v>
      </c>
      <c r="Q568" s="41" t="s">
        <v>724</v>
      </c>
      <c r="R568" s="41" t="s">
        <v>2305</v>
      </c>
      <c r="S568" s="43" t="s">
        <v>2306</v>
      </c>
      <c r="T568" s="41"/>
    </row>
    <row r="569" spans="1:20" s="44" customFormat="1" ht="25.05" customHeight="1" x14ac:dyDescent="0.3">
      <c r="A569" s="41">
        <v>1</v>
      </c>
      <c r="B569" s="41"/>
      <c r="C569" s="51" t="str">
        <f>VLOOKUP(F569,[1]VLOOKUP!$A$2:$B$35,2,FALSE)</f>
        <v>华中</v>
      </c>
      <c r="D569" s="57" t="s">
        <v>2307</v>
      </c>
      <c r="E569" s="57"/>
      <c r="F569" s="2" t="s">
        <v>368</v>
      </c>
      <c r="G569" s="2" t="s">
        <v>397</v>
      </c>
      <c r="H569" s="2"/>
      <c r="I569" s="57" t="s">
        <v>720</v>
      </c>
      <c r="J569" s="57" t="s">
        <v>368</v>
      </c>
      <c r="K569" s="57" t="s">
        <v>599</v>
      </c>
      <c r="L569" s="57" t="s">
        <v>780</v>
      </c>
      <c r="M569" s="57">
        <v>44768</v>
      </c>
      <c r="N569" s="57">
        <v>44769</v>
      </c>
      <c r="O569" s="57">
        <v>44777</v>
      </c>
      <c r="P569" s="57" t="s">
        <v>2303</v>
      </c>
      <c r="Q569" s="57" t="s">
        <v>645</v>
      </c>
      <c r="R569" s="57"/>
      <c r="S569" s="58" t="s">
        <v>2308</v>
      </c>
      <c r="T569" s="57"/>
    </row>
    <row r="570" spans="1:20" s="44" customFormat="1" ht="25.05" customHeight="1" x14ac:dyDescent="0.3">
      <c r="A570" s="41">
        <v>1</v>
      </c>
      <c r="B570" s="41"/>
      <c r="C570" s="51" t="str">
        <f>VLOOKUP(F570,[1]VLOOKUP!$A$2:$B$35,2,FALSE)</f>
        <v>华中</v>
      </c>
      <c r="D570" s="41" t="s">
        <v>2309</v>
      </c>
      <c r="E570" s="41"/>
      <c r="F570" s="2" t="s">
        <v>368</v>
      </c>
      <c r="G570" s="2" t="s">
        <v>397</v>
      </c>
      <c r="H570" s="2"/>
      <c r="I570" s="41" t="s">
        <v>720</v>
      </c>
      <c r="J570" s="41" t="s">
        <v>368</v>
      </c>
      <c r="K570" s="41" t="s">
        <v>682</v>
      </c>
      <c r="L570" s="41" t="s">
        <v>600</v>
      </c>
      <c r="M570" s="42">
        <v>44834</v>
      </c>
      <c r="N570" s="42">
        <v>44834</v>
      </c>
      <c r="O570" s="42">
        <v>46690</v>
      </c>
      <c r="P570" s="41" t="s">
        <v>2303</v>
      </c>
      <c r="Q570" s="41" t="s">
        <v>645</v>
      </c>
      <c r="R570" s="41" t="s">
        <v>2310</v>
      </c>
      <c r="S570" s="43" t="s">
        <v>2311</v>
      </c>
      <c r="T570" s="41"/>
    </row>
    <row r="571" spans="1:20" s="44" customFormat="1" ht="25.05" customHeight="1" x14ac:dyDescent="0.3">
      <c r="A571" s="41">
        <v>1</v>
      </c>
      <c r="B571" s="41"/>
      <c r="C571" s="51" t="str">
        <f>VLOOKUP(F571,[1]VLOOKUP!$A$2:$B$35,2,FALSE)</f>
        <v>华中</v>
      </c>
      <c r="D571" s="41" t="s">
        <v>2312</v>
      </c>
      <c r="E571" s="41"/>
      <c r="F571" s="2" t="s">
        <v>368</v>
      </c>
      <c r="G571" s="2" t="s">
        <v>397</v>
      </c>
      <c r="H571" s="2"/>
      <c r="I571" s="41" t="s">
        <v>720</v>
      </c>
      <c r="J571" s="41" t="s">
        <v>368</v>
      </c>
      <c r="K571" s="41" t="s">
        <v>611</v>
      </c>
      <c r="L571" s="41" t="s">
        <v>600</v>
      </c>
      <c r="M571" s="42">
        <v>45920</v>
      </c>
      <c r="N571" s="42">
        <v>45929</v>
      </c>
      <c r="O571" s="42">
        <v>46752</v>
      </c>
      <c r="P571" s="41" t="s">
        <v>2299</v>
      </c>
      <c r="Q571" s="41" t="s">
        <v>724</v>
      </c>
      <c r="R571" s="41" t="s">
        <v>2313</v>
      </c>
      <c r="S571" s="43" t="s">
        <v>2314</v>
      </c>
      <c r="T571" s="41"/>
    </row>
    <row r="572" spans="1:20" s="44" customFormat="1" ht="25.05" customHeight="1" x14ac:dyDescent="0.3">
      <c r="A572" s="41"/>
      <c r="B572" s="41"/>
      <c r="C572" s="41"/>
      <c r="D572" s="41" t="s">
        <v>532</v>
      </c>
      <c r="E572" s="41"/>
      <c r="F572" s="2" t="s">
        <v>368</v>
      </c>
      <c r="G572" s="2" t="s">
        <v>397</v>
      </c>
      <c r="H572" s="2"/>
      <c r="I572" s="41" t="s">
        <v>720</v>
      </c>
      <c r="J572" s="41" t="s">
        <v>368</v>
      </c>
      <c r="K572" s="41" t="s">
        <v>682</v>
      </c>
      <c r="L572" s="41" t="s">
        <v>600</v>
      </c>
      <c r="M572" s="42">
        <v>44834</v>
      </c>
      <c r="N572" s="42">
        <v>44876</v>
      </c>
      <c r="O572" s="42">
        <v>46022</v>
      </c>
      <c r="P572" s="41" t="s">
        <v>2315</v>
      </c>
      <c r="Q572" s="41" t="s">
        <v>2316</v>
      </c>
      <c r="R572" s="41" t="s">
        <v>2317</v>
      </c>
      <c r="S572" s="43" t="s">
        <v>2318</v>
      </c>
      <c r="T572" s="41"/>
    </row>
    <row r="573" spans="1:20" s="44" customFormat="1" ht="25.05" customHeight="1" x14ac:dyDescent="0.3">
      <c r="A573" s="41">
        <v>1</v>
      </c>
      <c r="B573" s="41"/>
      <c r="C573" s="51" t="str">
        <f>VLOOKUP(F573,[1]VLOOKUP!$A$2:$B$35,2,FALSE)</f>
        <v>华中</v>
      </c>
      <c r="D573" s="52" t="s">
        <v>2319</v>
      </c>
      <c r="E573" s="52"/>
      <c r="F573" s="2" t="s">
        <v>368</v>
      </c>
      <c r="G573" s="2" t="s">
        <v>397</v>
      </c>
      <c r="H573" s="2"/>
      <c r="I573" s="52" t="s">
        <v>720</v>
      </c>
      <c r="J573" s="52" t="s">
        <v>368</v>
      </c>
      <c r="K573" s="52" t="s">
        <v>605</v>
      </c>
      <c r="L573" s="52" t="s">
        <v>663</v>
      </c>
      <c r="M573" s="52">
        <v>45180</v>
      </c>
      <c r="N573" s="52">
        <v>45180</v>
      </c>
      <c r="O573" s="52">
        <v>45187</v>
      </c>
      <c r="P573" s="52" t="s">
        <v>2303</v>
      </c>
      <c r="Q573" s="52" t="s">
        <v>645</v>
      </c>
      <c r="R573" s="52"/>
      <c r="S573" s="53" t="s">
        <v>2320</v>
      </c>
      <c r="T573" s="52"/>
    </row>
    <row r="574" spans="1:20" s="44" customFormat="1" ht="25.05" customHeight="1" x14ac:dyDescent="0.3">
      <c r="A574" s="41">
        <v>1</v>
      </c>
      <c r="B574" s="41"/>
      <c r="C574" s="51" t="str">
        <f>VLOOKUP(F574,[1]VLOOKUP!$A$2:$B$35,2,FALSE)</f>
        <v>华中</v>
      </c>
      <c r="D574" s="54" t="s">
        <v>2321</v>
      </c>
      <c r="E574" s="54"/>
      <c r="F574" s="2" t="s">
        <v>368</v>
      </c>
      <c r="G574" s="2" t="s">
        <v>397</v>
      </c>
      <c r="H574" s="2"/>
      <c r="I574" s="54" t="s">
        <v>720</v>
      </c>
      <c r="J574" s="54" t="s">
        <v>368</v>
      </c>
      <c r="K574" s="54" t="s">
        <v>605</v>
      </c>
      <c r="L574" s="54" t="s">
        <v>600</v>
      </c>
      <c r="M574" s="54">
        <v>45233</v>
      </c>
      <c r="N574" s="54">
        <v>45233</v>
      </c>
      <c r="O574" s="54">
        <v>45239</v>
      </c>
      <c r="P574" s="54" t="s">
        <v>2303</v>
      </c>
      <c r="Q574" s="54" t="s">
        <v>645</v>
      </c>
      <c r="R574" s="54"/>
      <c r="S574" s="55" t="s">
        <v>2322</v>
      </c>
      <c r="T574" s="54"/>
    </row>
    <row r="575" spans="1:20" s="44" customFormat="1" ht="25.05" customHeight="1" x14ac:dyDescent="0.3">
      <c r="A575" s="41">
        <v>1</v>
      </c>
      <c r="B575" s="41"/>
      <c r="C575" s="51" t="str">
        <f>VLOOKUP(F575,[1]VLOOKUP!$A$2:$B$35,2,FALSE)</f>
        <v>华中</v>
      </c>
      <c r="D575" s="54" t="s">
        <v>2323</v>
      </c>
      <c r="E575" s="54"/>
      <c r="F575" s="2" t="s">
        <v>368</v>
      </c>
      <c r="G575" s="2" t="s">
        <v>397</v>
      </c>
      <c r="H575" s="2"/>
      <c r="I575" s="54" t="s">
        <v>720</v>
      </c>
      <c r="J575" s="54" t="s">
        <v>368</v>
      </c>
      <c r="K575" s="54" t="s">
        <v>605</v>
      </c>
      <c r="L575" s="54" t="s">
        <v>600</v>
      </c>
      <c r="M575" s="54">
        <v>45463</v>
      </c>
      <c r="N575" s="54">
        <v>45463</v>
      </c>
      <c r="O575" s="54">
        <v>45469</v>
      </c>
      <c r="P575" s="54" t="s">
        <v>2303</v>
      </c>
      <c r="Q575" s="54" t="s">
        <v>645</v>
      </c>
      <c r="R575" s="54"/>
      <c r="S575" s="55" t="s">
        <v>2324</v>
      </c>
      <c r="T575" s="54"/>
    </row>
    <row r="576" spans="1:20" s="44" customFormat="1" ht="25.05" customHeight="1" x14ac:dyDescent="0.3">
      <c r="A576" s="41">
        <v>1</v>
      </c>
      <c r="B576" s="41"/>
      <c r="C576" s="51" t="str">
        <f>VLOOKUP(F576,[1]VLOOKUP!$A$2:$B$35,2,FALSE)</f>
        <v>华中</v>
      </c>
      <c r="D576" s="54" t="s">
        <v>2325</v>
      </c>
      <c r="E576" s="54"/>
      <c r="F576" s="2" t="s">
        <v>368</v>
      </c>
      <c r="G576" s="2" t="s">
        <v>397</v>
      </c>
      <c r="H576" s="2"/>
      <c r="I576" s="54" t="s">
        <v>720</v>
      </c>
      <c r="J576" s="54" t="s">
        <v>368</v>
      </c>
      <c r="K576" s="54" t="s">
        <v>605</v>
      </c>
      <c r="L576" s="54" t="s">
        <v>600</v>
      </c>
      <c r="M576" s="54">
        <v>45609</v>
      </c>
      <c r="N576" s="54">
        <v>45609</v>
      </c>
      <c r="O576" s="54">
        <v>45615</v>
      </c>
      <c r="P576" s="54" t="s">
        <v>2303</v>
      </c>
      <c r="Q576" s="54" t="s">
        <v>645</v>
      </c>
      <c r="R576" s="54"/>
      <c r="S576" s="55" t="s">
        <v>2326</v>
      </c>
      <c r="T576" s="54"/>
    </row>
    <row r="577" spans="1:20" s="44" customFormat="1" ht="25.05" customHeight="1" x14ac:dyDescent="0.3">
      <c r="A577" s="41">
        <v>1</v>
      </c>
      <c r="B577" s="41"/>
      <c r="C577" s="51" t="str">
        <f>VLOOKUP(F577,[1]VLOOKUP!$A$2:$B$35,2,FALSE)</f>
        <v>华中</v>
      </c>
      <c r="D577" s="41" t="s">
        <v>2327</v>
      </c>
      <c r="E577" s="41"/>
      <c r="F577" s="2" t="s">
        <v>368</v>
      </c>
      <c r="G577" s="2" t="s">
        <v>397</v>
      </c>
      <c r="H577" s="2"/>
      <c r="I577" s="41" t="s">
        <v>720</v>
      </c>
      <c r="J577" s="41" t="s">
        <v>368</v>
      </c>
      <c r="K577" s="41" t="s">
        <v>605</v>
      </c>
      <c r="L577" s="41" t="s">
        <v>600</v>
      </c>
      <c r="M577" s="42">
        <v>45776</v>
      </c>
      <c r="N577" s="42">
        <v>45776</v>
      </c>
      <c r="O577" s="42">
        <v>45776</v>
      </c>
      <c r="P577" s="41" t="s">
        <v>2303</v>
      </c>
      <c r="Q577" s="41" t="s">
        <v>645</v>
      </c>
      <c r="R577" s="41"/>
      <c r="S577" s="43" t="s">
        <v>2328</v>
      </c>
      <c r="T577" s="41"/>
    </row>
    <row r="578" spans="1:20" s="44" customFormat="1" ht="25.05" customHeight="1" x14ac:dyDescent="0.3">
      <c r="A578" s="41">
        <v>1</v>
      </c>
      <c r="B578" s="41"/>
      <c r="C578" s="51" t="str">
        <f>VLOOKUP(F578,[1]VLOOKUP!$A$2:$B$35,2,FALSE)</f>
        <v>华中</v>
      </c>
      <c r="D578" s="41" t="s">
        <v>2329</v>
      </c>
      <c r="E578" s="41"/>
      <c r="F578" s="2" t="s">
        <v>368</v>
      </c>
      <c r="G578" s="2" t="s">
        <v>397</v>
      </c>
      <c r="H578" s="2"/>
      <c r="I578" s="41" t="s">
        <v>720</v>
      </c>
      <c r="J578" s="41" t="s">
        <v>368</v>
      </c>
      <c r="K578" s="41" t="s">
        <v>605</v>
      </c>
      <c r="L578" s="41" t="s">
        <v>600</v>
      </c>
      <c r="M578" s="42">
        <v>45916</v>
      </c>
      <c r="N578" s="42">
        <v>45916</v>
      </c>
      <c r="O578" s="42">
        <v>45940</v>
      </c>
      <c r="P578" s="41" t="s">
        <v>2303</v>
      </c>
      <c r="Q578" s="41" t="s">
        <v>645</v>
      </c>
      <c r="R578" s="41"/>
      <c r="S578" s="43" t="s">
        <v>2330</v>
      </c>
      <c r="T578" s="41"/>
    </row>
    <row r="579" spans="1:20" s="44" customFormat="1" ht="25.05" customHeight="1" x14ac:dyDescent="0.3">
      <c r="A579" s="41"/>
      <c r="B579" s="41"/>
      <c r="C579" s="41"/>
      <c r="D579" s="41" t="s">
        <v>2331</v>
      </c>
      <c r="E579" s="41"/>
      <c r="F579" s="2" t="s">
        <v>368</v>
      </c>
      <c r="G579" s="2" t="s">
        <v>397</v>
      </c>
      <c r="H579" s="2"/>
      <c r="I579" s="41" t="s">
        <v>720</v>
      </c>
      <c r="J579" s="41" t="s">
        <v>368</v>
      </c>
      <c r="K579" s="41" t="s">
        <v>605</v>
      </c>
      <c r="L579" s="41" t="s">
        <v>600</v>
      </c>
      <c r="M579" s="42">
        <v>45841</v>
      </c>
      <c r="N579" s="42">
        <v>45841</v>
      </c>
      <c r="O579" s="42">
        <v>45847</v>
      </c>
      <c r="P579" s="41" t="s">
        <v>2303</v>
      </c>
      <c r="Q579" s="41" t="s">
        <v>645</v>
      </c>
      <c r="R579" s="41"/>
      <c r="S579" s="43" t="s">
        <v>2332</v>
      </c>
      <c r="T579" s="41"/>
    </row>
    <row r="580" spans="1:20" s="44" customFormat="1" ht="25.05" customHeight="1" x14ac:dyDescent="0.3">
      <c r="A580" s="41"/>
      <c r="B580" s="41"/>
      <c r="C580" s="41"/>
      <c r="D580" s="41" t="s">
        <v>2333</v>
      </c>
      <c r="E580" s="41"/>
      <c r="F580" s="2" t="s">
        <v>368</v>
      </c>
      <c r="G580" s="2" t="s">
        <v>397</v>
      </c>
      <c r="H580" s="2"/>
      <c r="I580" s="41" t="s">
        <v>720</v>
      </c>
      <c r="J580" s="41" t="s">
        <v>368</v>
      </c>
      <c r="K580" s="41" t="s">
        <v>605</v>
      </c>
      <c r="L580" s="41" t="s">
        <v>600</v>
      </c>
      <c r="M580" s="42">
        <v>46003</v>
      </c>
      <c r="N580" s="42">
        <v>46003</v>
      </c>
      <c r="O580" s="42">
        <v>46009</v>
      </c>
      <c r="P580" s="41" t="s">
        <v>2303</v>
      </c>
      <c r="Q580" s="41" t="s">
        <v>645</v>
      </c>
      <c r="R580" s="41"/>
      <c r="S580" s="43" t="s">
        <v>2334</v>
      </c>
      <c r="T580" s="41"/>
    </row>
    <row r="581" spans="1:20" s="44" customFormat="1" ht="25.05" customHeight="1" x14ac:dyDescent="0.3">
      <c r="A581" s="41">
        <v>1</v>
      </c>
      <c r="B581" s="41"/>
      <c r="C581" s="51" t="str">
        <f>VLOOKUP(F581,[1]VLOOKUP!$A$2:$B$35,2,FALSE)</f>
        <v>华中</v>
      </c>
      <c r="D581" s="41" t="s">
        <v>2335</v>
      </c>
      <c r="E581" s="41"/>
      <c r="F581" s="2" t="s">
        <v>368</v>
      </c>
      <c r="G581" s="2" t="s">
        <v>397</v>
      </c>
      <c r="H581" s="2" t="s">
        <v>460</v>
      </c>
      <c r="I581" s="41" t="s">
        <v>720</v>
      </c>
      <c r="J581" s="41" t="s">
        <v>368</v>
      </c>
      <c r="K581" s="41" t="s">
        <v>682</v>
      </c>
      <c r="L581" s="41" t="s">
        <v>600</v>
      </c>
      <c r="M581" s="42">
        <v>43215</v>
      </c>
      <c r="N581" s="42">
        <v>43215</v>
      </c>
      <c r="O581" s="42">
        <v>46022</v>
      </c>
      <c r="P581" s="41" t="s">
        <v>2336</v>
      </c>
      <c r="Q581" s="41" t="s">
        <v>2337</v>
      </c>
      <c r="R581" s="41"/>
      <c r="S581" s="43" t="s">
        <v>2338</v>
      </c>
      <c r="T581" s="41"/>
    </row>
    <row r="582" spans="1:20" s="44" customFormat="1" ht="25.05" customHeight="1" x14ac:dyDescent="0.3">
      <c r="A582" s="41">
        <v>1</v>
      </c>
      <c r="B582" s="41"/>
      <c r="C582" s="51" t="str">
        <f>VLOOKUP(F582,[1]VLOOKUP!$A$2:$B$35,2,FALSE)</f>
        <v>华中</v>
      </c>
      <c r="D582" s="57" t="s">
        <v>2339</v>
      </c>
      <c r="E582" s="57"/>
      <c r="F582" s="2" t="s">
        <v>368</v>
      </c>
      <c r="G582" s="2" t="s">
        <v>397</v>
      </c>
      <c r="H582" s="2" t="s">
        <v>2340</v>
      </c>
      <c r="I582" s="57" t="s">
        <v>720</v>
      </c>
      <c r="J582" s="57" t="s">
        <v>368</v>
      </c>
      <c r="K582" s="57" t="s">
        <v>605</v>
      </c>
      <c r="L582" s="57" t="s">
        <v>780</v>
      </c>
      <c r="M582" s="57">
        <v>44867</v>
      </c>
      <c r="N582" s="57">
        <v>44868</v>
      </c>
      <c r="O582" s="57">
        <v>44877</v>
      </c>
      <c r="P582" s="57" t="s">
        <v>2341</v>
      </c>
      <c r="Q582" s="57" t="s">
        <v>1348</v>
      </c>
      <c r="R582" s="57"/>
      <c r="S582" s="58" t="s">
        <v>2342</v>
      </c>
      <c r="T582" s="57"/>
    </row>
    <row r="583" spans="1:20" s="44" customFormat="1" ht="25.05" customHeight="1" x14ac:dyDescent="0.3">
      <c r="A583" s="41">
        <v>1</v>
      </c>
      <c r="B583" s="41"/>
      <c r="C583" s="51" t="str">
        <f>VLOOKUP(F583,[1]VLOOKUP!$A$2:$B$35,2,FALSE)</f>
        <v>华中</v>
      </c>
      <c r="D583" s="57" t="s">
        <v>2343</v>
      </c>
      <c r="E583" s="57"/>
      <c r="F583" s="2" t="s">
        <v>368</v>
      </c>
      <c r="G583" s="2" t="s">
        <v>397</v>
      </c>
      <c r="H583" s="2" t="s">
        <v>2340</v>
      </c>
      <c r="I583" s="57" t="s">
        <v>720</v>
      </c>
      <c r="J583" s="57" t="s">
        <v>368</v>
      </c>
      <c r="K583" s="57" t="s">
        <v>605</v>
      </c>
      <c r="L583" s="57" t="s">
        <v>780</v>
      </c>
      <c r="M583" s="57">
        <v>45278</v>
      </c>
      <c r="N583" s="57">
        <v>45278</v>
      </c>
      <c r="O583" s="57">
        <v>45299</v>
      </c>
      <c r="P583" s="57" t="s">
        <v>2344</v>
      </c>
      <c r="Q583" s="57" t="s">
        <v>2345</v>
      </c>
      <c r="R583" s="57"/>
      <c r="S583" s="58" t="s">
        <v>2346</v>
      </c>
      <c r="T583" s="57"/>
    </row>
    <row r="584" spans="1:20" s="44" customFormat="1" ht="25.05" customHeight="1" x14ac:dyDescent="0.3">
      <c r="A584" s="41">
        <v>1</v>
      </c>
      <c r="B584" s="41"/>
      <c r="C584" s="51" t="str">
        <f>VLOOKUP(F584,[1]VLOOKUP!$A$2:$B$35,2,FALSE)</f>
        <v>华中</v>
      </c>
      <c r="D584" s="41" t="s">
        <v>2347</v>
      </c>
      <c r="E584" s="41"/>
      <c r="F584" s="2" t="s">
        <v>368</v>
      </c>
      <c r="G584" s="2" t="s">
        <v>2348</v>
      </c>
      <c r="H584" s="2"/>
      <c r="I584" s="41" t="s">
        <v>720</v>
      </c>
      <c r="J584" s="41" t="s">
        <v>368</v>
      </c>
      <c r="K584" s="41" t="s">
        <v>611</v>
      </c>
      <c r="L584" s="41" t="s">
        <v>600</v>
      </c>
      <c r="M584" s="42">
        <v>44148</v>
      </c>
      <c r="N584" s="42">
        <v>44148</v>
      </c>
      <c r="O584" s="42">
        <v>46022</v>
      </c>
      <c r="P584" s="41" t="s">
        <v>2349</v>
      </c>
      <c r="Q584" s="41" t="s">
        <v>724</v>
      </c>
      <c r="R584" s="41" t="s">
        <v>2350</v>
      </c>
      <c r="S584" s="43" t="s">
        <v>2351</v>
      </c>
      <c r="T584" s="41"/>
    </row>
    <row r="585" spans="1:20" s="44" customFormat="1" ht="25.05" customHeight="1" x14ac:dyDescent="0.3">
      <c r="A585" s="41">
        <v>1</v>
      </c>
      <c r="B585" s="41"/>
      <c r="C585" s="51" t="str">
        <f>VLOOKUP(F585,[1]VLOOKUP!$A$2:$B$35,2,FALSE)</f>
        <v>华中</v>
      </c>
      <c r="D585" s="52" t="s">
        <v>2352</v>
      </c>
      <c r="E585" s="52"/>
      <c r="F585" s="2" t="s">
        <v>368</v>
      </c>
      <c r="G585" s="2" t="s">
        <v>2353</v>
      </c>
      <c r="H585" s="2" t="s">
        <v>466</v>
      </c>
      <c r="I585" s="52" t="s">
        <v>720</v>
      </c>
      <c r="J585" s="52" t="s">
        <v>368</v>
      </c>
      <c r="K585" s="52" t="s">
        <v>611</v>
      </c>
      <c r="L585" s="52" t="s">
        <v>663</v>
      </c>
      <c r="M585" s="52">
        <v>43784</v>
      </c>
      <c r="N585" s="52">
        <v>43785</v>
      </c>
      <c r="O585" s="52">
        <v>45657</v>
      </c>
      <c r="P585" s="52" t="s">
        <v>2354</v>
      </c>
      <c r="Q585" s="52" t="s">
        <v>724</v>
      </c>
      <c r="R585" s="52" t="s">
        <v>2355</v>
      </c>
      <c r="S585" s="53" t="s">
        <v>2356</v>
      </c>
      <c r="T585" s="52"/>
    </row>
    <row r="586" spans="1:20" s="44" customFormat="1" ht="25.05" customHeight="1" x14ac:dyDescent="0.3">
      <c r="A586" s="41">
        <v>1</v>
      </c>
      <c r="B586" s="41"/>
      <c r="C586" s="51" t="str">
        <f>VLOOKUP(F586,[1]VLOOKUP!$A$2:$B$35,2,FALSE)</f>
        <v>华中</v>
      </c>
      <c r="D586" s="52" t="s">
        <v>2357</v>
      </c>
      <c r="E586" s="52"/>
      <c r="F586" s="2" t="s">
        <v>368</v>
      </c>
      <c r="G586" s="2" t="s">
        <v>2353</v>
      </c>
      <c r="H586" s="2" t="s">
        <v>466</v>
      </c>
      <c r="I586" s="52" t="s">
        <v>720</v>
      </c>
      <c r="J586" s="52" t="s">
        <v>368</v>
      </c>
      <c r="K586" s="52" t="s">
        <v>682</v>
      </c>
      <c r="L586" s="52" t="s">
        <v>663</v>
      </c>
      <c r="M586" s="52">
        <v>43653</v>
      </c>
      <c r="N586" s="52">
        <v>43654</v>
      </c>
      <c r="O586" s="52">
        <v>44384</v>
      </c>
      <c r="P586" s="52" t="s">
        <v>2354</v>
      </c>
      <c r="Q586" s="52" t="s">
        <v>724</v>
      </c>
      <c r="R586" s="52" t="s">
        <v>2358</v>
      </c>
      <c r="S586" s="53" t="s">
        <v>2359</v>
      </c>
      <c r="T586" s="52"/>
    </row>
    <row r="587" spans="1:20" s="44" customFormat="1" ht="25.05" customHeight="1" x14ac:dyDescent="0.3">
      <c r="A587" s="41">
        <v>1</v>
      </c>
      <c r="B587" s="41"/>
      <c r="C587" s="51" t="str">
        <f>VLOOKUP(F587,[1]VLOOKUP!$A$2:$B$35,2,FALSE)</f>
        <v>华中</v>
      </c>
      <c r="D587" s="57" t="s">
        <v>2360</v>
      </c>
      <c r="E587" s="57"/>
      <c r="F587" s="2" t="s">
        <v>368</v>
      </c>
      <c r="G587" s="2" t="s">
        <v>2353</v>
      </c>
      <c r="H587" s="2" t="s">
        <v>466</v>
      </c>
      <c r="I587" s="57" t="s">
        <v>720</v>
      </c>
      <c r="J587" s="57" t="s">
        <v>368</v>
      </c>
      <c r="K587" s="57" t="s">
        <v>682</v>
      </c>
      <c r="L587" s="57" t="s">
        <v>780</v>
      </c>
      <c r="M587" s="57">
        <v>44846</v>
      </c>
      <c r="N587" s="57">
        <v>44846</v>
      </c>
      <c r="O587" s="57">
        <v>44877</v>
      </c>
      <c r="P587" s="57" t="s">
        <v>2361</v>
      </c>
      <c r="Q587" s="57" t="s">
        <v>857</v>
      </c>
      <c r="R587" s="57"/>
      <c r="S587" s="58" t="s">
        <v>2362</v>
      </c>
      <c r="T587" s="57"/>
    </row>
    <row r="588" spans="1:20" s="44" customFormat="1" ht="25.05" customHeight="1" x14ac:dyDescent="0.3">
      <c r="A588" s="41">
        <v>1</v>
      </c>
      <c r="B588" s="41"/>
      <c r="C588" s="51" t="str">
        <f>VLOOKUP(F588,[1]VLOOKUP!$A$2:$B$35,2,FALSE)</f>
        <v>华中</v>
      </c>
      <c r="D588" s="57" t="s">
        <v>2363</v>
      </c>
      <c r="E588" s="57"/>
      <c r="F588" s="2" t="s">
        <v>368</v>
      </c>
      <c r="G588" s="2" t="s">
        <v>2364</v>
      </c>
      <c r="H588" s="2"/>
      <c r="I588" s="57" t="s">
        <v>720</v>
      </c>
      <c r="J588" s="57" t="s">
        <v>368</v>
      </c>
      <c r="K588" s="57" t="s">
        <v>611</v>
      </c>
      <c r="L588" s="57" t="s">
        <v>780</v>
      </c>
      <c r="M588" s="57">
        <v>44590</v>
      </c>
      <c r="N588" s="57">
        <v>44591</v>
      </c>
      <c r="O588" s="57">
        <v>44620</v>
      </c>
      <c r="P588" s="57" t="s">
        <v>2365</v>
      </c>
      <c r="Q588" s="57" t="s">
        <v>716</v>
      </c>
      <c r="R588" s="57"/>
      <c r="S588" s="58" t="s">
        <v>2366</v>
      </c>
      <c r="T588" s="57"/>
    </row>
    <row r="589" spans="1:20" s="44" customFormat="1" ht="25.05" customHeight="1" x14ac:dyDescent="0.3">
      <c r="A589" s="41">
        <v>1</v>
      </c>
      <c r="B589" s="41"/>
      <c r="C589" s="51" t="str">
        <f>VLOOKUP(F589,[1]VLOOKUP!$A$2:$B$35,2,FALSE)</f>
        <v>华中</v>
      </c>
      <c r="D589" s="41" t="s">
        <v>2367</v>
      </c>
      <c r="E589" s="41"/>
      <c r="F589" s="2" t="s">
        <v>368</v>
      </c>
      <c r="G589" s="2" t="s">
        <v>2368</v>
      </c>
      <c r="H589" s="2" t="s">
        <v>2369</v>
      </c>
      <c r="I589" s="41" t="s">
        <v>720</v>
      </c>
      <c r="J589" s="41" t="s">
        <v>368</v>
      </c>
      <c r="K589" s="41" t="s">
        <v>682</v>
      </c>
      <c r="L589" s="41" t="s">
        <v>600</v>
      </c>
      <c r="M589" s="42">
        <v>44482</v>
      </c>
      <c r="N589" s="42">
        <v>44487</v>
      </c>
      <c r="O589" s="42">
        <v>46022</v>
      </c>
      <c r="P589" s="41" t="s">
        <v>2370</v>
      </c>
      <c r="Q589" s="41" t="s">
        <v>724</v>
      </c>
      <c r="R589" s="41"/>
      <c r="S589" s="43" t="s">
        <v>2371</v>
      </c>
      <c r="T589" s="41"/>
    </row>
    <row r="590" spans="1:20" s="44" customFormat="1" ht="25.05" customHeight="1" x14ac:dyDescent="0.3">
      <c r="A590" s="41">
        <v>1</v>
      </c>
      <c r="B590" s="41"/>
      <c r="C590" s="51" t="str">
        <f>VLOOKUP(F590,[1]VLOOKUP!$A$2:$B$35,2,FALSE)</f>
        <v>华中</v>
      </c>
      <c r="D590" s="41" t="s">
        <v>2372</v>
      </c>
      <c r="E590" s="41"/>
      <c r="F590" s="2" t="s">
        <v>368</v>
      </c>
      <c r="G590" s="2" t="s">
        <v>2373</v>
      </c>
      <c r="H590" s="2"/>
      <c r="I590" s="41" t="s">
        <v>720</v>
      </c>
      <c r="J590" s="41" t="s">
        <v>368</v>
      </c>
      <c r="K590" s="41" t="s">
        <v>611</v>
      </c>
      <c r="L590" s="41" t="s">
        <v>600</v>
      </c>
      <c r="M590" s="42">
        <v>44911</v>
      </c>
      <c r="N590" s="42">
        <v>44926</v>
      </c>
      <c r="O590" s="42">
        <v>47848</v>
      </c>
      <c r="P590" s="41" t="s">
        <v>2374</v>
      </c>
      <c r="Q590" s="41" t="s">
        <v>645</v>
      </c>
      <c r="R590" s="41"/>
      <c r="S590" s="43" t="s">
        <v>2375</v>
      </c>
      <c r="T590" s="41"/>
    </row>
    <row r="591" spans="1:20" s="44" customFormat="1" ht="25.05" customHeight="1" x14ac:dyDescent="0.3">
      <c r="A591" s="41"/>
      <c r="B591" s="41"/>
      <c r="C591" s="41"/>
      <c r="D591" s="41" t="s">
        <v>2376</v>
      </c>
      <c r="E591" s="41"/>
      <c r="F591" s="2" t="s">
        <v>368</v>
      </c>
      <c r="G591" s="2" t="s">
        <v>2377</v>
      </c>
      <c r="H591" s="2" t="s">
        <v>2378</v>
      </c>
      <c r="I591" s="41" t="s">
        <v>720</v>
      </c>
      <c r="J591" s="41" t="s">
        <v>368</v>
      </c>
      <c r="K591" s="41" t="s">
        <v>682</v>
      </c>
      <c r="L591" s="41" t="s">
        <v>600</v>
      </c>
      <c r="M591" s="42">
        <v>45407</v>
      </c>
      <c r="N591" s="42">
        <v>45407</v>
      </c>
      <c r="O591" s="42">
        <v>46137</v>
      </c>
      <c r="P591" s="41" t="s">
        <v>2379</v>
      </c>
      <c r="Q591" s="41" t="s">
        <v>2380</v>
      </c>
      <c r="R591" s="41" t="s">
        <v>2381</v>
      </c>
      <c r="S591" s="43" t="s">
        <v>2382</v>
      </c>
      <c r="T591" s="41"/>
    </row>
    <row r="592" spans="1:20" s="44" customFormat="1" ht="25.05" customHeight="1" x14ac:dyDescent="0.3">
      <c r="A592" s="41">
        <v>1</v>
      </c>
      <c r="B592" s="41"/>
      <c r="C592" s="51" t="str">
        <f>VLOOKUP(F592,[1]VLOOKUP!$A$2:$B$35,2,FALSE)</f>
        <v>华中</v>
      </c>
      <c r="D592" s="41" t="s">
        <v>2383</v>
      </c>
      <c r="E592" s="41"/>
      <c r="F592" s="2" t="s">
        <v>368</v>
      </c>
      <c r="G592" s="2" t="s">
        <v>2377</v>
      </c>
      <c r="H592" s="2" t="s">
        <v>2378</v>
      </c>
      <c r="I592" s="41" t="s">
        <v>720</v>
      </c>
      <c r="J592" s="41" t="s">
        <v>368</v>
      </c>
      <c r="K592" s="41" t="s">
        <v>605</v>
      </c>
      <c r="L592" s="41" t="s">
        <v>600</v>
      </c>
      <c r="M592" s="42">
        <v>45960</v>
      </c>
      <c r="N592" s="42">
        <v>45960</v>
      </c>
      <c r="O592" s="42">
        <v>46690</v>
      </c>
      <c r="P592" s="41" t="s">
        <v>2384</v>
      </c>
      <c r="Q592" s="41" t="s">
        <v>2385</v>
      </c>
      <c r="R592" s="41"/>
      <c r="S592" s="43" t="s">
        <v>2386</v>
      </c>
      <c r="T592" s="41" t="s">
        <v>2387</v>
      </c>
    </row>
    <row r="593" spans="1:20" s="44" customFormat="1" ht="25.05" customHeight="1" x14ac:dyDescent="0.3">
      <c r="A593" s="41"/>
      <c r="B593" s="41"/>
      <c r="C593" s="41"/>
      <c r="D593" s="45" t="s">
        <v>2388</v>
      </c>
      <c r="E593" s="45"/>
      <c r="F593" s="2" t="s">
        <v>368</v>
      </c>
      <c r="G593" s="2" t="s">
        <v>2389</v>
      </c>
      <c r="H593" s="2"/>
      <c r="I593" s="45" t="s">
        <v>720</v>
      </c>
      <c r="J593" s="45" t="s">
        <v>368</v>
      </c>
      <c r="K593" s="45" t="s">
        <v>611</v>
      </c>
      <c r="L593" s="45" t="s">
        <v>606</v>
      </c>
      <c r="M593" s="47"/>
      <c r="N593" s="47"/>
      <c r="O593" s="45"/>
      <c r="P593" s="59" t="s">
        <v>2390</v>
      </c>
      <c r="Q593" s="59" t="s">
        <v>724</v>
      </c>
      <c r="R593" s="45"/>
      <c r="S593" s="48"/>
      <c r="T593" s="45"/>
    </row>
    <row r="594" spans="1:20" s="44" customFormat="1" ht="25.05" customHeight="1" x14ac:dyDescent="0.3">
      <c r="A594" s="41"/>
      <c r="B594" s="41"/>
      <c r="C594" s="41"/>
      <c r="D594" s="45" t="s">
        <v>2391</v>
      </c>
      <c r="E594" s="45"/>
      <c r="F594" s="2" t="s">
        <v>368</v>
      </c>
      <c r="G594" s="2" t="s">
        <v>2353</v>
      </c>
      <c r="H594" s="2"/>
      <c r="I594" s="45" t="s">
        <v>720</v>
      </c>
      <c r="J594" s="45" t="s">
        <v>368</v>
      </c>
      <c r="K594" s="45" t="s">
        <v>611</v>
      </c>
      <c r="L594" s="45" t="s">
        <v>606</v>
      </c>
      <c r="M594" s="47"/>
      <c r="N594" s="47"/>
      <c r="O594" s="45"/>
      <c r="P594" s="59" t="s">
        <v>2392</v>
      </c>
      <c r="Q594" s="59" t="s">
        <v>716</v>
      </c>
      <c r="R594" s="45"/>
      <c r="S594" s="48"/>
      <c r="T594" s="45"/>
    </row>
    <row r="595" spans="1:20" ht="25.05" customHeight="1" x14ac:dyDescent="0.3">
      <c r="A595" s="36"/>
      <c r="B595" s="36"/>
      <c r="C595" s="36"/>
      <c r="D595" s="60"/>
      <c r="E595" s="61"/>
      <c r="F595" s="3" t="s">
        <v>576</v>
      </c>
      <c r="G595" s="3"/>
      <c r="H595" s="3"/>
      <c r="I595" s="60"/>
      <c r="J595" s="60"/>
      <c r="K595" s="60"/>
      <c r="L595" s="60"/>
      <c r="M595" s="60"/>
      <c r="N595" s="60"/>
      <c r="O595" s="60"/>
      <c r="P595" s="60"/>
      <c r="Q595" s="60"/>
      <c r="R595" s="60"/>
      <c r="S595" s="62"/>
      <c r="T595" s="60"/>
    </row>
    <row r="596" spans="1:20" s="44" customFormat="1" ht="25.05" customHeight="1" x14ac:dyDescent="0.3">
      <c r="A596" s="41">
        <v>1</v>
      </c>
      <c r="B596" s="41"/>
      <c r="C596" s="51" t="str">
        <f>VLOOKUP(F596,[1]VLOOKUP!$A$2:$B$35,2,FALSE)</f>
        <v>华中</v>
      </c>
      <c r="D596" s="41" t="s">
        <v>2393</v>
      </c>
      <c r="E596" s="41"/>
      <c r="F596" s="2" t="s">
        <v>576</v>
      </c>
      <c r="G596" s="2"/>
      <c r="H596" s="2"/>
      <c r="I596" s="41" t="s">
        <v>474</v>
      </c>
      <c r="J596" s="41" t="s">
        <v>576</v>
      </c>
      <c r="K596" s="41" t="s">
        <v>611</v>
      </c>
      <c r="L596" s="41" t="s">
        <v>600</v>
      </c>
      <c r="M596" s="42">
        <v>44854</v>
      </c>
      <c r="N596" s="42">
        <v>44883</v>
      </c>
      <c r="O596" s="42">
        <v>49674</v>
      </c>
      <c r="P596" s="41" t="s">
        <v>2394</v>
      </c>
      <c r="Q596" s="41" t="s">
        <v>1702</v>
      </c>
      <c r="R596" s="41" t="s">
        <v>2395</v>
      </c>
      <c r="S596" s="43" t="s">
        <v>2396</v>
      </c>
      <c r="T596" s="41"/>
    </row>
    <row r="597" spans="1:20" s="44" customFormat="1" ht="25.05" customHeight="1" x14ac:dyDescent="0.3">
      <c r="A597" s="41">
        <v>1</v>
      </c>
      <c r="B597" s="41"/>
      <c r="C597" s="51" t="str">
        <f>VLOOKUP(F597,[1]VLOOKUP!$A$2:$B$35,2,FALSE)</f>
        <v>华中</v>
      </c>
      <c r="D597" s="41" t="s">
        <v>2397</v>
      </c>
      <c r="E597" s="41"/>
      <c r="F597" s="2" t="s">
        <v>576</v>
      </c>
      <c r="G597" s="2"/>
      <c r="H597" s="2"/>
      <c r="I597" s="41" t="s">
        <v>474</v>
      </c>
      <c r="J597" s="41" t="s">
        <v>576</v>
      </c>
      <c r="K597" s="41" t="s">
        <v>682</v>
      </c>
      <c r="L597" s="41" t="s">
        <v>600</v>
      </c>
      <c r="M597" s="42">
        <v>45559</v>
      </c>
      <c r="N597" s="42">
        <v>45564</v>
      </c>
      <c r="O597" s="42">
        <v>46387</v>
      </c>
      <c r="P597" s="41" t="s">
        <v>2398</v>
      </c>
      <c r="Q597" s="41" t="s">
        <v>716</v>
      </c>
      <c r="R597" s="41" t="s">
        <v>2399</v>
      </c>
      <c r="S597" s="43"/>
      <c r="T597" s="41"/>
    </row>
    <row r="598" spans="1:20" s="44" customFormat="1" ht="25.05" customHeight="1" x14ac:dyDescent="0.3">
      <c r="A598" s="41">
        <v>1</v>
      </c>
      <c r="B598" s="41"/>
      <c r="C598" s="51" t="str">
        <f>VLOOKUP(F598,[1]VLOOKUP!$A$2:$B$35,2,FALSE)</f>
        <v>华中</v>
      </c>
      <c r="D598" s="41" t="s">
        <v>2400</v>
      </c>
      <c r="E598" s="41"/>
      <c r="F598" s="2" t="s">
        <v>576</v>
      </c>
      <c r="G598" s="2"/>
      <c r="H598" s="2"/>
      <c r="I598" s="41" t="s">
        <v>474</v>
      </c>
      <c r="J598" s="41" t="s">
        <v>576</v>
      </c>
      <c r="K598" s="41" t="s">
        <v>599</v>
      </c>
      <c r="L598" s="41" t="s">
        <v>600</v>
      </c>
      <c r="M598" s="42">
        <v>45743</v>
      </c>
      <c r="N598" s="42">
        <v>45744</v>
      </c>
      <c r="O598" s="42">
        <v>45793</v>
      </c>
      <c r="P598" s="41" t="s">
        <v>2401</v>
      </c>
      <c r="Q598" s="41" t="s">
        <v>519</v>
      </c>
      <c r="R598" s="41"/>
      <c r="S598" s="43" t="s">
        <v>2402</v>
      </c>
      <c r="T598" s="41"/>
    </row>
    <row r="599" spans="1:20" s="44" customFormat="1" ht="25.05" customHeight="1" x14ac:dyDescent="0.3">
      <c r="A599" s="41">
        <v>1</v>
      </c>
      <c r="B599" s="41"/>
      <c r="C599" s="51" t="str">
        <f>VLOOKUP(F599,[1]VLOOKUP!$A$2:$B$35,2,FALSE)</f>
        <v>华中</v>
      </c>
      <c r="D599" s="41" t="s">
        <v>2403</v>
      </c>
      <c r="E599" s="41"/>
      <c r="F599" s="2" t="s">
        <v>576</v>
      </c>
      <c r="G599" s="2"/>
      <c r="H599" s="2"/>
      <c r="I599" s="41" t="s">
        <v>474</v>
      </c>
      <c r="J599" s="41" t="s">
        <v>576</v>
      </c>
      <c r="K599" s="41" t="s">
        <v>599</v>
      </c>
      <c r="L599" s="41" t="s">
        <v>600</v>
      </c>
      <c r="M599" s="42">
        <v>45791</v>
      </c>
      <c r="N599" s="42">
        <v>45821</v>
      </c>
      <c r="O599" s="42">
        <v>46752</v>
      </c>
      <c r="P599" s="41" t="s">
        <v>2398</v>
      </c>
      <c r="Q599" s="41" t="s">
        <v>716</v>
      </c>
      <c r="R599" s="41" t="s">
        <v>2404</v>
      </c>
      <c r="S599" s="43" t="s">
        <v>2405</v>
      </c>
      <c r="T599" s="41"/>
    </row>
    <row r="600" spans="1:20" s="44" customFormat="1" ht="25.05" customHeight="1" x14ac:dyDescent="0.3">
      <c r="A600" s="41">
        <v>1</v>
      </c>
      <c r="B600" s="41"/>
      <c r="C600" s="51" t="str">
        <f>VLOOKUP(F600,[1]VLOOKUP!$A$2:$B$35,2,FALSE)</f>
        <v>华中</v>
      </c>
      <c r="D600" s="41" t="s">
        <v>2406</v>
      </c>
      <c r="E600" s="41"/>
      <c r="F600" s="2" t="s">
        <v>576</v>
      </c>
      <c r="G600" s="2"/>
      <c r="H600" s="2"/>
      <c r="I600" s="41" t="s">
        <v>474</v>
      </c>
      <c r="J600" s="41" t="s">
        <v>576</v>
      </c>
      <c r="K600" s="41" t="s">
        <v>599</v>
      </c>
      <c r="L600" s="41" t="s">
        <v>600</v>
      </c>
      <c r="M600" s="42">
        <v>45826</v>
      </c>
      <c r="N600" s="42">
        <v>45826</v>
      </c>
      <c r="O600" s="42">
        <v>45832</v>
      </c>
      <c r="P600" s="41" t="s">
        <v>2401</v>
      </c>
      <c r="Q600" s="41" t="s">
        <v>519</v>
      </c>
      <c r="R600" s="41"/>
      <c r="S600" s="43" t="s">
        <v>2407</v>
      </c>
      <c r="T600" s="41"/>
    </row>
    <row r="601" spans="1:20" s="44" customFormat="1" ht="25.05" customHeight="1" x14ac:dyDescent="0.3">
      <c r="A601" s="41">
        <v>1</v>
      </c>
      <c r="B601" s="41"/>
      <c r="C601" s="51" t="str">
        <f>VLOOKUP(F601,[1]VLOOKUP!$A$2:$B$35,2,FALSE)</f>
        <v>华中</v>
      </c>
      <c r="D601" s="41" t="s">
        <v>2408</v>
      </c>
      <c r="E601" s="41"/>
      <c r="F601" s="2" t="s">
        <v>576</v>
      </c>
      <c r="G601" s="2"/>
      <c r="H601" s="2"/>
      <c r="I601" s="41" t="s">
        <v>474</v>
      </c>
      <c r="J601" s="41" t="s">
        <v>576</v>
      </c>
      <c r="K601" s="41" t="s">
        <v>611</v>
      </c>
      <c r="L601" s="41" t="s">
        <v>600</v>
      </c>
      <c r="M601" s="42">
        <v>45920</v>
      </c>
      <c r="N601" s="42">
        <v>45920</v>
      </c>
      <c r="O601" s="42">
        <v>49674</v>
      </c>
      <c r="P601" s="41" t="s">
        <v>2409</v>
      </c>
      <c r="Q601" s="41" t="s">
        <v>2410</v>
      </c>
      <c r="R601" s="41" t="s">
        <v>2411</v>
      </c>
      <c r="S601" s="43" t="s">
        <v>2412</v>
      </c>
      <c r="T601" s="41"/>
    </row>
    <row r="602" spans="1:20" s="44" customFormat="1" ht="25.05" customHeight="1" x14ac:dyDescent="0.3">
      <c r="A602" s="41">
        <v>1</v>
      </c>
      <c r="B602" s="41"/>
      <c r="C602" s="51" t="str">
        <f>VLOOKUP(F602,[1]VLOOKUP!$A$2:$B$35,2,FALSE)</f>
        <v>华中</v>
      </c>
      <c r="D602" s="57" t="s">
        <v>2413</v>
      </c>
      <c r="E602" s="57"/>
      <c r="F602" s="2" t="s">
        <v>576</v>
      </c>
      <c r="G602" s="2"/>
      <c r="H602" s="2"/>
      <c r="I602" s="57" t="s">
        <v>474</v>
      </c>
      <c r="J602" s="57" t="s">
        <v>576</v>
      </c>
      <c r="K602" s="57" t="s">
        <v>682</v>
      </c>
      <c r="L602" s="57" t="s">
        <v>780</v>
      </c>
      <c r="M602" s="57">
        <v>46090</v>
      </c>
      <c r="N602" s="57">
        <v>46091</v>
      </c>
      <c r="O602" s="57">
        <v>46098</v>
      </c>
      <c r="P602" s="57" t="s">
        <v>2414</v>
      </c>
      <c r="Q602" s="57" t="s">
        <v>857</v>
      </c>
      <c r="R602" s="57"/>
      <c r="S602" s="58" t="s">
        <v>2415</v>
      </c>
      <c r="T602" s="57"/>
    </row>
    <row r="603" spans="1:20" s="44" customFormat="1" ht="25.05" customHeight="1" x14ac:dyDescent="0.3">
      <c r="A603" s="41">
        <v>1</v>
      </c>
      <c r="B603" s="41"/>
      <c r="C603" s="51" t="str">
        <f>VLOOKUP(F603,[1]VLOOKUP!$A$2:$B$35,2,FALSE)</f>
        <v>华中</v>
      </c>
      <c r="D603" s="41" t="s">
        <v>2416</v>
      </c>
      <c r="E603" s="41"/>
      <c r="F603" s="2" t="s">
        <v>576</v>
      </c>
      <c r="G603" s="2" t="s">
        <v>2417</v>
      </c>
      <c r="H603" s="2"/>
      <c r="I603" s="41" t="s">
        <v>720</v>
      </c>
      <c r="J603" s="41" t="s">
        <v>576</v>
      </c>
      <c r="K603" s="41" t="s">
        <v>611</v>
      </c>
      <c r="L603" s="41" t="s">
        <v>600</v>
      </c>
      <c r="M603" s="42">
        <v>44955</v>
      </c>
      <c r="N603" s="42">
        <v>44957</v>
      </c>
      <c r="O603" s="42">
        <v>46022</v>
      </c>
      <c r="P603" s="41" t="s">
        <v>2418</v>
      </c>
      <c r="Q603" s="41" t="s">
        <v>716</v>
      </c>
      <c r="R603" s="41" t="s">
        <v>2419</v>
      </c>
      <c r="S603" s="43" t="s">
        <v>2420</v>
      </c>
      <c r="T603" s="41"/>
    </row>
    <row r="604" spans="1:20" s="44" customFormat="1" ht="25.05" customHeight="1" x14ac:dyDescent="0.3">
      <c r="A604" s="41">
        <v>1</v>
      </c>
      <c r="B604" s="41"/>
      <c r="C604" s="51" t="str">
        <f>VLOOKUP(F604,[1]VLOOKUP!$A$2:$B$35,2,FALSE)</f>
        <v>华中</v>
      </c>
      <c r="D604" s="41" t="s">
        <v>2421</v>
      </c>
      <c r="E604" s="41"/>
      <c r="F604" s="2" t="s">
        <v>576</v>
      </c>
      <c r="G604" s="2" t="s">
        <v>2422</v>
      </c>
      <c r="H604" s="2"/>
      <c r="I604" s="41" t="s">
        <v>720</v>
      </c>
      <c r="J604" s="41" t="s">
        <v>576</v>
      </c>
      <c r="K604" s="41" t="s">
        <v>611</v>
      </c>
      <c r="L604" s="41" t="s">
        <v>600</v>
      </c>
      <c r="M604" s="42">
        <v>44135</v>
      </c>
      <c r="N604" s="42">
        <v>44135</v>
      </c>
      <c r="O604" s="42">
        <v>49674</v>
      </c>
      <c r="P604" s="41" t="s">
        <v>2423</v>
      </c>
      <c r="Q604" s="41" t="s">
        <v>716</v>
      </c>
      <c r="R604" s="41"/>
      <c r="S604" s="43" t="s">
        <v>2424</v>
      </c>
      <c r="T604" s="41"/>
    </row>
    <row r="605" spans="1:20" s="44" customFormat="1" ht="25.05" customHeight="1" x14ac:dyDescent="0.3">
      <c r="A605" s="41">
        <v>1</v>
      </c>
      <c r="B605" s="41"/>
      <c r="C605" s="51" t="str">
        <f>VLOOKUP(F605,[1]VLOOKUP!$A$2:$B$35,2,FALSE)</f>
        <v>华中</v>
      </c>
      <c r="D605" s="52" t="s">
        <v>2425</v>
      </c>
      <c r="E605" s="52"/>
      <c r="F605" s="2" t="s">
        <v>576</v>
      </c>
      <c r="G605" s="2" t="s">
        <v>2422</v>
      </c>
      <c r="H605" s="2"/>
      <c r="I605" s="52" t="s">
        <v>720</v>
      </c>
      <c r="J605" s="52" t="s">
        <v>576</v>
      </c>
      <c r="K605" s="52" t="s">
        <v>682</v>
      </c>
      <c r="L605" s="52" t="s">
        <v>663</v>
      </c>
      <c r="M605" s="52">
        <v>44193</v>
      </c>
      <c r="N605" s="52">
        <v>44193</v>
      </c>
      <c r="O605" s="52">
        <v>44923</v>
      </c>
      <c r="P605" s="52" t="s">
        <v>2426</v>
      </c>
      <c r="Q605" s="52" t="s">
        <v>2427</v>
      </c>
      <c r="R605" s="52" t="s">
        <v>2428</v>
      </c>
      <c r="S605" s="53" t="s">
        <v>2429</v>
      </c>
      <c r="T605" s="52"/>
    </row>
    <row r="606" spans="1:20" s="44" customFormat="1" ht="25.05" customHeight="1" x14ac:dyDescent="0.3">
      <c r="A606" s="41">
        <v>1</v>
      </c>
      <c r="B606" s="41"/>
      <c r="C606" s="51" t="str">
        <f>VLOOKUP(F606,[1]VLOOKUP!$A$2:$B$35,2,FALSE)</f>
        <v>华中</v>
      </c>
      <c r="D606" s="45" t="s">
        <v>2430</v>
      </c>
      <c r="E606" s="45"/>
      <c r="F606" s="2" t="s">
        <v>576</v>
      </c>
      <c r="G606" s="2" t="s">
        <v>2431</v>
      </c>
      <c r="H606" s="2"/>
      <c r="I606" s="45" t="s">
        <v>720</v>
      </c>
      <c r="J606" s="45" t="s">
        <v>576</v>
      </c>
      <c r="K606" s="45" t="s">
        <v>611</v>
      </c>
      <c r="L606" s="59" t="s">
        <v>600</v>
      </c>
      <c r="M606" s="59">
        <v>43673</v>
      </c>
      <c r="N606" s="59">
        <v>43673</v>
      </c>
      <c r="O606" s="59">
        <v>46022</v>
      </c>
      <c r="P606" s="59" t="s">
        <v>2432</v>
      </c>
      <c r="Q606" s="59" t="s">
        <v>716</v>
      </c>
      <c r="R606" s="45"/>
      <c r="S606" s="48"/>
      <c r="T606" s="45"/>
    </row>
    <row r="607" spans="1:20" ht="25.05" customHeight="1" x14ac:dyDescent="0.3">
      <c r="A607" s="36"/>
      <c r="B607" s="36"/>
      <c r="C607" s="36"/>
      <c r="D607" s="60"/>
      <c r="E607" s="61"/>
      <c r="F607" s="3" t="s">
        <v>292</v>
      </c>
      <c r="G607" s="3"/>
      <c r="H607" s="3"/>
      <c r="I607" s="60"/>
      <c r="J607" s="60"/>
      <c r="K607" s="60"/>
      <c r="L607" s="60"/>
      <c r="M607" s="60"/>
      <c r="N607" s="60"/>
      <c r="O607" s="60"/>
      <c r="P607" s="60"/>
      <c r="Q607" s="60"/>
      <c r="R607" s="60"/>
      <c r="S607" s="62"/>
      <c r="T607" s="60"/>
    </row>
    <row r="608" spans="1:20" s="44" customFormat="1" ht="25.05" customHeight="1" x14ac:dyDescent="0.3">
      <c r="A608" s="41">
        <v>1</v>
      </c>
      <c r="B608" s="41"/>
      <c r="C608" s="51" t="str">
        <f>VLOOKUP(F608,[1]VLOOKUP!$A$2:$B$35,2,FALSE)</f>
        <v>华南</v>
      </c>
      <c r="D608" s="41" t="s">
        <v>2433</v>
      </c>
      <c r="E608" s="41"/>
      <c r="F608" s="2" t="s">
        <v>292</v>
      </c>
      <c r="G608" s="2"/>
      <c r="H608" s="2"/>
      <c r="I608" s="41" t="s">
        <v>474</v>
      </c>
      <c r="J608" s="41" t="s">
        <v>292</v>
      </c>
      <c r="K608" s="41" t="s">
        <v>611</v>
      </c>
      <c r="L608" s="41" t="s">
        <v>600</v>
      </c>
      <c r="M608" s="42">
        <v>44147</v>
      </c>
      <c r="N608" s="42">
        <v>44147</v>
      </c>
      <c r="O608" s="42">
        <v>46022</v>
      </c>
      <c r="P608" s="41" t="s">
        <v>2434</v>
      </c>
      <c r="Q608" s="41" t="s">
        <v>2435</v>
      </c>
      <c r="R608" s="41" t="s">
        <v>2436</v>
      </c>
      <c r="S608" s="43" t="s">
        <v>2437</v>
      </c>
      <c r="T608" s="41"/>
    </row>
    <row r="609" spans="1:20" s="44" customFormat="1" ht="25.05" customHeight="1" x14ac:dyDescent="0.3">
      <c r="A609" s="41">
        <v>1</v>
      </c>
      <c r="B609" s="41"/>
      <c r="C609" s="51" t="str">
        <f>VLOOKUP(F609,[1]VLOOKUP!$A$2:$B$35,2,FALSE)</f>
        <v>华南</v>
      </c>
      <c r="D609" s="41" t="s">
        <v>2438</v>
      </c>
      <c r="E609" s="41"/>
      <c r="F609" s="2" t="s">
        <v>292</v>
      </c>
      <c r="G609" s="2"/>
      <c r="H609" s="2"/>
      <c r="I609" s="41" t="s">
        <v>474</v>
      </c>
      <c r="J609" s="41" t="s">
        <v>292</v>
      </c>
      <c r="K609" s="41" t="s">
        <v>615</v>
      </c>
      <c r="L609" s="41" t="s">
        <v>600</v>
      </c>
      <c r="M609" s="42">
        <v>44075</v>
      </c>
      <c r="N609" s="42">
        <v>44089</v>
      </c>
      <c r="O609" s="42">
        <v>45657</v>
      </c>
      <c r="P609" s="41" t="s">
        <v>2439</v>
      </c>
      <c r="Q609" s="41" t="s">
        <v>2440</v>
      </c>
      <c r="R609" s="41" t="s">
        <v>2441</v>
      </c>
      <c r="S609" s="43" t="s">
        <v>2442</v>
      </c>
      <c r="T609" s="41"/>
    </row>
    <row r="610" spans="1:20" s="44" customFormat="1" ht="25.05" customHeight="1" x14ac:dyDescent="0.3">
      <c r="A610" s="41">
        <v>1</v>
      </c>
      <c r="B610" s="41"/>
      <c r="C610" s="51" t="str">
        <f>VLOOKUP(F610,[1]VLOOKUP!$A$2:$B$35,2,FALSE)</f>
        <v>华南</v>
      </c>
      <c r="D610" s="41" t="s">
        <v>2443</v>
      </c>
      <c r="E610" s="41"/>
      <c r="F610" s="2" t="s">
        <v>292</v>
      </c>
      <c r="G610" s="2"/>
      <c r="H610" s="2"/>
      <c r="I610" s="41" t="s">
        <v>474</v>
      </c>
      <c r="J610" s="41" t="s">
        <v>292</v>
      </c>
      <c r="K610" s="41" t="s">
        <v>611</v>
      </c>
      <c r="L610" s="41" t="s">
        <v>600</v>
      </c>
      <c r="M610" s="42">
        <v>44784</v>
      </c>
      <c r="N610" s="42">
        <v>44785</v>
      </c>
      <c r="O610" s="42">
        <v>46022</v>
      </c>
      <c r="P610" s="41" t="s">
        <v>2444</v>
      </c>
      <c r="Q610" s="41" t="s">
        <v>2445</v>
      </c>
      <c r="R610" s="41" t="s">
        <v>2446</v>
      </c>
      <c r="S610" s="43" t="s">
        <v>2447</v>
      </c>
      <c r="T610" s="41"/>
    </row>
    <row r="611" spans="1:20" s="44" customFormat="1" ht="25.05" customHeight="1" x14ac:dyDescent="0.3">
      <c r="A611" s="41">
        <v>1</v>
      </c>
      <c r="B611" s="41"/>
      <c r="C611" s="51" t="str">
        <f>VLOOKUP(F611,[1]VLOOKUP!$A$2:$B$35,2,FALSE)</f>
        <v>华南</v>
      </c>
      <c r="D611" s="41" t="s">
        <v>541</v>
      </c>
      <c r="E611" s="41"/>
      <c r="F611" s="2" t="s">
        <v>292</v>
      </c>
      <c r="G611" s="2"/>
      <c r="H611" s="2"/>
      <c r="I611" s="41" t="s">
        <v>474</v>
      </c>
      <c r="J611" s="41" t="s">
        <v>292</v>
      </c>
      <c r="K611" s="41" t="s">
        <v>682</v>
      </c>
      <c r="L611" s="41" t="s">
        <v>600</v>
      </c>
      <c r="M611" s="42">
        <v>45079</v>
      </c>
      <c r="N611" s="42">
        <v>45105</v>
      </c>
      <c r="O611" s="42">
        <v>45839</v>
      </c>
      <c r="P611" s="41" t="s">
        <v>2448</v>
      </c>
      <c r="Q611" s="41" t="s">
        <v>2449</v>
      </c>
      <c r="R611" s="41" t="s">
        <v>2450</v>
      </c>
      <c r="S611" s="43" t="s">
        <v>2451</v>
      </c>
      <c r="T611" s="41"/>
    </row>
    <row r="612" spans="1:20" s="44" customFormat="1" ht="25.05" customHeight="1" x14ac:dyDescent="0.3">
      <c r="A612" s="41">
        <v>1</v>
      </c>
      <c r="B612" s="41"/>
      <c r="C612" s="51" t="str">
        <f>VLOOKUP(F612,[1]VLOOKUP!$A$2:$B$35,2,FALSE)</f>
        <v>华南</v>
      </c>
      <c r="D612" s="57" t="s">
        <v>2452</v>
      </c>
      <c r="E612" s="57"/>
      <c r="F612" s="2" t="s">
        <v>292</v>
      </c>
      <c r="G612" s="2"/>
      <c r="H612" s="2"/>
      <c r="I612" s="57" t="s">
        <v>474</v>
      </c>
      <c r="J612" s="57" t="s">
        <v>292</v>
      </c>
      <c r="K612" s="57" t="s">
        <v>682</v>
      </c>
      <c r="L612" s="57" t="s">
        <v>780</v>
      </c>
      <c r="M612" s="57">
        <v>44992</v>
      </c>
      <c r="N612" s="57">
        <v>44994</v>
      </c>
      <c r="O612" s="57">
        <v>45009</v>
      </c>
      <c r="P612" s="57" t="s">
        <v>2453</v>
      </c>
      <c r="Q612" s="57" t="s">
        <v>857</v>
      </c>
      <c r="R612" s="57"/>
      <c r="S612" s="58" t="s">
        <v>2454</v>
      </c>
      <c r="T612" s="57"/>
    </row>
    <row r="613" spans="1:20" s="44" customFormat="1" ht="25.05" customHeight="1" x14ac:dyDescent="0.3">
      <c r="A613" s="41"/>
      <c r="B613" s="41"/>
      <c r="C613" s="41"/>
      <c r="D613" s="47" t="s">
        <v>2455</v>
      </c>
      <c r="E613" s="47"/>
      <c r="F613" s="2" t="s">
        <v>292</v>
      </c>
      <c r="G613" s="2"/>
      <c r="H613" s="2"/>
      <c r="I613" s="47" t="s">
        <v>474</v>
      </c>
      <c r="J613" s="47" t="s">
        <v>292</v>
      </c>
      <c r="K613" s="47" t="s">
        <v>605</v>
      </c>
      <c r="L613" s="47" t="s">
        <v>606</v>
      </c>
      <c r="M613" s="47"/>
      <c r="N613" s="47"/>
      <c r="O613" s="47"/>
      <c r="P613" s="59" t="s">
        <v>2456</v>
      </c>
      <c r="Q613" s="59" t="s">
        <v>716</v>
      </c>
      <c r="R613" s="47" t="s">
        <v>2457</v>
      </c>
      <c r="S613" s="64"/>
      <c r="T613" s="47"/>
    </row>
    <row r="614" spans="1:20" s="44" customFormat="1" ht="25.05" customHeight="1" x14ac:dyDescent="0.3">
      <c r="A614" s="41"/>
      <c r="B614" s="41"/>
      <c r="C614" s="41"/>
      <c r="D614" s="47" t="s">
        <v>2458</v>
      </c>
      <c r="E614" s="47"/>
      <c r="F614" s="2" t="s">
        <v>292</v>
      </c>
      <c r="G614" s="2"/>
      <c r="H614" s="2"/>
      <c r="I614" s="47" t="s">
        <v>474</v>
      </c>
      <c r="J614" s="47" t="s">
        <v>292</v>
      </c>
      <c r="K614" s="47" t="s">
        <v>605</v>
      </c>
      <c r="L614" s="47" t="s">
        <v>606</v>
      </c>
      <c r="M614" s="47"/>
      <c r="N614" s="47"/>
      <c r="O614" s="47"/>
      <c r="P614" s="59" t="s">
        <v>2456</v>
      </c>
      <c r="Q614" s="59" t="s">
        <v>716</v>
      </c>
      <c r="R614" s="47" t="s">
        <v>2459</v>
      </c>
      <c r="S614" s="64"/>
      <c r="T614" s="47"/>
    </row>
    <row r="615" spans="1:20" s="44" customFormat="1" ht="25.05" customHeight="1" x14ac:dyDescent="0.3">
      <c r="A615" s="41">
        <v>1</v>
      </c>
      <c r="B615" s="41"/>
      <c r="C615" s="51" t="str">
        <f>VLOOKUP(F615,[1]VLOOKUP!$A$2:$B$35,2,FALSE)</f>
        <v>华南</v>
      </c>
      <c r="D615" s="41" t="s">
        <v>2460</v>
      </c>
      <c r="E615" s="41"/>
      <c r="F615" s="2" t="s">
        <v>292</v>
      </c>
      <c r="G615" s="2"/>
      <c r="H615" s="2"/>
      <c r="I615" s="41" t="s">
        <v>474</v>
      </c>
      <c r="J615" s="41" t="s">
        <v>292</v>
      </c>
      <c r="K615" s="41" t="s">
        <v>611</v>
      </c>
      <c r="L615" s="41" t="s">
        <v>600</v>
      </c>
      <c r="M615" s="42">
        <v>45229</v>
      </c>
      <c r="N615" s="42">
        <v>45236</v>
      </c>
      <c r="O615" s="42">
        <v>46752</v>
      </c>
      <c r="P615" s="41" t="s">
        <v>2444</v>
      </c>
      <c r="Q615" s="41" t="s">
        <v>2445</v>
      </c>
      <c r="R615" s="41" t="s">
        <v>2461</v>
      </c>
      <c r="S615" s="43" t="s">
        <v>2462</v>
      </c>
      <c r="T615" s="41"/>
    </row>
    <row r="616" spans="1:20" s="44" customFormat="1" ht="25.05" customHeight="1" x14ac:dyDescent="0.3">
      <c r="A616" s="41">
        <v>1</v>
      </c>
      <c r="B616" s="41"/>
      <c r="C616" s="51" t="str">
        <f>VLOOKUP(F616,[1]VLOOKUP!$A$2:$B$35,2,FALSE)</f>
        <v>华南</v>
      </c>
      <c r="D616" s="54" t="s">
        <v>2463</v>
      </c>
      <c r="E616" s="54"/>
      <c r="F616" s="2" t="s">
        <v>292</v>
      </c>
      <c r="G616" s="2"/>
      <c r="H616" s="2"/>
      <c r="I616" s="54" t="s">
        <v>474</v>
      </c>
      <c r="J616" s="54" t="s">
        <v>292</v>
      </c>
      <c r="K616" s="54" t="s">
        <v>605</v>
      </c>
      <c r="L616" s="54" t="s">
        <v>600</v>
      </c>
      <c r="M616" s="54">
        <v>45322</v>
      </c>
      <c r="N616" s="54">
        <v>45322</v>
      </c>
      <c r="O616" s="54">
        <v>45328</v>
      </c>
      <c r="P616" s="54" t="s">
        <v>2456</v>
      </c>
      <c r="Q616" s="54" t="s">
        <v>716</v>
      </c>
      <c r="R616" s="54"/>
      <c r="S616" s="55" t="s">
        <v>2464</v>
      </c>
      <c r="T616" s="54"/>
    </row>
    <row r="617" spans="1:20" s="44" customFormat="1" ht="25.05" customHeight="1" x14ac:dyDescent="0.3">
      <c r="A617" s="41">
        <v>1</v>
      </c>
      <c r="B617" s="41"/>
      <c r="C617" s="51" t="str">
        <f>VLOOKUP(F617,[1]VLOOKUP!$A$2:$B$35,2,FALSE)</f>
        <v>华南</v>
      </c>
      <c r="D617" s="41" t="s">
        <v>2465</v>
      </c>
      <c r="E617" s="41"/>
      <c r="F617" s="2" t="s">
        <v>292</v>
      </c>
      <c r="G617" s="2"/>
      <c r="H617" s="2"/>
      <c r="I617" s="41" t="s">
        <v>474</v>
      </c>
      <c r="J617" s="41" t="s">
        <v>292</v>
      </c>
      <c r="K617" s="41" t="s">
        <v>611</v>
      </c>
      <c r="L617" s="41" t="s">
        <v>600</v>
      </c>
      <c r="M617" s="42">
        <v>45468</v>
      </c>
      <c r="N617" s="42">
        <v>45469</v>
      </c>
      <c r="O617" s="42">
        <v>46022</v>
      </c>
      <c r="P617" s="41" t="s">
        <v>2456</v>
      </c>
      <c r="Q617" s="41" t="s">
        <v>716</v>
      </c>
      <c r="R617" s="41" t="s">
        <v>2466</v>
      </c>
      <c r="S617" s="43" t="s">
        <v>2467</v>
      </c>
      <c r="T617" s="41"/>
    </row>
    <row r="618" spans="1:20" s="44" customFormat="1" ht="25.05" customHeight="1" x14ac:dyDescent="0.3">
      <c r="A618" s="41">
        <v>1</v>
      </c>
      <c r="B618" s="41"/>
      <c r="C618" s="51" t="str">
        <f>VLOOKUP(F618,[1]VLOOKUP!$A$2:$B$35,2,FALSE)</f>
        <v>华南</v>
      </c>
      <c r="D618" s="41" t="s">
        <v>2468</v>
      </c>
      <c r="E618" s="41"/>
      <c r="F618" s="2" t="s">
        <v>292</v>
      </c>
      <c r="G618" s="2"/>
      <c r="H618" s="2"/>
      <c r="I618" s="41" t="s">
        <v>474</v>
      </c>
      <c r="J618" s="41" t="s">
        <v>292</v>
      </c>
      <c r="K618" s="41" t="s">
        <v>599</v>
      </c>
      <c r="L618" s="41" t="s">
        <v>600</v>
      </c>
      <c r="M618" s="42">
        <v>45827</v>
      </c>
      <c r="N618" s="42">
        <v>45831</v>
      </c>
      <c r="O618" s="42">
        <v>45838</v>
      </c>
      <c r="P618" s="41" t="s">
        <v>2469</v>
      </c>
      <c r="Q618" s="41" t="s">
        <v>1054</v>
      </c>
      <c r="R618" s="41"/>
      <c r="S618" s="43" t="s">
        <v>2470</v>
      </c>
      <c r="T618" s="41"/>
    </row>
    <row r="619" spans="1:20" s="44" customFormat="1" ht="25.05" customHeight="1" x14ac:dyDescent="0.3">
      <c r="A619" s="41"/>
      <c r="B619" s="41"/>
      <c r="C619" s="41"/>
      <c r="D619" s="47" t="s">
        <v>2471</v>
      </c>
      <c r="E619" s="47"/>
      <c r="F619" s="2" t="s">
        <v>292</v>
      </c>
      <c r="G619" s="2" t="s">
        <v>293</v>
      </c>
      <c r="H619" s="2"/>
      <c r="I619" s="47" t="s">
        <v>720</v>
      </c>
      <c r="J619" s="47" t="s">
        <v>292</v>
      </c>
      <c r="K619" s="47" t="s">
        <v>605</v>
      </c>
      <c r="L619" s="47" t="s">
        <v>606</v>
      </c>
      <c r="M619" s="47"/>
      <c r="N619" s="47"/>
      <c r="O619" s="47"/>
      <c r="P619" s="59" t="s">
        <v>2472</v>
      </c>
      <c r="Q619" s="59" t="s">
        <v>716</v>
      </c>
      <c r="R619" s="47" t="s">
        <v>2473</v>
      </c>
      <c r="S619" s="64"/>
      <c r="T619" s="47"/>
    </row>
    <row r="620" spans="1:20" s="44" customFormat="1" ht="25.05" customHeight="1" x14ac:dyDescent="0.3">
      <c r="A620" s="41">
        <v>1</v>
      </c>
      <c r="B620" s="41"/>
      <c r="C620" s="51" t="str">
        <f>VLOOKUP(F620,[1]VLOOKUP!$A$2:$B$35,2,FALSE)</f>
        <v>华南</v>
      </c>
      <c r="D620" s="54" t="s">
        <v>2474</v>
      </c>
      <c r="E620" s="54"/>
      <c r="F620" s="2" t="s">
        <v>292</v>
      </c>
      <c r="G620" s="2" t="s">
        <v>293</v>
      </c>
      <c r="H620" s="2"/>
      <c r="I620" s="54" t="s">
        <v>720</v>
      </c>
      <c r="J620" s="54" t="s">
        <v>292</v>
      </c>
      <c r="K620" s="54" t="s">
        <v>605</v>
      </c>
      <c r="L620" s="54" t="s">
        <v>600</v>
      </c>
      <c r="M620" s="54">
        <v>44895</v>
      </c>
      <c r="N620" s="54">
        <v>44905</v>
      </c>
      <c r="O620" s="54">
        <v>44905</v>
      </c>
      <c r="P620" s="54" t="s">
        <v>2472</v>
      </c>
      <c r="Q620" s="54" t="s">
        <v>716</v>
      </c>
      <c r="R620" s="54"/>
      <c r="S620" s="55" t="s">
        <v>2475</v>
      </c>
      <c r="T620" s="54"/>
    </row>
    <row r="621" spans="1:20" s="44" customFormat="1" ht="25.05" customHeight="1" x14ac:dyDescent="0.3">
      <c r="A621" s="41">
        <v>1</v>
      </c>
      <c r="B621" s="41"/>
      <c r="C621" s="51" t="str">
        <f>VLOOKUP(F621,[1]VLOOKUP!$A$2:$B$35,2,FALSE)</f>
        <v>华南</v>
      </c>
      <c r="D621" s="54" t="s">
        <v>2476</v>
      </c>
      <c r="E621" s="54"/>
      <c r="F621" s="2" t="s">
        <v>292</v>
      </c>
      <c r="G621" s="2" t="s">
        <v>293</v>
      </c>
      <c r="H621" s="2"/>
      <c r="I621" s="54" t="s">
        <v>720</v>
      </c>
      <c r="J621" s="54" t="s">
        <v>292</v>
      </c>
      <c r="K621" s="54" t="s">
        <v>605</v>
      </c>
      <c r="L621" s="54" t="s">
        <v>600</v>
      </c>
      <c r="M621" s="54">
        <v>45657</v>
      </c>
      <c r="N621" s="54">
        <v>45657</v>
      </c>
      <c r="O621" s="54">
        <v>45657</v>
      </c>
      <c r="P621" s="54" t="s">
        <v>2477</v>
      </c>
      <c r="Q621" s="54" t="s">
        <v>654</v>
      </c>
      <c r="R621" s="54"/>
      <c r="S621" s="55" t="s">
        <v>2478</v>
      </c>
      <c r="T621" s="54"/>
    </row>
    <row r="622" spans="1:20" s="44" customFormat="1" ht="25.05" customHeight="1" x14ac:dyDescent="0.3">
      <c r="A622" s="41">
        <v>1</v>
      </c>
      <c r="B622" s="41"/>
      <c r="C622" s="51" t="str">
        <f>VLOOKUP(F622,[1]VLOOKUP!$A$2:$B$35,2,FALSE)</f>
        <v>华南</v>
      </c>
      <c r="D622" s="41" t="s">
        <v>2479</v>
      </c>
      <c r="E622" s="41"/>
      <c r="F622" s="2" t="s">
        <v>292</v>
      </c>
      <c r="G622" s="2" t="s">
        <v>293</v>
      </c>
      <c r="H622" s="2"/>
      <c r="I622" s="41" t="s">
        <v>720</v>
      </c>
      <c r="J622" s="41" t="s">
        <v>292</v>
      </c>
      <c r="K622" s="41" t="s">
        <v>611</v>
      </c>
      <c r="L622" s="41" t="s">
        <v>600</v>
      </c>
      <c r="M622" s="42">
        <v>44897</v>
      </c>
      <c r="N622" s="42">
        <v>44901</v>
      </c>
      <c r="O622" s="42">
        <v>46022</v>
      </c>
      <c r="P622" s="41" t="s">
        <v>2480</v>
      </c>
      <c r="Q622" s="41" t="s">
        <v>716</v>
      </c>
      <c r="R622" s="41"/>
      <c r="S622" s="43" t="s">
        <v>2481</v>
      </c>
      <c r="T622" s="41"/>
    </row>
    <row r="623" spans="1:20" s="44" customFormat="1" ht="25.05" customHeight="1" x14ac:dyDescent="0.3">
      <c r="A623" s="41">
        <v>1</v>
      </c>
      <c r="B623" s="41"/>
      <c r="C623" s="51" t="str">
        <f>VLOOKUP(F623,[1]VLOOKUP!$A$2:$B$35,2,FALSE)</f>
        <v>华南</v>
      </c>
      <c r="D623" s="41" t="s">
        <v>2482</v>
      </c>
      <c r="E623" s="41"/>
      <c r="F623" s="2" t="s">
        <v>292</v>
      </c>
      <c r="G623" s="2" t="s">
        <v>293</v>
      </c>
      <c r="H623" s="2"/>
      <c r="I623" s="41" t="s">
        <v>720</v>
      </c>
      <c r="J623" s="41" t="s">
        <v>292</v>
      </c>
      <c r="K623" s="41" t="s">
        <v>611</v>
      </c>
      <c r="L623" s="41" t="s">
        <v>600</v>
      </c>
      <c r="M623" s="42">
        <v>44015</v>
      </c>
      <c r="N623" s="42">
        <v>44042</v>
      </c>
      <c r="O623" s="42">
        <v>47848</v>
      </c>
      <c r="P623" s="41" t="s">
        <v>2472</v>
      </c>
      <c r="Q623" s="41" t="s">
        <v>716</v>
      </c>
      <c r="R623" s="41" t="s">
        <v>2483</v>
      </c>
      <c r="S623" s="43" t="s">
        <v>2484</v>
      </c>
      <c r="T623" s="41"/>
    </row>
    <row r="624" spans="1:20" s="44" customFormat="1" ht="25.05" customHeight="1" x14ac:dyDescent="0.3">
      <c r="A624" s="41"/>
      <c r="B624" s="41"/>
      <c r="C624" s="41"/>
      <c r="D624" s="47" t="s">
        <v>2485</v>
      </c>
      <c r="E624" s="47"/>
      <c r="F624" s="2" t="s">
        <v>292</v>
      </c>
      <c r="G624" s="2" t="s">
        <v>293</v>
      </c>
      <c r="H624" s="2"/>
      <c r="I624" s="47" t="s">
        <v>720</v>
      </c>
      <c r="J624" s="47" t="s">
        <v>292</v>
      </c>
      <c r="K624" s="47" t="s">
        <v>611</v>
      </c>
      <c r="L624" s="47" t="s">
        <v>606</v>
      </c>
      <c r="M624" s="47"/>
      <c r="N624" s="47"/>
      <c r="O624" s="47"/>
      <c r="P624" s="59" t="s">
        <v>2472</v>
      </c>
      <c r="Q624" s="59" t="s">
        <v>716</v>
      </c>
      <c r="R624" s="47"/>
      <c r="S624" s="64"/>
      <c r="T624" s="47"/>
    </row>
    <row r="625" spans="1:20" s="44" customFormat="1" ht="25.05" customHeight="1" x14ac:dyDescent="0.3">
      <c r="A625" s="41">
        <v>1</v>
      </c>
      <c r="B625" s="41"/>
      <c r="C625" s="51" t="str">
        <f>VLOOKUP(F625,[1]VLOOKUP!$A$2:$B$35,2,FALSE)</f>
        <v>华南</v>
      </c>
      <c r="D625" s="41" t="s">
        <v>2486</v>
      </c>
      <c r="E625" s="41"/>
      <c r="F625" s="2" t="s">
        <v>292</v>
      </c>
      <c r="G625" s="2" t="s">
        <v>293</v>
      </c>
      <c r="H625" s="2"/>
      <c r="I625" s="41" t="s">
        <v>720</v>
      </c>
      <c r="J625" s="41" t="s">
        <v>292</v>
      </c>
      <c r="K625" s="41" t="s">
        <v>682</v>
      </c>
      <c r="L625" s="41" t="s">
        <v>600</v>
      </c>
      <c r="M625" s="42">
        <v>44693</v>
      </c>
      <c r="N625" s="42">
        <v>44697</v>
      </c>
      <c r="O625" s="42">
        <v>45789</v>
      </c>
      <c r="P625" s="41" t="s">
        <v>2487</v>
      </c>
      <c r="Q625" s="41" t="s">
        <v>654</v>
      </c>
      <c r="R625" s="41" t="s">
        <v>2488</v>
      </c>
      <c r="S625" s="43" t="s">
        <v>2489</v>
      </c>
      <c r="T625" s="41"/>
    </row>
    <row r="626" spans="1:20" s="44" customFormat="1" ht="25.05" customHeight="1" x14ac:dyDescent="0.3">
      <c r="A626" s="41">
        <v>1</v>
      </c>
      <c r="B626" s="41"/>
      <c r="C626" s="51" t="str">
        <f>VLOOKUP(F626,[1]VLOOKUP!$A$2:$B$35,2,FALSE)</f>
        <v>华南</v>
      </c>
      <c r="D626" s="41" t="s">
        <v>2490</v>
      </c>
      <c r="E626" s="41"/>
      <c r="F626" s="2" t="s">
        <v>292</v>
      </c>
      <c r="G626" s="2" t="s">
        <v>293</v>
      </c>
      <c r="H626" s="2"/>
      <c r="I626" s="41" t="s">
        <v>720</v>
      </c>
      <c r="J626" s="41" t="s">
        <v>292</v>
      </c>
      <c r="K626" s="41" t="s">
        <v>611</v>
      </c>
      <c r="L626" s="41" t="s">
        <v>600</v>
      </c>
      <c r="M626" s="42">
        <v>44824</v>
      </c>
      <c r="N626" s="42">
        <v>44825</v>
      </c>
      <c r="O626" s="42">
        <v>47848</v>
      </c>
      <c r="P626" s="41" t="s">
        <v>2472</v>
      </c>
      <c r="Q626" s="41" t="s">
        <v>716</v>
      </c>
      <c r="R626" s="41" t="s">
        <v>2491</v>
      </c>
      <c r="S626" s="43" t="s">
        <v>2492</v>
      </c>
      <c r="T626" s="41"/>
    </row>
    <row r="627" spans="1:20" s="44" customFormat="1" ht="25.05" customHeight="1" x14ac:dyDescent="0.3">
      <c r="A627" s="41">
        <v>1</v>
      </c>
      <c r="B627" s="41"/>
      <c r="C627" s="51" t="str">
        <f>VLOOKUP(F627,[1]VLOOKUP!$A$2:$B$35,2,FALSE)</f>
        <v>华南</v>
      </c>
      <c r="D627" s="41" t="s">
        <v>2493</v>
      </c>
      <c r="E627" s="41"/>
      <c r="F627" s="2" t="s">
        <v>292</v>
      </c>
      <c r="G627" s="2" t="s">
        <v>293</v>
      </c>
      <c r="H627" s="2"/>
      <c r="I627" s="41" t="s">
        <v>720</v>
      </c>
      <c r="J627" s="41" t="s">
        <v>292</v>
      </c>
      <c r="K627" s="41" t="s">
        <v>611</v>
      </c>
      <c r="L627" s="41" t="s">
        <v>600</v>
      </c>
      <c r="M627" s="42">
        <v>45237</v>
      </c>
      <c r="N627" s="42">
        <v>45239</v>
      </c>
      <c r="O627" s="42">
        <v>47848</v>
      </c>
      <c r="P627" s="41" t="s">
        <v>2487</v>
      </c>
      <c r="Q627" s="41" t="s">
        <v>654</v>
      </c>
      <c r="R627" s="41" t="s">
        <v>2494</v>
      </c>
      <c r="S627" s="43" t="s">
        <v>2495</v>
      </c>
      <c r="T627" s="41"/>
    </row>
    <row r="628" spans="1:20" s="44" customFormat="1" ht="25.05" customHeight="1" x14ac:dyDescent="0.3">
      <c r="A628" s="41">
        <v>1</v>
      </c>
      <c r="B628" s="41"/>
      <c r="C628" s="51" t="str">
        <f>VLOOKUP(F628,[1]VLOOKUP!$A$2:$B$35,2,FALSE)</f>
        <v>华南</v>
      </c>
      <c r="D628" s="41" t="s">
        <v>2496</v>
      </c>
      <c r="E628" s="41"/>
      <c r="F628" s="2" t="s">
        <v>292</v>
      </c>
      <c r="G628" s="2" t="s">
        <v>293</v>
      </c>
      <c r="H628" s="2"/>
      <c r="I628" s="41" t="s">
        <v>720</v>
      </c>
      <c r="J628" s="41" t="s">
        <v>292</v>
      </c>
      <c r="K628" s="41" t="s">
        <v>605</v>
      </c>
      <c r="L628" s="41" t="s">
        <v>600</v>
      </c>
      <c r="M628" s="42">
        <v>45624</v>
      </c>
      <c r="N628" s="42">
        <v>45630</v>
      </c>
      <c r="O628" s="42">
        <v>46719</v>
      </c>
      <c r="P628" s="41" t="s">
        <v>2497</v>
      </c>
      <c r="Q628" s="41" t="s">
        <v>724</v>
      </c>
      <c r="R628" s="41" t="s">
        <v>2498</v>
      </c>
      <c r="S628" s="43"/>
      <c r="T628" s="41"/>
    </row>
    <row r="629" spans="1:20" s="44" customFormat="1" ht="25.05" customHeight="1" x14ac:dyDescent="0.3">
      <c r="A629" s="41">
        <v>1</v>
      </c>
      <c r="B629" s="41"/>
      <c r="C629" s="51" t="str">
        <f>VLOOKUP(F629,[1]VLOOKUP!$A$2:$B$35,2,FALSE)</f>
        <v>华南</v>
      </c>
      <c r="D629" s="41" t="s">
        <v>2499</v>
      </c>
      <c r="E629" s="41"/>
      <c r="F629" s="2" t="s">
        <v>292</v>
      </c>
      <c r="G629" s="2" t="s">
        <v>293</v>
      </c>
      <c r="H629" s="2"/>
      <c r="I629" s="41" t="s">
        <v>720</v>
      </c>
      <c r="J629" s="41" t="s">
        <v>292</v>
      </c>
      <c r="K629" s="41" t="s">
        <v>599</v>
      </c>
      <c r="L629" s="41" t="s">
        <v>600</v>
      </c>
      <c r="M629" s="42">
        <v>45664</v>
      </c>
      <c r="N629" s="42">
        <v>45664</v>
      </c>
      <c r="O629" s="42">
        <v>49674</v>
      </c>
      <c r="P629" s="41" t="s">
        <v>2472</v>
      </c>
      <c r="Q629" s="41" t="s">
        <v>716</v>
      </c>
      <c r="R629" s="41"/>
      <c r="S629" s="43" t="s">
        <v>2500</v>
      </c>
      <c r="T629" s="41"/>
    </row>
    <row r="630" spans="1:20" s="44" customFormat="1" ht="25.05" customHeight="1" x14ac:dyDescent="0.3">
      <c r="A630" s="41">
        <v>1</v>
      </c>
      <c r="B630" s="41"/>
      <c r="C630" s="51" t="str">
        <f>VLOOKUP(F630,[1]VLOOKUP!$A$2:$B$35,2,FALSE)</f>
        <v>华南</v>
      </c>
      <c r="D630" s="41" t="s">
        <v>2501</v>
      </c>
      <c r="E630" s="41"/>
      <c r="F630" s="2" t="s">
        <v>292</v>
      </c>
      <c r="G630" s="2" t="s">
        <v>293</v>
      </c>
      <c r="H630" s="2"/>
      <c r="I630" s="41" t="s">
        <v>720</v>
      </c>
      <c r="J630" s="41" t="s">
        <v>292</v>
      </c>
      <c r="K630" s="41" t="s">
        <v>605</v>
      </c>
      <c r="L630" s="41" t="s">
        <v>600</v>
      </c>
      <c r="M630" s="42">
        <v>45840</v>
      </c>
      <c r="N630" s="42">
        <v>45846</v>
      </c>
      <c r="O630" s="42">
        <v>46935</v>
      </c>
      <c r="P630" s="41" t="s">
        <v>2472</v>
      </c>
      <c r="Q630" s="41" t="s">
        <v>716</v>
      </c>
      <c r="R630" s="41" t="s">
        <v>2502</v>
      </c>
      <c r="S630" s="43" t="s">
        <v>2503</v>
      </c>
      <c r="T630" s="41"/>
    </row>
    <row r="631" spans="1:20" s="44" customFormat="1" ht="25.05" customHeight="1" x14ac:dyDescent="0.3">
      <c r="A631" s="41">
        <v>1</v>
      </c>
      <c r="B631" s="41"/>
      <c r="C631" s="51" t="str">
        <f>VLOOKUP(F631,[1]VLOOKUP!$A$2:$B$35,2,FALSE)</f>
        <v>华南</v>
      </c>
      <c r="D631" s="41" t="s">
        <v>2504</v>
      </c>
      <c r="E631" s="41"/>
      <c r="F631" s="2" t="s">
        <v>292</v>
      </c>
      <c r="G631" s="2" t="s">
        <v>293</v>
      </c>
      <c r="H631" s="2"/>
      <c r="I631" s="41" t="s">
        <v>720</v>
      </c>
      <c r="J631" s="41" t="s">
        <v>292</v>
      </c>
      <c r="K631" s="41" t="s">
        <v>599</v>
      </c>
      <c r="L631" s="41" t="s">
        <v>600</v>
      </c>
      <c r="M631" s="42">
        <v>45927</v>
      </c>
      <c r="N631" s="42">
        <v>45927</v>
      </c>
      <c r="O631" s="42">
        <v>45930</v>
      </c>
      <c r="P631" s="41" t="s">
        <v>2472</v>
      </c>
      <c r="Q631" s="41" t="s">
        <v>716</v>
      </c>
      <c r="R631" s="41"/>
      <c r="S631" s="43" t="s">
        <v>2505</v>
      </c>
      <c r="T631" s="41"/>
    </row>
    <row r="632" spans="1:20" s="44" customFormat="1" ht="25.05" customHeight="1" x14ac:dyDescent="0.3">
      <c r="A632" s="41">
        <v>1</v>
      </c>
      <c r="B632" s="41"/>
      <c r="C632" s="51" t="str">
        <f>VLOOKUP(F632,[1]VLOOKUP!$A$2:$B$35,2,FALSE)</f>
        <v>华南</v>
      </c>
      <c r="D632" s="41" t="s">
        <v>2506</v>
      </c>
      <c r="E632" s="41"/>
      <c r="F632" s="2" t="s">
        <v>292</v>
      </c>
      <c r="G632" s="2" t="s">
        <v>293</v>
      </c>
      <c r="H632" s="2"/>
      <c r="I632" s="41" t="s">
        <v>720</v>
      </c>
      <c r="J632" s="41" t="s">
        <v>292</v>
      </c>
      <c r="K632" s="41" t="s">
        <v>605</v>
      </c>
      <c r="L632" s="41" t="s">
        <v>600</v>
      </c>
      <c r="M632" s="42">
        <v>45930</v>
      </c>
      <c r="N632" s="42">
        <v>45930</v>
      </c>
      <c r="O632" s="42">
        <v>45945</v>
      </c>
      <c r="P632" s="41" t="s">
        <v>2472</v>
      </c>
      <c r="Q632" s="41" t="s">
        <v>716</v>
      </c>
      <c r="R632" s="41"/>
      <c r="S632" s="43" t="s">
        <v>2507</v>
      </c>
      <c r="T632" s="41"/>
    </row>
    <row r="633" spans="1:20" s="44" customFormat="1" ht="25.05" customHeight="1" x14ac:dyDescent="0.3">
      <c r="A633" s="41"/>
      <c r="B633" s="41"/>
      <c r="C633" s="41"/>
      <c r="D633" s="41" t="s">
        <v>2508</v>
      </c>
      <c r="E633" s="41"/>
      <c r="F633" s="2" t="s">
        <v>292</v>
      </c>
      <c r="G633" s="2" t="s">
        <v>293</v>
      </c>
      <c r="H633" s="2"/>
      <c r="I633" s="41" t="s">
        <v>720</v>
      </c>
      <c r="J633" s="41" t="s">
        <v>292</v>
      </c>
      <c r="K633" s="41" t="s">
        <v>605</v>
      </c>
      <c r="L633" s="41" t="s">
        <v>600</v>
      </c>
      <c r="M633" s="42">
        <v>45982</v>
      </c>
      <c r="N633" s="42">
        <v>45982</v>
      </c>
      <c r="O633" s="42">
        <v>45991</v>
      </c>
      <c r="P633" s="41" t="s">
        <v>2472</v>
      </c>
      <c r="Q633" s="41" t="s">
        <v>716</v>
      </c>
      <c r="R633" s="41"/>
      <c r="S633" s="43" t="s">
        <v>2509</v>
      </c>
      <c r="T633" s="41"/>
    </row>
    <row r="634" spans="1:20" s="44" customFormat="1" ht="25.05" customHeight="1" x14ac:dyDescent="0.3">
      <c r="A634" s="41">
        <v>1</v>
      </c>
      <c r="B634" s="41"/>
      <c r="C634" s="51" t="str">
        <f>VLOOKUP(F634,[1]VLOOKUP!$A$2:$B$35,2,FALSE)</f>
        <v>华南</v>
      </c>
      <c r="D634" s="41" t="s">
        <v>2510</v>
      </c>
      <c r="E634" s="41"/>
      <c r="F634" s="2" t="s">
        <v>292</v>
      </c>
      <c r="G634" s="2" t="s">
        <v>293</v>
      </c>
      <c r="H634" s="2"/>
      <c r="I634" s="41" t="s">
        <v>720</v>
      </c>
      <c r="J634" s="41" t="s">
        <v>292</v>
      </c>
      <c r="K634" s="41" t="s">
        <v>605</v>
      </c>
      <c r="L634" s="41" t="s">
        <v>600</v>
      </c>
      <c r="M634" s="42">
        <v>45993</v>
      </c>
      <c r="N634" s="42">
        <v>45993</v>
      </c>
      <c r="O634" s="42">
        <v>45999</v>
      </c>
      <c r="P634" s="41" t="s">
        <v>2472</v>
      </c>
      <c r="Q634" s="41" t="s">
        <v>716</v>
      </c>
      <c r="R634" s="41"/>
      <c r="S634" s="43" t="s">
        <v>2511</v>
      </c>
      <c r="T634" s="41"/>
    </row>
    <row r="635" spans="1:20" s="44" customFormat="1" ht="25.05" customHeight="1" x14ac:dyDescent="0.3">
      <c r="A635" s="41"/>
      <c r="B635" s="41"/>
      <c r="C635" s="41"/>
      <c r="D635" s="41" t="s">
        <v>2512</v>
      </c>
      <c r="E635" s="41"/>
      <c r="F635" s="2" t="s">
        <v>292</v>
      </c>
      <c r="G635" s="2" t="s">
        <v>293</v>
      </c>
      <c r="H635" s="2"/>
      <c r="I635" s="41" t="s">
        <v>720</v>
      </c>
      <c r="J635" s="41" t="s">
        <v>292</v>
      </c>
      <c r="K635" s="41" t="s">
        <v>605</v>
      </c>
      <c r="L635" s="41" t="s">
        <v>600</v>
      </c>
      <c r="M635" s="42">
        <v>46003</v>
      </c>
      <c r="N635" s="42">
        <v>46003</v>
      </c>
      <c r="O635" s="42">
        <v>46003</v>
      </c>
      <c r="P635" s="41" t="s">
        <v>2472</v>
      </c>
      <c r="Q635" s="41" t="s">
        <v>716</v>
      </c>
      <c r="R635" s="41"/>
      <c r="S635" s="43" t="s">
        <v>2513</v>
      </c>
      <c r="T635" s="41"/>
    </row>
    <row r="636" spans="1:20" s="44" customFormat="1" ht="25.05" customHeight="1" x14ac:dyDescent="0.3">
      <c r="A636" s="41">
        <v>1</v>
      </c>
      <c r="B636" s="41"/>
      <c r="C636" s="51" t="str">
        <f>VLOOKUP(F636,[1]VLOOKUP!$A$2:$B$35,2,FALSE)</f>
        <v>华南</v>
      </c>
      <c r="D636" s="52" t="s">
        <v>2514</v>
      </c>
      <c r="E636" s="52"/>
      <c r="F636" s="2" t="s">
        <v>292</v>
      </c>
      <c r="G636" s="2" t="s">
        <v>293</v>
      </c>
      <c r="H636" s="2" t="s">
        <v>2515</v>
      </c>
      <c r="I636" s="52" t="s">
        <v>720</v>
      </c>
      <c r="J636" s="52" t="s">
        <v>292</v>
      </c>
      <c r="K636" s="52" t="s">
        <v>605</v>
      </c>
      <c r="L636" s="52" t="s">
        <v>663</v>
      </c>
      <c r="M636" s="52">
        <v>43699</v>
      </c>
      <c r="N636" s="52">
        <v>43700</v>
      </c>
      <c r="O636" s="52">
        <v>44358</v>
      </c>
      <c r="P636" s="52" t="s">
        <v>2516</v>
      </c>
      <c r="Q636" s="52" t="s">
        <v>2517</v>
      </c>
      <c r="R636" s="52" t="s">
        <v>2518</v>
      </c>
      <c r="S636" s="53" t="s">
        <v>2519</v>
      </c>
      <c r="T636" s="52"/>
    </row>
    <row r="637" spans="1:20" s="44" customFormat="1" ht="25.05" customHeight="1" x14ac:dyDescent="0.3">
      <c r="A637" s="41">
        <v>1</v>
      </c>
      <c r="B637" s="41"/>
      <c r="C637" s="51" t="str">
        <f>VLOOKUP(F637,[1]VLOOKUP!$A$2:$B$35,2,FALSE)</f>
        <v>华南</v>
      </c>
      <c r="D637" s="52" t="s">
        <v>2520</v>
      </c>
      <c r="E637" s="52"/>
      <c r="F637" s="2" t="s">
        <v>292</v>
      </c>
      <c r="G637" s="2" t="s">
        <v>293</v>
      </c>
      <c r="H637" s="2" t="s">
        <v>2515</v>
      </c>
      <c r="I637" s="52" t="s">
        <v>720</v>
      </c>
      <c r="J637" s="52" t="s">
        <v>292</v>
      </c>
      <c r="K637" s="52" t="s">
        <v>605</v>
      </c>
      <c r="L637" s="52" t="s">
        <v>663</v>
      </c>
      <c r="M637" s="52">
        <v>43949</v>
      </c>
      <c r="N637" s="52">
        <v>43951</v>
      </c>
      <c r="O637" s="52">
        <v>44374</v>
      </c>
      <c r="P637" s="52" t="s">
        <v>2521</v>
      </c>
      <c r="Q637" s="52" t="s">
        <v>716</v>
      </c>
      <c r="R637" s="52" t="s">
        <v>2522</v>
      </c>
      <c r="S637" s="53" t="s">
        <v>2523</v>
      </c>
      <c r="T637" s="52"/>
    </row>
    <row r="638" spans="1:20" s="44" customFormat="1" ht="25.05" customHeight="1" x14ac:dyDescent="0.3">
      <c r="A638" s="41">
        <v>1</v>
      </c>
      <c r="B638" s="41"/>
      <c r="C638" s="51" t="str">
        <f>VLOOKUP(F638,[1]VLOOKUP!$A$2:$B$35,2,FALSE)</f>
        <v>华南</v>
      </c>
      <c r="D638" s="41" t="s">
        <v>2514</v>
      </c>
      <c r="E638" s="41"/>
      <c r="F638" s="2" t="s">
        <v>292</v>
      </c>
      <c r="G638" s="2" t="s">
        <v>293</v>
      </c>
      <c r="H638" s="2" t="s">
        <v>2515</v>
      </c>
      <c r="I638" s="41" t="s">
        <v>720</v>
      </c>
      <c r="J638" s="41" t="s">
        <v>292</v>
      </c>
      <c r="K638" s="41" t="s">
        <v>605</v>
      </c>
      <c r="L638" s="41" t="s">
        <v>600</v>
      </c>
      <c r="M638" s="42">
        <v>44358</v>
      </c>
      <c r="N638" s="42">
        <v>44359</v>
      </c>
      <c r="O638" s="42">
        <v>45454</v>
      </c>
      <c r="P638" s="41" t="s">
        <v>2516</v>
      </c>
      <c r="Q638" s="41" t="s">
        <v>2524</v>
      </c>
      <c r="R638" s="41" t="s">
        <v>2525</v>
      </c>
      <c r="S638" s="43" t="s">
        <v>2526</v>
      </c>
      <c r="T638" s="41"/>
    </row>
    <row r="639" spans="1:20" s="44" customFormat="1" ht="25.05" customHeight="1" x14ac:dyDescent="0.3">
      <c r="A639" s="41">
        <v>1</v>
      </c>
      <c r="B639" s="41"/>
      <c r="C639" s="51" t="str">
        <f>VLOOKUP(F639,[1]VLOOKUP!$A$2:$B$35,2,FALSE)</f>
        <v>华南</v>
      </c>
      <c r="D639" s="41" t="s">
        <v>2520</v>
      </c>
      <c r="E639" s="41"/>
      <c r="F639" s="2" t="s">
        <v>292</v>
      </c>
      <c r="G639" s="2" t="s">
        <v>293</v>
      </c>
      <c r="H639" s="2" t="s">
        <v>2515</v>
      </c>
      <c r="I639" s="41" t="s">
        <v>720</v>
      </c>
      <c r="J639" s="41" t="s">
        <v>292</v>
      </c>
      <c r="K639" s="41" t="s">
        <v>605</v>
      </c>
      <c r="L639" s="41" t="s">
        <v>600</v>
      </c>
      <c r="M639" s="42">
        <v>44375</v>
      </c>
      <c r="N639" s="42">
        <v>44375</v>
      </c>
      <c r="O639" s="42">
        <v>45454</v>
      </c>
      <c r="P639" s="41" t="s">
        <v>2521</v>
      </c>
      <c r="Q639" s="41" t="s">
        <v>716</v>
      </c>
      <c r="R639" s="41" t="s">
        <v>2527</v>
      </c>
      <c r="S639" s="43" t="s">
        <v>2528</v>
      </c>
      <c r="T639" s="41"/>
    </row>
    <row r="640" spans="1:20" s="44" customFormat="1" ht="25.05" customHeight="1" x14ac:dyDescent="0.3">
      <c r="A640" s="41">
        <v>1</v>
      </c>
      <c r="B640" s="41"/>
      <c r="C640" s="51" t="str">
        <f>VLOOKUP(F640,[1]VLOOKUP!$A$2:$B$35,2,FALSE)</f>
        <v>华南</v>
      </c>
      <c r="D640" s="52" t="s">
        <v>2529</v>
      </c>
      <c r="E640" s="52"/>
      <c r="F640" s="2" t="s">
        <v>292</v>
      </c>
      <c r="G640" s="2" t="s">
        <v>293</v>
      </c>
      <c r="H640" s="2" t="s">
        <v>2515</v>
      </c>
      <c r="I640" s="52" t="s">
        <v>720</v>
      </c>
      <c r="J640" s="52" t="s">
        <v>292</v>
      </c>
      <c r="K640" s="52" t="s">
        <v>599</v>
      </c>
      <c r="L640" s="52" t="s">
        <v>663</v>
      </c>
      <c r="M640" s="52">
        <v>43983</v>
      </c>
      <c r="N640" s="52">
        <v>43983</v>
      </c>
      <c r="O640" s="52">
        <v>43992</v>
      </c>
      <c r="P640" s="52" t="s">
        <v>2521</v>
      </c>
      <c r="Q640" s="52" t="s">
        <v>716</v>
      </c>
      <c r="R640" s="52"/>
      <c r="S640" s="53" t="s">
        <v>2530</v>
      </c>
      <c r="T640" s="52"/>
    </row>
    <row r="641" spans="1:20" s="44" customFormat="1" ht="25.05" customHeight="1" x14ac:dyDescent="0.3">
      <c r="A641" s="41">
        <v>1</v>
      </c>
      <c r="B641" s="41"/>
      <c r="C641" s="51" t="str">
        <f>VLOOKUP(F641,[1]VLOOKUP!$A$2:$B$35,2,FALSE)</f>
        <v>华南</v>
      </c>
      <c r="D641" s="54" t="s">
        <v>2531</v>
      </c>
      <c r="E641" s="54"/>
      <c r="F641" s="2" t="s">
        <v>292</v>
      </c>
      <c r="G641" s="2" t="s">
        <v>293</v>
      </c>
      <c r="H641" s="2" t="s">
        <v>2515</v>
      </c>
      <c r="I641" s="54" t="s">
        <v>720</v>
      </c>
      <c r="J641" s="54" t="s">
        <v>292</v>
      </c>
      <c r="K641" s="54" t="s">
        <v>599</v>
      </c>
      <c r="L641" s="54" t="s">
        <v>600</v>
      </c>
      <c r="M641" s="54">
        <v>44000</v>
      </c>
      <c r="N641" s="54">
        <v>44000</v>
      </c>
      <c r="O641" s="54">
        <v>44006</v>
      </c>
      <c r="P641" s="54" t="s">
        <v>2521</v>
      </c>
      <c r="Q641" s="54" t="s">
        <v>716</v>
      </c>
      <c r="R641" s="54"/>
      <c r="S641" s="55" t="s">
        <v>2532</v>
      </c>
      <c r="T641" s="54"/>
    </row>
    <row r="642" spans="1:20" s="44" customFormat="1" ht="25.05" customHeight="1" x14ac:dyDescent="0.3">
      <c r="A642" s="41">
        <v>1</v>
      </c>
      <c r="B642" s="41"/>
      <c r="C642" s="51" t="str">
        <f>VLOOKUP(F642,[1]VLOOKUP!$A$2:$B$35,2,FALSE)</f>
        <v>华南</v>
      </c>
      <c r="D642" s="52" t="s">
        <v>2533</v>
      </c>
      <c r="E642" s="52"/>
      <c r="F642" s="2" t="s">
        <v>292</v>
      </c>
      <c r="G642" s="2" t="s">
        <v>293</v>
      </c>
      <c r="H642" s="2" t="s">
        <v>2515</v>
      </c>
      <c r="I642" s="52" t="s">
        <v>720</v>
      </c>
      <c r="J642" s="52" t="s">
        <v>292</v>
      </c>
      <c r="K642" s="52" t="s">
        <v>599</v>
      </c>
      <c r="L642" s="52" t="s">
        <v>663</v>
      </c>
      <c r="M642" s="52">
        <v>44259</v>
      </c>
      <c r="N642" s="52">
        <v>44259</v>
      </c>
      <c r="O642" s="52">
        <v>44271</v>
      </c>
      <c r="P642" s="52" t="s">
        <v>2521</v>
      </c>
      <c r="Q642" s="52" t="s">
        <v>716</v>
      </c>
      <c r="R642" s="52"/>
      <c r="S642" s="53" t="s">
        <v>2534</v>
      </c>
      <c r="T642" s="52"/>
    </row>
    <row r="643" spans="1:20" s="44" customFormat="1" ht="25.05" customHeight="1" x14ac:dyDescent="0.3">
      <c r="A643" s="41">
        <v>1</v>
      </c>
      <c r="B643" s="41"/>
      <c r="C643" s="51" t="str">
        <f>VLOOKUP(F643,[1]VLOOKUP!$A$2:$B$35,2,FALSE)</f>
        <v>华南</v>
      </c>
      <c r="D643" s="54" t="s">
        <v>2535</v>
      </c>
      <c r="E643" s="54"/>
      <c r="F643" s="2" t="s">
        <v>292</v>
      </c>
      <c r="G643" s="2" t="s">
        <v>293</v>
      </c>
      <c r="H643" s="2" t="s">
        <v>2515</v>
      </c>
      <c r="I643" s="54" t="s">
        <v>720</v>
      </c>
      <c r="J643" s="54" t="s">
        <v>292</v>
      </c>
      <c r="K643" s="54" t="s">
        <v>599</v>
      </c>
      <c r="L643" s="54" t="s">
        <v>600</v>
      </c>
      <c r="M643" s="54">
        <v>44281</v>
      </c>
      <c r="N643" s="54">
        <v>44281</v>
      </c>
      <c r="O643" s="54">
        <v>44287</v>
      </c>
      <c r="P643" s="54" t="s">
        <v>2521</v>
      </c>
      <c r="Q643" s="54" t="s">
        <v>716</v>
      </c>
      <c r="R643" s="54"/>
      <c r="S643" s="55" t="s">
        <v>2536</v>
      </c>
      <c r="T643" s="54"/>
    </row>
    <row r="644" spans="1:20" s="44" customFormat="1" ht="25.05" customHeight="1" x14ac:dyDescent="0.3">
      <c r="A644" s="41">
        <v>1</v>
      </c>
      <c r="B644" s="41"/>
      <c r="C644" s="51" t="str">
        <f>VLOOKUP(F644,[1]VLOOKUP!$A$2:$B$35,2,FALSE)</f>
        <v>华南</v>
      </c>
      <c r="D644" s="52" t="s">
        <v>2537</v>
      </c>
      <c r="E644" s="52"/>
      <c r="F644" s="2" t="s">
        <v>292</v>
      </c>
      <c r="G644" s="2" t="s">
        <v>293</v>
      </c>
      <c r="H644" s="2" t="s">
        <v>2515</v>
      </c>
      <c r="I644" s="52" t="s">
        <v>720</v>
      </c>
      <c r="J644" s="52" t="s">
        <v>292</v>
      </c>
      <c r="K644" s="52" t="s">
        <v>599</v>
      </c>
      <c r="L644" s="52" t="s">
        <v>663</v>
      </c>
      <c r="M644" s="52">
        <v>44405</v>
      </c>
      <c r="N644" s="52">
        <v>44407</v>
      </c>
      <c r="O644" s="52">
        <v>44413</v>
      </c>
      <c r="P644" s="52" t="s">
        <v>2521</v>
      </c>
      <c r="Q644" s="52" t="s">
        <v>716</v>
      </c>
      <c r="R644" s="52"/>
      <c r="S644" s="53" t="s">
        <v>2538</v>
      </c>
      <c r="T644" s="52"/>
    </row>
    <row r="645" spans="1:20" s="44" customFormat="1" ht="25.05" customHeight="1" x14ac:dyDescent="0.3">
      <c r="A645" s="41">
        <v>1</v>
      </c>
      <c r="B645" s="41"/>
      <c r="C645" s="51" t="str">
        <f>VLOOKUP(F645,[1]VLOOKUP!$A$2:$B$35,2,FALSE)</f>
        <v>华南</v>
      </c>
      <c r="D645" s="54" t="s">
        <v>2539</v>
      </c>
      <c r="E645" s="54"/>
      <c r="F645" s="2" t="s">
        <v>292</v>
      </c>
      <c r="G645" s="2" t="s">
        <v>293</v>
      </c>
      <c r="H645" s="2" t="s">
        <v>2515</v>
      </c>
      <c r="I645" s="54" t="s">
        <v>720</v>
      </c>
      <c r="J645" s="54" t="s">
        <v>292</v>
      </c>
      <c r="K645" s="54" t="s">
        <v>599</v>
      </c>
      <c r="L645" s="54" t="s">
        <v>600</v>
      </c>
      <c r="M645" s="54">
        <v>44469</v>
      </c>
      <c r="N645" s="54">
        <v>44469</v>
      </c>
      <c r="O645" s="54">
        <v>44469</v>
      </c>
      <c r="P645" s="54" t="s">
        <v>2521</v>
      </c>
      <c r="Q645" s="54" t="s">
        <v>716</v>
      </c>
      <c r="R645" s="54"/>
      <c r="S645" s="55" t="s">
        <v>2540</v>
      </c>
      <c r="T645" s="54"/>
    </row>
    <row r="646" spans="1:20" s="44" customFormat="1" ht="25.05" customHeight="1" x14ac:dyDescent="0.3">
      <c r="A646" s="41">
        <v>1</v>
      </c>
      <c r="B646" s="41"/>
      <c r="C646" s="51" t="str">
        <f>VLOOKUP(F646,[1]VLOOKUP!$A$2:$B$35,2,FALSE)</f>
        <v>华南</v>
      </c>
      <c r="D646" s="52" t="s">
        <v>2541</v>
      </c>
      <c r="E646" s="52"/>
      <c r="F646" s="2" t="s">
        <v>292</v>
      </c>
      <c r="G646" s="2" t="s">
        <v>293</v>
      </c>
      <c r="H646" s="2" t="s">
        <v>2515</v>
      </c>
      <c r="I646" s="52" t="s">
        <v>720</v>
      </c>
      <c r="J646" s="52" t="s">
        <v>292</v>
      </c>
      <c r="K646" s="52" t="s">
        <v>599</v>
      </c>
      <c r="L646" s="52" t="s">
        <v>663</v>
      </c>
      <c r="M646" s="52">
        <v>44602</v>
      </c>
      <c r="N646" s="52">
        <v>44602</v>
      </c>
      <c r="O646" s="52">
        <v>44620</v>
      </c>
      <c r="P646" s="52" t="s">
        <v>2521</v>
      </c>
      <c r="Q646" s="52" t="s">
        <v>716</v>
      </c>
      <c r="R646" s="52" t="s">
        <v>2542</v>
      </c>
      <c r="S646" s="53" t="s">
        <v>2543</v>
      </c>
      <c r="T646" s="52"/>
    </row>
    <row r="647" spans="1:20" s="44" customFormat="1" ht="25.05" customHeight="1" x14ac:dyDescent="0.3">
      <c r="A647" s="41">
        <v>1</v>
      </c>
      <c r="B647" s="41"/>
      <c r="C647" s="51" t="str">
        <f>VLOOKUP(F647,[1]VLOOKUP!$A$2:$B$35,2,FALSE)</f>
        <v>华南</v>
      </c>
      <c r="D647" s="54" t="s">
        <v>2544</v>
      </c>
      <c r="E647" s="54"/>
      <c r="F647" s="2" t="s">
        <v>292</v>
      </c>
      <c r="G647" s="2" t="s">
        <v>293</v>
      </c>
      <c r="H647" s="2" t="s">
        <v>2515</v>
      </c>
      <c r="I647" s="54" t="s">
        <v>720</v>
      </c>
      <c r="J647" s="54" t="s">
        <v>292</v>
      </c>
      <c r="K647" s="54" t="s">
        <v>599</v>
      </c>
      <c r="L647" s="54" t="s">
        <v>600</v>
      </c>
      <c r="M647" s="54">
        <v>44638</v>
      </c>
      <c r="N647" s="54">
        <v>44638</v>
      </c>
      <c r="O647" s="54">
        <v>44638</v>
      </c>
      <c r="P647" s="54" t="s">
        <v>2521</v>
      </c>
      <c r="Q647" s="54" t="s">
        <v>716</v>
      </c>
      <c r="R647" s="54"/>
      <c r="S647" s="55" t="s">
        <v>2545</v>
      </c>
      <c r="T647" s="54"/>
    </row>
    <row r="648" spans="1:20" s="44" customFormat="1" ht="25.05" customHeight="1" x14ac:dyDescent="0.3">
      <c r="A648" s="41">
        <v>1</v>
      </c>
      <c r="B648" s="41"/>
      <c r="C648" s="51" t="str">
        <f>VLOOKUP(F648,[1]VLOOKUP!$A$2:$B$35,2,FALSE)</f>
        <v>华南</v>
      </c>
      <c r="D648" s="52" t="s">
        <v>2546</v>
      </c>
      <c r="E648" s="52"/>
      <c r="F648" s="2" t="s">
        <v>292</v>
      </c>
      <c r="G648" s="2" t="s">
        <v>293</v>
      </c>
      <c r="H648" s="2" t="s">
        <v>2515</v>
      </c>
      <c r="I648" s="52" t="s">
        <v>720</v>
      </c>
      <c r="J648" s="52" t="s">
        <v>292</v>
      </c>
      <c r="K648" s="52" t="s">
        <v>599</v>
      </c>
      <c r="L648" s="52" t="s">
        <v>663</v>
      </c>
      <c r="M648" s="52">
        <v>44781</v>
      </c>
      <c r="N648" s="52">
        <v>44781</v>
      </c>
      <c r="O648" s="52">
        <v>44781</v>
      </c>
      <c r="P648" s="52" t="s">
        <v>2521</v>
      </c>
      <c r="Q648" s="52" t="s">
        <v>716</v>
      </c>
      <c r="R648" s="52" t="s">
        <v>2547</v>
      </c>
      <c r="S648" s="53" t="s">
        <v>2548</v>
      </c>
      <c r="T648" s="52"/>
    </row>
    <row r="649" spans="1:20" s="44" customFormat="1" ht="25.05" customHeight="1" x14ac:dyDescent="0.3">
      <c r="A649" s="41">
        <v>1</v>
      </c>
      <c r="B649" s="41"/>
      <c r="C649" s="51" t="str">
        <f>VLOOKUP(F649,[1]VLOOKUP!$A$2:$B$35,2,FALSE)</f>
        <v>华南</v>
      </c>
      <c r="D649" s="54" t="s">
        <v>2549</v>
      </c>
      <c r="E649" s="54"/>
      <c r="F649" s="2" t="s">
        <v>292</v>
      </c>
      <c r="G649" s="2" t="s">
        <v>293</v>
      </c>
      <c r="H649" s="2" t="s">
        <v>2515</v>
      </c>
      <c r="I649" s="54" t="s">
        <v>720</v>
      </c>
      <c r="J649" s="54" t="s">
        <v>292</v>
      </c>
      <c r="K649" s="54" t="s">
        <v>599</v>
      </c>
      <c r="L649" s="54" t="s">
        <v>600</v>
      </c>
      <c r="M649" s="54">
        <v>44806</v>
      </c>
      <c r="N649" s="54">
        <v>44806</v>
      </c>
      <c r="O649" s="54">
        <v>44806</v>
      </c>
      <c r="P649" s="54" t="s">
        <v>2521</v>
      </c>
      <c r="Q649" s="54" t="s">
        <v>716</v>
      </c>
      <c r="R649" s="54"/>
      <c r="S649" s="55" t="s">
        <v>2550</v>
      </c>
      <c r="T649" s="54"/>
    </row>
    <row r="650" spans="1:20" s="44" customFormat="1" ht="25.05" customHeight="1" x14ac:dyDescent="0.3">
      <c r="A650" s="41">
        <v>1</v>
      </c>
      <c r="B650" s="41"/>
      <c r="C650" s="51" t="str">
        <f>VLOOKUP(F650,[1]VLOOKUP!$A$2:$B$35,2,FALSE)</f>
        <v>华南</v>
      </c>
      <c r="D650" s="52" t="s">
        <v>2551</v>
      </c>
      <c r="E650" s="52"/>
      <c r="F650" s="2" t="s">
        <v>292</v>
      </c>
      <c r="G650" s="2" t="s">
        <v>293</v>
      </c>
      <c r="H650" s="2" t="s">
        <v>2515</v>
      </c>
      <c r="I650" s="52" t="s">
        <v>720</v>
      </c>
      <c r="J650" s="52" t="s">
        <v>292</v>
      </c>
      <c r="K650" s="52" t="s">
        <v>599</v>
      </c>
      <c r="L650" s="52" t="s">
        <v>663</v>
      </c>
      <c r="M650" s="52">
        <v>44959</v>
      </c>
      <c r="N650" s="52">
        <v>44959</v>
      </c>
      <c r="O650" s="52">
        <v>44977</v>
      </c>
      <c r="P650" s="52" t="s">
        <v>2521</v>
      </c>
      <c r="Q650" s="52" t="s">
        <v>716</v>
      </c>
      <c r="R650" s="52"/>
      <c r="S650" s="53" t="s">
        <v>2552</v>
      </c>
      <c r="T650" s="52"/>
    </row>
    <row r="651" spans="1:20" s="44" customFormat="1" ht="25.05" customHeight="1" x14ac:dyDescent="0.3">
      <c r="A651" s="41">
        <v>1</v>
      </c>
      <c r="B651" s="41"/>
      <c r="C651" s="51" t="str">
        <f>VLOOKUP(F651,[1]VLOOKUP!$A$2:$B$35,2,FALSE)</f>
        <v>华南</v>
      </c>
      <c r="D651" s="52" t="s">
        <v>2553</v>
      </c>
      <c r="E651" s="52"/>
      <c r="F651" s="2" t="s">
        <v>292</v>
      </c>
      <c r="G651" s="2" t="s">
        <v>293</v>
      </c>
      <c r="H651" s="2" t="s">
        <v>2515</v>
      </c>
      <c r="I651" s="52" t="s">
        <v>720</v>
      </c>
      <c r="J651" s="52" t="s">
        <v>292</v>
      </c>
      <c r="K651" s="52" t="s">
        <v>599</v>
      </c>
      <c r="L651" s="52" t="s">
        <v>663</v>
      </c>
      <c r="M651" s="52">
        <v>45014</v>
      </c>
      <c r="N651" s="52">
        <v>45014</v>
      </c>
      <c r="O651" s="52">
        <v>45023</v>
      </c>
      <c r="P651" s="52" t="s">
        <v>2521</v>
      </c>
      <c r="Q651" s="52" t="s">
        <v>716</v>
      </c>
      <c r="R651" s="52"/>
      <c r="S651" s="53" t="s">
        <v>2554</v>
      </c>
      <c r="T651" s="52"/>
    </row>
    <row r="652" spans="1:20" s="44" customFormat="1" ht="25.05" customHeight="1" x14ac:dyDescent="0.3">
      <c r="A652" s="41">
        <v>1</v>
      </c>
      <c r="B652" s="41"/>
      <c r="C652" s="51" t="str">
        <f>VLOOKUP(F652,[1]VLOOKUP!$A$2:$B$35,2,FALSE)</f>
        <v>华南</v>
      </c>
      <c r="D652" s="52" t="s">
        <v>2555</v>
      </c>
      <c r="E652" s="52"/>
      <c r="F652" s="2" t="s">
        <v>292</v>
      </c>
      <c r="G652" s="2" t="s">
        <v>293</v>
      </c>
      <c r="H652" s="2" t="s">
        <v>2515</v>
      </c>
      <c r="I652" s="52" t="s">
        <v>720</v>
      </c>
      <c r="J652" s="52" t="s">
        <v>292</v>
      </c>
      <c r="K652" s="52" t="s">
        <v>599</v>
      </c>
      <c r="L652" s="52" t="s">
        <v>663</v>
      </c>
      <c r="M652" s="52">
        <v>45026</v>
      </c>
      <c r="N652" s="52">
        <v>45026</v>
      </c>
      <c r="O652" s="52">
        <v>45030</v>
      </c>
      <c r="P652" s="52" t="s">
        <v>2521</v>
      </c>
      <c r="Q652" s="52" t="s">
        <v>716</v>
      </c>
      <c r="R652" s="52"/>
      <c r="S652" s="53" t="s">
        <v>2556</v>
      </c>
      <c r="T652" s="52"/>
    </row>
    <row r="653" spans="1:20" s="44" customFormat="1" ht="25.05" customHeight="1" x14ac:dyDescent="0.3">
      <c r="A653" s="41">
        <v>1</v>
      </c>
      <c r="B653" s="41"/>
      <c r="C653" s="51" t="str">
        <f>VLOOKUP(F653,[1]VLOOKUP!$A$2:$B$35,2,FALSE)</f>
        <v>华南</v>
      </c>
      <c r="D653" s="52" t="s">
        <v>2557</v>
      </c>
      <c r="E653" s="52"/>
      <c r="F653" s="2" t="s">
        <v>292</v>
      </c>
      <c r="G653" s="2" t="s">
        <v>293</v>
      </c>
      <c r="H653" s="2" t="s">
        <v>2515</v>
      </c>
      <c r="I653" s="52" t="s">
        <v>720</v>
      </c>
      <c r="J653" s="52" t="s">
        <v>292</v>
      </c>
      <c r="K653" s="52" t="s">
        <v>599</v>
      </c>
      <c r="L653" s="52" t="s">
        <v>663</v>
      </c>
      <c r="M653" s="52">
        <v>45020</v>
      </c>
      <c r="N653" s="52">
        <v>45020</v>
      </c>
      <c r="O653" s="52">
        <v>45028</v>
      </c>
      <c r="P653" s="52" t="s">
        <v>2521</v>
      </c>
      <c r="Q653" s="52" t="s">
        <v>716</v>
      </c>
      <c r="R653" s="52"/>
      <c r="S653" s="53" t="s">
        <v>2558</v>
      </c>
      <c r="T653" s="52"/>
    </row>
    <row r="654" spans="1:20" s="44" customFormat="1" ht="25.05" customHeight="1" x14ac:dyDescent="0.3">
      <c r="A654" s="41">
        <v>1</v>
      </c>
      <c r="B654" s="41"/>
      <c r="C654" s="51" t="str">
        <f>VLOOKUP(F654,[1]VLOOKUP!$A$2:$B$35,2,FALSE)</f>
        <v>华南</v>
      </c>
      <c r="D654" s="52" t="s">
        <v>2559</v>
      </c>
      <c r="E654" s="52"/>
      <c r="F654" s="2" t="s">
        <v>292</v>
      </c>
      <c r="G654" s="2" t="s">
        <v>293</v>
      </c>
      <c r="H654" s="2" t="s">
        <v>2515</v>
      </c>
      <c r="I654" s="52" t="s">
        <v>720</v>
      </c>
      <c r="J654" s="52" t="s">
        <v>292</v>
      </c>
      <c r="K654" s="52" t="s">
        <v>599</v>
      </c>
      <c r="L654" s="52" t="s">
        <v>663</v>
      </c>
      <c r="M654" s="52">
        <v>45091</v>
      </c>
      <c r="N654" s="52">
        <v>45091</v>
      </c>
      <c r="O654" s="52">
        <v>45104</v>
      </c>
      <c r="P654" s="52" t="s">
        <v>2521</v>
      </c>
      <c r="Q654" s="52" t="s">
        <v>716</v>
      </c>
      <c r="R654" s="52"/>
      <c r="S654" s="53" t="s">
        <v>2560</v>
      </c>
      <c r="T654" s="52"/>
    </row>
    <row r="655" spans="1:20" s="44" customFormat="1" ht="25.05" customHeight="1" x14ac:dyDescent="0.3">
      <c r="A655" s="41">
        <v>1</v>
      </c>
      <c r="B655" s="41"/>
      <c r="C655" s="51" t="str">
        <f>VLOOKUP(F655,[1]VLOOKUP!$A$2:$B$35,2,FALSE)</f>
        <v>华南</v>
      </c>
      <c r="D655" s="54" t="s">
        <v>2561</v>
      </c>
      <c r="E655" s="54"/>
      <c r="F655" s="2" t="s">
        <v>292</v>
      </c>
      <c r="G655" s="2" t="s">
        <v>293</v>
      </c>
      <c r="H655" s="2" t="s">
        <v>2515</v>
      </c>
      <c r="I655" s="54" t="s">
        <v>720</v>
      </c>
      <c r="J655" s="54" t="s">
        <v>292</v>
      </c>
      <c r="K655" s="54" t="s">
        <v>599</v>
      </c>
      <c r="L655" s="54" t="s">
        <v>600</v>
      </c>
      <c r="M655" s="54">
        <v>44993</v>
      </c>
      <c r="N655" s="54">
        <v>44993</v>
      </c>
      <c r="O655" s="54">
        <v>44999</v>
      </c>
      <c r="P655" s="54" t="s">
        <v>2521</v>
      </c>
      <c r="Q655" s="54" t="s">
        <v>716</v>
      </c>
      <c r="R655" s="54"/>
      <c r="S655" s="55" t="s">
        <v>2562</v>
      </c>
      <c r="T655" s="54"/>
    </row>
    <row r="656" spans="1:20" s="44" customFormat="1" ht="25.05" customHeight="1" x14ac:dyDescent="0.3">
      <c r="A656" s="41">
        <v>1</v>
      </c>
      <c r="B656" s="41"/>
      <c r="C656" s="51" t="str">
        <f>VLOOKUP(F656,[1]VLOOKUP!$A$2:$B$35,2,FALSE)</f>
        <v>华南</v>
      </c>
      <c r="D656" s="54" t="s">
        <v>2563</v>
      </c>
      <c r="E656" s="54"/>
      <c r="F656" s="2" t="s">
        <v>292</v>
      </c>
      <c r="G656" s="2" t="s">
        <v>293</v>
      </c>
      <c r="H656" s="2" t="s">
        <v>2515</v>
      </c>
      <c r="I656" s="54" t="s">
        <v>720</v>
      </c>
      <c r="J656" s="54" t="s">
        <v>292</v>
      </c>
      <c r="K656" s="54" t="s">
        <v>599</v>
      </c>
      <c r="L656" s="54" t="s">
        <v>600</v>
      </c>
      <c r="M656" s="54">
        <v>45056</v>
      </c>
      <c r="N656" s="54">
        <v>45056</v>
      </c>
      <c r="O656" s="54">
        <v>45062</v>
      </c>
      <c r="P656" s="54" t="s">
        <v>2521</v>
      </c>
      <c r="Q656" s="54" t="s">
        <v>716</v>
      </c>
      <c r="R656" s="54"/>
      <c r="S656" s="55" t="s">
        <v>2564</v>
      </c>
      <c r="T656" s="54"/>
    </row>
    <row r="657" spans="1:20" s="44" customFormat="1" ht="25.05" customHeight="1" x14ac:dyDescent="0.3">
      <c r="A657" s="41">
        <v>1</v>
      </c>
      <c r="B657" s="41"/>
      <c r="C657" s="51" t="str">
        <f>VLOOKUP(F657,[1]VLOOKUP!$A$2:$B$35,2,FALSE)</f>
        <v>华南</v>
      </c>
      <c r="D657" s="54" t="s">
        <v>2565</v>
      </c>
      <c r="E657" s="54"/>
      <c r="F657" s="2" t="s">
        <v>292</v>
      </c>
      <c r="G657" s="2" t="s">
        <v>293</v>
      </c>
      <c r="H657" s="2" t="s">
        <v>2515</v>
      </c>
      <c r="I657" s="54" t="s">
        <v>720</v>
      </c>
      <c r="J657" s="54" t="s">
        <v>292</v>
      </c>
      <c r="K657" s="54" t="s">
        <v>599</v>
      </c>
      <c r="L657" s="54" t="s">
        <v>600</v>
      </c>
      <c r="M657" s="54">
        <v>45036</v>
      </c>
      <c r="N657" s="54">
        <v>45036</v>
      </c>
      <c r="O657" s="54">
        <v>45041</v>
      </c>
      <c r="P657" s="54" t="s">
        <v>2521</v>
      </c>
      <c r="Q657" s="54" t="s">
        <v>716</v>
      </c>
      <c r="R657" s="54"/>
      <c r="S657" s="55" t="s">
        <v>2566</v>
      </c>
      <c r="T657" s="54"/>
    </row>
    <row r="658" spans="1:20" s="44" customFormat="1" ht="25.05" customHeight="1" x14ac:dyDescent="0.3">
      <c r="A658" s="41">
        <v>1</v>
      </c>
      <c r="B658" s="41"/>
      <c r="C658" s="51" t="str">
        <f>VLOOKUP(F658,[1]VLOOKUP!$A$2:$B$35,2,FALSE)</f>
        <v>华南</v>
      </c>
      <c r="D658" s="54" t="s">
        <v>2567</v>
      </c>
      <c r="E658" s="54"/>
      <c r="F658" s="2" t="s">
        <v>292</v>
      </c>
      <c r="G658" s="2" t="s">
        <v>293</v>
      </c>
      <c r="H658" s="2" t="s">
        <v>2515</v>
      </c>
      <c r="I658" s="54" t="s">
        <v>720</v>
      </c>
      <c r="J658" s="54" t="s">
        <v>292</v>
      </c>
      <c r="K658" s="54" t="s">
        <v>599</v>
      </c>
      <c r="L658" s="54" t="s">
        <v>600</v>
      </c>
      <c r="M658" s="54">
        <v>45139</v>
      </c>
      <c r="N658" s="54">
        <v>45139</v>
      </c>
      <c r="O658" s="54">
        <v>45145</v>
      </c>
      <c r="P658" s="54" t="s">
        <v>2521</v>
      </c>
      <c r="Q658" s="54" t="s">
        <v>716</v>
      </c>
      <c r="R658" s="54"/>
      <c r="S658" s="55" t="s">
        <v>2568</v>
      </c>
      <c r="T658" s="54"/>
    </row>
    <row r="659" spans="1:20" s="44" customFormat="1" ht="25.05" customHeight="1" x14ac:dyDescent="0.3">
      <c r="A659" s="41">
        <v>1</v>
      </c>
      <c r="B659" s="41"/>
      <c r="C659" s="51" t="str">
        <f>VLOOKUP(F659,[1]VLOOKUP!$A$2:$B$35,2,FALSE)</f>
        <v>华南</v>
      </c>
      <c r="D659" s="52" t="s">
        <v>2569</v>
      </c>
      <c r="E659" s="52"/>
      <c r="F659" s="2" t="s">
        <v>292</v>
      </c>
      <c r="G659" s="2" t="s">
        <v>293</v>
      </c>
      <c r="H659" s="2" t="s">
        <v>2515</v>
      </c>
      <c r="I659" s="52" t="s">
        <v>720</v>
      </c>
      <c r="J659" s="52" t="s">
        <v>292</v>
      </c>
      <c r="K659" s="52" t="s">
        <v>599</v>
      </c>
      <c r="L659" s="52" t="s">
        <v>663</v>
      </c>
      <c r="M659" s="52">
        <v>45169</v>
      </c>
      <c r="N659" s="52">
        <v>45169</v>
      </c>
      <c r="O659" s="52">
        <v>45174</v>
      </c>
      <c r="P659" s="52" t="s">
        <v>2521</v>
      </c>
      <c r="Q659" s="52" t="s">
        <v>716</v>
      </c>
      <c r="R659" s="52"/>
      <c r="S659" s="53" t="s">
        <v>2570</v>
      </c>
      <c r="T659" s="52"/>
    </row>
    <row r="660" spans="1:20" s="44" customFormat="1" ht="25.05" customHeight="1" x14ac:dyDescent="0.3">
      <c r="A660" s="41">
        <v>1</v>
      </c>
      <c r="B660" s="41"/>
      <c r="C660" s="51" t="str">
        <f>VLOOKUP(F660,[1]VLOOKUP!$A$2:$B$35,2,FALSE)</f>
        <v>华南</v>
      </c>
      <c r="D660" s="54" t="s">
        <v>2571</v>
      </c>
      <c r="E660" s="54"/>
      <c r="F660" s="2" t="s">
        <v>292</v>
      </c>
      <c r="G660" s="2" t="s">
        <v>293</v>
      </c>
      <c r="H660" s="2" t="s">
        <v>2515</v>
      </c>
      <c r="I660" s="54" t="s">
        <v>720</v>
      </c>
      <c r="J660" s="54" t="s">
        <v>292</v>
      </c>
      <c r="K660" s="54" t="s">
        <v>599</v>
      </c>
      <c r="L660" s="54" t="s">
        <v>600</v>
      </c>
      <c r="M660" s="54">
        <v>45184</v>
      </c>
      <c r="N660" s="54">
        <v>45184</v>
      </c>
      <c r="O660" s="54">
        <v>45190</v>
      </c>
      <c r="P660" s="54" t="s">
        <v>2521</v>
      </c>
      <c r="Q660" s="54" t="s">
        <v>716</v>
      </c>
      <c r="R660" s="54"/>
      <c r="S660" s="55" t="s">
        <v>2572</v>
      </c>
      <c r="T660" s="54"/>
    </row>
    <row r="661" spans="1:20" s="44" customFormat="1" ht="25.05" customHeight="1" x14ac:dyDescent="0.3">
      <c r="A661" s="41">
        <v>1</v>
      </c>
      <c r="B661" s="41"/>
      <c r="C661" s="51" t="str">
        <f>VLOOKUP(F661,[1]VLOOKUP!$A$2:$B$35,2,FALSE)</f>
        <v>华南</v>
      </c>
      <c r="D661" s="52" t="s">
        <v>2573</v>
      </c>
      <c r="E661" s="52"/>
      <c r="F661" s="2" t="s">
        <v>292</v>
      </c>
      <c r="G661" s="2" t="s">
        <v>293</v>
      </c>
      <c r="H661" s="2" t="s">
        <v>2515</v>
      </c>
      <c r="I661" s="52" t="s">
        <v>720</v>
      </c>
      <c r="J661" s="52" t="s">
        <v>292</v>
      </c>
      <c r="K661" s="52" t="s">
        <v>599</v>
      </c>
      <c r="L661" s="52" t="s">
        <v>663</v>
      </c>
      <c r="M661" s="52">
        <v>45440</v>
      </c>
      <c r="N661" s="52">
        <v>45440</v>
      </c>
      <c r="O661" s="52">
        <v>45450</v>
      </c>
      <c r="P661" s="52" t="s">
        <v>2521</v>
      </c>
      <c r="Q661" s="52" t="s">
        <v>716</v>
      </c>
      <c r="R661" s="52"/>
      <c r="S661" s="52" t="s">
        <v>2574</v>
      </c>
      <c r="T661" s="52"/>
    </row>
    <row r="662" spans="1:20" s="44" customFormat="1" ht="25.05" customHeight="1" x14ac:dyDescent="0.3">
      <c r="A662" s="41">
        <v>1</v>
      </c>
      <c r="B662" s="41"/>
      <c r="C662" s="51" t="str">
        <f>VLOOKUP(F662,[1]VLOOKUP!$A$2:$B$35,2,FALSE)</f>
        <v>华南</v>
      </c>
      <c r="D662" s="54" t="s">
        <v>2575</v>
      </c>
      <c r="E662" s="54"/>
      <c r="F662" s="2" t="s">
        <v>292</v>
      </c>
      <c r="G662" s="2" t="s">
        <v>293</v>
      </c>
      <c r="H662" s="2" t="s">
        <v>2515</v>
      </c>
      <c r="I662" s="54" t="s">
        <v>720</v>
      </c>
      <c r="J662" s="54" t="s">
        <v>292</v>
      </c>
      <c r="K662" s="54" t="s">
        <v>599</v>
      </c>
      <c r="L662" s="54" t="s">
        <v>600</v>
      </c>
      <c r="M662" s="54">
        <v>45489</v>
      </c>
      <c r="N662" s="54">
        <v>45489</v>
      </c>
      <c r="O662" s="54">
        <v>45498</v>
      </c>
      <c r="P662" s="54" t="s">
        <v>2521</v>
      </c>
      <c r="Q662" s="54" t="s">
        <v>716</v>
      </c>
      <c r="R662" s="54"/>
      <c r="S662" s="55" t="s">
        <v>2576</v>
      </c>
      <c r="T662" s="54"/>
    </row>
    <row r="663" spans="1:20" s="44" customFormat="1" ht="25.05" customHeight="1" x14ac:dyDescent="0.3">
      <c r="A663" s="41">
        <v>1</v>
      </c>
      <c r="B663" s="41"/>
      <c r="C663" s="51" t="str">
        <f>VLOOKUP(F663,[1]VLOOKUP!$A$2:$B$35,2,FALSE)</f>
        <v>华南</v>
      </c>
      <c r="D663" s="57" t="s">
        <v>2577</v>
      </c>
      <c r="E663" s="57"/>
      <c r="F663" s="2" t="s">
        <v>292</v>
      </c>
      <c r="G663" s="2" t="s">
        <v>293</v>
      </c>
      <c r="H663" s="2" t="s">
        <v>2578</v>
      </c>
      <c r="I663" s="57" t="s">
        <v>720</v>
      </c>
      <c r="J663" s="57" t="s">
        <v>292</v>
      </c>
      <c r="K663" s="57" t="s">
        <v>605</v>
      </c>
      <c r="L663" s="57" t="s">
        <v>780</v>
      </c>
      <c r="M663" s="57">
        <v>44776</v>
      </c>
      <c r="N663" s="57">
        <v>44776</v>
      </c>
      <c r="O663" s="57">
        <v>44805</v>
      </c>
      <c r="P663" s="57" t="s">
        <v>2579</v>
      </c>
      <c r="Q663" s="57" t="s">
        <v>724</v>
      </c>
      <c r="R663" s="57"/>
      <c r="S663" s="58" t="s">
        <v>2580</v>
      </c>
      <c r="T663" s="57"/>
    </row>
    <row r="664" spans="1:20" s="44" customFormat="1" ht="25.05" customHeight="1" x14ac:dyDescent="0.3">
      <c r="A664" s="41">
        <v>1</v>
      </c>
      <c r="B664" s="41"/>
      <c r="C664" s="51" t="str">
        <f>VLOOKUP(F664,[1]VLOOKUP!$A$2:$B$35,2,FALSE)</f>
        <v>华南</v>
      </c>
      <c r="D664" s="41" t="s">
        <v>2581</v>
      </c>
      <c r="E664" s="41"/>
      <c r="F664" s="2" t="s">
        <v>292</v>
      </c>
      <c r="G664" s="2" t="s">
        <v>293</v>
      </c>
      <c r="H664" s="2" t="s">
        <v>2582</v>
      </c>
      <c r="I664" s="41" t="s">
        <v>720</v>
      </c>
      <c r="J664" s="41" t="s">
        <v>292</v>
      </c>
      <c r="K664" s="41" t="s">
        <v>605</v>
      </c>
      <c r="L664" s="41" t="s">
        <v>600</v>
      </c>
      <c r="M664" s="42">
        <v>46006</v>
      </c>
      <c r="N664" s="42">
        <v>46008</v>
      </c>
      <c r="O664" s="42">
        <v>46738</v>
      </c>
      <c r="P664" s="41" t="s">
        <v>2583</v>
      </c>
      <c r="Q664" s="41" t="s">
        <v>724</v>
      </c>
      <c r="R664" s="41" t="s">
        <v>2584</v>
      </c>
      <c r="S664" s="43" t="s">
        <v>2585</v>
      </c>
      <c r="T664" s="41"/>
    </row>
    <row r="665" spans="1:20" s="44" customFormat="1" ht="25.05" customHeight="1" x14ac:dyDescent="0.3">
      <c r="A665" s="41">
        <v>1</v>
      </c>
      <c r="B665" s="41"/>
      <c r="C665" s="51" t="str">
        <f>VLOOKUP(F665,[1]VLOOKUP!$A$2:$B$35,2,FALSE)</f>
        <v>华南</v>
      </c>
      <c r="D665" s="57" t="s">
        <v>2586</v>
      </c>
      <c r="E665" s="57"/>
      <c r="F665" s="2" t="s">
        <v>292</v>
      </c>
      <c r="G665" s="2" t="s">
        <v>294</v>
      </c>
      <c r="H665" s="2"/>
      <c r="I665" s="57" t="s">
        <v>720</v>
      </c>
      <c r="J665" s="57" t="s">
        <v>292</v>
      </c>
      <c r="K665" s="57" t="s">
        <v>682</v>
      </c>
      <c r="L665" s="57" t="s">
        <v>780</v>
      </c>
      <c r="M665" s="57">
        <v>43292</v>
      </c>
      <c r="N665" s="57">
        <v>43292</v>
      </c>
      <c r="O665" s="57">
        <v>43301</v>
      </c>
      <c r="P665" s="57" t="s">
        <v>2587</v>
      </c>
      <c r="Q665" s="57" t="s">
        <v>857</v>
      </c>
      <c r="R665" s="57"/>
      <c r="S665" s="58" t="s">
        <v>2588</v>
      </c>
      <c r="T665" s="57"/>
    </row>
    <row r="666" spans="1:20" s="44" customFormat="1" ht="25.05" customHeight="1" x14ac:dyDescent="0.3">
      <c r="A666" s="41">
        <v>1</v>
      </c>
      <c r="B666" s="41"/>
      <c r="C666" s="51" t="str">
        <f>VLOOKUP(F666,[1]VLOOKUP!$A$2:$B$35,2,FALSE)</f>
        <v>华南</v>
      </c>
      <c r="D666" s="41" t="s">
        <v>2589</v>
      </c>
      <c r="E666" s="41"/>
      <c r="F666" s="2" t="s">
        <v>292</v>
      </c>
      <c r="G666" s="2" t="s">
        <v>294</v>
      </c>
      <c r="H666" s="2"/>
      <c r="I666" s="41" t="s">
        <v>720</v>
      </c>
      <c r="J666" s="41" t="s">
        <v>292</v>
      </c>
      <c r="K666" s="41" t="s">
        <v>611</v>
      </c>
      <c r="L666" s="41" t="s">
        <v>600</v>
      </c>
      <c r="M666" s="42">
        <v>43427</v>
      </c>
      <c r="N666" s="42">
        <v>43427</v>
      </c>
      <c r="O666" s="42">
        <v>47848</v>
      </c>
      <c r="P666" s="41" t="s">
        <v>2590</v>
      </c>
      <c r="Q666" s="41" t="s">
        <v>724</v>
      </c>
      <c r="R666" s="41" t="s">
        <v>2591</v>
      </c>
      <c r="S666" s="43" t="s">
        <v>2592</v>
      </c>
      <c r="T666" s="41"/>
    </row>
    <row r="667" spans="1:20" s="44" customFormat="1" ht="25.05" customHeight="1" x14ac:dyDescent="0.3">
      <c r="A667" s="41">
        <v>1</v>
      </c>
      <c r="B667" s="41"/>
      <c r="C667" s="51" t="str">
        <f>VLOOKUP(F667,[1]VLOOKUP!$A$2:$B$35,2,FALSE)</f>
        <v>华南</v>
      </c>
      <c r="D667" s="52" t="s">
        <v>2593</v>
      </c>
      <c r="E667" s="52"/>
      <c r="F667" s="2" t="s">
        <v>292</v>
      </c>
      <c r="G667" s="2" t="s">
        <v>294</v>
      </c>
      <c r="H667" s="2"/>
      <c r="I667" s="52" t="s">
        <v>720</v>
      </c>
      <c r="J667" s="52" t="s">
        <v>292</v>
      </c>
      <c r="K667" s="52" t="s">
        <v>605</v>
      </c>
      <c r="L667" s="52" t="s">
        <v>663</v>
      </c>
      <c r="M667" s="52">
        <v>43424</v>
      </c>
      <c r="N667" s="52">
        <v>43425</v>
      </c>
      <c r="O667" s="52">
        <v>43973</v>
      </c>
      <c r="P667" s="52" t="s">
        <v>2594</v>
      </c>
      <c r="Q667" s="52" t="s">
        <v>2595</v>
      </c>
      <c r="R667" s="52" t="s">
        <v>2596</v>
      </c>
      <c r="S667" s="53" t="s">
        <v>2597</v>
      </c>
      <c r="T667" s="52"/>
    </row>
    <row r="668" spans="1:20" s="44" customFormat="1" ht="25.05" customHeight="1" x14ac:dyDescent="0.3">
      <c r="A668" s="41">
        <v>1</v>
      </c>
      <c r="B668" s="41"/>
      <c r="C668" s="51" t="str">
        <f>VLOOKUP(F668,[1]VLOOKUP!$A$2:$B$35,2,FALSE)</f>
        <v>华南</v>
      </c>
      <c r="D668" s="41" t="s">
        <v>2593</v>
      </c>
      <c r="E668" s="41"/>
      <c r="F668" s="2" t="s">
        <v>292</v>
      </c>
      <c r="G668" s="2" t="s">
        <v>294</v>
      </c>
      <c r="H668" s="2"/>
      <c r="I668" s="41" t="s">
        <v>720</v>
      </c>
      <c r="J668" s="41" t="s">
        <v>292</v>
      </c>
      <c r="K668" s="41" t="s">
        <v>605</v>
      </c>
      <c r="L668" s="41" t="s">
        <v>600</v>
      </c>
      <c r="M668" s="42">
        <v>43973</v>
      </c>
      <c r="N668" s="42">
        <v>43973</v>
      </c>
      <c r="O668" s="42">
        <v>45799</v>
      </c>
      <c r="P668" s="41" t="s">
        <v>2594</v>
      </c>
      <c r="Q668" s="41" t="s">
        <v>2595</v>
      </c>
      <c r="R668" s="41" t="s">
        <v>2598</v>
      </c>
      <c r="S668" s="43" t="s">
        <v>2599</v>
      </c>
      <c r="T668" s="41"/>
    </row>
    <row r="669" spans="1:20" s="44" customFormat="1" ht="25.05" customHeight="1" x14ac:dyDescent="0.3">
      <c r="A669" s="41">
        <v>1</v>
      </c>
      <c r="B669" s="41"/>
      <c r="C669" s="51" t="str">
        <f>VLOOKUP(F669,[1]VLOOKUP!$A$2:$B$35,2,FALSE)</f>
        <v>华南</v>
      </c>
      <c r="D669" s="41" t="s">
        <v>2600</v>
      </c>
      <c r="E669" s="41"/>
      <c r="F669" s="2" t="s">
        <v>292</v>
      </c>
      <c r="G669" s="2" t="s">
        <v>294</v>
      </c>
      <c r="H669" s="2"/>
      <c r="I669" s="41" t="s">
        <v>720</v>
      </c>
      <c r="J669" s="41" t="s">
        <v>292</v>
      </c>
      <c r="K669" s="41" t="s">
        <v>605</v>
      </c>
      <c r="L669" s="41" t="s">
        <v>600</v>
      </c>
      <c r="M669" s="42">
        <v>44090</v>
      </c>
      <c r="N669" s="42">
        <v>44095</v>
      </c>
      <c r="O669" s="42">
        <v>45962</v>
      </c>
      <c r="P669" s="41" t="s">
        <v>2601</v>
      </c>
      <c r="Q669" s="41" t="s">
        <v>948</v>
      </c>
      <c r="R669" s="41" t="s">
        <v>2602</v>
      </c>
      <c r="S669" s="43" t="s">
        <v>2603</v>
      </c>
      <c r="T669" s="41"/>
    </row>
    <row r="670" spans="1:20" s="44" customFormat="1" ht="25.05" customHeight="1" x14ac:dyDescent="0.3">
      <c r="A670" s="41"/>
      <c r="B670" s="41"/>
      <c r="C670" s="41"/>
      <c r="D670" s="45" t="s">
        <v>2604</v>
      </c>
      <c r="E670" s="45"/>
      <c r="F670" s="2" t="s">
        <v>292</v>
      </c>
      <c r="G670" s="2" t="s">
        <v>294</v>
      </c>
      <c r="H670" s="2"/>
      <c r="I670" s="45" t="s">
        <v>720</v>
      </c>
      <c r="J670" s="45" t="s">
        <v>292</v>
      </c>
      <c r="K670" s="45" t="s">
        <v>682</v>
      </c>
      <c r="L670" s="45" t="s">
        <v>606</v>
      </c>
      <c r="M670" s="47">
        <v>43068</v>
      </c>
      <c r="N670" s="47">
        <v>43068</v>
      </c>
      <c r="O670" s="47">
        <v>46022</v>
      </c>
      <c r="P670" s="45" t="s">
        <v>2587</v>
      </c>
      <c r="Q670" s="45" t="s">
        <v>857</v>
      </c>
      <c r="R670" s="45"/>
      <c r="S670" s="48"/>
      <c r="T670" s="45"/>
    </row>
    <row r="671" spans="1:20" s="44" customFormat="1" ht="25.05" customHeight="1" x14ac:dyDescent="0.3">
      <c r="A671" s="41">
        <v>1</v>
      </c>
      <c r="B671" s="41"/>
      <c r="C671" s="51" t="str">
        <f>VLOOKUP(F671,[1]VLOOKUP!$A$2:$B$35,2,FALSE)</f>
        <v>华南</v>
      </c>
      <c r="D671" s="41" t="s">
        <v>2605</v>
      </c>
      <c r="E671" s="41"/>
      <c r="F671" s="2" t="s">
        <v>292</v>
      </c>
      <c r="G671" s="2" t="s">
        <v>294</v>
      </c>
      <c r="H671" s="2"/>
      <c r="I671" s="41" t="s">
        <v>720</v>
      </c>
      <c r="J671" s="41" t="s">
        <v>292</v>
      </c>
      <c r="K671" s="41" t="s">
        <v>682</v>
      </c>
      <c r="L671" s="41" t="s">
        <v>600</v>
      </c>
      <c r="M671" s="42">
        <v>43454</v>
      </c>
      <c r="N671" s="42">
        <v>43454</v>
      </c>
      <c r="O671" s="42">
        <v>46022</v>
      </c>
      <c r="P671" s="41" t="s">
        <v>2587</v>
      </c>
      <c r="Q671" s="41" t="s">
        <v>857</v>
      </c>
      <c r="R671" s="41"/>
      <c r="S671" s="43" t="s">
        <v>2606</v>
      </c>
      <c r="T671" s="41"/>
    </row>
    <row r="672" spans="1:20" s="44" customFormat="1" ht="25.05" customHeight="1" x14ac:dyDescent="0.3">
      <c r="A672" s="41"/>
      <c r="B672" s="41"/>
      <c r="C672" s="41"/>
      <c r="D672" s="45" t="s">
        <v>458</v>
      </c>
      <c r="E672" s="45"/>
      <c r="F672" s="2" t="s">
        <v>292</v>
      </c>
      <c r="G672" s="2" t="s">
        <v>294</v>
      </c>
      <c r="H672" s="2"/>
      <c r="I672" s="45" t="s">
        <v>720</v>
      </c>
      <c r="J672" s="45" t="s">
        <v>292</v>
      </c>
      <c r="K672" s="45" t="s">
        <v>682</v>
      </c>
      <c r="L672" s="45" t="s">
        <v>606</v>
      </c>
      <c r="M672" s="47"/>
      <c r="N672" s="47"/>
      <c r="O672" s="45"/>
      <c r="P672" s="45" t="s">
        <v>2587</v>
      </c>
      <c r="Q672" s="45" t="s">
        <v>857</v>
      </c>
      <c r="R672" s="45" t="s">
        <v>2607</v>
      </c>
      <c r="S672" s="48"/>
      <c r="T672" s="45"/>
    </row>
    <row r="673" spans="1:20" s="44" customFormat="1" ht="25.05" customHeight="1" x14ac:dyDescent="0.3">
      <c r="A673" s="41"/>
      <c r="B673" s="41"/>
      <c r="C673" s="41"/>
      <c r="D673" s="45" t="s">
        <v>2608</v>
      </c>
      <c r="E673" s="45"/>
      <c r="F673" s="2" t="s">
        <v>292</v>
      </c>
      <c r="G673" s="2" t="s">
        <v>294</v>
      </c>
      <c r="H673" s="2"/>
      <c r="I673" s="45" t="s">
        <v>720</v>
      </c>
      <c r="J673" s="45" t="s">
        <v>292</v>
      </c>
      <c r="K673" s="45" t="s">
        <v>682</v>
      </c>
      <c r="L673" s="45" t="s">
        <v>606</v>
      </c>
      <c r="M673" s="47"/>
      <c r="N673" s="47"/>
      <c r="O673" s="45"/>
      <c r="P673" s="45"/>
      <c r="Q673" s="45"/>
      <c r="R673" s="45"/>
      <c r="S673" s="48"/>
      <c r="T673" s="45"/>
    </row>
    <row r="674" spans="1:20" s="44" customFormat="1" ht="25.05" customHeight="1" x14ac:dyDescent="0.3">
      <c r="A674" s="41"/>
      <c r="B674" s="41"/>
      <c r="C674" s="41"/>
      <c r="D674" s="45" t="s">
        <v>2609</v>
      </c>
      <c r="E674" s="45"/>
      <c r="F674" s="2" t="s">
        <v>292</v>
      </c>
      <c r="G674" s="2" t="s">
        <v>294</v>
      </c>
      <c r="H674" s="2"/>
      <c r="I674" s="45" t="s">
        <v>720</v>
      </c>
      <c r="J674" s="45" t="s">
        <v>292</v>
      </c>
      <c r="K674" s="45" t="s">
        <v>682</v>
      </c>
      <c r="L674" s="45" t="s">
        <v>606</v>
      </c>
      <c r="M674" s="47"/>
      <c r="N674" s="47"/>
      <c r="O674" s="45"/>
      <c r="P674" s="45"/>
      <c r="Q674" s="45"/>
      <c r="R674" s="45"/>
      <c r="S674" s="48"/>
      <c r="T674" s="45"/>
    </row>
    <row r="675" spans="1:20" s="44" customFormat="1" ht="25.05" customHeight="1" x14ac:dyDescent="0.3">
      <c r="A675" s="41">
        <v>1</v>
      </c>
      <c r="B675" s="41"/>
      <c r="C675" s="51" t="str">
        <f>VLOOKUP(F675,[1]VLOOKUP!$A$2:$B$35,2,FALSE)</f>
        <v>华南</v>
      </c>
      <c r="D675" s="41" t="s">
        <v>2610</v>
      </c>
      <c r="E675" s="41"/>
      <c r="F675" s="2" t="s">
        <v>292</v>
      </c>
      <c r="G675" s="2" t="s">
        <v>294</v>
      </c>
      <c r="H675" s="2" t="s">
        <v>2611</v>
      </c>
      <c r="I675" s="41" t="s">
        <v>720</v>
      </c>
      <c r="J675" s="41" t="s">
        <v>292</v>
      </c>
      <c r="K675" s="41" t="s">
        <v>611</v>
      </c>
      <c r="L675" s="41" t="s">
        <v>600</v>
      </c>
      <c r="M675" s="42">
        <v>43802</v>
      </c>
      <c r="N675" s="42">
        <v>43802</v>
      </c>
      <c r="O675" s="42">
        <v>47848</v>
      </c>
      <c r="P675" s="41" t="s">
        <v>2612</v>
      </c>
      <c r="Q675" s="41" t="s">
        <v>935</v>
      </c>
      <c r="R675" s="41" t="s">
        <v>2613</v>
      </c>
      <c r="S675" s="43" t="s">
        <v>2614</v>
      </c>
      <c r="T675" s="41"/>
    </row>
    <row r="676" spans="1:20" s="44" customFormat="1" ht="25.05" customHeight="1" x14ac:dyDescent="0.3">
      <c r="A676" s="41">
        <v>1</v>
      </c>
      <c r="B676" s="41"/>
      <c r="C676" s="51" t="str">
        <f>VLOOKUP(F676,[1]VLOOKUP!$A$2:$B$35,2,FALSE)</f>
        <v>华南</v>
      </c>
      <c r="D676" s="41" t="s">
        <v>2615</v>
      </c>
      <c r="E676" s="41"/>
      <c r="F676" s="2" t="s">
        <v>292</v>
      </c>
      <c r="G676" s="2" t="s">
        <v>294</v>
      </c>
      <c r="H676" s="2" t="s">
        <v>2616</v>
      </c>
      <c r="I676" s="41" t="s">
        <v>720</v>
      </c>
      <c r="J676" s="41" t="s">
        <v>292</v>
      </c>
      <c r="K676" s="41" t="s">
        <v>611</v>
      </c>
      <c r="L676" s="41" t="s">
        <v>600</v>
      </c>
      <c r="M676" s="42">
        <v>43885</v>
      </c>
      <c r="N676" s="42">
        <v>43885</v>
      </c>
      <c r="O676" s="42">
        <v>49674</v>
      </c>
      <c r="P676" s="41" t="s">
        <v>2617</v>
      </c>
      <c r="Q676" s="41" t="s">
        <v>716</v>
      </c>
      <c r="R676" s="41" t="s">
        <v>2618</v>
      </c>
      <c r="S676" s="43" t="s">
        <v>2619</v>
      </c>
      <c r="T676" s="41"/>
    </row>
    <row r="677" spans="1:20" s="44" customFormat="1" ht="25.05" customHeight="1" x14ac:dyDescent="0.3">
      <c r="A677" s="41"/>
      <c r="B677" s="41"/>
      <c r="C677" s="41"/>
      <c r="D677" s="45" t="s">
        <v>2620</v>
      </c>
      <c r="E677" s="45"/>
      <c r="F677" s="2" t="s">
        <v>292</v>
      </c>
      <c r="G677" s="2" t="s">
        <v>294</v>
      </c>
      <c r="H677" s="2" t="s">
        <v>2616</v>
      </c>
      <c r="I677" s="45" t="s">
        <v>720</v>
      </c>
      <c r="J677" s="45" t="s">
        <v>292</v>
      </c>
      <c r="K677" s="45" t="s">
        <v>682</v>
      </c>
      <c r="L677" s="45" t="s">
        <v>606</v>
      </c>
      <c r="M677" s="47"/>
      <c r="N677" s="47"/>
      <c r="O677" s="45"/>
      <c r="P677" s="45" t="s">
        <v>2621</v>
      </c>
      <c r="Q677" s="45" t="s">
        <v>724</v>
      </c>
      <c r="R677" s="45"/>
      <c r="S677" s="48"/>
      <c r="T677" s="45"/>
    </row>
    <row r="678" spans="1:20" s="44" customFormat="1" ht="25.05" customHeight="1" x14ac:dyDescent="0.3">
      <c r="A678" s="41">
        <v>1</v>
      </c>
      <c r="B678" s="41"/>
      <c r="C678" s="51" t="str">
        <f>VLOOKUP(F678,[1]VLOOKUP!$A$2:$B$35,2,FALSE)</f>
        <v>华南</v>
      </c>
      <c r="D678" s="52" t="s">
        <v>2622</v>
      </c>
      <c r="E678" s="52"/>
      <c r="F678" s="2" t="s">
        <v>292</v>
      </c>
      <c r="G678" s="2" t="s">
        <v>294</v>
      </c>
      <c r="H678" s="2" t="s">
        <v>2616</v>
      </c>
      <c r="I678" s="52" t="s">
        <v>720</v>
      </c>
      <c r="J678" s="52" t="s">
        <v>292</v>
      </c>
      <c r="K678" s="52" t="s">
        <v>605</v>
      </c>
      <c r="L678" s="52" t="s">
        <v>663</v>
      </c>
      <c r="M678" s="52">
        <v>43202</v>
      </c>
      <c r="N678" s="52">
        <v>43207</v>
      </c>
      <c r="O678" s="52">
        <v>43474</v>
      </c>
      <c r="P678" s="52" t="s">
        <v>2621</v>
      </c>
      <c r="Q678" s="52" t="s">
        <v>724</v>
      </c>
      <c r="R678" s="52" t="s">
        <v>2623</v>
      </c>
      <c r="S678" s="53" t="s">
        <v>2624</v>
      </c>
      <c r="T678" s="52"/>
    </row>
    <row r="679" spans="1:20" s="44" customFormat="1" ht="25.05" customHeight="1" x14ac:dyDescent="0.3">
      <c r="A679" s="41">
        <v>1</v>
      </c>
      <c r="B679" s="41"/>
      <c r="C679" s="51" t="str">
        <f>VLOOKUP(F679,[1]VLOOKUP!$A$2:$B$35,2,FALSE)</f>
        <v>华南</v>
      </c>
      <c r="D679" s="52" t="s">
        <v>2625</v>
      </c>
      <c r="E679" s="52"/>
      <c r="F679" s="2" t="s">
        <v>292</v>
      </c>
      <c r="G679" s="2" t="s">
        <v>294</v>
      </c>
      <c r="H679" s="2" t="s">
        <v>2616</v>
      </c>
      <c r="I679" s="52" t="s">
        <v>720</v>
      </c>
      <c r="J679" s="52" t="s">
        <v>292</v>
      </c>
      <c r="K679" s="52" t="s">
        <v>605</v>
      </c>
      <c r="L679" s="52" t="s">
        <v>663</v>
      </c>
      <c r="M679" s="52">
        <v>43474</v>
      </c>
      <c r="N679" s="52">
        <v>43475</v>
      </c>
      <c r="O679" s="52">
        <v>43937</v>
      </c>
      <c r="P679" s="52" t="s">
        <v>2621</v>
      </c>
      <c r="Q679" s="52" t="s">
        <v>724</v>
      </c>
      <c r="R679" s="52" t="s">
        <v>2626</v>
      </c>
      <c r="S679" s="53" t="s">
        <v>2627</v>
      </c>
      <c r="T679" s="52" t="s">
        <v>817</v>
      </c>
    </row>
    <row r="680" spans="1:20" s="44" customFormat="1" ht="25.05" customHeight="1" x14ac:dyDescent="0.3">
      <c r="A680" s="41">
        <v>1</v>
      </c>
      <c r="B680" s="41"/>
      <c r="C680" s="51" t="str">
        <f>VLOOKUP(F680,[1]VLOOKUP!$A$2:$B$35,2,FALSE)</f>
        <v>华南</v>
      </c>
      <c r="D680" s="52" t="s">
        <v>2628</v>
      </c>
      <c r="E680" s="52"/>
      <c r="F680" s="2" t="s">
        <v>292</v>
      </c>
      <c r="G680" s="2" t="s">
        <v>294</v>
      </c>
      <c r="H680" s="2" t="s">
        <v>2616</v>
      </c>
      <c r="I680" s="52" t="s">
        <v>720</v>
      </c>
      <c r="J680" s="52" t="s">
        <v>292</v>
      </c>
      <c r="K680" s="52" t="s">
        <v>605</v>
      </c>
      <c r="L680" s="52" t="s">
        <v>663</v>
      </c>
      <c r="M680" s="52">
        <v>43937</v>
      </c>
      <c r="N680" s="52">
        <v>43957</v>
      </c>
      <c r="O680" s="52">
        <v>44926</v>
      </c>
      <c r="P680" s="52" t="s">
        <v>2621</v>
      </c>
      <c r="Q680" s="52" t="s">
        <v>724</v>
      </c>
      <c r="R680" s="52" t="s">
        <v>2629</v>
      </c>
      <c r="S680" s="53" t="s">
        <v>2630</v>
      </c>
      <c r="T680" s="52"/>
    </row>
    <row r="681" spans="1:20" s="44" customFormat="1" ht="25.05" customHeight="1" x14ac:dyDescent="0.3">
      <c r="A681" s="41">
        <v>1</v>
      </c>
      <c r="B681" s="41"/>
      <c r="C681" s="51" t="str">
        <f>VLOOKUP(F681,[1]VLOOKUP!$A$2:$B$35,2,FALSE)</f>
        <v>华南</v>
      </c>
      <c r="D681" s="41" t="s">
        <v>2631</v>
      </c>
      <c r="E681" s="41"/>
      <c r="F681" s="2" t="s">
        <v>292</v>
      </c>
      <c r="G681" s="2" t="s">
        <v>294</v>
      </c>
      <c r="H681" s="2" t="s">
        <v>2616</v>
      </c>
      <c r="I681" s="41" t="s">
        <v>720</v>
      </c>
      <c r="J681" s="41" t="s">
        <v>292</v>
      </c>
      <c r="K681" s="41" t="s">
        <v>605</v>
      </c>
      <c r="L681" s="41" t="s">
        <v>600</v>
      </c>
      <c r="M681" s="42">
        <v>44489</v>
      </c>
      <c r="N681" s="42">
        <v>44489</v>
      </c>
      <c r="O681" s="42">
        <v>46022</v>
      </c>
      <c r="P681" s="41" t="s">
        <v>2621</v>
      </c>
      <c r="Q681" s="41" t="s">
        <v>724</v>
      </c>
      <c r="R681" s="41" t="s">
        <v>2632</v>
      </c>
      <c r="S681" s="43" t="s">
        <v>2633</v>
      </c>
      <c r="T681" s="41"/>
    </row>
    <row r="682" spans="1:20" s="44" customFormat="1" ht="25.05" customHeight="1" x14ac:dyDescent="0.3">
      <c r="A682" s="41">
        <v>1</v>
      </c>
      <c r="B682" s="41"/>
      <c r="C682" s="51" t="str">
        <f>VLOOKUP(F682,[1]VLOOKUP!$A$2:$B$35,2,FALSE)</f>
        <v>华南</v>
      </c>
      <c r="D682" s="45" t="s">
        <v>2634</v>
      </c>
      <c r="E682" s="45"/>
      <c r="F682" s="2" t="s">
        <v>292</v>
      </c>
      <c r="G682" s="2" t="s">
        <v>294</v>
      </c>
      <c r="H682" s="2" t="s">
        <v>2616</v>
      </c>
      <c r="I682" s="45" t="s">
        <v>720</v>
      </c>
      <c r="J682" s="45" t="s">
        <v>292</v>
      </c>
      <c r="K682" s="45" t="s">
        <v>611</v>
      </c>
      <c r="L682" s="59" t="s">
        <v>600</v>
      </c>
      <c r="M682" s="59">
        <v>44672</v>
      </c>
      <c r="N682" s="59">
        <v>44672</v>
      </c>
      <c r="O682" s="59">
        <v>46022</v>
      </c>
      <c r="P682" s="45" t="s">
        <v>2621</v>
      </c>
      <c r="Q682" s="45" t="s">
        <v>724</v>
      </c>
      <c r="R682" s="45" t="s">
        <v>2635</v>
      </c>
      <c r="S682" s="48"/>
      <c r="T682" s="45"/>
    </row>
    <row r="683" spans="1:20" s="44" customFormat="1" ht="25.05" customHeight="1" x14ac:dyDescent="0.3">
      <c r="A683" s="41">
        <v>1</v>
      </c>
      <c r="B683" s="41"/>
      <c r="C683" s="51" t="str">
        <f>VLOOKUP(F683,[1]VLOOKUP!$A$2:$B$35,2,FALSE)</f>
        <v>华南</v>
      </c>
      <c r="D683" s="52" t="s">
        <v>2636</v>
      </c>
      <c r="E683" s="52"/>
      <c r="F683" s="2" t="s">
        <v>292</v>
      </c>
      <c r="G683" s="2" t="s">
        <v>294</v>
      </c>
      <c r="H683" s="2" t="s">
        <v>2616</v>
      </c>
      <c r="I683" s="52" t="s">
        <v>720</v>
      </c>
      <c r="J683" s="52" t="s">
        <v>292</v>
      </c>
      <c r="K683" s="52" t="s">
        <v>605</v>
      </c>
      <c r="L683" s="52" t="s">
        <v>663</v>
      </c>
      <c r="M683" s="52">
        <v>44911</v>
      </c>
      <c r="N683" s="52">
        <v>44925</v>
      </c>
      <c r="O683" s="52">
        <v>45291</v>
      </c>
      <c r="P683" s="52" t="s">
        <v>2617</v>
      </c>
      <c r="Q683" s="52" t="s">
        <v>716</v>
      </c>
      <c r="R683" s="52" t="s">
        <v>2637</v>
      </c>
      <c r="S683" s="53" t="s">
        <v>2638</v>
      </c>
      <c r="T683" s="52"/>
    </row>
    <row r="684" spans="1:20" s="44" customFormat="1" ht="25.05" customHeight="1" x14ac:dyDescent="0.3">
      <c r="A684" s="41"/>
      <c r="B684" s="41"/>
      <c r="C684" s="41"/>
      <c r="D684" s="41" t="s">
        <v>2639</v>
      </c>
      <c r="E684" s="41"/>
      <c r="F684" s="2" t="s">
        <v>292</v>
      </c>
      <c r="G684" s="2" t="s">
        <v>294</v>
      </c>
      <c r="H684" s="2" t="s">
        <v>2616</v>
      </c>
      <c r="I684" s="41" t="s">
        <v>720</v>
      </c>
      <c r="J684" s="41" t="s">
        <v>292</v>
      </c>
      <c r="K684" s="41" t="s">
        <v>605</v>
      </c>
      <c r="L684" s="41" t="s">
        <v>600</v>
      </c>
      <c r="M684" s="42">
        <v>45278</v>
      </c>
      <c r="N684" s="42">
        <v>45279</v>
      </c>
      <c r="O684" s="42">
        <v>45657</v>
      </c>
      <c r="P684" s="41" t="s">
        <v>2621</v>
      </c>
      <c r="Q684" s="41" t="s">
        <v>724</v>
      </c>
      <c r="R684" s="41" t="s">
        <v>2640</v>
      </c>
      <c r="S684" s="43" t="s">
        <v>2641</v>
      </c>
      <c r="T684" s="41"/>
    </row>
    <row r="685" spans="1:20" s="44" customFormat="1" ht="25.05" customHeight="1" x14ac:dyDescent="0.3">
      <c r="A685" s="41">
        <v>1</v>
      </c>
      <c r="B685" s="41"/>
      <c r="C685" s="51" t="str">
        <f>VLOOKUP(F685,[1]VLOOKUP!$A$2:$B$35,2,FALSE)</f>
        <v>华南</v>
      </c>
      <c r="D685" s="41" t="s">
        <v>2642</v>
      </c>
      <c r="E685" s="41"/>
      <c r="F685" s="2" t="s">
        <v>292</v>
      </c>
      <c r="G685" s="2" t="s">
        <v>294</v>
      </c>
      <c r="H685" s="2" t="s">
        <v>2616</v>
      </c>
      <c r="I685" s="41" t="s">
        <v>720</v>
      </c>
      <c r="J685" s="41" t="s">
        <v>292</v>
      </c>
      <c r="K685" s="41" t="s">
        <v>605</v>
      </c>
      <c r="L685" s="41" t="s">
        <v>600</v>
      </c>
      <c r="M685" s="42">
        <v>45848</v>
      </c>
      <c r="N685" s="42">
        <v>45856</v>
      </c>
      <c r="O685" s="42">
        <v>46022</v>
      </c>
      <c r="P685" s="41" t="s">
        <v>2621</v>
      </c>
      <c r="Q685" s="41" t="s">
        <v>724</v>
      </c>
      <c r="R685" s="41" t="s">
        <v>2643</v>
      </c>
      <c r="S685" s="43" t="s">
        <v>2644</v>
      </c>
      <c r="T685" s="41"/>
    </row>
    <row r="686" spans="1:20" s="44" customFormat="1" ht="25.05" customHeight="1" x14ac:dyDescent="0.3">
      <c r="A686" s="41"/>
      <c r="B686" s="41"/>
      <c r="C686" s="41"/>
      <c r="D686" s="41" t="s">
        <v>2645</v>
      </c>
      <c r="E686" s="41"/>
      <c r="F686" s="2" t="s">
        <v>292</v>
      </c>
      <c r="G686" s="2" t="s">
        <v>294</v>
      </c>
      <c r="H686" s="2" t="s">
        <v>2616</v>
      </c>
      <c r="I686" s="41" t="s">
        <v>720</v>
      </c>
      <c r="J686" s="41" t="s">
        <v>292</v>
      </c>
      <c r="K686" s="41" t="s">
        <v>605</v>
      </c>
      <c r="L686" s="41" t="s">
        <v>600</v>
      </c>
      <c r="M686" s="42">
        <v>45448</v>
      </c>
      <c r="N686" s="42">
        <v>45448</v>
      </c>
      <c r="O686" s="42">
        <v>45455</v>
      </c>
      <c r="P686" s="41" t="s">
        <v>2617</v>
      </c>
      <c r="Q686" s="41" t="s">
        <v>716</v>
      </c>
      <c r="R686" s="41"/>
      <c r="S686" s="43" t="s">
        <v>2646</v>
      </c>
      <c r="T686" s="41"/>
    </row>
    <row r="687" spans="1:20" s="44" customFormat="1" ht="25.05" customHeight="1" x14ac:dyDescent="0.3">
      <c r="A687" s="41"/>
      <c r="B687" s="41"/>
      <c r="C687" s="41"/>
      <c r="D687" s="45" t="s">
        <v>2647</v>
      </c>
      <c r="E687" s="47"/>
      <c r="F687" s="2" t="s">
        <v>292</v>
      </c>
      <c r="G687" s="2" t="s">
        <v>294</v>
      </c>
      <c r="H687" s="2" t="s">
        <v>2616</v>
      </c>
      <c r="I687" s="45" t="s">
        <v>720</v>
      </c>
      <c r="J687" s="45" t="s">
        <v>292</v>
      </c>
      <c r="K687" s="45" t="s">
        <v>611</v>
      </c>
      <c r="L687" s="45" t="s">
        <v>606</v>
      </c>
      <c r="M687" s="47"/>
      <c r="N687" s="47"/>
      <c r="O687" s="45"/>
      <c r="P687" s="45"/>
      <c r="Q687" s="45"/>
      <c r="R687" s="45"/>
      <c r="S687" s="48"/>
      <c r="T687" s="45"/>
    </row>
    <row r="688" spans="1:20" s="44" customFormat="1" ht="25.05" customHeight="1" x14ac:dyDescent="0.3">
      <c r="A688" s="41"/>
      <c r="B688" s="41"/>
      <c r="C688" s="41"/>
      <c r="D688" s="45" t="s">
        <v>2648</v>
      </c>
      <c r="E688" s="47"/>
      <c r="F688" s="2" t="s">
        <v>292</v>
      </c>
      <c r="G688" s="2" t="s">
        <v>294</v>
      </c>
      <c r="H688" s="2" t="s">
        <v>2616</v>
      </c>
      <c r="I688" s="45" t="s">
        <v>720</v>
      </c>
      <c r="J688" s="45" t="s">
        <v>292</v>
      </c>
      <c r="K688" s="45" t="s">
        <v>611</v>
      </c>
      <c r="L688" s="45" t="s">
        <v>606</v>
      </c>
      <c r="M688" s="47"/>
      <c r="N688" s="47"/>
      <c r="O688" s="45"/>
      <c r="P688" s="45" t="s">
        <v>2617</v>
      </c>
      <c r="Q688" s="45" t="s">
        <v>716</v>
      </c>
      <c r="R688" s="45"/>
      <c r="S688" s="48"/>
      <c r="T688" s="45"/>
    </row>
    <row r="689" spans="1:20" s="44" customFormat="1" ht="25.05" customHeight="1" x14ac:dyDescent="0.3">
      <c r="A689" s="41"/>
      <c r="B689" s="41"/>
      <c r="C689" s="41"/>
      <c r="D689" s="45" t="s">
        <v>2649</v>
      </c>
      <c r="E689" s="47"/>
      <c r="F689" s="2" t="s">
        <v>292</v>
      </c>
      <c r="G689" s="2" t="s">
        <v>294</v>
      </c>
      <c r="H689" s="2" t="s">
        <v>2616</v>
      </c>
      <c r="I689" s="45" t="s">
        <v>720</v>
      </c>
      <c r="J689" s="45" t="s">
        <v>292</v>
      </c>
      <c r="K689" s="45" t="s">
        <v>611</v>
      </c>
      <c r="L689" s="45" t="s">
        <v>606</v>
      </c>
      <c r="M689" s="47"/>
      <c r="N689" s="47"/>
      <c r="O689" s="45"/>
      <c r="P689" s="45" t="s">
        <v>2617</v>
      </c>
      <c r="Q689" s="45" t="s">
        <v>716</v>
      </c>
      <c r="R689" s="45"/>
      <c r="S689" s="48"/>
      <c r="T689" s="45"/>
    </row>
    <row r="690" spans="1:20" s="44" customFormat="1" ht="25.05" customHeight="1" x14ac:dyDescent="0.3">
      <c r="A690" s="41"/>
      <c r="B690" s="41"/>
      <c r="C690" s="41"/>
      <c r="D690" s="45" t="s">
        <v>2650</v>
      </c>
      <c r="E690" s="47"/>
      <c r="F690" s="2" t="s">
        <v>292</v>
      </c>
      <c r="G690" s="2" t="s">
        <v>294</v>
      </c>
      <c r="H690" s="2" t="s">
        <v>2616</v>
      </c>
      <c r="I690" s="45" t="s">
        <v>720</v>
      </c>
      <c r="J690" s="45" t="s">
        <v>292</v>
      </c>
      <c r="K690" s="45" t="s">
        <v>611</v>
      </c>
      <c r="L690" s="45" t="s">
        <v>606</v>
      </c>
      <c r="M690" s="47"/>
      <c r="N690" s="47"/>
      <c r="O690" s="45"/>
      <c r="P690" s="45"/>
      <c r="Q690" s="45"/>
      <c r="R690" s="45"/>
      <c r="S690" s="48"/>
      <c r="T690" s="45"/>
    </row>
    <row r="691" spans="1:20" s="44" customFormat="1" ht="25.05" customHeight="1" x14ac:dyDescent="0.3">
      <c r="A691" s="41"/>
      <c r="B691" s="41"/>
      <c r="C691" s="41"/>
      <c r="D691" s="45" t="s">
        <v>2651</v>
      </c>
      <c r="E691" s="47"/>
      <c r="F691" s="2" t="s">
        <v>292</v>
      </c>
      <c r="G691" s="2" t="s">
        <v>294</v>
      </c>
      <c r="H691" s="2" t="s">
        <v>2616</v>
      </c>
      <c r="I691" s="45" t="s">
        <v>720</v>
      </c>
      <c r="J691" s="45" t="s">
        <v>292</v>
      </c>
      <c r="K691" s="45" t="s">
        <v>611</v>
      </c>
      <c r="L691" s="45" t="s">
        <v>606</v>
      </c>
      <c r="M691" s="47"/>
      <c r="N691" s="47"/>
      <c r="O691" s="45"/>
      <c r="P691" s="45"/>
      <c r="Q691" s="45"/>
      <c r="R691" s="45"/>
      <c r="S691" s="48"/>
      <c r="T691" s="45"/>
    </row>
    <row r="692" spans="1:20" s="44" customFormat="1" ht="25.05" customHeight="1" x14ac:dyDescent="0.3">
      <c r="A692" s="41">
        <v>1</v>
      </c>
      <c r="B692" s="41"/>
      <c r="C692" s="51" t="str">
        <f>VLOOKUP(F692,[1]VLOOKUP!$A$2:$B$35,2,FALSE)</f>
        <v>华南</v>
      </c>
      <c r="D692" s="41" t="s">
        <v>2652</v>
      </c>
      <c r="E692" s="41"/>
      <c r="F692" s="2" t="s">
        <v>292</v>
      </c>
      <c r="G692" s="2" t="s">
        <v>294</v>
      </c>
      <c r="H692" s="2" t="s">
        <v>2616</v>
      </c>
      <c r="I692" s="41" t="s">
        <v>720</v>
      </c>
      <c r="J692" s="41" t="s">
        <v>292</v>
      </c>
      <c r="K692" s="41" t="s">
        <v>611</v>
      </c>
      <c r="L692" s="41" t="s">
        <v>600</v>
      </c>
      <c r="M692" s="42">
        <v>45930</v>
      </c>
      <c r="N692" s="42">
        <v>45930</v>
      </c>
      <c r="O692" s="42">
        <v>47848</v>
      </c>
      <c r="P692" s="41" t="s">
        <v>2617</v>
      </c>
      <c r="Q692" s="41" t="s">
        <v>716</v>
      </c>
      <c r="R692" s="41"/>
      <c r="S692" s="43" t="s">
        <v>2653</v>
      </c>
      <c r="T692" s="41"/>
    </row>
    <row r="693" spans="1:20" s="44" customFormat="1" ht="25.05" customHeight="1" x14ac:dyDescent="0.3">
      <c r="A693" s="41">
        <v>1</v>
      </c>
      <c r="B693" s="41"/>
      <c r="C693" s="51" t="str">
        <f>VLOOKUP(F693,[1]VLOOKUP!$A$2:$B$35,2,FALSE)</f>
        <v>华南</v>
      </c>
      <c r="D693" s="41" t="s">
        <v>2654</v>
      </c>
      <c r="E693" s="41"/>
      <c r="F693" s="2" t="s">
        <v>292</v>
      </c>
      <c r="G693" s="2" t="s">
        <v>2655</v>
      </c>
      <c r="H693" s="2"/>
      <c r="I693" s="41" t="s">
        <v>720</v>
      </c>
      <c r="J693" s="41" t="s">
        <v>292</v>
      </c>
      <c r="K693" s="41" t="s">
        <v>611</v>
      </c>
      <c r="L693" s="41" t="s">
        <v>600</v>
      </c>
      <c r="M693" s="42">
        <v>43090</v>
      </c>
      <c r="N693" s="42">
        <v>43091</v>
      </c>
      <c r="O693" s="42">
        <v>46022</v>
      </c>
      <c r="P693" s="41" t="s">
        <v>2656</v>
      </c>
      <c r="Q693" s="41" t="s">
        <v>724</v>
      </c>
      <c r="R693" s="41" t="s">
        <v>2657</v>
      </c>
      <c r="S693" s="43" t="s">
        <v>2658</v>
      </c>
      <c r="T693" s="41"/>
    </row>
    <row r="694" spans="1:20" s="44" customFormat="1" ht="25.05" customHeight="1" x14ac:dyDescent="0.3">
      <c r="A694" s="41"/>
      <c r="B694" s="41"/>
      <c r="C694" s="41"/>
      <c r="D694" s="45" t="s">
        <v>2659</v>
      </c>
      <c r="E694" s="45"/>
      <c r="F694" s="2" t="s">
        <v>292</v>
      </c>
      <c r="G694" s="2" t="s">
        <v>2655</v>
      </c>
      <c r="H694" s="2"/>
      <c r="I694" s="45" t="s">
        <v>720</v>
      </c>
      <c r="J694" s="45" t="s">
        <v>292</v>
      </c>
      <c r="K694" s="45" t="s">
        <v>682</v>
      </c>
      <c r="L694" s="45" t="s">
        <v>606</v>
      </c>
      <c r="M694" s="47"/>
      <c r="N694" s="47"/>
      <c r="O694" s="45"/>
      <c r="P694" s="45"/>
      <c r="Q694" s="45"/>
      <c r="R694" s="45" t="s">
        <v>2660</v>
      </c>
      <c r="S694" s="48"/>
      <c r="T694" s="45"/>
    </row>
    <row r="695" spans="1:20" s="44" customFormat="1" ht="25.05" customHeight="1" x14ac:dyDescent="0.3">
      <c r="A695" s="41"/>
      <c r="B695" s="41"/>
      <c r="C695" s="41"/>
      <c r="D695" s="45" t="s">
        <v>2661</v>
      </c>
      <c r="E695" s="45"/>
      <c r="F695" s="2" t="s">
        <v>292</v>
      </c>
      <c r="G695" s="2" t="s">
        <v>2655</v>
      </c>
      <c r="H695" s="2"/>
      <c r="I695" s="45" t="s">
        <v>720</v>
      </c>
      <c r="J695" s="45" t="s">
        <v>292</v>
      </c>
      <c r="K695" s="45" t="s">
        <v>682</v>
      </c>
      <c r="L695" s="45" t="s">
        <v>606</v>
      </c>
      <c r="M695" s="47"/>
      <c r="N695" s="47"/>
      <c r="O695" s="45"/>
      <c r="P695" s="45"/>
      <c r="Q695" s="45"/>
      <c r="R695" s="45" t="s">
        <v>2662</v>
      </c>
      <c r="S695" s="48"/>
      <c r="T695" s="45"/>
    </row>
    <row r="696" spans="1:20" s="44" customFormat="1" ht="25.05" customHeight="1" x14ac:dyDescent="0.3">
      <c r="A696" s="41">
        <v>1</v>
      </c>
      <c r="B696" s="41"/>
      <c r="C696" s="51" t="str">
        <f>VLOOKUP(F696,[1]VLOOKUP!$A$2:$B$35,2,FALSE)</f>
        <v>华南</v>
      </c>
      <c r="D696" s="41" t="s">
        <v>2663</v>
      </c>
      <c r="E696" s="41"/>
      <c r="F696" s="2" t="s">
        <v>292</v>
      </c>
      <c r="G696" s="2" t="s">
        <v>2655</v>
      </c>
      <c r="H696" s="2"/>
      <c r="I696" s="41" t="s">
        <v>720</v>
      </c>
      <c r="J696" s="41" t="s">
        <v>292</v>
      </c>
      <c r="K696" s="41" t="s">
        <v>611</v>
      </c>
      <c r="L696" s="41" t="s">
        <v>600</v>
      </c>
      <c r="M696" s="42">
        <v>44984</v>
      </c>
      <c r="N696" s="42">
        <v>45027</v>
      </c>
      <c r="O696" s="42">
        <v>46022</v>
      </c>
      <c r="P696" s="41" t="s">
        <v>2664</v>
      </c>
      <c r="Q696" s="41" t="s">
        <v>2435</v>
      </c>
      <c r="R696" s="41" t="s">
        <v>2665</v>
      </c>
      <c r="S696" s="43" t="s">
        <v>2666</v>
      </c>
      <c r="T696" s="41"/>
    </row>
    <row r="697" spans="1:20" s="44" customFormat="1" ht="25.05" customHeight="1" x14ac:dyDescent="0.3">
      <c r="A697" s="41">
        <v>1</v>
      </c>
      <c r="B697" s="41"/>
      <c r="C697" s="51" t="str">
        <f>VLOOKUP(F697,[1]VLOOKUP!$A$2:$B$35,2,FALSE)</f>
        <v>华南</v>
      </c>
      <c r="D697" s="41" t="s">
        <v>2667</v>
      </c>
      <c r="E697" s="41"/>
      <c r="F697" s="2" t="s">
        <v>292</v>
      </c>
      <c r="G697" s="2" t="s">
        <v>296</v>
      </c>
      <c r="H697" s="2"/>
      <c r="I697" s="41" t="s">
        <v>720</v>
      </c>
      <c r="J697" s="41" t="s">
        <v>292</v>
      </c>
      <c r="K697" s="41" t="s">
        <v>611</v>
      </c>
      <c r="L697" s="41" t="s">
        <v>600</v>
      </c>
      <c r="M697" s="42">
        <v>44543</v>
      </c>
      <c r="N697" s="42">
        <v>44547</v>
      </c>
      <c r="O697" s="42">
        <v>46022</v>
      </c>
      <c r="P697" s="41" t="s">
        <v>2668</v>
      </c>
      <c r="Q697" s="41" t="s">
        <v>716</v>
      </c>
      <c r="R697" s="41"/>
      <c r="S697" s="43" t="s">
        <v>2669</v>
      </c>
      <c r="T697" s="41"/>
    </row>
    <row r="698" spans="1:20" s="44" customFormat="1" ht="25.05" customHeight="1" x14ac:dyDescent="0.3">
      <c r="A698" s="41">
        <v>1</v>
      </c>
      <c r="B698" s="41"/>
      <c r="C698" s="51" t="str">
        <f>VLOOKUP(F698,[1]VLOOKUP!$A$2:$B$35,2,FALSE)</f>
        <v>华南</v>
      </c>
      <c r="D698" s="57" t="s">
        <v>2670</v>
      </c>
      <c r="E698" s="57"/>
      <c r="F698" s="2" t="s">
        <v>292</v>
      </c>
      <c r="G698" s="2" t="s">
        <v>296</v>
      </c>
      <c r="H698" s="2"/>
      <c r="I698" s="57" t="s">
        <v>720</v>
      </c>
      <c r="J698" s="57" t="s">
        <v>292</v>
      </c>
      <c r="K698" s="57" t="s">
        <v>611</v>
      </c>
      <c r="L698" s="57" t="s">
        <v>780</v>
      </c>
      <c r="M698" s="57">
        <v>44760</v>
      </c>
      <c r="N698" s="57">
        <v>44760</v>
      </c>
      <c r="O698" s="57">
        <v>44791</v>
      </c>
      <c r="P698" s="57" t="s">
        <v>2668</v>
      </c>
      <c r="Q698" s="57" t="s">
        <v>716</v>
      </c>
      <c r="R698" s="57"/>
      <c r="S698" s="58" t="s">
        <v>2671</v>
      </c>
      <c r="T698" s="57"/>
    </row>
    <row r="699" spans="1:20" s="44" customFormat="1" ht="25.05" customHeight="1" x14ac:dyDescent="0.3">
      <c r="A699" s="41">
        <v>1</v>
      </c>
      <c r="B699" s="41"/>
      <c r="C699" s="51" t="str">
        <f>VLOOKUP(F699,[1]VLOOKUP!$A$2:$B$35,2,FALSE)</f>
        <v>华南</v>
      </c>
      <c r="D699" s="52" t="s">
        <v>2672</v>
      </c>
      <c r="E699" s="52"/>
      <c r="F699" s="2" t="s">
        <v>292</v>
      </c>
      <c r="G699" s="2" t="s">
        <v>296</v>
      </c>
      <c r="H699" s="2"/>
      <c r="I699" s="52" t="s">
        <v>720</v>
      </c>
      <c r="J699" s="52" t="s">
        <v>292</v>
      </c>
      <c r="K699" s="52" t="s">
        <v>599</v>
      </c>
      <c r="L699" s="52" t="s">
        <v>663</v>
      </c>
      <c r="M699" s="52">
        <v>44834</v>
      </c>
      <c r="N699" s="52">
        <v>44834</v>
      </c>
      <c r="O699" s="52">
        <v>44872</v>
      </c>
      <c r="P699" s="52" t="s">
        <v>2668</v>
      </c>
      <c r="Q699" s="52" t="s">
        <v>716</v>
      </c>
      <c r="R699" s="52"/>
      <c r="S699" s="53" t="s">
        <v>2673</v>
      </c>
      <c r="T699" s="52"/>
    </row>
    <row r="700" spans="1:20" s="44" customFormat="1" ht="25.05" customHeight="1" x14ac:dyDescent="0.3">
      <c r="A700" s="41">
        <v>1</v>
      </c>
      <c r="B700" s="41"/>
      <c r="C700" s="51" t="str">
        <f>VLOOKUP(F700,[1]VLOOKUP!$A$2:$B$35,2,FALSE)</f>
        <v>华南</v>
      </c>
      <c r="D700" s="54" t="s">
        <v>2674</v>
      </c>
      <c r="E700" s="54"/>
      <c r="F700" s="2" t="s">
        <v>292</v>
      </c>
      <c r="G700" s="2" t="s">
        <v>296</v>
      </c>
      <c r="H700" s="2"/>
      <c r="I700" s="54" t="s">
        <v>720</v>
      </c>
      <c r="J700" s="54" t="s">
        <v>292</v>
      </c>
      <c r="K700" s="54" t="s">
        <v>599</v>
      </c>
      <c r="L700" s="54" t="s">
        <v>600</v>
      </c>
      <c r="M700" s="54">
        <v>45020</v>
      </c>
      <c r="N700" s="54">
        <v>45022</v>
      </c>
      <c r="O700" s="54">
        <v>45029</v>
      </c>
      <c r="P700" s="54" t="s">
        <v>2668</v>
      </c>
      <c r="Q700" s="54" t="s">
        <v>716</v>
      </c>
      <c r="R700" s="54"/>
      <c r="S700" s="55" t="s">
        <v>2675</v>
      </c>
      <c r="T700" s="54"/>
    </row>
    <row r="701" spans="1:20" s="44" customFormat="1" ht="25.05" customHeight="1" x14ac:dyDescent="0.3">
      <c r="A701" s="41">
        <v>1</v>
      </c>
      <c r="B701" s="41"/>
      <c r="C701" s="51" t="str">
        <f>VLOOKUP(F701,[1]VLOOKUP!$A$2:$B$35,2,FALSE)</f>
        <v>华南</v>
      </c>
      <c r="D701" s="41" t="s">
        <v>2676</v>
      </c>
      <c r="E701" s="41"/>
      <c r="F701" s="2" t="s">
        <v>292</v>
      </c>
      <c r="G701" s="2" t="s">
        <v>296</v>
      </c>
      <c r="H701" s="2"/>
      <c r="I701" s="41" t="s">
        <v>720</v>
      </c>
      <c r="J701" s="41" t="s">
        <v>292</v>
      </c>
      <c r="K701" s="41" t="s">
        <v>611</v>
      </c>
      <c r="L701" s="41" t="s">
        <v>600</v>
      </c>
      <c r="M701" s="42">
        <v>45418</v>
      </c>
      <c r="N701" s="42">
        <v>45422</v>
      </c>
      <c r="O701" s="42">
        <v>46022</v>
      </c>
      <c r="P701" s="41" t="s">
        <v>2668</v>
      </c>
      <c r="Q701" s="41" t="s">
        <v>716</v>
      </c>
      <c r="R701" s="41"/>
      <c r="S701" s="43" t="s">
        <v>2677</v>
      </c>
      <c r="T701" s="41"/>
    </row>
    <row r="702" spans="1:20" s="44" customFormat="1" ht="25.05" customHeight="1" x14ac:dyDescent="0.3">
      <c r="A702" s="41">
        <v>1</v>
      </c>
      <c r="B702" s="41"/>
      <c r="C702" s="51" t="str">
        <f>VLOOKUP(F702,[1]VLOOKUP!$A$2:$B$35,2,FALSE)</f>
        <v>华南</v>
      </c>
      <c r="D702" s="41" t="s">
        <v>2678</v>
      </c>
      <c r="E702" s="41"/>
      <c r="F702" s="2" t="s">
        <v>292</v>
      </c>
      <c r="G702" s="2" t="s">
        <v>296</v>
      </c>
      <c r="H702" s="2" t="s">
        <v>2679</v>
      </c>
      <c r="I702" s="41" t="s">
        <v>720</v>
      </c>
      <c r="J702" s="41" t="s">
        <v>292</v>
      </c>
      <c r="K702" s="41" t="s">
        <v>682</v>
      </c>
      <c r="L702" s="41" t="s">
        <v>600</v>
      </c>
      <c r="M702" s="42">
        <v>45078</v>
      </c>
      <c r="N702" s="42">
        <v>45078</v>
      </c>
      <c r="O702" s="42">
        <v>46185</v>
      </c>
      <c r="P702" s="41" t="s">
        <v>2680</v>
      </c>
      <c r="Q702" s="41" t="s">
        <v>716</v>
      </c>
      <c r="R702" s="41"/>
      <c r="S702" s="43" t="s">
        <v>2681</v>
      </c>
      <c r="T702" s="41"/>
    </row>
    <row r="703" spans="1:20" s="44" customFormat="1" ht="25.05" customHeight="1" x14ac:dyDescent="0.3">
      <c r="A703" s="41">
        <v>1</v>
      </c>
      <c r="B703" s="41"/>
      <c r="C703" s="51" t="str">
        <f>VLOOKUP(F703,[1]VLOOKUP!$A$2:$B$35,2,FALSE)</f>
        <v>华南</v>
      </c>
      <c r="D703" s="57" t="s">
        <v>2682</v>
      </c>
      <c r="E703" s="57"/>
      <c r="F703" s="2" t="s">
        <v>292</v>
      </c>
      <c r="G703" s="2" t="s">
        <v>2683</v>
      </c>
      <c r="H703" s="2"/>
      <c r="I703" s="57" t="s">
        <v>720</v>
      </c>
      <c r="J703" s="57" t="s">
        <v>292</v>
      </c>
      <c r="K703" s="57" t="s">
        <v>611</v>
      </c>
      <c r="L703" s="57" t="s">
        <v>780</v>
      </c>
      <c r="M703" s="57">
        <v>43893</v>
      </c>
      <c r="N703" s="57">
        <v>43893</v>
      </c>
      <c r="O703" s="57">
        <v>43900</v>
      </c>
      <c r="P703" s="57" t="s">
        <v>2684</v>
      </c>
      <c r="Q703" s="57" t="s">
        <v>519</v>
      </c>
      <c r="R703" s="57" t="s">
        <v>2685</v>
      </c>
      <c r="S703" s="58" t="s">
        <v>2686</v>
      </c>
      <c r="T703" s="57" t="s">
        <v>1201</v>
      </c>
    </row>
    <row r="704" spans="1:20" s="44" customFormat="1" ht="25.05" customHeight="1" x14ac:dyDescent="0.3">
      <c r="A704" s="41">
        <v>1</v>
      </c>
      <c r="B704" s="41"/>
      <c r="C704" s="51" t="str">
        <f>VLOOKUP(F704,[1]VLOOKUP!$A$2:$B$35,2,FALSE)</f>
        <v>华南</v>
      </c>
      <c r="D704" s="41" t="s">
        <v>2687</v>
      </c>
      <c r="E704" s="41"/>
      <c r="F704" s="2" t="s">
        <v>292</v>
      </c>
      <c r="G704" s="2" t="s">
        <v>2688</v>
      </c>
      <c r="H704" s="2"/>
      <c r="I704" s="41" t="s">
        <v>720</v>
      </c>
      <c r="J704" s="41" t="s">
        <v>292</v>
      </c>
      <c r="K704" s="41" t="s">
        <v>611</v>
      </c>
      <c r="L704" s="41" t="s">
        <v>600</v>
      </c>
      <c r="M704" s="42">
        <v>44680</v>
      </c>
      <c r="N704" s="42">
        <v>44680</v>
      </c>
      <c r="O704" s="42">
        <v>46022</v>
      </c>
      <c r="P704" s="41" t="s">
        <v>2689</v>
      </c>
      <c r="Q704" s="41" t="s">
        <v>716</v>
      </c>
      <c r="R704" s="41"/>
      <c r="S704" s="43" t="s">
        <v>2690</v>
      </c>
      <c r="T704" s="41"/>
    </row>
    <row r="705" spans="1:20" s="44" customFormat="1" ht="25.05" customHeight="1" x14ac:dyDescent="0.3">
      <c r="A705" s="41">
        <v>1</v>
      </c>
      <c r="B705" s="41"/>
      <c r="C705" s="51" t="str">
        <f>VLOOKUP(F705,[1]VLOOKUP!$A$2:$B$35,2,FALSE)</f>
        <v>华南</v>
      </c>
      <c r="D705" s="41" t="s">
        <v>2691</v>
      </c>
      <c r="E705" s="41"/>
      <c r="F705" s="2" t="s">
        <v>292</v>
      </c>
      <c r="G705" s="2" t="s">
        <v>2688</v>
      </c>
      <c r="H705" s="2"/>
      <c r="I705" s="41" t="s">
        <v>720</v>
      </c>
      <c r="J705" s="41" t="s">
        <v>292</v>
      </c>
      <c r="K705" s="41" t="s">
        <v>611</v>
      </c>
      <c r="L705" s="41" t="s">
        <v>600</v>
      </c>
      <c r="M705" s="42">
        <v>45272</v>
      </c>
      <c r="N705" s="42">
        <v>45272</v>
      </c>
      <c r="O705" s="42">
        <v>46022</v>
      </c>
      <c r="P705" s="41" t="s">
        <v>2689</v>
      </c>
      <c r="Q705" s="41" t="s">
        <v>716</v>
      </c>
      <c r="R705" s="41" t="s">
        <v>2692</v>
      </c>
      <c r="S705" s="43" t="s">
        <v>2693</v>
      </c>
      <c r="T705" s="41"/>
    </row>
    <row r="706" spans="1:20" s="44" customFormat="1" ht="25.05" customHeight="1" x14ac:dyDescent="0.3">
      <c r="A706" s="41">
        <v>1</v>
      </c>
      <c r="B706" s="41"/>
      <c r="C706" s="51" t="str">
        <f>VLOOKUP(F706,[1]VLOOKUP!$A$2:$B$35,2,FALSE)</f>
        <v>华南</v>
      </c>
      <c r="D706" s="41" t="s">
        <v>2694</v>
      </c>
      <c r="E706" s="41"/>
      <c r="F706" s="2" t="s">
        <v>292</v>
      </c>
      <c r="G706" s="2" t="s">
        <v>2695</v>
      </c>
      <c r="H706" s="2"/>
      <c r="I706" s="41" t="s">
        <v>720</v>
      </c>
      <c r="J706" s="41" t="s">
        <v>292</v>
      </c>
      <c r="K706" s="41" t="s">
        <v>611</v>
      </c>
      <c r="L706" s="41" t="s">
        <v>600</v>
      </c>
      <c r="M706" s="42">
        <v>44761</v>
      </c>
      <c r="N706" s="42">
        <v>44769</v>
      </c>
      <c r="O706" s="42">
        <v>49674</v>
      </c>
      <c r="P706" s="41" t="s">
        <v>2696</v>
      </c>
      <c r="Q706" s="41" t="s">
        <v>716</v>
      </c>
      <c r="R706" s="41" t="s">
        <v>2697</v>
      </c>
      <c r="S706" s="43" t="s">
        <v>2698</v>
      </c>
      <c r="T706" s="41"/>
    </row>
    <row r="707" spans="1:20" s="44" customFormat="1" ht="25.05" customHeight="1" x14ac:dyDescent="0.3">
      <c r="A707" s="41">
        <v>1</v>
      </c>
      <c r="B707" s="41"/>
      <c r="C707" s="51" t="str">
        <f>VLOOKUP(F707,[1]VLOOKUP!$A$2:$B$35,2,FALSE)</f>
        <v>华南</v>
      </c>
      <c r="D707" s="41" t="s">
        <v>2699</v>
      </c>
      <c r="E707" s="41"/>
      <c r="F707" s="2" t="s">
        <v>292</v>
      </c>
      <c r="G707" s="2" t="s">
        <v>2695</v>
      </c>
      <c r="H707" s="2"/>
      <c r="I707" s="41" t="s">
        <v>720</v>
      </c>
      <c r="J707" s="41" t="s">
        <v>292</v>
      </c>
      <c r="K707" s="41" t="s">
        <v>611</v>
      </c>
      <c r="L707" s="41" t="s">
        <v>600</v>
      </c>
      <c r="M707" s="42">
        <v>45887</v>
      </c>
      <c r="N707" s="42">
        <v>45890</v>
      </c>
      <c r="O707" s="42">
        <v>46752</v>
      </c>
      <c r="P707" s="41" t="s">
        <v>2696</v>
      </c>
      <c r="Q707" s="41" t="s">
        <v>716</v>
      </c>
      <c r="R707" s="41"/>
      <c r="S707" s="43" t="s">
        <v>2700</v>
      </c>
      <c r="T707" s="41"/>
    </row>
    <row r="708" spans="1:20" s="44" customFormat="1" ht="25.05" customHeight="1" x14ac:dyDescent="0.3">
      <c r="A708" s="41">
        <v>1</v>
      </c>
      <c r="B708" s="41"/>
      <c r="C708" s="51" t="str">
        <f>VLOOKUP(F708,[1]VLOOKUP!$A$2:$B$35,2,FALSE)</f>
        <v>华南</v>
      </c>
      <c r="D708" s="41" t="s">
        <v>2701</v>
      </c>
      <c r="E708" s="41"/>
      <c r="F708" s="2" t="s">
        <v>292</v>
      </c>
      <c r="G708" s="2" t="s">
        <v>295</v>
      </c>
      <c r="H708" s="2"/>
      <c r="I708" s="41" t="s">
        <v>720</v>
      </c>
      <c r="J708" s="41" t="s">
        <v>292</v>
      </c>
      <c r="K708" s="41" t="s">
        <v>611</v>
      </c>
      <c r="L708" s="41" t="s">
        <v>600</v>
      </c>
      <c r="M708" s="42">
        <v>44865</v>
      </c>
      <c r="N708" s="42">
        <v>44865</v>
      </c>
      <c r="O708" s="42">
        <v>46022</v>
      </c>
      <c r="P708" s="41" t="s">
        <v>2702</v>
      </c>
      <c r="Q708" s="41" t="s">
        <v>716</v>
      </c>
      <c r="R708" s="41" t="s">
        <v>2703</v>
      </c>
      <c r="S708" s="43" t="s">
        <v>2704</v>
      </c>
      <c r="T708" s="41"/>
    </row>
    <row r="709" spans="1:20" s="44" customFormat="1" ht="25.05" customHeight="1" x14ac:dyDescent="0.3">
      <c r="A709" s="41">
        <v>1</v>
      </c>
      <c r="B709" s="41"/>
      <c r="C709" s="51" t="str">
        <f>VLOOKUP(F709,[1]VLOOKUP!$A$2:$B$35,2,FALSE)</f>
        <v>华南</v>
      </c>
      <c r="D709" s="41" t="s">
        <v>2705</v>
      </c>
      <c r="E709" s="41"/>
      <c r="F709" s="2" t="s">
        <v>292</v>
      </c>
      <c r="G709" s="2" t="s">
        <v>295</v>
      </c>
      <c r="H709" s="2"/>
      <c r="I709" s="41" t="s">
        <v>720</v>
      </c>
      <c r="J709" s="41" t="s">
        <v>292</v>
      </c>
      <c r="K709" s="41" t="s">
        <v>611</v>
      </c>
      <c r="L709" s="41" t="s">
        <v>600</v>
      </c>
      <c r="M709" s="42">
        <v>45280</v>
      </c>
      <c r="N709" s="42">
        <v>45280</v>
      </c>
      <c r="O709" s="42">
        <v>46387</v>
      </c>
      <c r="P709" s="41" t="s">
        <v>2706</v>
      </c>
      <c r="Q709" s="41" t="s">
        <v>724</v>
      </c>
      <c r="R709" s="41" t="s">
        <v>2707</v>
      </c>
      <c r="S709" s="43" t="s">
        <v>2708</v>
      </c>
      <c r="T709" s="41"/>
    </row>
    <row r="710" spans="1:20" s="44" customFormat="1" ht="25.05" customHeight="1" x14ac:dyDescent="0.3">
      <c r="A710" s="41"/>
      <c r="B710" s="41"/>
      <c r="C710" s="41"/>
      <c r="D710" s="45" t="s">
        <v>2709</v>
      </c>
      <c r="E710" s="45"/>
      <c r="F710" s="2" t="s">
        <v>292</v>
      </c>
      <c r="G710" s="2" t="s">
        <v>295</v>
      </c>
      <c r="H710" s="2"/>
      <c r="I710" s="45" t="s">
        <v>720</v>
      </c>
      <c r="J710" s="45" t="s">
        <v>292</v>
      </c>
      <c r="K710" s="45" t="s">
        <v>611</v>
      </c>
      <c r="L710" s="45" t="s">
        <v>606</v>
      </c>
      <c r="M710" s="47"/>
      <c r="N710" s="47"/>
      <c r="O710" s="45"/>
      <c r="P710" s="45" t="s">
        <v>2706</v>
      </c>
      <c r="Q710" s="45" t="s">
        <v>724</v>
      </c>
      <c r="R710" s="45" t="s">
        <v>2710</v>
      </c>
      <c r="S710" s="48"/>
      <c r="T710" s="45"/>
    </row>
    <row r="711" spans="1:20" s="44" customFormat="1" ht="25.05" customHeight="1" x14ac:dyDescent="0.3">
      <c r="A711" s="41">
        <v>1</v>
      </c>
      <c r="B711" s="41"/>
      <c r="C711" s="51" t="str">
        <f>VLOOKUP(F711,[1]VLOOKUP!$A$2:$B$35,2,FALSE)</f>
        <v>华南</v>
      </c>
      <c r="D711" s="41" t="s">
        <v>2711</v>
      </c>
      <c r="E711" s="41"/>
      <c r="F711" s="2" t="s">
        <v>292</v>
      </c>
      <c r="G711" s="2" t="s">
        <v>295</v>
      </c>
      <c r="H711" s="2"/>
      <c r="I711" s="41" t="s">
        <v>720</v>
      </c>
      <c r="J711" s="41" t="s">
        <v>292</v>
      </c>
      <c r="K711" s="41" t="s">
        <v>682</v>
      </c>
      <c r="L711" s="41" t="s">
        <v>600</v>
      </c>
      <c r="M711" s="42">
        <v>44782</v>
      </c>
      <c r="N711" s="42">
        <v>44785</v>
      </c>
      <c r="O711" s="42">
        <v>46022</v>
      </c>
      <c r="P711" s="41" t="s">
        <v>2712</v>
      </c>
      <c r="Q711" s="41" t="s">
        <v>857</v>
      </c>
      <c r="R711" s="41" t="s">
        <v>2713</v>
      </c>
      <c r="S711" s="43"/>
      <c r="T711" s="41"/>
    </row>
    <row r="712" spans="1:20" ht="25.05" customHeight="1" x14ac:dyDescent="0.3">
      <c r="A712" s="36"/>
      <c r="B712" s="36"/>
      <c r="C712" s="36"/>
      <c r="D712" s="60"/>
      <c r="E712" s="61"/>
      <c r="F712" s="3" t="s">
        <v>377</v>
      </c>
      <c r="G712" s="3"/>
      <c r="H712" s="3"/>
      <c r="I712" s="60"/>
      <c r="J712" s="60"/>
      <c r="K712" s="60"/>
      <c r="L712" s="60"/>
      <c r="M712" s="60"/>
      <c r="N712" s="60"/>
      <c r="O712" s="60"/>
      <c r="P712" s="60"/>
      <c r="Q712" s="60"/>
      <c r="R712" s="60"/>
      <c r="S712" s="62"/>
      <c r="T712" s="60"/>
    </row>
    <row r="713" spans="1:20" s="44" customFormat="1" ht="25.05" customHeight="1" x14ac:dyDescent="0.3">
      <c r="A713" s="41">
        <v>1</v>
      </c>
      <c r="B713" s="41"/>
      <c r="C713" s="51" t="str">
        <f>VLOOKUP(F713,[1]VLOOKUP!$A$2:$B$35,2,FALSE)</f>
        <v>华南</v>
      </c>
      <c r="D713" s="41" t="s">
        <v>2714</v>
      </c>
      <c r="E713" s="41"/>
      <c r="F713" s="2" t="s">
        <v>377</v>
      </c>
      <c r="G713" s="2"/>
      <c r="H713" s="2"/>
      <c r="I713" s="41" t="s">
        <v>474</v>
      </c>
      <c r="J713" s="41" t="s">
        <v>377</v>
      </c>
      <c r="K713" s="41" t="s">
        <v>611</v>
      </c>
      <c r="L713" s="41" t="s">
        <v>600</v>
      </c>
      <c r="M713" s="42">
        <v>45148</v>
      </c>
      <c r="N713" s="42">
        <v>45170</v>
      </c>
      <c r="O713" s="42">
        <v>49674</v>
      </c>
      <c r="P713" s="41" t="s">
        <v>2715</v>
      </c>
      <c r="Q713" s="41" t="s">
        <v>716</v>
      </c>
      <c r="R713" s="41" t="s">
        <v>2716</v>
      </c>
      <c r="S713" s="43" t="s">
        <v>2717</v>
      </c>
      <c r="T713" s="41"/>
    </row>
    <row r="714" spans="1:20" s="44" customFormat="1" ht="25.05" customHeight="1" x14ac:dyDescent="0.3">
      <c r="A714" s="41">
        <v>1</v>
      </c>
      <c r="B714" s="41"/>
      <c r="C714" s="51" t="str">
        <f>VLOOKUP(F714,[1]VLOOKUP!$A$2:$B$35,2,FALSE)</f>
        <v>华南</v>
      </c>
      <c r="D714" s="41" t="s">
        <v>2718</v>
      </c>
      <c r="E714" s="41"/>
      <c r="F714" s="2" t="s">
        <v>377</v>
      </c>
      <c r="G714" s="2"/>
      <c r="H714" s="2"/>
      <c r="I714" s="41" t="s">
        <v>474</v>
      </c>
      <c r="J714" s="41" t="s">
        <v>377</v>
      </c>
      <c r="K714" s="41" t="s">
        <v>611</v>
      </c>
      <c r="L714" s="41" t="s">
        <v>600</v>
      </c>
      <c r="M714" s="42">
        <v>45651</v>
      </c>
      <c r="N714" s="42">
        <v>45657</v>
      </c>
      <c r="O714" s="42">
        <v>46752</v>
      </c>
      <c r="P714" s="41" t="s">
        <v>2719</v>
      </c>
      <c r="Q714" s="41" t="s">
        <v>2720</v>
      </c>
      <c r="R714" s="41" t="s">
        <v>2721</v>
      </c>
      <c r="S714" s="43" t="s">
        <v>2722</v>
      </c>
      <c r="T714" s="41"/>
    </row>
    <row r="715" spans="1:20" s="44" customFormat="1" ht="25.05" customHeight="1" x14ac:dyDescent="0.3">
      <c r="A715" s="41">
        <v>1</v>
      </c>
      <c r="B715" s="41"/>
      <c r="C715" s="51" t="str">
        <f>VLOOKUP(F715,[1]VLOOKUP!$A$2:$B$35,2,FALSE)</f>
        <v>华南</v>
      </c>
      <c r="D715" s="57" t="s">
        <v>2723</v>
      </c>
      <c r="E715" s="57"/>
      <c r="F715" s="2" t="s">
        <v>377</v>
      </c>
      <c r="G715" s="2" t="s">
        <v>401</v>
      </c>
      <c r="H715" s="2"/>
      <c r="I715" s="57" t="s">
        <v>720</v>
      </c>
      <c r="J715" s="57" t="s">
        <v>377</v>
      </c>
      <c r="K715" s="57" t="s">
        <v>682</v>
      </c>
      <c r="L715" s="57" t="s">
        <v>780</v>
      </c>
      <c r="M715" s="57">
        <v>45915</v>
      </c>
      <c r="N715" s="57">
        <v>45915</v>
      </c>
      <c r="O715" s="57">
        <v>45945</v>
      </c>
      <c r="P715" s="57" t="s">
        <v>2724</v>
      </c>
      <c r="Q715" s="57" t="s">
        <v>857</v>
      </c>
      <c r="R715" s="57"/>
      <c r="S715" s="58" t="s">
        <v>2725</v>
      </c>
      <c r="T715" s="57"/>
    </row>
    <row r="716" spans="1:20" s="44" customFormat="1" ht="25.05" customHeight="1" x14ac:dyDescent="0.3">
      <c r="A716" s="41">
        <v>1</v>
      </c>
      <c r="B716" s="41"/>
      <c r="C716" s="51" t="str">
        <f>VLOOKUP(F716,[1]VLOOKUP!$A$2:$B$35,2,FALSE)</f>
        <v>华南</v>
      </c>
      <c r="D716" s="57" t="s">
        <v>2726</v>
      </c>
      <c r="E716" s="57"/>
      <c r="F716" s="2" t="s">
        <v>377</v>
      </c>
      <c r="G716" s="2" t="s">
        <v>578</v>
      </c>
      <c r="H716" s="2"/>
      <c r="I716" s="57" t="s">
        <v>720</v>
      </c>
      <c r="J716" s="57" t="s">
        <v>377</v>
      </c>
      <c r="K716" s="57" t="s">
        <v>682</v>
      </c>
      <c r="L716" s="57" t="s">
        <v>780</v>
      </c>
      <c r="M716" s="57">
        <v>46136</v>
      </c>
      <c r="N716" s="57">
        <v>46136</v>
      </c>
      <c r="O716" s="57">
        <v>46165</v>
      </c>
      <c r="P716" s="57" t="s">
        <v>2727</v>
      </c>
      <c r="Q716" s="57" t="s">
        <v>857</v>
      </c>
      <c r="R716" s="57"/>
      <c r="S716" s="58" t="s">
        <v>2728</v>
      </c>
      <c r="T716" s="57"/>
    </row>
    <row r="717" spans="1:20" ht="25.05" customHeight="1" x14ac:dyDescent="0.3">
      <c r="A717" s="36"/>
      <c r="B717" s="36"/>
      <c r="C717" s="36"/>
      <c r="D717" s="60"/>
      <c r="E717" s="61"/>
      <c r="F717" s="3" t="s">
        <v>2729</v>
      </c>
      <c r="G717" s="3"/>
      <c r="H717" s="3"/>
      <c r="I717" s="60"/>
      <c r="J717" s="60"/>
      <c r="K717" s="60"/>
      <c r="L717" s="60"/>
      <c r="M717" s="60"/>
      <c r="N717" s="60"/>
      <c r="O717" s="60"/>
      <c r="P717" s="60"/>
      <c r="Q717" s="60"/>
      <c r="R717" s="60"/>
      <c r="S717" s="62"/>
      <c r="T717" s="60"/>
    </row>
    <row r="718" spans="1:20" s="44" customFormat="1" ht="25.05" customHeight="1" x14ac:dyDescent="0.3">
      <c r="A718" s="41">
        <v>1</v>
      </c>
      <c r="B718" s="41"/>
      <c r="C718" s="51" t="str">
        <f>VLOOKUP(F718,[1]VLOOKUP!$A$2:$B$35,2,FALSE)</f>
        <v>华南</v>
      </c>
      <c r="D718" s="41" t="s">
        <v>2730</v>
      </c>
      <c r="E718" s="41"/>
      <c r="F718" s="2" t="s">
        <v>2729</v>
      </c>
      <c r="G718" s="2"/>
      <c r="H718" s="2"/>
      <c r="I718" s="41" t="s">
        <v>474</v>
      </c>
      <c r="J718" s="41" t="s">
        <v>2729</v>
      </c>
      <c r="K718" s="41" t="s">
        <v>611</v>
      </c>
      <c r="L718" s="41" t="s">
        <v>600</v>
      </c>
      <c r="M718" s="42">
        <v>45460</v>
      </c>
      <c r="N718" s="42">
        <v>45460</v>
      </c>
      <c r="O718" s="42">
        <v>49674</v>
      </c>
      <c r="P718" s="41" t="s">
        <v>2731</v>
      </c>
      <c r="Q718" s="41" t="s">
        <v>2732</v>
      </c>
      <c r="R718" s="41"/>
      <c r="S718" s="43" t="s">
        <v>2733</v>
      </c>
      <c r="T718" s="41"/>
    </row>
    <row r="719" spans="1:20" s="44" customFormat="1" ht="25.05" customHeight="1" x14ac:dyDescent="0.3">
      <c r="A719" s="41">
        <v>1</v>
      </c>
      <c r="B719" s="41"/>
      <c r="C719" s="51" t="str">
        <f>VLOOKUP(F719,[1]VLOOKUP!$A$2:$B$35,2,FALSE)</f>
        <v>华南</v>
      </c>
      <c r="D719" s="41" t="s">
        <v>2734</v>
      </c>
      <c r="E719" s="41"/>
      <c r="F719" s="2" t="s">
        <v>2729</v>
      </c>
      <c r="G719" s="2"/>
      <c r="H719" s="2"/>
      <c r="I719" s="41" t="s">
        <v>474</v>
      </c>
      <c r="J719" s="41" t="s">
        <v>2729</v>
      </c>
      <c r="K719" s="41" t="s">
        <v>611</v>
      </c>
      <c r="L719" s="41" t="s">
        <v>600</v>
      </c>
      <c r="M719" s="42">
        <v>45611</v>
      </c>
      <c r="N719" s="42">
        <v>45611</v>
      </c>
      <c r="O719" s="42">
        <v>49674</v>
      </c>
      <c r="P719" s="41" t="s">
        <v>2735</v>
      </c>
      <c r="Q719" s="41" t="s">
        <v>2736</v>
      </c>
      <c r="R719" s="41"/>
      <c r="S719" s="43" t="s">
        <v>2737</v>
      </c>
      <c r="T719" s="41"/>
    </row>
    <row r="720" spans="1:20" ht="25.05" customHeight="1" x14ac:dyDescent="0.3">
      <c r="A720" s="36"/>
      <c r="B720" s="36"/>
      <c r="C720" s="36"/>
      <c r="D720" s="60"/>
      <c r="E720" s="61"/>
      <c r="F720" s="3" t="s">
        <v>338</v>
      </c>
      <c r="G720" s="3"/>
      <c r="H720" s="3"/>
      <c r="I720" s="60"/>
      <c r="J720" s="60"/>
      <c r="K720" s="60"/>
      <c r="L720" s="60"/>
      <c r="M720" s="60"/>
      <c r="N720" s="60"/>
      <c r="O720" s="60"/>
      <c r="P720" s="60"/>
      <c r="Q720" s="60"/>
      <c r="R720" s="60"/>
      <c r="S720" s="62"/>
      <c r="T720" s="60"/>
    </row>
    <row r="721" spans="1:20" s="44" customFormat="1" ht="25.05" customHeight="1" x14ac:dyDescent="0.3">
      <c r="A721" s="41">
        <v>1</v>
      </c>
      <c r="B721" s="41"/>
      <c r="C721" s="51" t="str">
        <f>VLOOKUP(F721,[1]VLOOKUP!$A$2:$B$35,2,FALSE)</f>
        <v>华南</v>
      </c>
      <c r="D721" s="41" t="s">
        <v>2738</v>
      </c>
      <c r="E721" s="41"/>
      <c r="F721" s="2" t="s">
        <v>338</v>
      </c>
      <c r="G721" s="2"/>
      <c r="H721" s="2"/>
      <c r="I721" s="41" t="s">
        <v>474</v>
      </c>
      <c r="J721" s="41" t="s">
        <v>338</v>
      </c>
      <c r="K721" s="41" t="s">
        <v>611</v>
      </c>
      <c r="L721" s="41" t="s">
        <v>600</v>
      </c>
      <c r="M721" s="42">
        <v>45288</v>
      </c>
      <c r="N721" s="42">
        <v>45299</v>
      </c>
      <c r="O721" s="42">
        <v>49674</v>
      </c>
      <c r="P721" s="41" t="s">
        <v>2739</v>
      </c>
      <c r="Q721" s="41" t="s">
        <v>2740</v>
      </c>
      <c r="R721" s="41" t="s">
        <v>2741</v>
      </c>
      <c r="S721" s="43" t="s">
        <v>2742</v>
      </c>
      <c r="T721" s="41"/>
    </row>
    <row r="722" spans="1:20" s="44" customFormat="1" ht="25.05" customHeight="1" x14ac:dyDescent="0.3">
      <c r="A722" s="41">
        <v>1</v>
      </c>
      <c r="B722" s="41"/>
      <c r="C722" s="51" t="str">
        <f>VLOOKUP(F722,[1]VLOOKUP!$A$2:$B$35,2,FALSE)</f>
        <v>华南</v>
      </c>
      <c r="D722" s="41" t="s">
        <v>2743</v>
      </c>
      <c r="E722" s="41"/>
      <c r="F722" s="2" t="s">
        <v>338</v>
      </c>
      <c r="G722" s="2"/>
      <c r="H722" s="2"/>
      <c r="I722" s="41" t="s">
        <v>474</v>
      </c>
      <c r="J722" s="41" t="s">
        <v>338</v>
      </c>
      <c r="K722" s="41" t="s">
        <v>682</v>
      </c>
      <c r="L722" s="41" t="s">
        <v>600</v>
      </c>
      <c r="M722" s="42">
        <v>44190</v>
      </c>
      <c r="N722" s="42">
        <v>44211</v>
      </c>
      <c r="O722" s="42">
        <v>46022</v>
      </c>
      <c r="P722" s="41" t="s">
        <v>2744</v>
      </c>
      <c r="Q722" s="41" t="s">
        <v>2745</v>
      </c>
      <c r="R722" s="41" t="s">
        <v>2746</v>
      </c>
      <c r="S722" s="43" t="s">
        <v>2747</v>
      </c>
      <c r="T722" s="41"/>
    </row>
    <row r="723" spans="1:20" s="44" customFormat="1" ht="25.05" customHeight="1" x14ac:dyDescent="0.3">
      <c r="A723" s="41">
        <v>1</v>
      </c>
      <c r="B723" s="41"/>
      <c r="C723" s="51" t="str">
        <f>VLOOKUP(F723,[1]VLOOKUP!$A$2:$B$35,2,FALSE)</f>
        <v>华南</v>
      </c>
      <c r="D723" s="52" t="s">
        <v>2748</v>
      </c>
      <c r="E723" s="52"/>
      <c r="F723" s="2" t="s">
        <v>338</v>
      </c>
      <c r="G723" s="2"/>
      <c r="H723" s="2"/>
      <c r="I723" s="52" t="s">
        <v>474</v>
      </c>
      <c r="J723" s="52" t="s">
        <v>338</v>
      </c>
      <c r="K723" s="52" t="s">
        <v>599</v>
      </c>
      <c r="L723" s="52" t="s">
        <v>663</v>
      </c>
      <c r="M723" s="52">
        <v>45330</v>
      </c>
      <c r="N723" s="52">
        <v>45330</v>
      </c>
      <c r="O723" s="52">
        <v>45657</v>
      </c>
      <c r="P723" s="52" t="s">
        <v>2749</v>
      </c>
      <c r="Q723" s="52" t="s">
        <v>2750</v>
      </c>
      <c r="R723" s="52" t="s">
        <v>2751</v>
      </c>
      <c r="S723" s="53" t="s">
        <v>2752</v>
      </c>
      <c r="T723" s="52"/>
    </row>
    <row r="724" spans="1:20" s="44" customFormat="1" ht="25.05" customHeight="1" x14ac:dyDescent="0.3">
      <c r="A724" s="41">
        <v>1</v>
      </c>
      <c r="B724" s="41"/>
      <c r="C724" s="51" t="str">
        <f>VLOOKUP(F724,[1]VLOOKUP!$A$2:$B$35,2,FALSE)</f>
        <v>华南</v>
      </c>
      <c r="D724" s="41" t="s">
        <v>2753</v>
      </c>
      <c r="E724" s="41"/>
      <c r="F724" s="2" t="s">
        <v>338</v>
      </c>
      <c r="G724" s="2"/>
      <c r="H724" s="2"/>
      <c r="I724" s="41" t="s">
        <v>474</v>
      </c>
      <c r="J724" s="41" t="s">
        <v>338</v>
      </c>
      <c r="K724" s="41" t="s">
        <v>599</v>
      </c>
      <c r="L724" s="41" t="s">
        <v>600</v>
      </c>
      <c r="M724" s="42">
        <v>45412</v>
      </c>
      <c r="N724" s="42">
        <v>45412</v>
      </c>
      <c r="O724" s="42">
        <v>45421</v>
      </c>
      <c r="P724" s="41" t="s">
        <v>2754</v>
      </c>
      <c r="Q724" s="41" t="s">
        <v>519</v>
      </c>
      <c r="R724" s="41" t="s">
        <v>2755</v>
      </c>
      <c r="S724" s="43" t="s">
        <v>2756</v>
      </c>
      <c r="T724" s="41"/>
    </row>
    <row r="725" spans="1:20" s="44" customFormat="1" ht="25.05" customHeight="1" x14ac:dyDescent="0.3">
      <c r="A725" s="41"/>
      <c r="B725" s="41"/>
      <c r="C725" s="41"/>
      <c r="D725" s="41" t="s">
        <v>2757</v>
      </c>
      <c r="E725" s="41"/>
      <c r="F725" s="2" t="s">
        <v>338</v>
      </c>
      <c r="G725" s="2"/>
      <c r="H725" s="2"/>
      <c r="I725" s="41" t="s">
        <v>474</v>
      </c>
      <c r="J725" s="41" t="s">
        <v>338</v>
      </c>
      <c r="K725" s="41" t="s">
        <v>599</v>
      </c>
      <c r="L725" s="41" t="s">
        <v>600</v>
      </c>
      <c r="M725" s="42">
        <v>45595</v>
      </c>
      <c r="N725" s="42">
        <v>45595</v>
      </c>
      <c r="O725" s="42">
        <v>45595</v>
      </c>
      <c r="P725" s="41" t="s">
        <v>2754</v>
      </c>
      <c r="Q725" s="41" t="s">
        <v>519</v>
      </c>
      <c r="R725" s="41" t="s">
        <v>2758</v>
      </c>
      <c r="S725" s="43" t="s">
        <v>2759</v>
      </c>
      <c r="T725" s="41"/>
    </row>
    <row r="726" spans="1:20" s="44" customFormat="1" ht="25.05" customHeight="1" x14ac:dyDescent="0.3">
      <c r="A726" s="41">
        <v>1</v>
      </c>
      <c r="B726" s="41"/>
      <c r="C726" s="51" t="str">
        <f>VLOOKUP(F726,[1]VLOOKUP!$A$2:$B$35,2,FALSE)</f>
        <v>华南</v>
      </c>
      <c r="D726" s="41" t="s">
        <v>2760</v>
      </c>
      <c r="E726" s="41"/>
      <c r="F726" s="2" t="s">
        <v>338</v>
      </c>
      <c r="G726" s="2"/>
      <c r="H726" s="2"/>
      <c r="I726" s="41" t="s">
        <v>474</v>
      </c>
      <c r="J726" s="41" t="s">
        <v>338</v>
      </c>
      <c r="K726" s="41" t="s">
        <v>599</v>
      </c>
      <c r="L726" s="41" t="s">
        <v>600</v>
      </c>
      <c r="M726" s="42">
        <v>45450</v>
      </c>
      <c r="N726" s="42">
        <v>45450</v>
      </c>
      <c r="O726" s="42">
        <v>45657</v>
      </c>
      <c r="P726" s="41" t="s">
        <v>2754</v>
      </c>
      <c r="Q726" s="41" t="s">
        <v>519</v>
      </c>
      <c r="R726" s="41" t="s">
        <v>2761</v>
      </c>
      <c r="S726" s="43" t="s">
        <v>2762</v>
      </c>
      <c r="T726" s="41"/>
    </row>
    <row r="727" spans="1:20" s="44" customFormat="1" ht="25.05" customHeight="1" x14ac:dyDescent="0.3">
      <c r="A727" s="41"/>
      <c r="B727" s="41"/>
      <c r="C727" s="41"/>
      <c r="D727" s="41" t="s">
        <v>2763</v>
      </c>
      <c r="E727" s="41"/>
      <c r="F727" s="2" t="s">
        <v>338</v>
      </c>
      <c r="G727" s="2"/>
      <c r="H727" s="2"/>
      <c r="I727" s="41" t="s">
        <v>474</v>
      </c>
      <c r="J727" s="41" t="s">
        <v>338</v>
      </c>
      <c r="K727" s="41" t="s">
        <v>605</v>
      </c>
      <c r="L727" s="41" t="s">
        <v>600</v>
      </c>
      <c r="M727" s="42">
        <v>45484</v>
      </c>
      <c r="N727" s="42">
        <v>45485</v>
      </c>
      <c r="O727" s="42">
        <v>45491</v>
      </c>
      <c r="P727" s="41" t="s">
        <v>2754</v>
      </c>
      <c r="Q727" s="41" t="s">
        <v>519</v>
      </c>
      <c r="R727" s="41" t="s">
        <v>2764</v>
      </c>
      <c r="S727" s="43" t="s">
        <v>2765</v>
      </c>
      <c r="T727" s="41"/>
    </row>
    <row r="728" spans="1:20" s="44" customFormat="1" ht="25.05" customHeight="1" x14ac:dyDescent="0.3">
      <c r="A728" s="41"/>
      <c r="B728" s="41"/>
      <c r="C728" s="41"/>
      <c r="D728" s="41" t="s">
        <v>2766</v>
      </c>
      <c r="E728" s="41"/>
      <c r="F728" s="2" t="s">
        <v>338</v>
      </c>
      <c r="G728" s="2"/>
      <c r="H728" s="2"/>
      <c r="I728" s="41" t="s">
        <v>474</v>
      </c>
      <c r="J728" s="41" t="s">
        <v>338</v>
      </c>
      <c r="K728" s="41" t="s">
        <v>605</v>
      </c>
      <c r="L728" s="41" t="s">
        <v>600</v>
      </c>
      <c r="M728" s="42">
        <v>45610</v>
      </c>
      <c r="N728" s="42">
        <v>45610</v>
      </c>
      <c r="O728" s="42">
        <v>45616</v>
      </c>
      <c r="P728" s="41" t="s">
        <v>2754</v>
      </c>
      <c r="Q728" s="41" t="s">
        <v>519</v>
      </c>
      <c r="R728" s="41" t="s">
        <v>2767</v>
      </c>
      <c r="S728" s="43" t="s">
        <v>2768</v>
      </c>
      <c r="T728" s="41"/>
    </row>
    <row r="729" spans="1:20" s="44" customFormat="1" ht="25.05" customHeight="1" x14ac:dyDescent="0.3">
      <c r="A729" s="41"/>
      <c r="B729" s="41"/>
      <c r="C729" s="41"/>
      <c r="D729" s="41" t="s">
        <v>2769</v>
      </c>
      <c r="E729" s="41"/>
      <c r="F729" s="2" t="s">
        <v>338</v>
      </c>
      <c r="G729" s="2"/>
      <c r="H729" s="2"/>
      <c r="I729" s="41" t="s">
        <v>474</v>
      </c>
      <c r="J729" s="41" t="s">
        <v>338</v>
      </c>
      <c r="K729" s="41" t="s">
        <v>605</v>
      </c>
      <c r="L729" s="41" t="s">
        <v>600</v>
      </c>
      <c r="M729" s="42">
        <v>45642</v>
      </c>
      <c r="N729" s="42">
        <v>45642</v>
      </c>
      <c r="O729" s="42">
        <v>45646</v>
      </c>
      <c r="P729" s="41" t="s">
        <v>2754</v>
      </c>
      <c r="Q729" s="41" t="s">
        <v>519</v>
      </c>
      <c r="R729" s="41" t="s">
        <v>2770</v>
      </c>
      <c r="S729" s="43" t="s">
        <v>2771</v>
      </c>
      <c r="T729" s="41"/>
    </row>
    <row r="730" spans="1:20" s="44" customFormat="1" ht="25.05" customHeight="1" x14ac:dyDescent="0.3">
      <c r="A730" s="41"/>
      <c r="B730" s="41"/>
      <c r="C730" s="41"/>
      <c r="D730" s="41" t="s">
        <v>2772</v>
      </c>
      <c r="E730" s="41"/>
      <c r="F730" s="2" t="s">
        <v>338</v>
      </c>
      <c r="G730" s="2"/>
      <c r="H730" s="2"/>
      <c r="I730" s="41" t="s">
        <v>474</v>
      </c>
      <c r="J730" s="41" t="s">
        <v>338</v>
      </c>
      <c r="K730" s="41" t="s">
        <v>605</v>
      </c>
      <c r="L730" s="41" t="s">
        <v>600</v>
      </c>
      <c r="M730" s="42">
        <v>45757</v>
      </c>
      <c r="N730" s="42">
        <v>45757</v>
      </c>
      <c r="O730" s="42">
        <v>45763</v>
      </c>
      <c r="P730" s="41" t="s">
        <v>2754</v>
      </c>
      <c r="Q730" s="41" t="s">
        <v>519</v>
      </c>
      <c r="R730" s="41" t="s">
        <v>2773</v>
      </c>
      <c r="S730" s="43" t="s">
        <v>2774</v>
      </c>
      <c r="T730" s="41"/>
    </row>
    <row r="731" spans="1:20" s="44" customFormat="1" ht="25.05" customHeight="1" x14ac:dyDescent="0.3">
      <c r="A731" s="41">
        <v>1</v>
      </c>
      <c r="B731" s="41"/>
      <c r="C731" s="51" t="str">
        <f>VLOOKUP(F731,[1]VLOOKUP!$A$2:$B$35,2,FALSE)</f>
        <v>华南</v>
      </c>
      <c r="D731" s="41" t="s">
        <v>2775</v>
      </c>
      <c r="E731" s="41"/>
      <c r="F731" s="2" t="s">
        <v>338</v>
      </c>
      <c r="G731" s="2"/>
      <c r="H731" s="2"/>
      <c r="I731" s="41" t="s">
        <v>474</v>
      </c>
      <c r="J731" s="41" t="s">
        <v>338</v>
      </c>
      <c r="K731" s="41" t="s">
        <v>599</v>
      </c>
      <c r="L731" s="41" t="s">
        <v>600</v>
      </c>
      <c r="M731" s="42">
        <v>46009</v>
      </c>
      <c r="N731" s="42">
        <v>46009</v>
      </c>
      <c r="O731" s="42">
        <v>46022</v>
      </c>
      <c r="P731" s="41" t="s">
        <v>2749</v>
      </c>
      <c r="Q731" s="41" t="s">
        <v>2750</v>
      </c>
      <c r="R731" s="41" t="s">
        <v>2776</v>
      </c>
      <c r="S731" s="43" t="s">
        <v>2777</v>
      </c>
      <c r="T731" s="41"/>
    </row>
    <row r="732" spans="1:20" s="44" customFormat="1" ht="25.05" customHeight="1" x14ac:dyDescent="0.3">
      <c r="A732" s="41">
        <v>1</v>
      </c>
      <c r="B732" s="41"/>
      <c r="C732" s="51" t="str">
        <f>VLOOKUP(F732,[1]VLOOKUP!$A$2:$B$35,2,FALSE)</f>
        <v>华南</v>
      </c>
      <c r="D732" s="41" t="s">
        <v>2778</v>
      </c>
      <c r="E732" s="41"/>
      <c r="F732" s="2" t="s">
        <v>338</v>
      </c>
      <c r="G732" s="2"/>
      <c r="H732" s="2"/>
      <c r="I732" s="41" t="s">
        <v>474</v>
      </c>
      <c r="J732" s="41" t="s">
        <v>338</v>
      </c>
      <c r="K732" s="41" t="s">
        <v>599</v>
      </c>
      <c r="L732" s="41" t="s">
        <v>600</v>
      </c>
      <c r="M732" s="42">
        <v>46132</v>
      </c>
      <c r="N732" s="42">
        <v>46132</v>
      </c>
      <c r="O732" s="42">
        <v>46132</v>
      </c>
      <c r="P732" s="41" t="s">
        <v>2754</v>
      </c>
      <c r="Q732" s="41" t="s">
        <v>519</v>
      </c>
      <c r="R732" s="41"/>
      <c r="S732" s="43" t="s">
        <v>2779</v>
      </c>
      <c r="T732" s="41"/>
    </row>
    <row r="733" spans="1:20" s="44" customFormat="1" ht="25.05" customHeight="1" x14ac:dyDescent="0.3">
      <c r="A733" s="41">
        <v>1</v>
      </c>
      <c r="B733" s="41"/>
      <c r="C733" s="51" t="str">
        <f>VLOOKUP(F733,[1]VLOOKUP!$A$2:$B$35,2,FALSE)</f>
        <v>华南</v>
      </c>
      <c r="D733" s="41" t="s">
        <v>2780</v>
      </c>
      <c r="E733" s="41"/>
      <c r="F733" s="2" t="s">
        <v>338</v>
      </c>
      <c r="G733" s="2" t="s">
        <v>344</v>
      </c>
      <c r="H733" s="2"/>
      <c r="I733" s="41" t="s">
        <v>720</v>
      </c>
      <c r="J733" s="41" t="s">
        <v>338</v>
      </c>
      <c r="K733" s="41" t="s">
        <v>611</v>
      </c>
      <c r="L733" s="41" t="s">
        <v>600</v>
      </c>
      <c r="M733" s="42">
        <v>45379</v>
      </c>
      <c r="N733" s="42">
        <v>45380</v>
      </c>
      <c r="O733" s="42">
        <v>46022</v>
      </c>
      <c r="P733" s="41" t="s">
        <v>2781</v>
      </c>
      <c r="Q733" s="41" t="s">
        <v>2782</v>
      </c>
      <c r="R733" s="41" t="s">
        <v>2783</v>
      </c>
      <c r="S733" s="43" t="s">
        <v>2784</v>
      </c>
      <c r="T733" s="41"/>
    </row>
    <row r="734" spans="1:20" ht="25.05" customHeight="1" x14ac:dyDescent="0.3">
      <c r="A734" s="36"/>
      <c r="B734" s="36"/>
      <c r="C734" s="36"/>
      <c r="D734" s="60"/>
      <c r="E734" s="61"/>
      <c r="F734" s="3" t="s">
        <v>572</v>
      </c>
      <c r="G734" s="3"/>
      <c r="H734" s="3"/>
      <c r="I734" s="60"/>
      <c r="J734" s="60"/>
      <c r="K734" s="60"/>
      <c r="L734" s="60"/>
      <c r="M734" s="60"/>
      <c r="N734" s="60"/>
      <c r="O734" s="60"/>
      <c r="P734" s="60"/>
      <c r="Q734" s="60"/>
      <c r="R734" s="60"/>
      <c r="S734" s="62"/>
      <c r="T734" s="60"/>
    </row>
    <row r="735" spans="1:20" s="44" customFormat="1" ht="25.05" customHeight="1" x14ac:dyDescent="0.3">
      <c r="A735" s="41">
        <v>1</v>
      </c>
      <c r="B735" s="41"/>
      <c r="C735" s="51" t="str">
        <f>VLOOKUP(F735,[1]VLOOKUP!$A$2:$B$35,2,FALSE)</f>
        <v>西南</v>
      </c>
      <c r="D735" s="52" t="s">
        <v>2785</v>
      </c>
      <c r="E735" s="52"/>
      <c r="F735" s="2" t="s">
        <v>572</v>
      </c>
      <c r="G735" s="2"/>
      <c r="H735" s="2"/>
      <c r="I735" s="52" t="s">
        <v>474</v>
      </c>
      <c r="J735" s="52" t="s">
        <v>572</v>
      </c>
      <c r="K735" s="52" t="s">
        <v>611</v>
      </c>
      <c r="L735" s="52" t="s">
        <v>663</v>
      </c>
      <c r="M735" s="52">
        <v>43907</v>
      </c>
      <c r="N735" s="52">
        <v>43910</v>
      </c>
      <c r="O735" s="52">
        <v>46045</v>
      </c>
      <c r="P735" s="52" t="s">
        <v>2786</v>
      </c>
      <c r="Q735" s="52" t="s">
        <v>645</v>
      </c>
      <c r="R735" s="52" t="s">
        <v>2787</v>
      </c>
      <c r="S735" s="53" t="s">
        <v>2788</v>
      </c>
      <c r="T735" s="52"/>
    </row>
    <row r="736" spans="1:20" s="44" customFormat="1" ht="25.05" customHeight="1" x14ac:dyDescent="0.3">
      <c r="A736" s="41">
        <v>1</v>
      </c>
      <c r="B736" s="41"/>
      <c r="C736" s="51" t="str">
        <f>VLOOKUP(F736,[1]VLOOKUP!$A$2:$B$35,2,FALSE)</f>
        <v>西南</v>
      </c>
      <c r="D736" s="41" t="s">
        <v>2789</v>
      </c>
      <c r="E736" s="41"/>
      <c r="F736" s="2" t="s">
        <v>572</v>
      </c>
      <c r="G736" s="2"/>
      <c r="H736" s="2"/>
      <c r="I736" s="41" t="s">
        <v>474</v>
      </c>
      <c r="J736" s="41" t="s">
        <v>572</v>
      </c>
      <c r="K736" s="41" t="s">
        <v>611</v>
      </c>
      <c r="L736" s="41" t="s">
        <v>600</v>
      </c>
      <c r="M736" s="42">
        <v>46006</v>
      </c>
      <c r="N736" s="42">
        <v>46007</v>
      </c>
      <c r="O736" s="42">
        <v>49674</v>
      </c>
      <c r="P736" s="41" t="s">
        <v>2786</v>
      </c>
      <c r="Q736" s="41" t="s">
        <v>645</v>
      </c>
      <c r="R736" s="41" t="s">
        <v>2790</v>
      </c>
      <c r="S736" s="43" t="s">
        <v>2791</v>
      </c>
      <c r="T736" s="41"/>
    </row>
    <row r="737" spans="1:20" s="44" customFormat="1" ht="25.05" customHeight="1" x14ac:dyDescent="0.3">
      <c r="A737" s="41"/>
      <c r="B737" s="41"/>
      <c r="C737" s="41"/>
      <c r="D737" s="47" t="s">
        <v>2792</v>
      </c>
      <c r="E737" s="47"/>
      <c r="F737" s="2" t="s">
        <v>572</v>
      </c>
      <c r="G737" s="2"/>
      <c r="H737" s="2"/>
      <c r="I737" s="47" t="s">
        <v>474</v>
      </c>
      <c r="J737" s="47" t="s">
        <v>572</v>
      </c>
      <c r="K737" s="47" t="s">
        <v>682</v>
      </c>
      <c r="L737" s="47" t="s">
        <v>606</v>
      </c>
      <c r="M737" s="47"/>
      <c r="N737" s="47"/>
      <c r="O737" s="47"/>
      <c r="P737" s="47" t="s">
        <v>2786</v>
      </c>
      <c r="Q737" s="47" t="s">
        <v>645</v>
      </c>
      <c r="R737" s="47" t="s">
        <v>2793</v>
      </c>
      <c r="S737" s="64"/>
      <c r="T737" s="47"/>
    </row>
    <row r="738" spans="1:20" s="44" customFormat="1" ht="25.05" customHeight="1" x14ac:dyDescent="0.3">
      <c r="A738" s="41">
        <v>1</v>
      </c>
      <c r="B738" s="41"/>
      <c r="C738" s="51" t="str">
        <f>VLOOKUP(F738,[1]VLOOKUP!$A$2:$B$35,2,FALSE)</f>
        <v>西南</v>
      </c>
      <c r="D738" s="52" t="s">
        <v>2794</v>
      </c>
      <c r="E738" s="52"/>
      <c r="F738" s="2" t="s">
        <v>572</v>
      </c>
      <c r="G738" s="2"/>
      <c r="H738" s="2"/>
      <c r="I738" s="52" t="s">
        <v>474</v>
      </c>
      <c r="J738" s="52" t="s">
        <v>572</v>
      </c>
      <c r="K738" s="52" t="s">
        <v>605</v>
      </c>
      <c r="L738" s="52" t="s">
        <v>663</v>
      </c>
      <c r="M738" s="52">
        <v>44518</v>
      </c>
      <c r="N738" s="52">
        <v>44518</v>
      </c>
      <c r="O738" s="52">
        <v>45291</v>
      </c>
      <c r="P738" s="52" t="s">
        <v>2795</v>
      </c>
      <c r="Q738" s="52" t="s">
        <v>724</v>
      </c>
      <c r="R738" s="52" t="s">
        <v>2796</v>
      </c>
      <c r="S738" s="53" t="s">
        <v>2797</v>
      </c>
      <c r="T738" s="52"/>
    </row>
    <row r="739" spans="1:20" s="44" customFormat="1" ht="25.05" customHeight="1" x14ac:dyDescent="0.3">
      <c r="A739" s="41">
        <v>1</v>
      </c>
      <c r="B739" s="41"/>
      <c r="C739" s="51" t="str">
        <f>VLOOKUP(F739,[1]VLOOKUP!$A$2:$B$35,2,FALSE)</f>
        <v>西南</v>
      </c>
      <c r="D739" s="54" t="s">
        <v>2798</v>
      </c>
      <c r="E739" s="54"/>
      <c r="F739" s="2" t="s">
        <v>572</v>
      </c>
      <c r="G739" s="2"/>
      <c r="H739" s="2"/>
      <c r="I739" s="54" t="s">
        <v>474</v>
      </c>
      <c r="J739" s="54" t="s">
        <v>572</v>
      </c>
      <c r="K739" s="54" t="s">
        <v>605</v>
      </c>
      <c r="L739" s="54" t="s">
        <v>600</v>
      </c>
      <c r="M739" s="54">
        <v>45499</v>
      </c>
      <c r="N739" s="54">
        <v>45499</v>
      </c>
      <c r="O739" s="54">
        <v>45657</v>
      </c>
      <c r="P739" s="54" t="s">
        <v>2799</v>
      </c>
      <c r="Q739" s="54" t="s">
        <v>2800</v>
      </c>
      <c r="R739" s="54" t="s">
        <v>2801</v>
      </c>
      <c r="S739" s="55" t="s">
        <v>2802</v>
      </c>
      <c r="T739" s="54"/>
    </row>
    <row r="740" spans="1:20" s="44" customFormat="1" ht="25.05" customHeight="1" x14ac:dyDescent="0.3">
      <c r="A740" s="41">
        <v>1</v>
      </c>
      <c r="B740" s="41"/>
      <c r="C740" s="51" t="str">
        <f>VLOOKUP(F740,[1]VLOOKUP!$A$2:$B$35,2,FALSE)</f>
        <v>西南</v>
      </c>
      <c r="D740" s="41" t="s">
        <v>2803</v>
      </c>
      <c r="E740" s="41"/>
      <c r="F740" s="2" t="s">
        <v>572</v>
      </c>
      <c r="G740" s="2"/>
      <c r="H740" s="2"/>
      <c r="I740" s="41" t="s">
        <v>474</v>
      </c>
      <c r="J740" s="41" t="s">
        <v>572</v>
      </c>
      <c r="K740" s="41" t="s">
        <v>605</v>
      </c>
      <c r="L740" s="41" t="s">
        <v>600</v>
      </c>
      <c r="M740" s="42">
        <v>45891</v>
      </c>
      <c r="N740" s="42">
        <v>45891</v>
      </c>
      <c r="O740" s="42">
        <v>46022</v>
      </c>
      <c r="P740" s="41" t="s">
        <v>2804</v>
      </c>
      <c r="Q740" s="41" t="s">
        <v>2800</v>
      </c>
      <c r="R740" s="41" t="s">
        <v>2805</v>
      </c>
      <c r="S740" s="43" t="s">
        <v>2806</v>
      </c>
      <c r="T740" s="41"/>
    </row>
    <row r="741" spans="1:20" s="44" customFormat="1" ht="25.05" customHeight="1" x14ac:dyDescent="0.3">
      <c r="A741" s="41">
        <v>1</v>
      </c>
      <c r="B741" s="41"/>
      <c r="C741" s="51" t="str">
        <f>VLOOKUP(F741,[1]VLOOKUP!$A$2:$B$35,2,FALSE)</f>
        <v>西南</v>
      </c>
      <c r="D741" s="57" t="s">
        <v>2807</v>
      </c>
      <c r="E741" s="57"/>
      <c r="F741" s="2" t="s">
        <v>572</v>
      </c>
      <c r="G741" s="2"/>
      <c r="H741" s="2"/>
      <c r="I741" s="57" t="s">
        <v>474</v>
      </c>
      <c r="J741" s="57" t="s">
        <v>572</v>
      </c>
      <c r="K741" s="57" t="s">
        <v>682</v>
      </c>
      <c r="L741" s="57" t="s">
        <v>780</v>
      </c>
      <c r="M741" s="57">
        <v>45979</v>
      </c>
      <c r="N741" s="57">
        <v>45980</v>
      </c>
      <c r="O741" s="57">
        <v>46009</v>
      </c>
      <c r="P741" s="57" t="s">
        <v>2786</v>
      </c>
      <c r="Q741" s="57" t="s">
        <v>645</v>
      </c>
      <c r="R741" s="57"/>
      <c r="S741" s="58" t="s">
        <v>2808</v>
      </c>
      <c r="T741" s="57"/>
    </row>
    <row r="742" spans="1:20" s="44" customFormat="1" ht="25.05" customHeight="1" x14ac:dyDescent="0.3">
      <c r="A742" s="41">
        <v>1</v>
      </c>
      <c r="B742" s="41"/>
      <c r="C742" s="51" t="str">
        <f>VLOOKUP(F742,[1]VLOOKUP!$A$2:$B$35,2,FALSE)</f>
        <v>西南</v>
      </c>
      <c r="D742" s="41" t="s">
        <v>2809</v>
      </c>
      <c r="E742" s="41"/>
      <c r="F742" s="2" t="s">
        <v>572</v>
      </c>
      <c r="G742" s="2"/>
      <c r="H742" s="2"/>
      <c r="I742" s="41" t="s">
        <v>474</v>
      </c>
      <c r="J742" s="41" t="s">
        <v>572</v>
      </c>
      <c r="K742" s="41" t="s">
        <v>852</v>
      </c>
      <c r="L742" s="41" t="s">
        <v>600</v>
      </c>
      <c r="M742" s="42">
        <v>45975</v>
      </c>
      <c r="N742" s="42">
        <v>45982</v>
      </c>
      <c r="O742" s="42">
        <v>49674</v>
      </c>
      <c r="P742" s="41" t="s">
        <v>2810</v>
      </c>
      <c r="Q742" s="41" t="s">
        <v>857</v>
      </c>
      <c r="R742" s="41"/>
      <c r="S742" s="43" t="s">
        <v>2811</v>
      </c>
      <c r="T742" s="41"/>
    </row>
    <row r="743" spans="1:20" s="44" customFormat="1" ht="25.05" customHeight="1" x14ac:dyDescent="0.3">
      <c r="A743" s="41"/>
      <c r="B743" s="41"/>
      <c r="C743" s="41"/>
      <c r="D743" s="47" t="s">
        <v>2812</v>
      </c>
      <c r="E743" s="47"/>
      <c r="F743" s="2" t="s">
        <v>572</v>
      </c>
      <c r="G743" s="2"/>
      <c r="H743" s="2"/>
      <c r="I743" s="47" t="s">
        <v>474</v>
      </c>
      <c r="J743" s="47" t="s">
        <v>572</v>
      </c>
      <c r="K743" s="47" t="s">
        <v>611</v>
      </c>
      <c r="L743" s="47" t="s">
        <v>606</v>
      </c>
      <c r="M743" s="47"/>
      <c r="N743" s="47"/>
      <c r="O743" s="47"/>
      <c r="P743" s="47" t="s">
        <v>2786</v>
      </c>
      <c r="Q743" s="47" t="s">
        <v>645</v>
      </c>
      <c r="R743" s="47" t="s">
        <v>2813</v>
      </c>
      <c r="S743" s="64"/>
      <c r="T743" s="47"/>
    </row>
    <row r="744" spans="1:20" s="44" customFormat="1" ht="25.05" customHeight="1" x14ac:dyDescent="0.3">
      <c r="A744" s="41">
        <v>1</v>
      </c>
      <c r="B744" s="41"/>
      <c r="C744" s="51" t="str">
        <f>VLOOKUP(F744,[1]VLOOKUP!$A$2:$B$35,2,FALSE)</f>
        <v>西南</v>
      </c>
      <c r="D744" s="54" t="s">
        <v>2814</v>
      </c>
      <c r="E744" s="54"/>
      <c r="F744" s="2" t="s">
        <v>572</v>
      </c>
      <c r="G744" s="2"/>
      <c r="H744" s="2"/>
      <c r="I744" s="54" t="s">
        <v>474</v>
      </c>
      <c r="J744" s="54" t="s">
        <v>572</v>
      </c>
      <c r="K744" s="54" t="s">
        <v>599</v>
      </c>
      <c r="L744" s="54" t="s">
        <v>600</v>
      </c>
      <c r="M744" s="54">
        <v>44272</v>
      </c>
      <c r="N744" s="54">
        <v>44272</v>
      </c>
      <c r="O744" s="54">
        <v>44277</v>
      </c>
      <c r="P744" s="54" t="s">
        <v>2786</v>
      </c>
      <c r="Q744" s="54" t="s">
        <v>645</v>
      </c>
      <c r="R744" s="54"/>
      <c r="S744" s="55" t="s">
        <v>2815</v>
      </c>
      <c r="T744" s="54"/>
    </row>
    <row r="745" spans="1:20" s="44" customFormat="1" ht="25.05" customHeight="1" x14ac:dyDescent="0.3">
      <c r="A745" s="41">
        <v>1</v>
      </c>
      <c r="B745" s="41"/>
      <c r="C745" s="51" t="str">
        <f>VLOOKUP(F745,[1]VLOOKUP!$A$2:$B$35,2,FALSE)</f>
        <v>西南</v>
      </c>
      <c r="D745" s="54" t="s">
        <v>2816</v>
      </c>
      <c r="E745" s="54"/>
      <c r="F745" s="2" t="s">
        <v>572</v>
      </c>
      <c r="G745" s="2"/>
      <c r="H745" s="2"/>
      <c r="I745" s="54" t="s">
        <v>474</v>
      </c>
      <c r="J745" s="54" t="s">
        <v>572</v>
      </c>
      <c r="K745" s="54" t="s">
        <v>599</v>
      </c>
      <c r="L745" s="54" t="s">
        <v>600</v>
      </c>
      <c r="M745" s="54">
        <v>44427</v>
      </c>
      <c r="N745" s="54">
        <v>44427</v>
      </c>
      <c r="O745" s="54">
        <v>44433</v>
      </c>
      <c r="P745" s="54" t="s">
        <v>2786</v>
      </c>
      <c r="Q745" s="54" t="s">
        <v>645</v>
      </c>
      <c r="R745" s="54"/>
      <c r="S745" s="55" t="s">
        <v>2817</v>
      </c>
      <c r="T745" s="54"/>
    </row>
    <row r="746" spans="1:20" s="44" customFormat="1" ht="25.05" customHeight="1" x14ac:dyDescent="0.3">
      <c r="A746" s="41">
        <v>1</v>
      </c>
      <c r="B746" s="41"/>
      <c r="C746" s="51" t="str">
        <f>VLOOKUP(F746,[1]VLOOKUP!$A$2:$B$35,2,FALSE)</f>
        <v>西南</v>
      </c>
      <c r="D746" s="54" t="s">
        <v>2818</v>
      </c>
      <c r="E746" s="54"/>
      <c r="F746" s="2" t="s">
        <v>572</v>
      </c>
      <c r="G746" s="2"/>
      <c r="H746" s="2"/>
      <c r="I746" s="54" t="s">
        <v>474</v>
      </c>
      <c r="J746" s="54" t="s">
        <v>572</v>
      </c>
      <c r="K746" s="54" t="s">
        <v>599</v>
      </c>
      <c r="L746" s="54" t="s">
        <v>600</v>
      </c>
      <c r="M746" s="54">
        <v>44643</v>
      </c>
      <c r="N746" s="54">
        <v>44644</v>
      </c>
      <c r="O746" s="54">
        <v>44650</v>
      </c>
      <c r="P746" s="54" t="s">
        <v>2786</v>
      </c>
      <c r="Q746" s="54" t="s">
        <v>645</v>
      </c>
      <c r="R746" s="54"/>
      <c r="S746" s="55" t="s">
        <v>2819</v>
      </c>
      <c r="T746" s="54"/>
    </row>
    <row r="747" spans="1:20" s="44" customFormat="1" ht="25.05" customHeight="1" x14ac:dyDescent="0.3">
      <c r="A747" s="41">
        <v>1</v>
      </c>
      <c r="B747" s="41"/>
      <c r="C747" s="51" t="str">
        <f>VLOOKUP(F747,[1]VLOOKUP!$A$2:$B$35,2,FALSE)</f>
        <v>西南</v>
      </c>
      <c r="D747" s="54" t="s">
        <v>2820</v>
      </c>
      <c r="E747" s="54"/>
      <c r="F747" s="2" t="s">
        <v>572</v>
      </c>
      <c r="G747" s="2"/>
      <c r="H747" s="2"/>
      <c r="I747" s="54" t="s">
        <v>474</v>
      </c>
      <c r="J747" s="54" t="s">
        <v>572</v>
      </c>
      <c r="K747" s="54" t="s">
        <v>599</v>
      </c>
      <c r="L747" s="54" t="s">
        <v>600</v>
      </c>
      <c r="M747" s="54">
        <v>44778</v>
      </c>
      <c r="N747" s="54">
        <v>44778</v>
      </c>
      <c r="O747" s="54">
        <v>44783</v>
      </c>
      <c r="P747" s="54" t="s">
        <v>2786</v>
      </c>
      <c r="Q747" s="54" t="s">
        <v>645</v>
      </c>
      <c r="R747" s="54"/>
      <c r="S747" s="55" t="s">
        <v>2821</v>
      </c>
      <c r="T747" s="54"/>
    </row>
    <row r="748" spans="1:20" s="44" customFormat="1" ht="25.05" customHeight="1" x14ac:dyDescent="0.3">
      <c r="A748" s="41">
        <v>1</v>
      </c>
      <c r="B748" s="41"/>
      <c r="C748" s="51" t="str">
        <f>VLOOKUP(F748,[1]VLOOKUP!$A$2:$B$35,2,FALSE)</f>
        <v>西南</v>
      </c>
      <c r="D748" s="54" t="s">
        <v>2822</v>
      </c>
      <c r="E748" s="54"/>
      <c r="F748" s="2" t="s">
        <v>572</v>
      </c>
      <c r="G748" s="2"/>
      <c r="H748" s="2"/>
      <c r="I748" s="54" t="s">
        <v>474</v>
      </c>
      <c r="J748" s="54" t="s">
        <v>572</v>
      </c>
      <c r="K748" s="54" t="s">
        <v>599</v>
      </c>
      <c r="L748" s="54" t="s">
        <v>600</v>
      </c>
      <c r="M748" s="54">
        <v>44874</v>
      </c>
      <c r="N748" s="54">
        <v>44876</v>
      </c>
      <c r="O748" s="54">
        <v>44879</v>
      </c>
      <c r="P748" s="54" t="s">
        <v>2786</v>
      </c>
      <c r="Q748" s="54" t="s">
        <v>645</v>
      </c>
      <c r="R748" s="54"/>
      <c r="S748" s="55" t="s">
        <v>2823</v>
      </c>
      <c r="T748" s="54"/>
    </row>
    <row r="749" spans="1:20" s="44" customFormat="1" ht="25.05" customHeight="1" x14ac:dyDescent="0.3">
      <c r="A749" s="41">
        <v>1</v>
      </c>
      <c r="B749" s="41"/>
      <c r="C749" s="51" t="str">
        <f>VLOOKUP(F749,[1]VLOOKUP!$A$2:$B$35,2,FALSE)</f>
        <v>西南</v>
      </c>
      <c r="D749" s="54" t="s">
        <v>2824</v>
      </c>
      <c r="E749" s="54"/>
      <c r="F749" s="2" t="s">
        <v>572</v>
      </c>
      <c r="G749" s="2"/>
      <c r="H749" s="2"/>
      <c r="I749" s="54" t="s">
        <v>474</v>
      </c>
      <c r="J749" s="54" t="s">
        <v>572</v>
      </c>
      <c r="K749" s="54" t="s">
        <v>599</v>
      </c>
      <c r="L749" s="54" t="s">
        <v>600</v>
      </c>
      <c r="M749" s="54">
        <v>44998</v>
      </c>
      <c r="N749" s="54">
        <v>44999</v>
      </c>
      <c r="O749" s="54">
        <v>45005</v>
      </c>
      <c r="P749" s="54" t="s">
        <v>2786</v>
      </c>
      <c r="Q749" s="54" t="s">
        <v>645</v>
      </c>
      <c r="R749" s="54"/>
      <c r="S749" s="55" t="s">
        <v>2825</v>
      </c>
      <c r="T749" s="54"/>
    </row>
    <row r="750" spans="1:20" s="44" customFormat="1" ht="25.05" customHeight="1" x14ac:dyDescent="0.3">
      <c r="A750" s="41">
        <v>1</v>
      </c>
      <c r="B750" s="41"/>
      <c r="C750" s="51" t="str">
        <f>VLOOKUP(F750,[1]VLOOKUP!$A$2:$B$35,2,FALSE)</f>
        <v>西南</v>
      </c>
      <c r="D750" s="54" t="s">
        <v>2826</v>
      </c>
      <c r="E750" s="54"/>
      <c r="F750" s="2" t="s">
        <v>572</v>
      </c>
      <c r="G750" s="2"/>
      <c r="H750" s="2"/>
      <c r="I750" s="54" t="s">
        <v>474</v>
      </c>
      <c r="J750" s="54" t="s">
        <v>572</v>
      </c>
      <c r="K750" s="54" t="s">
        <v>599</v>
      </c>
      <c r="L750" s="54" t="s">
        <v>600</v>
      </c>
      <c r="M750" s="54">
        <v>45039</v>
      </c>
      <c r="N750" s="54">
        <v>45039</v>
      </c>
      <c r="O750" s="54">
        <v>45043</v>
      </c>
      <c r="P750" s="54" t="s">
        <v>2786</v>
      </c>
      <c r="Q750" s="54" t="s">
        <v>645</v>
      </c>
      <c r="R750" s="54"/>
      <c r="S750" s="55" t="s">
        <v>2827</v>
      </c>
      <c r="T750" s="54"/>
    </row>
    <row r="751" spans="1:20" s="44" customFormat="1" ht="25.05" customHeight="1" x14ac:dyDescent="0.3">
      <c r="A751" s="41">
        <v>1</v>
      </c>
      <c r="B751" s="41"/>
      <c r="C751" s="51" t="str">
        <f>VLOOKUP(F751,[1]VLOOKUP!$A$2:$B$35,2,FALSE)</f>
        <v>西南</v>
      </c>
      <c r="D751" s="54" t="s">
        <v>2828</v>
      </c>
      <c r="E751" s="54"/>
      <c r="F751" s="2" t="s">
        <v>572</v>
      </c>
      <c r="G751" s="2"/>
      <c r="H751" s="2"/>
      <c r="I751" s="54" t="s">
        <v>474</v>
      </c>
      <c r="J751" s="54" t="s">
        <v>572</v>
      </c>
      <c r="K751" s="54" t="s">
        <v>599</v>
      </c>
      <c r="L751" s="54" t="s">
        <v>600</v>
      </c>
      <c r="M751" s="54">
        <v>45273</v>
      </c>
      <c r="N751" s="54">
        <v>45273</v>
      </c>
      <c r="O751" s="54">
        <v>45279</v>
      </c>
      <c r="P751" s="54" t="s">
        <v>2786</v>
      </c>
      <c r="Q751" s="54" t="s">
        <v>645</v>
      </c>
      <c r="R751" s="54"/>
      <c r="S751" s="55" t="s">
        <v>2829</v>
      </c>
      <c r="T751" s="54"/>
    </row>
    <row r="752" spans="1:20" s="44" customFormat="1" ht="25.05" customHeight="1" x14ac:dyDescent="0.3">
      <c r="A752" s="41">
        <v>1</v>
      </c>
      <c r="B752" s="41"/>
      <c r="C752" s="51" t="str">
        <f>VLOOKUP(F752,[1]VLOOKUP!$A$2:$B$35,2,FALSE)</f>
        <v>西南</v>
      </c>
      <c r="D752" s="54" t="s">
        <v>2830</v>
      </c>
      <c r="E752" s="54"/>
      <c r="F752" s="2" t="s">
        <v>572</v>
      </c>
      <c r="G752" s="2"/>
      <c r="H752" s="2"/>
      <c r="I752" s="54" t="s">
        <v>474</v>
      </c>
      <c r="J752" s="54" t="s">
        <v>572</v>
      </c>
      <c r="K752" s="54" t="s">
        <v>599</v>
      </c>
      <c r="L752" s="54" t="s">
        <v>600</v>
      </c>
      <c r="M752" s="54">
        <v>45362</v>
      </c>
      <c r="N752" s="54">
        <v>45363</v>
      </c>
      <c r="O752" s="54">
        <v>45369</v>
      </c>
      <c r="P752" s="54" t="s">
        <v>2786</v>
      </c>
      <c r="Q752" s="54" t="s">
        <v>645</v>
      </c>
      <c r="R752" s="54"/>
      <c r="S752" s="55" t="s">
        <v>2831</v>
      </c>
      <c r="T752" s="54"/>
    </row>
    <row r="753" spans="1:20" s="44" customFormat="1" ht="25.05" customHeight="1" x14ac:dyDescent="0.3">
      <c r="A753" s="41">
        <v>1</v>
      </c>
      <c r="B753" s="41"/>
      <c r="C753" s="51" t="str">
        <f>VLOOKUP(F753,[1]VLOOKUP!$A$2:$B$35,2,FALSE)</f>
        <v>西南</v>
      </c>
      <c r="D753" s="54" t="s">
        <v>2832</v>
      </c>
      <c r="E753" s="54"/>
      <c r="F753" s="2" t="s">
        <v>572</v>
      </c>
      <c r="G753" s="2"/>
      <c r="H753" s="2"/>
      <c r="I753" s="54" t="s">
        <v>474</v>
      </c>
      <c r="J753" s="54" t="s">
        <v>572</v>
      </c>
      <c r="K753" s="54" t="s">
        <v>599</v>
      </c>
      <c r="L753" s="54" t="s">
        <v>600</v>
      </c>
      <c r="M753" s="54">
        <v>45573</v>
      </c>
      <c r="N753" s="54">
        <v>45574</v>
      </c>
      <c r="O753" s="54">
        <v>45579</v>
      </c>
      <c r="P753" s="54" t="s">
        <v>2786</v>
      </c>
      <c r="Q753" s="54" t="s">
        <v>645</v>
      </c>
      <c r="R753" s="54"/>
      <c r="S753" s="55" t="s">
        <v>2833</v>
      </c>
      <c r="T753" s="54"/>
    </row>
    <row r="754" spans="1:20" s="44" customFormat="1" ht="25.05" customHeight="1" x14ac:dyDescent="0.3">
      <c r="A754" s="41">
        <v>1</v>
      </c>
      <c r="B754" s="41"/>
      <c r="C754" s="51" t="str">
        <f>VLOOKUP(F754,[1]VLOOKUP!$A$2:$B$35,2,FALSE)</f>
        <v>西南</v>
      </c>
      <c r="D754" s="54" t="s">
        <v>2834</v>
      </c>
      <c r="E754" s="54"/>
      <c r="F754" s="2" t="s">
        <v>572</v>
      </c>
      <c r="G754" s="2"/>
      <c r="H754" s="2"/>
      <c r="I754" s="54" t="s">
        <v>474</v>
      </c>
      <c r="J754" s="54" t="s">
        <v>572</v>
      </c>
      <c r="K754" s="54" t="s">
        <v>599</v>
      </c>
      <c r="L754" s="54" t="s">
        <v>600</v>
      </c>
      <c r="M754" s="54">
        <v>45631</v>
      </c>
      <c r="N754" s="54">
        <v>45631</v>
      </c>
      <c r="O754" s="54">
        <v>45638</v>
      </c>
      <c r="P754" s="54" t="s">
        <v>2786</v>
      </c>
      <c r="Q754" s="54" t="s">
        <v>645</v>
      </c>
      <c r="R754" s="54"/>
      <c r="S754" s="55" t="s">
        <v>2835</v>
      </c>
      <c r="T754" s="54"/>
    </row>
    <row r="755" spans="1:20" s="44" customFormat="1" ht="25.05" customHeight="1" x14ac:dyDescent="0.3">
      <c r="A755" s="41">
        <v>1</v>
      </c>
      <c r="B755" s="41"/>
      <c r="C755" s="51" t="str">
        <f>VLOOKUP(F755,[1]VLOOKUP!$A$2:$B$35,2,FALSE)</f>
        <v>西南</v>
      </c>
      <c r="D755" s="54" t="s">
        <v>2836</v>
      </c>
      <c r="E755" s="54"/>
      <c r="F755" s="2" t="s">
        <v>572</v>
      </c>
      <c r="G755" s="2"/>
      <c r="H755" s="2"/>
      <c r="I755" s="54" t="s">
        <v>474</v>
      </c>
      <c r="J755" s="54" t="s">
        <v>572</v>
      </c>
      <c r="K755" s="54" t="s">
        <v>599</v>
      </c>
      <c r="L755" s="54" t="s">
        <v>600</v>
      </c>
      <c r="M755" s="54">
        <v>45667</v>
      </c>
      <c r="N755" s="54">
        <v>45670</v>
      </c>
      <c r="O755" s="54">
        <v>45674</v>
      </c>
      <c r="P755" s="54" t="s">
        <v>2786</v>
      </c>
      <c r="Q755" s="54" t="s">
        <v>645</v>
      </c>
      <c r="R755" s="54"/>
      <c r="S755" s="55" t="s">
        <v>2837</v>
      </c>
      <c r="T755" s="54"/>
    </row>
    <row r="756" spans="1:20" s="44" customFormat="1" ht="25.05" customHeight="1" x14ac:dyDescent="0.3">
      <c r="A756" s="41">
        <v>1</v>
      </c>
      <c r="B756" s="41"/>
      <c r="C756" s="51" t="str">
        <f>VLOOKUP(F756,[1]VLOOKUP!$A$2:$B$35,2,FALSE)</f>
        <v>西南</v>
      </c>
      <c r="D756" s="41" t="s">
        <v>2838</v>
      </c>
      <c r="E756" s="41"/>
      <c r="F756" s="2" t="s">
        <v>572</v>
      </c>
      <c r="G756" s="2" t="s">
        <v>2839</v>
      </c>
      <c r="H756" s="2"/>
      <c r="I756" s="41" t="s">
        <v>720</v>
      </c>
      <c r="J756" s="41" t="s">
        <v>572</v>
      </c>
      <c r="K756" s="41" t="s">
        <v>605</v>
      </c>
      <c r="L756" s="41" t="s">
        <v>600</v>
      </c>
      <c r="M756" s="42">
        <v>44999</v>
      </c>
      <c r="N756" s="42">
        <v>45001</v>
      </c>
      <c r="O756" s="42">
        <v>46022</v>
      </c>
      <c r="P756" s="41" t="s">
        <v>2840</v>
      </c>
      <c r="Q756" s="41" t="s">
        <v>645</v>
      </c>
      <c r="R756" s="41" t="s">
        <v>2841</v>
      </c>
      <c r="S756" s="43" t="s">
        <v>2842</v>
      </c>
      <c r="T756" s="41"/>
    </row>
    <row r="757" spans="1:20" s="44" customFormat="1" ht="25.05" customHeight="1" x14ac:dyDescent="0.3">
      <c r="A757" s="41"/>
      <c r="B757" s="41"/>
      <c r="C757" s="41"/>
      <c r="D757" s="52" t="s">
        <v>2843</v>
      </c>
      <c r="E757" s="52"/>
      <c r="F757" s="2" t="s">
        <v>572</v>
      </c>
      <c r="G757" s="2" t="s">
        <v>2839</v>
      </c>
      <c r="H757" s="2"/>
      <c r="I757" s="52" t="s">
        <v>720</v>
      </c>
      <c r="J757" s="52" t="s">
        <v>572</v>
      </c>
      <c r="K757" s="52" t="s">
        <v>605</v>
      </c>
      <c r="L757" s="52" t="s">
        <v>663</v>
      </c>
      <c r="M757" s="52">
        <v>45363</v>
      </c>
      <c r="N757" s="52">
        <v>45363</v>
      </c>
      <c r="O757" s="52">
        <v>45363</v>
      </c>
      <c r="P757" s="52" t="s">
        <v>2840</v>
      </c>
      <c r="Q757" s="52" t="s">
        <v>645</v>
      </c>
      <c r="R757" s="52" t="s">
        <v>2844</v>
      </c>
      <c r="S757" s="53"/>
      <c r="T757" s="52"/>
    </row>
    <row r="758" spans="1:20" s="44" customFormat="1" ht="25.05" customHeight="1" x14ac:dyDescent="0.3">
      <c r="A758" s="41">
        <v>1</v>
      </c>
      <c r="B758" s="41"/>
      <c r="C758" s="51" t="str">
        <f>VLOOKUP(F758,[1]VLOOKUP!$A$2:$B$35,2,FALSE)</f>
        <v>西南</v>
      </c>
      <c r="D758" s="41" t="s">
        <v>2845</v>
      </c>
      <c r="E758" s="41"/>
      <c r="F758" s="2" t="s">
        <v>572</v>
      </c>
      <c r="G758" s="2" t="s">
        <v>2839</v>
      </c>
      <c r="H758" s="2"/>
      <c r="I758" s="41" t="s">
        <v>720</v>
      </c>
      <c r="J758" s="41" t="s">
        <v>572</v>
      </c>
      <c r="K758" s="41" t="s">
        <v>611</v>
      </c>
      <c r="L758" s="41" t="s">
        <v>600</v>
      </c>
      <c r="M758" s="42">
        <v>45254</v>
      </c>
      <c r="N758" s="42">
        <v>45273</v>
      </c>
      <c r="O758" s="42">
        <v>49674</v>
      </c>
      <c r="P758" s="41" t="s">
        <v>2846</v>
      </c>
      <c r="Q758" s="41" t="s">
        <v>724</v>
      </c>
      <c r="R758" s="41" t="s">
        <v>2847</v>
      </c>
      <c r="S758" s="43" t="s">
        <v>2848</v>
      </c>
      <c r="T758" s="41"/>
    </row>
    <row r="759" spans="1:20" s="44" customFormat="1" ht="25.05" customHeight="1" x14ac:dyDescent="0.3">
      <c r="A759" s="41">
        <v>1</v>
      </c>
      <c r="B759" s="41"/>
      <c r="C759" s="51" t="str">
        <f>VLOOKUP(F759,[1]VLOOKUP!$A$2:$B$35,2,FALSE)</f>
        <v>西南</v>
      </c>
      <c r="D759" s="52" t="s">
        <v>2849</v>
      </c>
      <c r="E759" s="52"/>
      <c r="F759" s="2" t="s">
        <v>572</v>
      </c>
      <c r="G759" s="2" t="s">
        <v>2839</v>
      </c>
      <c r="H759" s="2"/>
      <c r="I759" s="52" t="s">
        <v>720</v>
      </c>
      <c r="J759" s="52" t="s">
        <v>572</v>
      </c>
      <c r="K759" s="52" t="s">
        <v>605</v>
      </c>
      <c r="L759" s="52" t="s">
        <v>663</v>
      </c>
      <c r="M759" s="52">
        <v>45717</v>
      </c>
      <c r="N759" s="52">
        <v>45717</v>
      </c>
      <c r="O759" s="52">
        <v>45900</v>
      </c>
      <c r="P759" s="52" t="s">
        <v>2840</v>
      </c>
      <c r="Q759" s="52" t="s">
        <v>645</v>
      </c>
      <c r="R759" s="52" t="s">
        <v>2850</v>
      </c>
      <c r="S759" s="53" t="s">
        <v>2851</v>
      </c>
      <c r="T759" s="52"/>
    </row>
    <row r="760" spans="1:20" s="44" customFormat="1" ht="25.05" customHeight="1" x14ac:dyDescent="0.3">
      <c r="A760" s="41"/>
      <c r="B760" s="41"/>
      <c r="C760" s="41"/>
      <c r="D760" s="41" t="s">
        <v>2852</v>
      </c>
      <c r="E760" s="41"/>
      <c r="F760" s="2" t="s">
        <v>572</v>
      </c>
      <c r="G760" s="2" t="s">
        <v>2839</v>
      </c>
      <c r="H760" s="2"/>
      <c r="I760" s="41" t="s">
        <v>720</v>
      </c>
      <c r="J760" s="41" t="s">
        <v>572</v>
      </c>
      <c r="K760" s="41" t="s">
        <v>605</v>
      </c>
      <c r="L760" s="41" t="s">
        <v>600</v>
      </c>
      <c r="M760" s="42">
        <v>45717</v>
      </c>
      <c r="N760" s="42">
        <v>45717</v>
      </c>
      <c r="O760" s="42">
        <v>45723</v>
      </c>
      <c r="P760" s="41" t="s">
        <v>2840</v>
      </c>
      <c r="Q760" s="41" t="s">
        <v>645</v>
      </c>
      <c r="R760" s="41"/>
      <c r="S760" s="43" t="s">
        <v>2853</v>
      </c>
      <c r="T760" s="41"/>
    </row>
    <row r="761" spans="1:20" ht="25.05" customHeight="1" x14ac:dyDescent="0.3">
      <c r="A761" s="36"/>
      <c r="B761" s="36"/>
      <c r="C761" s="36"/>
      <c r="D761" s="60"/>
      <c r="E761" s="61"/>
      <c r="F761" s="3" t="s">
        <v>384</v>
      </c>
      <c r="G761" s="3"/>
      <c r="H761" s="3"/>
      <c r="I761" s="60"/>
      <c r="J761" s="60"/>
      <c r="K761" s="60"/>
      <c r="L761" s="60"/>
      <c r="M761" s="60"/>
      <c r="N761" s="60"/>
      <c r="O761" s="60"/>
      <c r="P761" s="60"/>
      <c r="Q761" s="60"/>
      <c r="R761" s="60"/>
      <c r="S761" s="62"/>
      <c r="T761" s="60"/>
    </row>
    <row r="762" spans="1:20" s="44" customFormat="1" ht="25.05" customHeight="1" x14ac:dyDescent="0.3">
      <c r="A762" s="41">
        <v>1</v>
      </c>
      <c r="B762" s="41"/>
      <c r="C762" s="51" t="str">
        <f>VLOOKUP(F762,[1]VLOOKUP!$A$2:$B$35,2,FALSE)</f>
        <v>西南</v>
      </c>
      <c r="D762" s="57" t="s">
        <v>2854</v>
      </c>
      <c r="E762" s="57"/>
      <c r="F762" s="2" t="s">
        <v>384</v>
      </c>
      <c r="G762" s="2"/>
      <c r="H762" s="2"/>
      <c r="I762" s="57" t="s">
        <v>474</v>
      </c>
      <c r="J762" s="57" t="s">
        <v>384</v>
      </c>
      <c r="K762" s="57" t="s">
        <v>611</v>
      </c>
      <c r="L762" s="57" t="s">
        <v>780</v>
      </c>
      <c r="M762" s="57">
        <v>44866</v>
      </c>
      <c r="N762" s="57">
        <v>44866</v>
      </c>
      <c r="O762" s="57">
        <v>44530</v>
      </c>
      <c r="P762" s="57" t="s">
        <v>2855</v>
      </c>
      <c r="Q762" s="57" t="s">
        <v>645</v>
      </c>
      <c r="R762" s="57"/>
      <c r="S762" s="58" t="s">
        <v>2856</v>
      </c>
      <c r="T762" s="57"/>
    </row>
    <row r="763" spans="1:20" s="44" customFormat="1" ht="25.05" customHeight="1" x14ac:dyDescent="0.3">
      <c r="A763" s="41">
        <v>1</v>
      </c>
      <c r="B763" s="41"/>
      <c r="C763" s="51" t="str">
        <f>VLOOKUP(F763,[1]VLOOKUP!$A$2:$B$35,2,FALSE)</f>
        <v>西南</v>
      </c>
      <c r="D763" s="41" t="s">
        <v>2857</v>
      </c>
      <c r="E763" s="41"/>
      <c r="F763" s="2" t="s">
        <v>384</v>
      </c>
      <c r="G763" s="2"/>
      <c r="H763" s="2"/>
      <c r="I763" s="41" t="s">
        <v>474</v>
      </c>
      <c r="J763" s="41" t="s">
        <v>384</v>
      </c>
      <c r="K763" s="41" t="s">
        <v>611</v>
      </c>
      <c r="L763" s="41" t="s">
        <v>600</v>
      </c>
      <c r="M763" s="42">
        <v>44095</v>
      </c>
      <c r="N763" s="42">
        <v>44095</v>
      </c>
      <c r="O763" s="42">
        <v>46022</v>
      </c>
      <c r="P763" s="41" t="s">
        <v>2855</v>
      </c>
      <c r="Q763" s="41" t="s">
        <v>645</v>
      </c>
      <c r="R763" s="41" t="s">
        <v>2858</v>
      </c>
      <c r="S763" s="43" t="s">
        <v>2859</v>
      </c>
      <c r="T763" s="41"/>
    </row>
    <row r="764" spans="1:20" s="44" customFormat="1" ht="25.05" customHeight="1" x14ac:dyDescent="0.3">
      <c r="A764" s="41">
        <v>1</v>
      </c>
      <c r="B764" s="41"/>
      <c r="C764" s="51" t="str">
        <f>VLOOKUP(F764,[1]VLOOKUP!$A$2:$B$35,2,FALSE)</f>
        <v>西南</v>
      </c>
      <c r="D764" s="41" t="s">
        <v>2860</v>
      </c>
      <c r="E764" s="41"/>
      <c r="F764" s="2" t="s">
        <v>384</v>
      </c>
      <c r="G764" s="2"/>
      <c r="H764" s="2"/>
      <c r="I764" s="41" t="s">
        <v>474</v>
      </c>
      <c r="J764" s="41" t="s">
        <v>384</v>
      </c>
      <c r="K764" s="41" t="s">
        <v>605</v>
      </c>
      <c r="L764" s="41" t="s">
        <v>600</v>
      </c>
      <c r="M764" s="42">
        <v>45183</v>
      </c>
      <c r="N764" s="42">
        <v>45183</v>
      </c>
      <c r="O764" s="42">
        <v>45190</v>
      </c>
      <c r="P764" s="41" t="s">
        <v>2855</v>
      </c>
      <c r="Q764" s="41" t="s">
        <v>645</v>
      </c>
      <c r="R764" s="41"/>
      <c r="S764" s="43" t="s">
        <v>2861</v>
      </c>
      <c r="T764" s="41"/>
    </row>
    <row r="765" spans="1:20" s="44" customFormat="1" ht="25.05" customHeight="1" x14ac:dyDescent="0.3">
      <c r="A765" s="41">
        <v>1</v>
      </c>
      <c r="B765" s="41"/>
      <c r="C765" s="51" t="str">
        <f>VLOOKUP(F765,[1]VLOOKUP!$A$2:$B$35,2,FALSE)</f>
        <v>西南</v>
      </c>
      <c r="D765" s="41" t="s">
        <v>2862</v>
      </c>
      <c r="E765" s="41"/>
      <c r="F765" s="2" t="s">
        <v>384</v>
      </c>
      <c r="G765" s="2"/>
      <c r="H765" s="2"/>
      <c r="I765" s="41" t="s">
        <v>474</v>
      </c>
      <c r="J765" s="41" t="s">
        <v>384</v>
      </c>
      <c r="K765" s="41" t="s">
        <v>611</v>
      </c>
      <c r="L765" s="41" t="s">
        <v>600</v>
      </c>
      <c r="M765" s="42">
        <v>45602</v>
      </c>
      <c r="N765" s="42">
        <v>45602</v>
      </c>
      <c r="O765" s="42">
        <v>46752</v>
      </c>
      <c r="P765" s="41" t="s">
        <v>2863</v>
      </c>
      <c r="Q765" s="41" t="s">
        <v>724</v>
      </c>
      <c r="R765" s="41" t="s">
        <v>2864</v>
      </c>
      <c r="S765" s="43" t="s">
        <v>2865</v>
      </c>
      <c r="T765" s="41"/>
    </row>
    <row r="766" spans="1:20" s="44" customFormat="1" ht="25.05" customHeight="1" x14ac:dyDescent="0.3">
      <c r="A766" s="41">
        <v>1</v>
      </c>
      <c r="B766" s="41"/>
      <c r="C766" s="51" t="str">
        <f>VLOOKUP(F766,[1]VLOOKUP!$A$2:$B$35,2,FALSE)</f>
        <v>西南</v>
      </c>
      <c r="D766" s="41" t="s">
        <v>2866</v>
      </c>
      <c r="E766" s="41"/>
      <c r="F766" s="2" t="s">
        <v>384</v>
      </c>
      <c r="G766" s="2"/>
      <c r="H766" s="2"/>
      <c r="I766" s="41" t="s">
        <v>474</v>
      </c>
      <c r="J766" s="41" t="s">
        <v>384</v>
      </c>
      <c r="K766" s="41" t="s">
        <v>615</v>
      </c>
      <c r="L766" s="41" t="s">
        <v>600</v>
      </c>
      <c r="M766" s="42">
        <v>45506</v>
      </c>
      <c r="N766" s="42">
        <v>45510</v>
      </c>
      <c r="O766" s="42">
        <v>49674</v>
      </c>
      <c r="P766" s="41" t="s">
        <v>2867</v>
      </c>
      <c r="Q766" s="41" t="s">
        <v>1985</v>
      </c>
      <c r="R766" s="41" t="s">
        <v>2868</v>
      </c>
      <c r="S766" s="43" t="s">
        <v>2869</v>
      </c>
      <c r="T766" s="41"/>
    </row>
    <row r="767" spans="1:20" s="44" customFormat="1" ht="25.05" customHeight="1" x14ac:dyDescent="0.3">
      <c r="A767" s="41">
        <v>1</v>
      </c>
      <c r="B767" s="41"/>
      <c r="C767" s="51" t="str">
        <f>VLOOKUP(F767,[1]VLOOKUP!$A$2:$B$35,2,FALSE)</f>
        <v>西南</v>
      </c>
      <c r="D767" s="41" t="s">
        <v>2870</v>
      </c>
      <c r="E767" s="41"/>
      <c r="F767" s="2" t="s">
        <v>384</v>
      </c>
      <c r="G767" s="2"/>
      <c r="H767" s="2"/>
      <c r="I767" s="41" t="s">
        <v>474</v>
      </c>
      <c r="J767" s="41" t="s">
        <v>384</v>
      </c>
      <c r="K767" s="41" t="s">
        <v>611</v>
      </c>
      <c r="L767" s="41" t="s">
        <v>600</v>
      </c>
      <c r="M767" s="42">
        <v>45811</v>
      </c>
      <c r="N767" s="42">
        <v>45812</v>
      </c>
      <c r="O767" s="42">
        <v>49674</v>
      </c>
      <c r="P767" s="41" t="s">
        <v>2855</v>
      </c>
      <c r="Q767" s="41" t="s">
        <v>645</v>
      </c>
      <c r="R767" s="41" t="s">
        <v>2871</v>
      </c>
      <c r="S767" s="43" t="s">
        <v>2872</v>
      </c>
      <c r="T767" s="41"/>
    </row>
    <row r="768" spans="1:20" s="44" customFormat="1" ht="25.05" customHeight="1" x14ac:dyDescent="0.3">
      <c r="A768" s="41">
        <v>1</v>
      </c>
      <c r="B768" s="41"/>
      <c r="C768" s="51" t="str">
        <f>VLOOKUP(F768,[1]VLOOKUP!$A$2:$B$35,2,FALSE)</f>
        <v>西南</v>
      </c>
      <c r="D768" s="41" t="s">
        <v>2873</v>
      </c>
      <c r="E768" s="41"/>
      <c r="F768" s="2" t="s">
        <v>384</v>
      </c>
      <c r="G768" s="2"/>
      <c r="H768" s="2"/>
      <c r="I768" s="41" t="s">
        <v>474</v>
      </c>
      <c r="J768" s="41" t="s">
        <v>384</v>
      </c>
      <c r="K768" s="41" t="s">
        <v>599</v>
      </c>
      <c r="L768" s="41" t="s">
        <v>600</v>
      </c>
      <c r="M768" s="42">
        <v>45824</v>
      </c>
      <c r="N768" s="42">
        <v>45827</v>
      </c>
      <c r="O768" s="42">
        <v>45845</v>
      </c>
      <c r="P768" s="41" t="s">
        <v>2874</v>
      </c>
      <c r="Q768" s="41" t="s">
        <v>1054</v>
      </c>
      <c r="R768" s="41"/>
      <c r="S768" s="43" t="s">
        <v>2875</v>
      </c>
      <c r="T768" s="41"/>
    </row>
    <row r="769" spans="1:20" s="44" customFormat="1" ht="25.05" customHeight="1" x14ac:dyDescent="0.3">
      <c r="A769" s="41">
        <v>1</v>
      </c>
      <c r="B769" s="41"/>
      <c r="C769" s="51" t="str">
        <f>VLOOKUP(F769,[1]VLOOKUP!$A$2:$B$35,2,FALSE)</f>
        <v>西南</v>
      </c>
      <c r="D769" s="41" t="s">
        <v>2876</v>
      </c>
      <c r="E769" s="41"/>
      <c r="F769" s="2" t="s">
        <v>384</v>
      </c>
      <c r="G769" s="2"/>
      <c r="H769" s="2"/>
      <c r="I769" s="41" t="s">
        <v>474</v>
      </c>
      <c r="J769" s="41" t="s">
        <v>384</v>
      </c>
      <c r="K769" s="41" t="s">
        <v>605</v>
      </c>
      <c r="L769" s="41" t="s">
        <v>600</v>
      </c>
      <c r="M769" s="42">
        <v>45947</v>
      </c>
      <c r="N769" s="42">
        <v>45947</v>
      </c>
      <c r="O769" s="42">
        <v>45954</v>
      </c>
      <c r="P769" s="41" t="s">
        <v>2855</v>
      </c>
      <c r="Q769" s="41" t="s">
        <v>645</v>
      </c>
      <c r="R769" s="41"/>
      <c r="S769" s="43" t="s">
        <v>2877</v>
      </c>
      <c r="T769" s="41"/>
    </row>
    <row r="770" spans="1:20" s="44" customFormat="1" ht="25.05" customHeight="1" x14ac:dyDescent="0.3">
      <c r="A770" s="41">
        <v>1</v>
      </c>
      <c r="B770" s="41"/>
      <c r="C770" s="51" t="str">
        <f>VLOOKUP(F770,[1]VLOOKUP!$A$2:$B$35,2,FALSE)</f>
        <v>西南</v>
      </c>
      <c r="D770" s="57" t="s">
        <v>2878</v>
      </c>
      <c r="E770" s="57"/>
      <c r="F770" s="2" t="s">
        <v>384</v>
      </c>
      <c r="G770" s="2"/>
      <c r="H770" s="2"/>
      <c r="I770" s="57" t="s">
        <v>474</v>
      </c>
      <c r="J770" s="57" t="s">
        <v>384</v>
      </c>
      <c r="K770" s="57" t="s">
        <v>682</v>
      </c>
      <c r="L770" s="57" t="s">
        <v>780</v>
      </c>
      <c r="M770" s="57">
        <v>45761</v>
      </c>
      <c r="N770" s="57">
        <v>45761</v>
      </c>
      <c r="O770" s="57">
        <v>45770</v>
      </c>
      <c r="P770" s="57" t="s">
        <v>2879</v>
      </c>
      <c r="Q770" s="57" t="s">
        <v>857</v>
      </c>
      <c r="R770" s="57"/>
      <c r="S770" s="58" t="s">
        <v>2880</v>
      </c>
      <c r="T770" s="57"/>
    </row>
    <row r="771" spans="1:20" s="44" customFormat="1" ht="25.05" customHeight="1" x14ac:dyDescent="0.3">
      <c r="A771" s="41">
        <v>1</v>
      </c>
      <c r="B771" s="41"/>
      <c r="C771" s="51" t="str">
        <f>VLOOKUP(F771,[1]VLOOKUP!$A$2:$B$35,2,FALSE)</f>
        <v>西南</v>
      </c>
      <c r="D771" s="52" t="s">
        <v>2881</v>
      </c>
      <c r="E771" s="52"/>
      <c r="F771" s="2" t="s">
        <v>384</v>
      </c>
      <c r="G771" s="2" t="s">
        <v>405</v>
      </c>
      <c r="H771" s="2"/>
      <c r="I771" s="52" t="s">
        <v>720</v>
      </c>
      <c r="J771" s="52" t="s">
        <v>384</v>
      </c>
      <c r="K771" s="52" t="s">
        <v>611</v>
      </c>
      <c r="L771" s="52" t="s">
        <v>663</v>
      </c>
      <c r="M771" s="52">
        <v>43654</v>
      </c>
      <c r="N771" s="52">
        <v>43679</v>
      </c>
      <c r="O771" s="52">
        <v>45291</v>
      </c>
      <c r="P771" s="52" t="s">
        <v>2882</v>
      </c>
      <c r="Q771" s="52" t="s">
        <v>645</v>
      </c>
      <c r="R771" s="52"/>
      <c r="S771" s="53" t="s">
        <v>2883</v>
      </c>
      <c r="T771" s="52"/>
    </row>
    <row r="772" spans="1:20" s="44" customFormat="1" ht="25.05" customHeight="1" x14ac:dyDescent="0.3">
      <c r="A772" s="41">
        <v>1</v>
      </c>
      <c r="B772" s="41"/>
      <c r="C772" s="51" t="str">
        <f>VLOOKUP(F772,[1]VLOOKUP!$A$2:$B$35,2,FALSE)</f>
        <v>西南</v>
      </c>
      <c r="D772" s="52" t="s">
        <v>2884</v>
      </c>
      <c r="E772" s="52"/>
      <c r="F772" s="2" t="s">
        <v>384</v>
      </c>
      <c r="G772" s="2" t="s">
        <v>405</v>
      </c>
      <c r="H772" s="2"/>
      <c r="I772" s="52" t="s">
        <v>720</v>
      </c>
      <c r="J772" s="52" t="s">
        <v>384</v>
      </c>
      <c r="K772" s="52" t="s">
        <v>605</v>
      </c>
      <c r="L772" s="52" t="s">
        <v>663</v>
      </c>
      <c r="M772" s="52">
        <v>43749</v>
      </c>
      <c r="N772" s="52">
        <v>43750</v>
      </c>
      <c r="O772" s="52">
        <v>44561</v>
      </c>
      <c r="P772" s="52" t="s">
        <v>2885</v>
      </c>
      <c r="Q772" s="52" t="s">
        <v>2886</v>
      </c>
      <c r="R772" s="52" t="s">
        <v>2887</v>
      </c>
      <c r="S772" s="53" t="s">
        <v>2888</v>
      </c>
      <c r="T772" s="52"/>
    </row>
    <row r="773" spans="1:20" s="44" customFormat="1" ht="25.05" customHeight="1" x14ac:dyDescent="0.3">
      <c r="A773" s="41">
        <v>1</v>
      </c>
      <c r="B773" s="41"/>
      <c r="C773" s="51" t="str">
        <f>VLOOKUP(F773,[1]VLOOKUP!$A$2:$B$35,2,FALSE)</f>
        <v>西南</v>
      </c>
      <c r="D773" s="52" t="s">
        <v>2889</v>
      </c>
      <c r="E773" s="52"/>
      <c r="F773" s="2" t="s">
        <v>384</v>
      </c>
      <c r="G773" s="2" t="s">
        <v>405</v>
      </c>
      <c r="H773" s="2"/>
      <c r="I773" s="52" t="s">
        <v>720</v>
      </c>
      <c r="J773" s="52" t="s">
        <v>384</v>
      </c>
      <c r="K773" s="52" t="s">
        <v>605</v>
      </c>
      <c r="L773" s="52" t="s">
        <v>663</v>
      </c>
      <c r="M773" s="52">
        <v>44019</v>
      </c>
      <c r="N773" s="52">
        <v>44022</v>
      </c>
      <c r="O773" s="52">
        <v>45148</v>
      </c>
      <c r="P773" s="52" t="s">
        <v>2890</v>
      </c>
      <c r="Q773" s="52" t="s">
        <v>724</v>
      </c>
      <c r="R773" s="52" t="s">
        <v>2891</v>
      </c>
      <c r="S773" s="53" t="s">
        <v>2892</v>
      </c>
      <c r="T773" s="52"/>
    </row>
    <row r="774" spans="1:20" s="44" customFormat="1" ht="25.05" customHeight="1" x14ac:dyDescent="0.3">
      <c r="A774" s="41">
        <v>1</v>
      </c>
      <c r="B774" s="41"/>
      <c r="C774" s="51" t="str">
        <f>VLOOKUP(F774,[1]VLOOKUP!$A$2:$B$35,2,FALSE)</f>
        <v>西南</v>
      </c>
      <c r="D774" s="52" t="s">
        <v>2893</v>
      </c>
      <c r="E774" s="52"/>
      <c r="F774" s="2" t="s">
        <v>384</v>
      </c>
      <c r="G774" s="2" t="s">
        <v>405</v>
      </c>
      <c r="H774" s="2"/>
      <c r="I774" s="52" t="s">
        <v>720</v>
      </c>
      <c r="J774" s="52" t="s">
        <v>384</v>
      </c>
      <c r="K774" s="52" t="s">
        <v>682</v>
      </c>
      <c r="L774" s="52" t="s">
        <v>663</v>
      </c>
      <c r="M774" s="52">
        <v>44277</v>
      </c>
      <c r="N774" s="52">
        <v>44277</v>
      </c>
      <c r="O774" s="52">
        <v>45007</v>
      </c>
      <c r="P774" s="52" t="s">
        <v>2894</v>
      </c>
      <c r="Q774" s="52" t="s">
        <v>2895</v>
      </c>
      <c r="R774" s="52" t="s">
        <v>2896</v>
      </c>
      <c r="S774" s="53" t="s">
        <v>2897</v>
      </c>
      <c r="T774" s="52"/>
    </row>
    <row r="775" spans="1:20" s="44" customFormat="1" ht="25.05" customHeight="1" x14ac:dyDescent="0.3">
      <c r="A775" s="41"/>
      <c r="B775" s="41"/>
      <c r="C775" s="41"/>
      <c r="D775" s="52" t="s">
        <v>2898</v>
      </c>
      <c r="E775" s="52"/>
      <c r="F775" s="2" t="s">
        <v>384</v>
      </c>
      <c r="G775" s="2" t="s">
        <v>405</v>
      </c>
      <c r="H775" s="2"/>
      <c r="I775" s="52" t="s">
        <v>720</v>
      </c>
      <c r="J775" s="52" t="s">
        <v>384</v>
      </c>
      <c r="K775" s="52" t="s">
        <v>605</v>
      </c>
      <c r="L775" s="52" t="s">
        <v>663</v>
      </c>
      <c r="M775" s="52">
        <v>44092</v>
      </c>
      <c r="N775" s="52">
        <v>44092</v>
      </c>
      <c r="O775" s="52">
        <v>44101</v>
      </c>
      <c r="P775" s="52" t="s">
        <v>2899</v>
      </c>
      <c r="Q775" s="52" t="s">
        <v>1464</v>
      </c>
      <c r="R775" s="52"/>
      <c r="S775" s="53" t="s">
        <v>2900</v>
      </c>
      <c r="T775" s="52"/>
    </row>
    <row r="776" spans="1:20" s="44" customFormat="1" ht="25.05" customHeight="1" x14ac:dyDescent="0.3">
      <c r="A776" s="41"/>
      <c r="B776" s="41"/>
      <c r="C776" s="41"/>
      <c r="D776" s="54" t="s">
        <v>2901</v>
      </c>
      <c r="E776" s="54"/>
      <c r="F776" s="2" t="s">
        <v>384</v>
      </c>
      <c r="G776" s="2" t="s">
        <v>405</v>
      </c>
      <c r="H776" s="2"/>
      <c r="I776" s="54" t="s">
        <v>720</v>
      </c>
      <c r="J776" s="54" t="s">
        <v>384</v>
      </c>
      <c r="K776" s="54" t="s">
        <v>605</v>
      </c>
      <c r="L776" s="54" t="s">
        <v>600</v>
      </c>
      <c r="M776" s="54">
        <v>44126</v>
      </c>
      <c r="N776" s="54">
        <v>44126</v>
      </c>
      <c r="O776" s="54">
        <v>44132</v>
      </c>
      <c r="P776" s="54" t="s">
        <v>2902</v>
      </c>
      <c r="Q776" s="54" t="s">
        <v>645</v>
      </c>
      <c r="R776" s="54"/>
      <c r="S776" s="55" t="s">
        <v>2903</v>
      </c>
      <c r="T776" s="54"/>
    </row>
    <row r="777" spans="1:20" s="44" customFormat="1" ht="25.05" customHeight="1" x14ac:dyDescent="0.3">
      <c r="A777" s="41">
        <v>1</v>
      </c>
      <c r="B777" s="41"/>
      <c r="C777" s="51" t="str">
        <f>VLOOKUP(F777,[1]VLOOKUP!$A$2:$B$35,2,FALSE)</f>
        <v>西南</v>
      </c>
      <c r="D777" s="52" t="s">
        <v>2904</v>
      </c>
      <c r="E777" s="52"/>
      <c r="F777" s="2" t="s">
        <v>384</v>
      </c>
      <c r="G777" s="2" t="s">
        <v>405</v>
      </c>
      <c r="H777" s="2"/>
      <c r="I777" s="52" t="s">
        <v>720</v>
      </c>
      <c r="J777" s="52" t="s">
        <v>384</v>
      </c>
      <c r="K777" s="52" t="s">
        <v>605</v>
      </c>
      <c r="L777" s="52" t="s">
        <v>663</v>
      </c>
      <c r="M777" s="52">
        <v>44292</v>
      </c>
      <c r="N777" s="52">
        <v>44292</v>
      </c>
      <c r="O777" s="52">
        <v>44309</v>
      </c>
      <c r="P777" s="52" t="s">
        <v>2899</v>
      </c>
      <c r="Q777" s="52" t="s">
        <v>1464</v>
      </c>
      <c r="R777" s="52" t="s">
        <v>2905</v>
      </c>
      <c r="S777" s="53" t="s">
        <v>2906</v>
      </c>
      <c r="T777" s="52"/>
    </row>
    <row r="778" spans="1:20" s="44" customFormat="1" ht="25.05" customHeight="1" x14ac:dyDescent="0.3">
      <c r="A778" s="41">
        <v>1</v>
      </c>
      <c r="B778" s="41"/>
      <c r="C778" s="51" t="str">
        <f>VLOOKUP(F778,[1]VLOOKUP!$A$2:$B$35,2,FALSE)</f>
        <v>西南</v>
      </c>
      <c r="D778" s="54" t="s">
        <v>2907</v>
      </c>
      <c r="E778" s="54"/>
      <c r="F778" s="2" t="s">
        <v>384</v>
      </c>
      <c r="G778" s="2" t="s">
        <v>405</v>
      </c>
      <c r="H778" s="2"/>
      <c r="I778" s="54" t="s">
        <v>720</v>
      </c>
      <c r="J778" s="54" t="s">
        <v>384</v>
      </c>
      <c r="K778" s="54" t="s">
        <v>605</v>
      </c>
      <c r="L778" s="54" t="s">
        <v>600</v>
      </c>
      <c r="M778" s="54">
        <v>44419</v>
      </c>
      <c r="N778" s="54">
        <v>44419</v>
      </c>
      <c r="O778" s="54">
        <v>44425</v>
      </c>
      <c r="P778" s="54" t="s">
        <v>2902</v>
      </c>
      <c r="Q778" s="54" t="s">
        <v>645</v>
      </c>
      <c r="R778" s="54"/>
      <c r="S778" s="55" t="s">
        <v>2908</v>
      </c>
      <c r="T778" s="54"/>
    </row>
    <row r="779" spans="1:20" s="44" customFormat="1" ht="25.05" customHeight="1" x14ac:dyDescent="0.3">
      <c r="A779" s="41">
        <v>1</v>
      </c>
      <c r="B779" s="41"/>
      <c r="C779" s="51" t="str">
        <f>VLOOKUP(F779,[1]VLOOKUP!$A$2:$B$35,2,FALSE)</f>
        <v>西南</v>
      </c>
      <c r="D779" s="52" t="s">
        <v>2909</v>
      </c>
      <c r="E779" s="52"/>
      <c r="F779" s="2" t="s">
        <v>384</v>
      </c>
      <c r="G779" s="2" t="s">
        <v>405</v>
      </c>
      <c r="H779" s="2"/>
      <c r="I779" s="52" t="s">
        <v>720</v>
      </c>
      <c r="J779" s="52" t="s">
        <v>384</v>
      </c>
      <c r="K779" s="52" t="s">
        <v>605</v>
      </c>
      <c r="L779" s="52" t="s">
        <v>663</v>
      </c>
      <c r="M779" s="52">
        <v>44722</v>
      </c>
      <c r="N779" s="52">
        <v>44722</v>
      </c>
      <c r="O779" s="52">
        <v>44736</v>
      </c>
      <c r="P779" s="52" t="s">
        <v>2902</v>
      </c>
      <c r="Q779" s="52" t="s">
        <v>645</v>
      </c>
      <c r="R779" s="52" t="s">
        <v>2905</v>
      </c>
      <c r="S779" s="53" t="s">
        <v>2910</v>
      </c>
      <c r="T779" s="52"/>
    </row>
    <row r="780" spans="1:20" s="44" customFormat="1" ht="25.05" customHeight="1" x14ac:dyDescent="0.3">
      <c r="A780" s="41">
        <v>1</v>
      </c>
      <c r="B780" s="41"/>
      <c r="C780" s="51" t="str">
        <f>VLOOKUP(F780,[1]VLOOKUP!$A$2:$B$35,2,FALSE)</f>
        <v>西南</v>
      </c>
      <c r="D780" s="54" t="s">
        <v>2911</v>
      </c>
      <c r="E780" s="54"/>
      <c r="F780" s="2" t="s">
        <v>384</v>
      </c>
      <c r="G780" s="2" t="s">
        <v>405</v>
      </c>
      <c r="H780" s="2"/>
      <c r="I780" s="54" t="s">
        <v>720</v>
      </c>
      <c r="J780" s="54" t="s">
        <v>384</v>
      </c>
      <c r="K780" s="54" t="s">
        <v>605</v>
      </c>
      <c r="L780" s="54" t="s">
        <v>600</v>
      </c>
      <c r="M780" s="54">
        <v>44897</v>
      </c>
      <c r="N780" s="54">
        <v>44897</v>
      </c>
      <c r="O780" s="54">
        <v>44903</v>
      </c>
      <c r="P780" s="54" t="s">
        <v>2902</v>
      </c>
      <c r="Q780" s="54" t="s">
        <v>645</v>
      </c>
      <c r="R780" s="54"/>
      <c r="S780" s="55" t="s">
        <v>2912</v>
      </c>
      <c r="T780" s="54"/>
    </row>
    <row r="781" spans="1:20" s="44" customFormat="1" ht="25.05" customHeight="1" x14ac:dyDescent="0.3">
      <c r="A781" s="41">
        <v>1</v>
      </c>
      <c r="B781" s="41"/>
      <c r="C781" s="51" t="str">
        <f>VLOOKUP(F781,[1]VLOOKUP!$A$2:$B$35,2,FALSE)</f>
        <v>西南</v>
      </c>
      <c r="D781" s="52" t="s">
        <v>2913</v>
      </c>
      <c r="E781" s="52"/>
      <c r="F781" s="2" t="s">
        <v>384</v>
      </c>
      <c r="G781" s="2" t="s">
        <v>405</v>
      </c>
      <c r="H781" s="2"/>
      <c r="I781" s="52" t="s">
        <v>720</v>
      </c>
      <c r="J781" s="52" t="s">
        <v>384</v>
      </c>
      <c r="K781" s="52" t="s">
        <v>599</v>
      </c>
      <c r="L781" s="52" t="s">
        <v>663</v>
      </c>
      <c r="M781" s="52">
        <v>44917</v>
      </c>
      <c r="N781" s="52">
        <v>44917</v>
      </c>
      <c r="O781" s="52">
        <v>44925</v>
      </c>
      <c r="P781" s="52" t="s">
        <v>2914</v>
      </c>
      <c r="Q781" s="52" t="s">
        <v>2915</v>
      </c>
      <c r="R781" s="52"/>
      <c r="S781" s="53" t="s">
        <v>2916</v>
      </c>
      <c r="T781" s="52"/>
    </row>
    <row r="782" spans="1:20" s="44" customFormat="1" ht="25.05" customHeight="1" x14ac:dyDescent="0.3">
      <c r="A782" s="41">
        <v>1</v>
      </c>
      <c r="B782" s="41"/>
      <c r="C782" s="51" t="str">
        <f>VLOOKUP(F782,[1]VLOOKUP!$A$2:$B$35,2,FALSE)</f>
        <v>西南</v>
      </c>
      <c r="D782" s="54" t="s">
        <v>2917</v>
      </c>
      <c r="E782" s="54"/>
      <c r="F782" s="2" t="s">
        <v>384</v>
      </c>
      <c r="G782" s="2" t="s">
        <v>405</v>
      </c>
      <c r="H782" s="2"/>
      <c r="I782" s="54" t="s">
        <v>720</v>
      </c>
      <c r="J782" s="54" t="s">
        <v>384</v>
      </c>
      <c r="K782" s="54" t="s">
        <v>599</v>
      </c>
      <c r="L782" s="54" t="s">
        <v>600</v>
      </c>
      <c r="M782" s="54">
        <v>44944</v>
      </c>
      <c r="N782" s="54">
        <v>44944</v>
      </c>
      <c r="O782" s="54">
        <v>44957</v>
      </c>
      <c r="P782" s="54" t="s">
        <v>2902</v>
      </c>
      <c r="Q782" s="54" t="s">
        <v>645</v>
      </c>
      <c r="R782" s="54"/>
      <c r="S782" s="55" t="s">
        <v>2918</v>
      </c>
      <c r="T782" s="54"/>
    </row>
    <row r="783" spans="1:20" s="44" customFormat="1" ht="25.05" customHeight="1" x14ac:dyDescent="0.3">
      <c r="A783" s="41">
        <v>1</v>
      </c>
      <c r="B783" s="41"/>
      <c r="C783" s="51" t="str">
        <f>VLOOKUP(F783,[1]VLOOKUP!$A$2:$B$35,2,FALSE)</f>
        <v>西南</v>
      </c>
      <c r="D783" s="52" t="s">
        <v>2919</v>
      </c>
      <c r="E783" s="52"/>
      <c r="F783" s="2" t="s">
        <v>384</v>
      </c>
      <c r="G783" s="2" t="s">
        <v>405</v>
      </c>
      <c r="H783" s="2"/>
      <c r="I783" s="52" t="s">
        <v>720</v>
      </c>
      <c r="J783" s="52" t="s">
        <v>384</v>
      </c>
      <c r="K783" s="52" t="s">
        <v>599</v>
      </c>
      <c r="L783" s="52" t="s">
        <v>663</v>
      </c>
      <c r="M783" s="52">
        <v>45141</v>
      </c>
      <c r="N783" s="52">
        <v>45141</v>
      </c>
      <c r="O783" s="52">
        <v>45163</v>
      </c>
      <c r="P783" s="52" t="s">
        <v>2902</v>
      </c>
      <c r="Q783" s="52" t="s">
        <v>645</v>
      </c>
      <c r="R783" s="52" t="s">
        <v>2920</v>
      </c>
      <c r="S783" s="53" t="s">
        <v>2921</v>
      </c>
      <c r="T783" s="52"/>
    </row>
    <row r="784" spans="1:20" s="44" customFormat="1" ht="25.05" customHeight="1" x14ac:dyDescent="0.3">
      <c r="A784" s="41">
        <v>1</v>
      </c>
      <c r="B784" s="41"/>
      <c r="C784" s="51" t="str">
        <f>VLOOKUP(F784,[1]VLOOKUP!$A$2:$B$35,2,FALSE)</f>
        <v>西南</v>
      </c>
      <c r="D784" s="54" t="s">
        <v>2922</v>
      </c>
      <c r="E784" s="54"/>
      <c r="F784" s="2" t="s">
        <v>384</v>
      </c>
      <c r="G784" s="2" t="s">
        <v>405</v>
      </c>
      <c r="H784" s="2"/>
      <c r="I784" s="54" t="s">
        <v>720</v>
      </c>
      <c r="J784" s="54" t="s">
        <v>384</v>
      </c>
      <c r="K784" s="54" t="s">
        <v>599</v>
      </c>
      <c r="L784" s="54" t="s">
        <v>600</v>
      </c>
      <c r="M784" s="54">
        <v>45489</v>
      </c>
      <c r="N784" s="54">
        <v>45489</v>
      </c>
      <c r="O784" s="54">
        <v>45495</v>
      </c>
      <c r="P784" s="54" t="s">
        <v>2902</v>
      </c>
      <c r="Q784" s="54" t="s">
        <v>645</v>
      </c>
      <c r="R784" s="54"/>
      <c r="S784" s="55" t="s">
        <v>2923</v>
      </c>
      <c r="T784" s="54"/>
    </row>
    <row r="785" spans="1:20" s="44" customFormat="1" ht="25.05" customHeight="1" x14ac:dyDescent="0.3">
      <c r="A785" s="41">
        <v>1</v>
      </c>
      <c r="B785" s="41"/>
      <c r="C785" s="51" t="str">
        <f>VLOOKUP(F785,[1]VLOOKUP!$A$2:$B$35,2,FALSE)</f>
        <v>西南</v>
      </c>
      <c r="D785" s="52" t="s">
        <v>2924</v>
      </c>
      <c r="E785" s="52"/>
      <c r="F785" s="2" t="s">
        <v>384</v>
      </c>
      <c r="G785" s="2" t="s">
        <v>405</v>
      </c>
      <c r="H785" s="2"/>
      <c r="I785" s="52" t="s">
        <v>720</v>
      </c>
      <c r="J785" s="52" t="s">
        <v>384</v>
      </c>
      <c r="K785" s="52" t="s">
        <v>599</v>
      </c>
      <c r="L785" s="52" t="s">
        <v>663</v>
      </c>
      <c r="M785" s="52">
        <v>45510</v>
      </c>
      <c r="N785" s="52">
        <v>45510</v>
      </c>
      <c r="O785" s="52">
        <v>45520</v>
      </c>
      <c r="P785" s="52" t="s">
        <v>2902</v>
      </c>
      <c r="Q785" s="52" t="s">
        <v>645</v>
      </c>
      <c r="R785" s="52" t="s">
        <v>2925</v>
      </c>
      <c r="S785" s="53" t="s">
        <v>2926</v>
      </c>
      <c r="T785" s="52"/>
    </row>
    <row r="786" spans="1:20" s="44" customFormat="1" ht="25.05" customHeight="1" x14ac:dyDescent="0.3">
      <c r="A786" s="41">
        <v>1</v>
      </c>
      <c r="B786" s="41"/>
      <c r="C786" s="51" t="str">
        <f>VLOOKUP(F786,[1]VLOOKUP!$A$2:$B$35,2,FALSE)</f>
        <v>西南</v>
      </c>
      <c r="D786" s="54" t="s">
        <v>2927</v>
      </c>
      <c r="E786" s="54"/>
      <c r="F786" s="2" t="s">
        <v>384</v>
      </c>
      <c r="G786" s="2" t="s">
        <v>405</v>
      </c>
      <c r="H786" s="2"/>
      <c r="I786" s="54" t="s">
        <v>720</v>
      </c>
      <c r="J786" s="54" t="s">
        <v>384</v>
      </c>
      <c r="K786" s="54" t="s">
        <v>599</v>
      </c>
      <c r="L786" s="54" t="s">
        <v>600</v>
      </c>
      <c r="M786" s="54">
        <v>45534</v>
      </c>
      <c r="N786" s="54">
        <v>45534</v>
      </c>
      <c r="O786" s="54">
        <v>45540</v>
      </c>
      <c r="P786" s="54" t="s">
        <v>2902</v>
      </c>
      <c r="Q786" s="54" t="s">
        <v>645</v>
      </c>
      <c r="R786" s="54"/>
      <c r="S786" s="55" t="s">
        <v>2928</v>
      </c>
      <c r="T786" s="54"/>
    </row>
    <row r="787" spans="1:20" s="44" customFormat="1" ht="25.05" customHeight="1" x14ac:dyDescent="0.3">
      <c r="A787" s="41">
        <v>1</v>
      </c>
      <c r="B787" s="41"/>
      <c r="C787" s="51" t="str">
        <f>VLOOKUP(F787,[1]VLOOKUP!$A$2:$B$35,2,FALSE)</f>
        <v>西南</v>
      </c>
      <c r="D787" s="52" t="s">
        <v>2929</v>
      </c>
      <c r="E787" s="52"/>
      <c r="F787" s="2" t="s">
        <v>384</v>
      </c>
      <c r="G787" s="2" t="s">
        <v>405</v>
      </c>
      <c r="H787" s="2"/>
      <c r="I787" s="52" t="s">
        <v>720</v>
      </c>
      <c r="J787" s="52" t="s">
        <v>384</v>
      </c>
      <c r="K787" s="52" t="s">
        <v>599</v>
      </c>
      <c r="L787" s="52" t="s">
        <v>663</v>
      </c>
      <c r="M787" s="52">
        <v>45532</v>
      </c>
      <c r="N787" s="52">
        <v>45537</v>
      </c>
      <c r="O787" s="52">
        <v>45657</v>
      </c>
      <c r="P787" s="52" t="s">
        <v>2930</v>
      </c>
      <c r="Q787" s="52" t="s">
        <v>2931</v>
      </c>
      <c r="R787" s="52" t="s">
        <v>2932</v>
      </c>
      <c r="S787" s="53" t="s">
        <v>2933</v>
      </c>
      <c r="T787" s="52"/>
    </row>
    <row r="788" spans="1:20" s="44" customFormat="1" ht="25.05" customHeight="1" x14ac:dyDescent="0.3">
      <c r="A788" s="41">
        <v>1</v>
      </c>
      <c r="B788" s="41"/>
      <c r="C788" s="51" t="str">
        <f>VLOOKUP(F788,[1]VLOOKUP!$A$2:$B$35,2,FALSE)</f>
        <v>西南</v>
      </c>
      <c r="D788" s="54" t="s">
        <v>2934</v>
      </c>
      <c r="E788" s="54"/>
      <c r="F788" s="2" t="s">
        <v>384</v>
      </c>
      <c r="G788" s="2" t="s">
        <v>405</v>
      </c>
      <c r="H788" s="2"/>
      <c r="I788" s="54" t="s">
        <v>720</v>
      </c>
      <c r="J788" s="54" t="s">
        <v>384</v>
      </c>
      <c r="K788" s="54" t="s">
        <v>599</v>
      </c>
      <c r="L788" s="54" t="s">
        <v>600</v>
      </c>
      <c r="M788" s="54">
        <v>45880</v>
      </c>
      <c r="N788" s="54">
        <v>45880</v>
      </c>
      <c r="O788" s="54">
        <v>45885</v>
      </c>
      <c r="P788" s="54" t="s">
        <v>2902</v>
      </c>
      <c r="Q788" s="54" t="s">
        <v>645</v>
      </c>
      <c r="R788" s="54"/>
      <c r="S788" s="55" t="s">
        <v>2935</v>
      </c>
      <c r="T788" s="54"/>
    </row>
    <row r="789" spans="1:20" s="44" customFormat="1" ht="25.05" customHeight="1" x14ac:dyDescent="0.3">
      <c r="A789" s="41">
        <v>1</v>
      </c>
      <c r="B789" s="41"/>
      <c r="C789" s="51" t="str">
        <f>VLOOKUP(F789,[1]VLOOKUP!$A$2:$B$35,2,FALSE)</f>
        <v>西南</v>
      </c>
      <c r="D789" s="41" t="s">
        <v>2936</v>
      </c>
      <c r="E789" s="41"/>
      <c r="F789" s="2" t="s">
        <v>384</v>
      </c>
      <c r="G789" s="2" t="s">
        <v>405</v>
      </c>
      <c r="H789" s="2"/>
      <c r="I789" s="41" t="s">
        <v>720</v>
      </c>
      <c r="J789" s="41" t="s">
        <v>384</v>
      </c>
      <c r="K789" s="41" t="s">
        <v>611</v>
      </c>
      <c r="L789" s="41" t="s">
        <v>600</v>
      </c>
      <c r="M789" s="42">
        <v>45429</v>
      </c>
      <c r="N789" s="42">
        <v>45433</v>
      </c>
      <c r="O789" s="42">
        <v>46387</v>
      </c>
      <c r="P789" s="41" t="s">
        <v>2937</v>
      </c>
      <c r="Q789" s="41" t="s">
        <v>2938</v>
      </c>
      <c r="R789" s="41" t="s">
        <v>2939</v>
      </c>
      <c r="S789" s="43" t="s">
        <v>2940</v>
      </c>
      <c r="T789" s="41"/>
    </row>
    <row r="790" spans="1:20" s="44" customFormat="1" ht="25.05" customHeight="1" x14ac:dyDescent="0.3">
      <c r="A790" s="41">
        <v>1</v>
      </c>
      <c r="B790" s="41"/>
      <c r="C790" s="51" t="str">
        <f>VLOOKUP(F790,[1]VLOOKUP!$A$2:$B$35,2,FALSE)</f>
        <v>西南</v>
      </c>
      <c r="D790" s="41" t="s">
        <v>2941</v>
      </c>
      <c r="E790" s="41"/>
      <c r="F790" s="2" t="s">
        <v>384</v>
      </c>
      <c r="G790" s="2" t="s">
        <v>405</v>
      </c>
      <c r="H790" s="2"/>
      <c r="I790" s="41" t="s">
        <v>720</v>
      </c>
      <c r="J790" s="41" t="s">
        <v>384</v>
      </c>
      <c r="K790" s="41" t="s">
        <v>611</v>
      </c>
      <c r="L790" s="41" t="s">
        <v>600</v>
      </c>
      <c r="M790" s="42">
        <v>45474</v>
      </c>
      <c r="N790" s="42">
        <v>45490</v>
      </c>
      <c r="O790" s="42">
        <v>46387</v>
      </c>
      <c r="P790" s="41" t="s">
        <v>2937</v>
      </c>
      <c r="Q790" s="41" t="s">
        <v>2938</v>
      </c>
      <c r="R790" s="41" t="s">
        <v>2942</v>
      </c>
      <c r="S790" s="43" t="s">
        <v>2943</v>
      </c>
      <c r="T790" s="41"/>
    </row>
    <row r="791" spans="1:20" s="44" customFormat="1" ht="25.05" customHeight="1" x14ac:dyDescent="0.3">
      <c r="A791" s="41">
        <v>1</v>
      </c>
      <c r="B791" s="41"/>
      <c r="C791" s="51" t="str">
        <f>VLOOKUP(F791,[1]VLOOKUP!$A$2:$B$35,2,FALSE)</f>
        <v>西南</v>
      </c>
      <c r="D791" s="54" t="s">
        <v>2944</v>
      </c>
      <c r="E791" s="54"/>
      <c r="F791" s="2" t="s">
        <v>384</v>
      </c>
      <c r="G791" s="2" t="s">
        <v>405</v>
      </c>
      <c r="H791" s="2"/>
      <c r="I791" s="54" t="s">
        <v>720</v>
      </c>
      <c r="J791" s="54" t="s">
        <v>384</v>
      </c>
      <c r="K791" s="54" t="s">
        <v>599</v>
      </c>
      <c r="L791" s="54" t="s">
        <v>600</v>
      </c>
      <c r="M791" s="54">
        <v>45400</v>
      </c>
      <c r="N791" s="54">
        <v>45401</v>
      </c>
      <c r="O791" s="54">
        <v>45412</v>
      </c>
      <c r="P791" s="54" t="s">
        <v>2902</v>
      </c>
      <c r="Q791" s="54" t="s">
        <v>645</v>
      </c>
      <c r="R791" s="54" t="s">
        <v>2945</v>
      </c>
      <c r="S791" s="55" t="s">
        <v>2946</v>
      </c>
      <c r="T791" s="54"/>
    </row>
    <row r="792" spans="1:20" s="44" customFormat="1" ht="25.05" customHeight="1" x14ac:dyDescent="0.3">
      <c r="A792" s="41">
        <v>1</v>
      </c>
      <c r="B792" s="41"/>
      <c r="C792" s="51" t="str">
        <f>VLOOKUP(F792,[1]VLOOKUP!$A$2:$B$35,2,FALSE)</f>
        <v>西南</v>
      </c>
      <c r="D792" s="54" t="s">
        <v>2947</v>
      </c>
      <c r="E792" s="54"/>
      <c r="F792" s="2" t="s">
        <v>384</v>
      </c>
      <c r="G792" s="2" t="s">
        <v>405</v>
      </c>
      <c r="H792" s="2"/>
      <c r="I792" s="54" t="s">
        <v>720</v>
      </c>
      <c r="J792" s="54" t="s">
        <v>384</v>
      </c>
      <c r="K792" s="54" t="s">
        <v>599</v>
      </c>
      <c r="L792" s="54" t="s">
        <v>600</v>
      </c>
      <c r="M792" s="54">
        <v>45597</v>
      </c>
      <c r="N792" s="54">
        <v>45597</v>
      </c>
      <c r="O792" s="54">
        <v>45603</v>
      </c>
      <c r="P792" s="54" t="s">
        <v>2902</v>
      </c>
      <c r="Q792" s="54" t="s">
        <v>645</v>
      </c>
      <c r="R792" s="54"/>
      <c r="S792" s="55" t="s">
        <v>2948</v>
      </c>
      <c r="T792" s="54"/>
    </row>
    <row r="793" spans="1:20" s="44" customFormat="1" ht="25.05" customHeight="1" x14ac:dyDescent="0.3">
      <c r="A793" s="41">
        <v>1</v>
      </c>
      <c r="B793" s="41"/>
      <c r="C793" s="51" t="str">
        <f>VLOOKUP(F793,[1]VLOOKUP!$A$2:$B$35,2,FALSE)</f>
        <v>西南</v>
      </c>
      <c r="D793" s="41" t="s">
        <v>2949</v>
      </c>
      <c r="E793" s="41"/>
      <c r="F793" s="2" t="s">
        <v>384</v>
      </c>
      <c r="G793" s="2" t="s">
        <v>405</v>
      </c>
      <c r="H793" s="2"/>
      <c r="I793" s="41" t="s">
        <v>720</v>
      </c>
      <c r="J793" s="41" t="s">
        <v>384</v>
      </c>
      <c r="K793" s="41" t="s">
        <v>599</v>
      </c>
      <c r="L793" s="41" t="s">
        <v>600</v>
      </c>
      <c r="M793" s="42">
        <v>45761</v>
      </c>
      <c r="N793" s="42">
        <v>45761</v>
      </c>
      <c r="O793" s="42">
        <v>45768</v>
      </c>
      <c r="P793" s="41" t="s">
        <v>2902</v>
      </c>
      <c r="Q793" s="41" t="s">
        <v>645</v>
      </c>
      <c r="R793" s="41"/>
      <c r="S793" s="43" t="s">
        <v>2950</v>
      </c>
      <c r="T793" s="41"/>
    </row>
    <row r="794" spans="1:20" s="44" customFormat="1" ht="25.05" customHeight="1" x14ac:dyDescent="0.3">
      <c r="A794" s="41"/>
      <c r="B794" s="41"/>
      <c r="C794" s="41"/>
      <c r="D794" s="41" t="s">
        <v>2951</v>
      </c>
      <c r="E794" s="41"/>
      <c r="F794" s="2" t="s">
        <v>384</v>
      </c>
      <c r="G794" s="2" t="s">
        <v>405</v>
      </c>
      <c r="H794" s="2"/>
      <c r="I794" s="41" t="s">
        <v>720</v>
      </c>
      <c r="J794" s="41" t="s">
        <v>384</v>
      </c>
      <c r="K794" s="41" t="s">
        <v>605</v>
      </c>
      <c r="L794" s="41" t="s">
        <v>600</v>
      </c>
      <c r="M794" s="42">
        <v>45796</v>
      </c>
      <c r="N794" s="42">
        <v>45796</v>
      </c>
      <c r="O794" s="42">
        <v>45800</v>
      </c>
      <c r="P794" s="41" t="s">
        <v>2902</v>
      </c>
      <c r="Q794" s="41" t="s">
        <v>645</v>
      </c>
      <c r="R794" s="41"/>
      <c r="S794" s="43" t="s">
        <v>2952</v>
      </c>
      <c r="T794" s="41"/>
    </row>
    <row r="795" spans="1:20" s="44" customFormat="1" ht="25.05" customHeight="1" x14ac:dyDescent="0.3">
      <c r="A795" s="41"/>
      <c r="B795" s="41"/>
      <c r="C795" s="41"/>
      <c r="D795" s="41" t="s">
        <v>2953</v>
      </c>
      <c r="E795" s="41"/>
      <c r="F795" s="2" t="s">
        <v>384</v>
      </c>
      <c r="G795" s="2" t="s">
        <v>405</v>
      </c>
      <c r="H795" s="2"/>
      <c r="I795" s="41" t="s">
        <v>720</v>
      </c>
      <c r="J795" s="41" t="s">
        <v>384</v>
      </c>
      <c r="K795" s="41" t="s">
        <v>599</v>
      </c>
      <c r="L795" s="41" t="s">
        <v>600</v>
      </c>
      <c r="M795" s="42">
        <v>45842</v>
      </c>
      <c r="N795" s="42">
        <v>45847</v>
      </c>
      <c r="O795" s="42">
        <v>45854</v>
      </c>
      <c r="P795" s="41" t="s">
        <v>2954</v>
      </c>
      <c r="Q795" s="41" t="s">
        <v>2955</v>
      </c>
      <c r="R795" s="41"/>
      <c r="S795" s="43" t="s">
        <v>2956</v>
      </c>
      <c r="T795" s="41"/>
    </row>
    <row r="796" spans="1:20" s="44" customFormat="1" ht="25.05" customHeight="1" x14ac:dyDescent="0.3">
      <c r="A796" s="41">
        <v>1</v>
      </c>
      <c r="B796" s="41"/>
      <c r="C796" s="51" t="str">
        <f>VLOOKUP(F796,[1]VLOOKUP!$A$2:$B$35,2,FALSE)</f>
        <v>西南</v>
      </c>
      <c r="D796" s="41" t="s">
        <v>2957</v>
      </c>
      <c r="E796" s="41"/>
      <c r="F796" s="2" t="s">
        <v>384</v>
      </c>
      <c r="G796" s="2" t="s">
        <v>405</v>
      </c>
      <c r="H796" s="2"/>
      <c r="I796" s="41" t="s">
        <v>720</v>
      </c>
      <c r="J796" s="41" t="s">
        <v>384</v>
      </c>
      <c r="K796" s="41" t="s">
        <v>599</v>
      </c>
      <c r="L796" s="41" t="s">
        <v>600</v>
      </c>
      <c r="M796" s="42">
        <v>45904</v>
      </c>
      <c r="N796" s="42">
        <v>45904</v>
      </c>
      <c r="O796" s="42">
        <v>45910</v>
      </c>
      <c r="P796" s="41" t="s">
        <v>2902</v>
      </c>
      <c r="Q796" s="41" t="s">
        <v>645</v>
      </c>
      <c r="R796" s="41"/>
      <c r="S796" s="43" t="s">
        <v>2958</v>
      </c>
      <c r="T796" s="41"/>
    </row>
    <row r="797" spans="1:20" s="44" customFormat="1" ht="25.05" customHeight="1" x14ac:dyDescent="0.3">
      <c r="A797" s="41">
        <v>1</v>
      </c>
      <c r="B797" s="41"/>
      <c r="C797" s="51" t="str">
        <f>VLOOKUP(F797,[1]VLOOKUP!$A$2:$B$35,2,FALSE)</f>
        <v>西南</v>
      </c>
      <c r="D797" s="41" t="s">
        <v>2959</v>
      </c>
      <c r="E797" s="41"/>
      <c r="F797" s="2" t="s">
        <v>384</v>
      </c>
      <c r="G797" s="2" t="s">
        <v>405</v>
      </c>
      <c r="H797" s="2"/>
      <c r="I797" s="41" t="s">
        <v>720</v>
      </c>
      <c r="J797" s="41" t="s">
        <v>384</v>
      </c>
      <c r="K797" s="41" t="s">
        <v>605</v>
      </c>
      <c r="L797" s="41" t="s">
        <v>600</v>
      </c>
      <c r="M797" s="42">
        <v>45916</v>
      </c>
      <c r="N797" s="42">
        <v>45917</v>
      </c>
      <c r="O797" s="42">
        <v>46022</v>
      </c>
      <c r="P797" s="41" t="s">
        <v>2902</v>
      </c>
      <c r="Q797" s="41" t="s">
        <v>645</v>
      </c>
      <c r="R797" s="41" t="s">
        <v>2960</v>
      </c>
      <c r="S797" s="43" t="s">
        <v>2961</v>
      </c>
      <c r="T797" s="41"/>
    </row>
    <row r="798" spans="1:20" s="44" customFormat="1" ht="25.05" customHeight="1" x14ac:dyDescent="0.3">
      <c r="A798" s="41">
        <v>1</v>
      </c>
      <c r="B798" s="41"/>
      <c r="C798" s="51" t="str">
        <f>VLOOKUP(F798,[1]VLOOKUP!$A$2:$B$35,2,FALSE)</f>
        <v>西南</v>
      </c>
      <c r="D798" s="41" t="s">
        <v>2962</v>
      </c>
      <c r="E798" s="41"/>
      <c r="F798" s="2" t="s">
        <v>384</v>
      </c>
      <c r="G798" s="2" t="s">
        <v>405</v>
      </c>
      <c r="H798" s="2"/>
      <c r="I798" s="41" t="s">
        <v>720</v>
      </c>
      <c r="J798" s="41" t="s">
        <v>384</v>
      </c>
      <c r="K798" s="41" t="s">
        <v>599</v>
      </c>
      <c r="L798" s="41" t="s">
        <v>600</v>
      </c>
      <c r="M798" s="42">
        <v>45965</v>
      </c>
      <c r="N798" s="42">
        <v>45966</v>
      </c>
      <c r="O798" s="42">
        <v>45975</v>
      </c>
      <c r="P798" s="41" t="s">
        <v>2954</v>
      </c>
      <c r="Q798" s="41" t="s">
        <v>2955</v>
      </c>
      <c r="R798" s="41"/>
      <c r="S798" s="43" t="s">
        <v>2963</v>
      </c>
      <c r="T798" s="41"/>
    </row>
    <row r="799" spans="1:20" s="44" customFormat="1" ht="25.05" customHeight="1" x14ac:dyDescent="0.3">
      <c r="A799" s="41">
        <v>1</v>
      </c>
      <c r="B799" s="41"/>
      <c r="C799" s="51" t="str">
        <f>VLOOKUP(F799,[1]VLOOKUP!$A$2:$B$35,2,FALSE)</f>
        <v>西南</v>
      </c>
      <c r="D799" s="41" t="s">
        <v>2964</v>
      </c>
      <c r="E799" s="41"/>
      <c r="F799" s="2" t="s">
        <v>384</v>
      </c>
      <c r="G799" s="2" t="s">
        <v>405</v>
      </c>
      <c r="H799" s="2" t="s">
        <v>2965</v>
      </c>
      <c r="I799" s="41" t="s">
        <v>720</v>
      </c>
      <c r="J799" s="41" t="s">
        <v>384</v>
      </c>
      <c r="K799" s="41" t="s">
        <v>611</v>
      </c>
      <c r="L799" s="41" t="s">
        <v>600</v>
      </c>
      <c r="M799" s="42">
        <v>43705</v>
      </c>
      <c r="N799" s="42">
        <v>43705</v>
      </c>
      <c r="O799" s="42">
        <v>46022</v>
      </c>
      <c r="P799" s="41" t="s">
        <v>2966</v>
      </c>
      <c r="Q799" s="41" t="s">
        <v>645</v>
      </c>
      <c r="R799" s="41"/>
      <c r="S799" s="43" t="s">
        <v>2967</v>
      </c>
      <c r="T799" s="41"/>
    </row>
    <row r="800" spans="1:20" s="44" customFormat="1" ht="25.05" customHeight="1" x14ac:dyDescent="0.3">
      <c r="A800" s="41">
        <v>1</v>
      </c>
      <c r="B800" s="41"/>
      <c r="C800" s="51" t="str">
        <f>VLOOKUP(F800,[1]VLOOKUP!$A$2:$B$35,2,FALSE)</f>
        <v>西南</v>
      </c>
      <c r="D800" s="41" t="s">
        <v>2968</v>
      </c>
      <c r="E800" s="41"/>
      <c r="F800" s="2" t="s">
        <v>384</v>
      </c>
      <c r="G800" s="2" t="s">
        <v>2969</v>
      </c>
      <c r="H800" s="2"/>
      <c r="I800" s="41" t="s">
        <v>720</v>
      </c>
      <c r="J800" s="41" t="s">
        <v>384</v>
      </c>
      <c r="K800" s="41" t="s">
        <v>599</v>
      </c>
      <c r="L800" s="41" t="s">
        <v>600</v>
      </c>
      <c r="M800" s="42">
        <v>45833</v>
      </c>
      <c r="N800" s="42">
        <v>45839</v>
      </c>
      <c r="O800" s="42">
        <v>46752</v>
      </c>
      <c r="P800" s="41" t="s">
        <v>2970</v>
      </c>
      <c r="Q800" s="41" t="s">
        <v>724</v>
      </c>
      <c r="R800" s="41" t="s">
        <v>2971</v>
      </c>
      <c r="S800" s="43" t="s">
        <v>2972</v>
      </c>
      <c r="T800" s="41"/>
    </row>
    <row r="801" spans="1:20" s="44" customFormat="1" ht="25.05" customHeight="1" x14ac:dyDescent="0.3">
      <c r="A801" s="41">
        <v>1</v>
      </c>
      <c r="B801" s="41"/>
      <c r="C801" s="51" t="s">
        <v>2973</v>
      </c>
      <c r="D801" s="41" t="s">
        <v>2974</v>
      </c>
      <c r="E801" s="41"/>
      <c r="F801" s="2" t="s">
        <v>384</v>
      </c>
      <c r="G801" s="2" t="s">
        <v>2969</v>
      </c>
      <c r="H801" s="2"/>
      <c r="I801" s="41" t="s">
        <v>720</v>
      </c>
      <c r="J801" s="41" t="s">
        <v>384</v>
      </c>
      <c r="K801" s="41" t="s">
        <v>605</v>
      </c>
      <c r="L801" s="41" t="s">
        <v>600</v>
      </c>
      <c r="M801" s="42">
        <v>45898</v>
      </c>
      <c r="N801" s="42">
        <v>45901</v>
      </c>
      <c r="O801" s="42">
        <v>45923</v>
      </c>
      <c r="P801" s="41" t="s">
        <v>2975</v>
      </c>
      <c r="Q801" s="41" t="s">
        <v>645</v>
      </c>
      <c r="R801" s="41" t="s">
        <v>2976</v>
      </c>
      <c r="S801" s="43" t="s">
        <v>2977</v>
      </c>
      <c r="T801" s="41"/>
    </row>
    <row r="802" spans="1:20" s="44" customFormat="1" ht="25.05" customHeight="1" x14ac:dyDescent="0.3">
      <c r="A802" s="41">
        <v>1</v>
      </c>
      <c r="B802" s="41"/>
      <c r="C802" s="51" t="str">
        <f>VLOOKUP(F802,[1]VLOOKUP!$A$2:$B$35,2,FALSE)</f>
        <v>西南</v>
      </c>
      <c r="D802" s="41" t="s">
        <v>2978</v>
      </c>
      <c r="E802" s="41"/>
      <c r="F802" s="2" t="s">
        <v>384</v>
      </c>
      <c r="G802" s="2" t="s">
        <v>2979</v>
      </c>
      <c r="H802" s="2"/>
      <c r="I802" s="41" t="s">
        <v>720</v>
      </c>
      <c r="J802" s="41" t="s">
        <v>384</v>
      </c>
      <c r="K802" s="41" t="s">
        <v>611</v>
      </c>
      <c r="L802" s="41" t="s">
        <v>600</v>
      </c>
      <c r="M802" s="42">
        <v>44574</v>
      </c>
      <c r="N802" s="42">
        <v>44578</v>
      </c>
      <c r="O802" s="42">
        <v>46022</v>
      </c>
      <c r="P802" s="41" t="s">
        <v>2980</v>
      </c>
      <c r="Q802" s="41" t="s">
        <v>645</v>
      </c>
      <c r="R802" s="41" t="s">
        <v>2981</v>
      </c>
      <c r="S802" s="43" t="s">
        <v>2982</v>
      </c>
      <c r="T802" s="41"/>
    </row>
    <row r="803" spans="1:20" s="44" customFormat="1" ht="25.05" customHeight="1" x14ac:dyDescent="0.3">
      <c r="A803" s="41">
        <v>1</v>
      </c>
      <c r="B803" s="41"/>
      <c r="C803" s="51" t="str">
        <f>VLOOKUP(F803,[1]VLOOKUP!$A$2:$B$35,2,FALSE)</f>
        <v>西南</v>
      </c>
      <c r="D803" s="52" t="s">
        <v>2983</v>
      </c>
      <c r="E803" s="52"/>
      <c r="F803" s="2" t="s">
        <v>384</v>
      </c>
      <c r="G803" s="2" t="s">
        <v>2979</v>
      </c>
      <c r="H803" s="2" t="s">
        <v>2984</v>
      </c>
      <c r="I803" s="52" t="s">
        <v>720</v>
      </c>
      <c r="J803" s="52" t="s">
        <v>384</v>
      </c>
      <c r="K803" s="52" t="s">
        <v>611</v>
      </c>
      <c r="L803" s="52" t="s">
        <v>663</v>
      </c>
      <c r="M803" s="52">
        <v>44286</v>
      </c>
      <c r="N803" s="52">
        <v>44286</v>
      </c>
      <c r="O803" s="52">
        <v>45413</v>
      </c>
      <c r="P803" s="52" t="s">
        <v>2985</v>
      </c>
      <c r="Q803" s="52" t="s">
        <v>724</v>
      </c>
      <c r="R803" s="52" t="s">
        <v>2986</v>
      </c>
      <c r="S803" s="53" t="s">
        <v>2987</v>
      </c>
      <c r="T803" s="52"/>
    </row>
    <row r="804" spans="1:20" s="44" customFormat="1" ht="25.05" customHeight="1" x14ac:dyDescent="0.3">
      <c r="A804" s="41">
        <v>1</v>
      </c>
      <c r="B804" s="41"/>
      <c r="C804" s="51" t="str">
        <f>VLOOKUP(F804,[1]VLOOKUP!$A$2:$B$35,2,FALSE)</f>
        <v>西南</v>
      </c>
      <c r="D804" s="57" t="s">
        <v>2988</v>
      </c>
      <c r="E804" s="57"/>
      <c r="F804" s="2" t="s">
        <v>384</v>
      </c>
      <c r="G804" s="2" t="s">
        <v>2989</v>
      </c>
      <c r="H804" s="2"/>
      <c r="I804" s="57" t="s">
        <v>720</v>
      </c>
      <c r="J804" s="57" t="s">
        <v>384</v>
      </c>
      <c r="K804" s="57" t="s">
        <v>611</v>
      </c>
      <c r="L804" s="84" t="s">
        <v>780</v>
      </c>
      <c r="M804" s="57">
        <v>44469</v>
      </c>
      <c r="N804" s="57">
        <v>44469</v>
      </c>
      <c r="O804" s="57">
        <v>44476</v>
      </c>
      <c r="P804" s="57" t="s">
        <v>2990</v>
      </c>
      <c r="Q804" s="57" t="s">
        <v>645</v>
      </c>
      <c r="R804" s="57"/>
      <c r="S804" s="58" t="s">
        <v>2991</v>
      </c>
      <c r="T804" s="57"/>
    </row>
    <row r="805" spans="1:20" s="44" customFormat="1" ht="25.05" customHeight="1" x14ac:dyDescent="0.3">
      <c r="A805" s="41">
        <v>1</v>
      </c>
      <c r="B805" s="41"/>
      <c r="C805" s="51" t="str">
        <f>VLOOKUP(F805,[1]VLOOKUP!$A$2:$B$35,2,FALSE)</f>
        <v>西南</v>
      </c>
      <c r="D805" s="52" t="s">
        <v>2992</v>
      </c>
      <c r="E805" s="52"/>
      <c r="F805" s="2" t="s">
        <v>384</v>
      </c>
      <c r="G805" s="2" t="s">
        <v>527</v>
      </c>
      <c r="H805" s="2"/>
      <c r="I805" s="52" t="s">
        <v>720</v>
      </c>
      <c r="J805" s="52" t="s">
        <v>384</v>
      </c>
      <c r="K805" s="52" t="s">
        <v>605</v>
      </c>
      <c r="L805" s="52" t="s">
        <v>663</v>
      </c>
      <c r="M805" s="52">
        <v>44711</v>
      </c>
      <c r="N805" s="52">
        <v>44711</v>
      </c>
      <c r="O805" s="52">
        <v>44745</v>
      </c>
      <c r="P805" s="52" t="s">
        <v>2993</v>
      </c>
      <c r="Q805" s="52" t="s">
        <v>716</v>
      </c>
      <c r="R805" s="52"/>
      <c r="S805" s="53" t="s">
        <v>2994</v>
      </c>
      <c r="T805" s="52" t="s">
        <v>1201</v>
      </c>
    </row>
    <row r="806" spans="1:20" s="44" customFormat="1" ht="25.05" customHeight="1" x14ac:dyDescent="0.3">
      <c r="A806" s="41">
        <v>1</v>
      </c>
      <c r="B806" s="41"/>
      <c r="C806" s="51" t="str">
        <f>VLOOKUP(F806,[1]VLOOKUP!$A$2:$B$35,2,FALSE)</f>
        <v>西南</v>
      </c>
      <c r="D806" s="57" t="s">
        <v>2995</v>
      </c>
      <c r="E806" s="57"/>
      <c r="F806" s="2" t="s">
        <v>384</v>
      </c>
      <c r="G806" s="2" t="s">
        <v>527</v>
      </c>
      <c r="H806" s="2"/>
      <c r="I806" s="57" t="s">
        <v>720</v>
      </c>
      <c r="J806" s="57" t="s">
        <v>384</v>
      </c>
      <c r="K806" s="57" t="s">
        <v>682</v>
      </c>
      <c r="L806" s="84" t="s">
        <v>780</v>
      </c>
      <c r="M806" s="57">
        <v>44755</v>
      </c>
      <c r="N806" s="57">
        <v>44755</v>
      </c>
      <c r="O806" s="57">
        <v>44772</v>
      </c>
      <c r="P806" s="57" t="s">
        <v>2996</v>
      </c>
      <c r="Q806" s="57" t="s">
        <v>654</v>
      </c>
      <c r="R806" s="57"/>
      <c r="S806" s="58" t="s">
        <v>2997</v>
      </c>
      <c r="T806" s="57" t="s">
        <v>1201</v>
      </c>
    </row>
    <row r="807" spans="1:20" s="44" customFormat="1" ht="25.05" customHeight="1" x14ac:dyDescent="0.3">
      <c r="A807" s="41">
        <v>1</v>
      </c>
      <c r="B807" s="41"/>
      <c r="C807" s="51" t="str">
        <f>VLOOKUP(F807,[1]VLOOKUP!$A$2:$B$35,2,FALSE)</f>
        <v>西南</v>
      </c>
      <c r="D807" s="41" t="s">
        <v>2998</v>
      </c>
      <c r="E807" s="41"/>
      <c r="F807" s="2" t="s">
        <v>384</v>
      </c>
      <c r="G807" s="2" t="s">
        <v>527</v>
      </c>
      <c r="H807" s="2"/>
      <c r="I807" s="41" t="s">
        <v>720</v>
      </c>
      <c r="J807" s="41" t="s">
        <v>384</v>
      </c>
      <c r="K807" s="41" t="s">
        <v>611</v>
      </c>
      <c r="L807" s="41" t="s">
        <v>600</v>
      </c>
      <c r="M807" s="42">
        <v>44726</v>
      </c>
      <c r="N807" s="42">
        <v>44885</v>
      </c>
      <c r="O807" s="42">
        <v>47848</v>
      </c>
      <c r="P807" s="41" t="s">
        <v>2999</v>
      </c>
      <c r="Q807" s="41" t="s">
        <v>724</v>
      </c>
      <c r="R807" s="41" t="s">
        <v>3000</v>
      </c>
      <c r="S807" s="43" t="s">
        <v>3001</v>
      </c>
      <c r="T807" s="41"/>
    </row>
    <row r="808" spans="1:20" s="44" customFormat="1" ht="25.05" customHeight="1" x14ac:dyDescent="0.3">
      <c r="A808" s="41">
        <v>1</v>
      </c>
      <c r="B808" s="41"/>
      <c r="C808" s="51" t="str">
        <f>VLOOKUP(F808,[1]VLOOKUP!$A$2:$B$35,2,FALSE)</f>
        <v>西南</v>
      </c>
      <c r="D808" s="41" t="s">
        <v>3002</v>
      </c>
      <c r="E808" s="41"/>
      <c r="F808" s="2" t="s">
        <v>384</v>
      </c>
      <c r="G808" s="2" t="s">
        <v>527</v>
      </c>
      <c r="H808" s="2"/>
      <c r="I808" s="41" t="s">
        <v>720</v>
      </c>
      <c r="J808" s="41" t="s">
        <v>384</v>
      </c>
      <c r="K808" s="41" t="s">
        <v>605</v>
      </c>
      <c r="L808" s="41" t="s">
        <v>600</v>
      </c>
      <c r="M808" s="42">
        <v>45869</v>
      </c>
      <c r="N808" s="42">
        <v>45876</v>
      </c>
      <c r="O808" s="42">
        <v>46752</v>
      </c>
      <c r="P808" s="41" t="s">
        <v>2999</v>
      </c>
      <c r="Q808" s="41" t="s">
        <v>724</v>
      </c>
      <c r="R808" s="41" t="s">
        <v>3003</v>
      </c>
      <c r="S808" s="43" t="s">
        <v>3004</v>
      </c>
      <c r="T808" s="41"/>
    </row>
    <row r="809" spans="1:20" s="44" customFormat="1" ht="25.05" customHeight="1" x14ac:dyDescent="0.3">
      <c r="A809" s="41">
        <v>1</v>
      </c>
      <c r="B809" s="41"/>
      <c r="C809" s="51" t="str">
        <f>VLOOKUP(F809,[1]VLOOKUP!$A$2:$B$35,2,FALSE)</f>
        <v>西南</v>
      </c>
      <c r="D809" s="41" t="s">
        <v>3005</v>
      </c>
      <c r="E809" s="41"/>
      <c r="F809" s="2" t="s">
        <v>384</v>
      </c>
      <c r="G809" s="2" t="s">
        <v>527</v>
      </c>
      <c r="H809" s="2"/>
      <c r="I809" s="41" t="s">
        <v>720</v>
      </c>
      <c r="J809" s="41" t="s">
        <v>384</v>
      </c>
      <c r="K809" s="41" t="s">
        <v>599</v>
      </c>
      <c r="L809" s="41" t="s">
        <v>600</v>
      </c>
      <c r="M809" s="42">
        <v>45919</v>
      </c>
      <c r="N809" s="42">
        <v>45919</v>
      </c>
      <c r="O809" s="42">
        <v>45925</v>
      </c>
      <c r="P809" s="41" t="s">
        <v>3006</v>
      </c>
      <c r="Q809" s="41" t="s">
        <v>645</v>
      </c>
      <c r="R809" s="41"/>
      <c r="S809" s="43" t="s">
        <v>3007</v>
      </c>
      <c r="T809" s="41"/>
    </row>
    <row r="810" spans="1:20" s="44" customFormat="1" ht="25.05" customHeight="1" x14ac:dyDescent="0.3">
      <c r="A810" s="41"/>
      <c r="B810" s="41"/>
      <c r="C810" s="41"/>
      <c r="D810" s="57" t="s">
        <v>3008</v>
      </c>
      <c r="E810" s="57"/>
      <c r="F810" s="2" t="s">
        <v>384</v>
      </c>
      <c r="G810" s="2" t="s">
        <v>527</v>
      </c>
      <c r="H810" s="2"/>
      <c r="I810" s="57" t="s">
        <v>720</v>
      </c>
      <c r="J810" s="57" t="s">
        <v>384</v>
      </c>
      <c r="K810" s="57" t="s">
        <v>611</v>
      </c>
      <c r="L810" s="84" t="s">
        <v>780</v>
      </c>
      <c r="M810" s="57">
        <v>45323</v>
      </c>
      <c r="N810" s="57">
        <v>45323</v>
      </c>
      <c r="O810" s="57">
        <v>45352</v>
      </c>
      <c r="P810" s="57" t="s">
        <v>2996</v>
      </c>
      <c r="Q810" s="57" t="s">
        <v>654</v>
      </c>
      <c r="R810" s="57"/>
      <c r="S810" s="58" t="s">
        <v>3009</v>
      </c>
      <c r="T810" s="57" t="s">
        <v>1201</v>
      </c>
    </row>
    <row r="811" spans="1:20" s="44" customFormat="1" ht="25.05" customHeight="1" x14ac:dyDescent="0.3">
      <c r="A811" s="41"/>
      <c r="B811" s="41"/>
      <c r="C811" s="41"/>
      <c r="D811" s="47" t="s">
        <v>3010</v>
      </c>
      <c r="E811" s="47"/>
      <c r="F811" s="2" t="s">
        <v>384</v>
      </c>
      <c r="G811" s="2" t="s">
        <v>527</v>
      </c>
      <c r="H811" s="2"/>
      <c r="I811" s="47" t="s">
        <v>720</v>
      </c>
      <c r="J811" s="47" t="s">
        <v>384</v>
      </c>
      <c r="K811" s="47" t="s">
        <v>611</v>
      </c>
      <c r="L811" s="47" t="s">
        <v>606</v>
      </c>
      <c r="M811" s="47"/>
      <c r="N811" s="47"/>
      <c r="O811" s="47"/>
      <c r="P811" s="47" t="s">
        <v>3011</v>
      </c>
      <c r="Q811" s="47" t="s">
        <v>645</v>
      </c>
      <c r="R811" s="47"/>
      <c r="S811" s="64"/>
      <c r="T811" s="47"/>
    </row>
    <row r="812" spans="1:20" s="44" customFormat="1" ht="25.05" customHeight="1" x14ac:dyDescent="0.3">
      <c r="A812" s="41"/>
      <c r="B812" s="41"/>
      <c r="C812" s="41"/>
      <c r="D812" s="47" t="s">
        <v>3012</v>
      </c>
      <c r="E812" s="47"/>
      <c r="F812" s="2" t="s">
        <v>384</v>
      </c>
      <c r="G812" s="2" t="s">
        <v>3013</v>
      </c>
      <c r="H812" s="2"/>
      <c r="I812" s="47" t="s">
        <v>720</v>
      </c>
      <c r="J812" s="47" t="s">
        <v>384</v>
      </c>
      <c r="K812" s="47" t="s">
        <v>605</v>
      </c>
      <c r="L812" s="47" t="s">
        <v>606</v>
      </c>
      <c r="M812" s="47"/>
      <c r="N812" s="47"/>
      <c r="O812" s="47"/>
      <c r="P812" s="47" t="s">
        <v>3014</v>
      </c>
      <c r="Q812" s="47" t="s">
        <v>724</v>
      </c>
      <c r="R812" s="47" t="s">
        <v>3015</v>
      </c>
      <c r="S812" s="64"/>
      <c r="T812" s="47"/>
    </row>
    <row r="813" spans="1:20" s="44" customFormat="1" ht="25.05" customHeight="1" x14ac:dyDescent="0.3">
      <c r="A813" s="41"/>
      <c r="B813" s="41"/>
      <c r="C813" s="41"/>
      <c r="D813" s="47" t="s">
        <v>3016</v>
      </c>
      <c r="E813" s="47"/>
      <c r="F813" s="2" t="s">
        <v>384</v>
      </c>
      <c r="G813" s="2" t="s">
        <v>3013</v>
      </c>
      <c r="H813" s="2"/>
      <c r="I813" s="47" t="s">
        <v>720</v>
      </c>
      <c r="J813" s="47" t="s">
        <v>384</v>
      </c>
      <c r="K813" s="47" t="s">
        <v>611</v>
      </c>
      <c r="L813" s="47" t="s">
        <v>606</v>
      </c>
      <c r="M813" s="47"/>
      <c r="N813" s="47"/>
      <c r="O813" s="47"/>
      <c r="P813" s="47"/>
      <c r="Q813" s="47"/>
      <c r="R813" s="47"/>
      <c r="S813" s="64"/>
      <c r="T813" s="47"/>
    </row>
    <row r="814" spans="1:20" s="44" customFormat="1" ht="25.05" customHeight="1" x14ac:dyDescent="0.3">
      <c r="A814" s="41"/>
      <c r="B814" s="41"/>
      <c r="C814" s="41"/>
      <c r="D814" s="47" t="s">
        <v>3017</v>
      </c>
      <c r="E814" s="47"/>
      <c r="F814" s="2" t="s">
        <v>384</v>
      </c>
      <c r="G814" s="2" t="s">
        <v>3013</v>
      </c>
      <c r="H814" s="2"/>
      <c r="I814" s="47" t="s">
        <v>720</v>
      </c>
      <c r="J814" s="47" t="s">
        <v>384</v>
      </c>
      <c r="K814" s="47" t="s">
        <v>611</v>
      </c>
      <c r="L814" s="47" t="s">
        <v>606</v>
      </c>
      <c r="M814" s="47"/>
      <c r="N814" s="47"/>
      <c r="O814" s="47"/>
      <c r="P814" s="47"/>
      <c r="Q814" s="47"/>
      <c r="R814" s="47"/>
      <c r="S814" s="64"/>
      <c r="T814" s="47"/>
    </row>
    <row r="815" spans="1:20" s="44" customFormat="1" ht="25.05" customHeight="1" x14ac:dyDescent="0.3">
      <c r="A815" s="41"/>
      <c r="B815" s="41"/>
      <c r="C815" s="41"/>
      <c r="D815" s="47" t="s">
        <v>3018</v>
      </c>
      <c r="E815" s="47"/>
      <c r="F815" s="2" t="s">
        <v>384</v>
      </c>
      <c r="G815" s="2" t="s">
        <v>3013</v>
      </c>
      <c r="H815" s="2"/>
      <c r="I815" s="47" t="s">
        <v>720</v>
      </c>
      <c r="J815" s="47" t="s">
        <v>384</v>
      </c>
      <c r="K815" s="47" t="s">
        <v>611</v>
      </c>
      <c r="L815" s="47" t="s">
        <v>606</v>
      </c>
      <c r="M815" s="47"/>
      <c r="N815" s="47"/>
      <c r="O815" s="47"/>
      <c r="P815" s="47"/>
      <c r="Q815" s="47"/>
      <c r="R815" s="47" t="s">
        <v>3019</v>
      </c>
      <c r="S815" s="64"/>
      <c r="T815" s="47"/>
    </row>
    <row r="816" spans="1:20" s="44" customFormat="1" ht="25.05" customHeight="1" x14ac:dyDescent="0.3">
      <c r="A816" s="41"/>
      <c r="B816" s="41"/>
      <c r="C816" s="41"/>
      <c r="D816" s="47" t="s">
        <v>3020</v>
      </c>
      <c r="E816" s="47"/>
      <c r="F816" s="2" t="s">
        <v>384</v>
      </c>
      <c r="G816" s="2" t="s">
        <v>3013</v>
      </c>
      <c r="H816" s="2"/>
      <c r="I816" s="47" t="s">
        <v>720</v>
      </c>
      <c r="J816" s="47" t="s">
        <v>384</v>
      </c>
      <c r="K816" s="47" t="s">
        <v>611</v>
      </c>
      <c r="L816" s="47" t="s">
        <v>606</v>
      </c>
      <c r="M816" s="47"/>
      <c r="N816" s="47"/>
      <c r="O816" s="47"/>
      <c r="P816" s="47"/>
      <c r="Q816" s="47"/>
      <c r="R816" s="47"/>
      <c r="S816" s="64"/>
      <c r="T816" s="47"/>
    </row>
    <row r="817" spans="1:20" s="44" customFormat="1" ht="25.05" customHeight="1" x14ac:dyDescent="0.3">
      <c r="A817" s="41"/>
      <c r="B817" s="41"/>
      <c r="C817" s="41"/>
      <c r="D817" s="47" t="s">
        <v>3021</v>
      </c>
      <c r="E817" s="47"/>
      <c r="F817" s="2" t="s">
        <v>384</v>
      </c>
      <c r="G817" s="2" t="s">
        <v>3013</v>
      </c>
      <c r="H817" s="2" t="s">
        <v>3022</v>
      </c>
      <c r="I817" s="47" t="s">
        <v>720</v>
      </c>
      <c r="J817" s="47" t="s">
        <v>384</v>
      </c>
      <c r="K817" s="47" t="s">
        <v>611</v>
      </c>
      <c r="L817" s="47" t="s">
        <v>606</v>
      </c>
      <c r="M817" s="47"/>
      <c r="N817" s="47"/>
      <c r="O817" s="47"/>
      <c r="P817" s="47"/>
      <c r="Q817" s="47"/>
      <c r="R817" s="47"/>
      <c r="S817" s="64"/>
      <c r="T817" s="47"/>
    </row>
    <row r="818" spans="1:20" s="44" customFormat="1" ht="25.05" customHeight="1" x14ac:dyDescent="0.3">
      <c r="A818" s="41">
        <v>1</v>
      </c>
      <c r="B818" s="41"/>
      <c r="C818" s="51" t="str">
        <f>VLOOKUP(F818,[1]VLOOKUP!$A$2:$B$35,2,FALSE)</f>
        <v>西南</v>
      </c>
      <c r="D818" s="41" t="s">
        <v>3023</v>
      </c>
      <c r="E818" s="41"/>
      <c r="F818" s="2" t="s">
        <v>384</v>
      </c>
      <c r="G818" s="2" t="s">
        <v>556</v>
      </c>
      <c r="H818" s="2"/>
      <c r="I818" s="41" t="s">
        <v>720</v>
      </c>
      <c r="J818" s="41" t="s">
        <v>384</v>
      </c>
      <c r="K818" s="41" t="s">
        <v>682</v>
      </c>
      <c r="L818" s="41" t="s">
        <v>600</v>
      </c>
      <c r="M818" s="42">
        <v>45317</v>
      </c>
      <c r="N818" s="42">
        <v>45317</v>
      </c>
      <c r="O818" s="42">
        <v>46079</v>
      </c>
      <c r="P818" s="41" t="s">
        <v>3024</v>
      </c>
      <c r="Q818" s="41" t="s">
        <v>3025</v>
      </c>
      <c r="R818" s="41" t="s">
        <v>3026</v>
      </c>
      <c r="S818" s="43" t="s">
        <v>3027</v>
      </c>
      <c r="T818" s="41"/>
    </row>
    <row r="819" spans="1:20" s="44" customFormat="1" ht="25.05" customHeight="1" x14ac:dyDescent="0.3">
      <c r="A819" s="41">
        <v>1</v>
      </c>
      <c r="B819" s="41"/>
      <c r="C819" s="51" t="str">
        <f>VLOOKUP(F819,[1]VLOOKUP!$A$2:$B$35,2,FALSE)</f>
        <v>西南</v>
      </c>
      <c r="D819" s="41" t="s">
        <v>3028</v>
      </c>
      <c r="E819" s="41"/>
      <c r="F819" s="2" t="s">
        <v>384</v>
      </c>
      <c r="G819" s="2" t="s">
        <v>3029</v>
      </c>
      <c r="H819" s="2"/>
      <c r="I819" s="41" t="s">
        <v>720</v>
      </c>
      <c r="J819" s="41" t="s">
        <v>384</v>
      </c>
      <c r="K819" s="41" t="s">
        <v>611</v>
      </c>
      <c r="L819" s="41" t="s">
        <v>600</v>
      </c>
      <c r="M819" s="42">
        <v>45509</v>
      </c>
      <c r="N819" s="42">
        <v>45509</v>
      </c>
      <c r="O819" s="42">
        <v>49674</v>
      </c>
      <c r="P819" s="41" t="s">
        <v>3030</v>
      </c>
      <c r="Q819" s="41" t="s">
        <v>724</v>
      </c>
      <c r="R819" s="41" t="s">
        <v>3031</v>
      </c>
      <c r="S819" s="43" t="s">
        <v>3032</v>
      </c>
      <c r="T819" s="41"/>
    </row>
    <row r="820" spans="1:20" s="44" customFormat="1" ht="25.05" customHeight="1" x14ac:dyDescent="0.3">
      <c r="A820" s="41">
        <v>1</v>
      </c>
      <c r="B820" s="41"/>
      <c r="C820" s="51" t="str">
        <f>VLOOKUP(F820,[1]VLOOKUP!$A$2:$B$35,2,FALSE)</f>
        <v>西南</v>
      </c>
      <c r="D820" s="41" t="s">
        <v>3033</v>
      </c>
      <c r="E820" s="41"/>
      <c r="F820" s="2" t="s">
        <v>384</v>
      </c>
      <c r="G820" s="2" t="s">
        <v>3029</v>
      </c>
      <c r="H820" s="2"/>
      <c r="I820" s="41" t="s">
        <v>720</v>
      </c>
      <c r="J820" s="41" t="s">
        <v>384</v>
      </c>
      <c r="K820" s="41" t="s">
        <v>605</v>
      </c>
      <c r="L820" s="41" t="s">
        <v>600</v>
      </c>
      <c r="M820" s="42">
        <v>45743</v>
      </c>
      <c r="N820" s="42">
        <v>45743</v>
      </c>
      <c r="O820" s="42">
        <v>46874</v>
      </c>
      <c r="P820" s="41" t="s">
        <v>3030</v>
      </c>
      <c r="Q820" s="41" t="s">
        <v>724</v>
      </c>
      <c r="R820" s="41" t="s">
        <v>3034</v>
      </c>
      <c r="S820" s="43" t="s">
        <v>3035</v>
      </c>
      <c r="T820" s="41"/>
    </row>
    <row r="821" spans="1:20" s="44" customFormat="1" ht="25.05" customHeight="1" x14ac:dyDescent="0.3">
      <c r="A821" s="41">
        <v>1</v>
      </c>
      <c r="B821" s="41"/>
      <c r="C821" s="51" t="str">
        <f>VLOOKUP(F821,[1]VLOOKUP!$A$2:$B$35,2,FALSE)</f>
        <v>西南</v>
      </c>
      <c r="D821" s="57" t="s">
        <v>3036</v>
      </c>
      <c r="E821" s="57"/>
      <c r="F821" s="2" t="s">
        <v>384</v>
      </c>
      <c r="G821" s="2" t="s">
        <v>3037</v>
      </c>
      <c r="H821" s="2" t="s">
        <v>3038</v>
      </c>
      <c r="I821" s="57" t="s">
        <v>720</v>
      </c>
      <c r="J821" s="57" t="s">
        <v>384</v>
      </c>
      <c r="K821" s="57" t="s">
        <v>605</v>
      </c>
      <c r="L821" s="84" t="s">
        <v>780</v>
      </c>
      <c r="M821" s="57">
        <v>45463</v>
      </c>
      <c r="N821" s="57">
        <v>45463</v>
      </c>
      <c r="O821" s="57">
        <v>45471</v>
      </c>
      <c r="P821" s="57" t="s">
        <v>3039</v>
      </c>
      <c r="Q821" s="57" t="s">
        <v>645</v>
      </c>
      <c r="R821" s="57"/>
      <c r="S821" s="58" t="s">
        <v>3040</v>
      </c>
      <c r="T821" s="57"/>
    </row>
    <row r="822" spans="1:20" s="44" customFormat="1" ht="25.05" customHeight="1" x14ac:dyDescent="0.3">
      <c r="A822" s="41">
        <v>1</v>
      </c>
      <c r="B822" s="41"/>
      <c r="C822" s="51" t="str">
        <f>VLOOKUP(F822,[1]VLOOKUP!$A$2:$B$35,2,FALSE)</f>
        <v>西南</v>
      </c>
      <c r="D822" s="57" t="s">
        <v>3041</v>
      </c>
      <c r="E822" s="57"/>
      <c r="F822" s="2" t="s">
        <v>384</v>
      </c>
      <c r="G822" s="2" t="s">
        <v>3042</v>
      </c>
      <c r="H822" s="2"/>
      <c r="I822" s="57" t="s">
        <v>720</v>
      </c>
      <c r="J822" s="57" t="s">
        <v>384</v>
      </c>
      <c r="K822" s="57" t="s">
        <v>611</v>
      </c>
      <c r="L822" s="84" t="s">
        <v>780</v>
      </c>
      <c r="M822" s="57">
        <v>45747</v>
      </c>
      <c r="N822" s="57">
        <v>45747</v>
      </c>
      <c r="O822" s="57">
        <v>45756</v>
      </c>
      <c r="P822" s="57" t="s">
        <v>3043</v>
      </c>
      <c r="Q822" s="57" t="s">
        <v>645</v>
      </c>
      <c r="R822" s="57"/>
      <c r="S822" s="58" t="s">
        <v>3044</v>
      </c>
      <c r="T822" s="57"/>
    </row>
    <row r="823" spans="1:20" ht="25.05" customHeight="1" x14ac:dyDescent="0.3">
      <c r="A823" s="36"/>
      <c r="B823" s="36"/>
      <c r="C823" s="36"/>
      <c r="D823" s="60"/>
      <c r="E823" s="61"/>
      <c r="F823" s="3" t="s">
        <v>499</v>
      </c>
      <c r="G823" s="3"/>
      <c r="H823" s="3"/>
      <c r="I823" s="60"/>
      <c r="J823" s="60"/>
      <c r="K823" s="60"/>
      <c r="L823" s="60"/>
      <c r="M823" s="60"/>
      <c r="N823" s="60"/>
      <c r="O823" s="60"/>
      <c r="P823" s="60"/>
      <c r="Q823" s="60"/>
      <c r="R823" s="60"/>
      <c r="S823" s="62"/>
      <c r="T823" s="60"/>
    </row>
    <row r="824" spans="1:20" s="44" customFormat="1" ht="25.05" customHeight="1" x14ac:dyDescent="0.3">
      <c r="A824" s="41">
        <v>1</v>
      </c>
      <c r="B824" s="41"/>
      <c r="C824" s="51" t="str">
        <f>VLOOKUP(F824,[1]VLOOKUP!$A$2:$B$35,2,FALSE)</f>
        <v>西南</v>
      </c>
      <c r="D824" s="47" t="s">
        <v>3045</v>
      </c>
      <c r="E824" s="47"/>
      <c r="F824" s="2" t="s">
        <v>499</v>
      </c>
      <c r="G824" s="2"/>
      <c r="H824" s="2"/>
      <c r="I824" s="47" t="s">
        <v>474</v>
      </c>
      <c r="J824" s="47" t="s">
        <v>499</v>
      </c>
      <c r="K824" s="47" t="s">
        <v>611</v>
      </c>
      <c r="L824" s="47" t="s">
        <v>600</v>
      </c>
      <c r="M824" s="47">
        <v>44754</v>
      </c>
      <c r="N824" s="47">
        <v>44754</v>
      </c>
      <c r="O824" s="47">
        <v>46022</v>
      </c>
      <c r="P824" s="47" t="s">
        <v>3046</v>
      </c>
      <c r="Q824" s="47" t="s">
        <v>3047</v>
      </c>
      <c r="R824" s="47" t="s">
        <v>3048</v>
      </c>
      <c r="S824" s="64"/>
      <c r="T824" s="47"/>
    </row>
    <row r="825" spans="1:20" s="44" customFormat="1" ht="25.05" customHeight="1" x14ac:dyDescent="0.3">
      <c r="A825" s="41">
        <v>1</v>
      </c>
      <c r="B825" s="41"/>
      <c r="C825" s="51" t="str">
        <f>VLOOKUP(F825,[1]VLOOKUP!$A$2:$B$35,2,FALSE)</f>
        <v>西南</v>
      </c>
      <c r="D825" s="52" t="s">
        <v>3049</v>
      </c>
      <c r="E825" s="52"/>
      <c r="F825" s="2" t="s">
        <v>499</v>
      </c>
      <c r="G825" s="2" t="s">
        <v>500</v>
      </c>
      <c r="H825" s="2"/>
      <c r="I825" s="52" t="s">
        <v>720</v>
      </c>
      <c r="J825" s="52" t="s">
        <v>499</v>
      </c>
      <c r="K825" s="52" t="s">
        <v>682</v>
      </c>
      <c r="L825" s="52" t="s">
        <v>663</v>
      </c>
      <c r="M825" s="52">
        <v>44426</v>
      </c>
      <c r="N825" s="52">
        <v>44428</v>
      </c>
      <c r="O825" s="52">
        <v>45156</v>
      </c>
      <c r="P825" s="52" t="s">
        <v>3050</v>
      </c>
      <c r="Q825" s="52" t="s">
        <v>3051</v>
      </c>
      <c r="R825" s="52" t="s">
        <v>3052</v>
      </c>
      <c r="S825" s="53" t="s">
        <v>3053</v>
      </c>
      <c r="T825" s="52"/>
    </row>
    <row r="826" spans="1:20" s="44" customFormat="1" ht="25.05" customHeight="1" x14ac:dyDescent="0.3">
      <c r="A826" s="41"/>
      <c r="B826" s="41"/>
      <c r="C826" s="41"/>
      <c r="D826" s="47" t="s">
        <v>3054</v>
      </c>
      <c r="E826" s="47"/>
      <c r="F826" s="2" t="s">
        <v>499</v>
      </c>
      <c r="G826" s="2" t="s">
        <v>500</v>
      </c>
      <c r="H826" s="2"/>
      <c r="I826" s="47" t="s">
        <v>720</v>
      </c>
      <c r="J826" s="47" t="s">
        <v>499</v>
      </c>
      <c r="K826" s="47" t="s">
        <v>611</v>
      </c>
      <c r="L826" s="47" t="s">
        <v>606</v>
      </c>
      <c r="M826" s="47"/>
      <c r="N826" s="47"/>
      <c r="O826" s="47"/>
      <c r="P826" s="47"/>
      <c r="Q826" s="47"/>
      <c r="R826" s="47"/>
      <c r="S826" s="64"/>
      <c r="T826" s="47"/>
    </row>
    <row r="827" spans="1:20" s="44" customFormat="1" ht="25.05" customHeight="1" x14ac:dyDescent="0.3">
      <c r="A827" s="41"/>
      <c r="B827" s="41"/>
      <c r="C827" s="41"/>
      <c r="D827" s="47" t="s">
        <v>3055</v>
      </c>
      <c r="E827" s="47"/>
      <c r="F827" s="2" t="s">
        <v>499</v>
      </c>
      <c r="G827" s="2" t="s">
        <v>500</v>
      </c>
      <c r="H827" s="2"/>
      <c r="I827" s="47" t="s">
        <v>720</v>
      </c>
      <c r="J827" s="47" t="s">
        <v>499</v>
      </c>
      <c r="K827" s="47" t="s">
        <v>611</v>
      </c>
      <c r="L827" s="47" t="s">
        <v>606</v>
      </c>
      <c r="M827" s="47"/>
      <c r="N827" s="47"/>
      <c r="O827" s="47"/>
      <c r="P827" s="47"/>
      <c r="Q827" s="47"/>
      <c r="R827" s="47"/>
      <c r="S827" s="64"/>
      <c r="T827" s="47"/>
    </row>
    <row r="828" spans="1:20" s="44" customFormat="1" ht="25.05" customHeight="1" x14ac:dyDescent="0.3">
      <c r="A828" s="41"/>
      <c r="B828" s="41"/>
      <c r="C828" s="41"/>
      <c r="D828" s="47" t="s">
        <v>3056</v>
      </c>
      <c r="E828" s="47"/>
      <c r="F828" s="2" t="s">
        <v>499</v>
      </c>
      <c r="G828" s="2" t="s">
        <v>500</v>
      </c>
      <c r="H828" s="2" t="s">
        <v>3057</v>
      </c>
      <c r="I828" s="47" t="s">
        <v>720</v>
      </c>
      <c r="J828" s="47" t="s">
        <v>499</v>
      </c>
      <c r="K828" s="47" t="s">
        <v>611</v>
      </c>
      <c r="L828" s="47" t="s">
        <v>606</v>
      </c>
      <c r="M828" s="47"/>
      <c r="N828" s="47"/>
      <c r="O828" s="47"/>
      <c r="P828" s="47"/>
      <c r="Q828" s="47"/>
      <c r="R828" s="47"/>
      <c r="S828" s="64"/>
      <c r="T828" s="47"/>
    </row>
    <row r="829" spans="1:20" s="44" customFormat="1" ht="25.05" customHeight="1" x14ac:dyDescent="0.3">
      <c r="A829" s="41">
        <v>1</v>
      </c>
      <c r="B829" s="41"/>
      <c r="C829" s="51" t="str">
        <f>VLOOKUP(F829,[1]VLOOKUP!$A$2:$B$35,2,FALSE)</f>
        <v>西南</v>
      </c>
      <c r="D829" s="41" t="s">
        <v>3058</v>
      </c>
      <c r="E829" s="41"/>
      <c r="F829" s="2" t="s">
        <v>499</v>
      </c>
      <c r="G829" s="2" t="s">
        <v>3059</v>
      </c>
      <c r="H829" s="2"/>
      <c r="I829" s="41" t="s">
        <v>720</v>
      </c>
      <c r="J829" s="41" t="s">
        <v>499</v>
      </c>
      <c r="K829" s="41" t="s">
        <v>611</v>
      </c>
      <c r="L829" s="41" t="s">
        <v>600</v>
      </c>
      <c r="M829" s="42">
        <v>43717</v>
      </c>
      <c r="N829" s="42">
        <v>44455</v>
      </c>
      <c r="O829" s="42">
        <v>47848</v>
      </c>
      <c r="P829" s="41" t="s">
        <v>3060</v>
      </c>
      <c r="Q829" s="41" t="s">
        <v>1054</v>
      </c>
      <c r="R829" s="41"/>
      <c r="S829" s="43" t="s">
        <v>3061</v>
      </c>
      <c r="T829" s="41"/>
    </row>
    <row r="830" spans="1:20" s="44" customFormat="1" ht="25.05" customHeight="1" x14ac:dyDescent="0.3">
      <c r="A830" s="41"/>
      <c r="B830" s="41"/>
      <c r="C830" s="41"/>
      <c r="D830" s="47" t="s">
        <v>3062</v>
      </c>
      <c r="E830" s="47"/>
      <c r="F830" s="2" t="s">
        <v>499</v>
      </c>
      <c r="G830" s="2" t="s">
        <v>3059</v>
      </c>
      <c r="H830" s="2"/>
      <c r="I830" s="47" t="s">
        <v>720</v>
      </c>
      <c r="J830" s="47" t="s">
        <v>499</v>
      </c>
      <c r="K830" s="47" t="s">
        <v>611</v>
      </c>
      <c r="L830" s="47" t="s">
        <v>606</v>
      </c>
      <c r="M830" s="47"/>
      <c r="N830" s="47"/>
      <c r="O830" s="47"/>
      <c r="P830" s="47"/>
      <c r="Q830" s="47"/>
      <c r="R830" s="47"/>
      <c r="S830" s="64"/>
      <c r="T830" s="47"/>
    </row>
    <row r="831" spans="1:20" s="44" customFormat="1" ht="25.05" customHeight="1" x14ac:dyDescent="0.3">
      <c r="A831" s="41">
        <v>1</v>
      </c>
      <c r="B831" s="41"/>
      <c r="C831" s="51" t="str">
        <f>VLOOKUP(F831,[1]VLOOKUP!$A$2:$B$35,2,FALSE)</f>
        <v>西南</v>
      </c>
      <c r="D831" s="41" t="s">
        <v>3063</v>
      </c>
      <c r="E831" s="41"/>
      <c r="F831" s="2" t="s">
        <v>499</v>
      </c>
      <c r="G831" s="2" t="s">
        <v>3059</v>
      </c>
      <c r="H831" s="2"/>
      <c r="I831" s="41" t="s">
        <v>720</v>
      </c>
      <c r="J831" s="41" t="s">
        <v>499</v>
      </c>
      <c r="K831" s="41" t="s">
        <v>605</v>
      </c>
      <c r="L831" s="41" t="s">
        <v>600</v>
      </c>
      <c r="M831" s="42">
        <v>45841</v>
      </c>
      <c r="N831" s="42">
        <v>45847</v>
      </c>
      <c r="O831" s="42">
        <v>46943</v>
      </c>
      <c r="P831" s="41" t="s">
        <v>3064</v>
      </c>
      <c r="Q831" s="41" t="s">
        <v>724</v>
      </c>
      <c r="R831" s="41" t="s">
        <v>3065</v>
      </c>
      <c r="S831" s="43" t="s">
        <v>3066</v>
      </c>
      <c r="T831" s="41"/>
    </row>
    <row r="832" spans="1:20" s="44" customFormat="1" ht="25.05" customHeight="1" x14ac:dyDescent="0.3">
      <c r="A832" s="41"/>
      <c r="B832" s="41"/>
      <c r="C832" s="41"/>
      <c r="D832" s="47" t="s">
        <v>3067</v>
      </c>
      <c r="E832" s="47"/>
      <c r="F832" s="2" t="s">
        <v>499</v>
      </c>
      <c r="G832" s="2" t="s">
        <v>3059</v>
      </c>
      <c r="H832" s="2" t="s">
        <v>3068</v>
      </c>
      <c r="I832" s="47" t="s">
        <v>720</v>
      </c>
      <c r="J832" s="47" t="s">
        <v>499</v>
      </c>
      <c r="K832" s="47" t="s">
        <v>611</v>
      </c>
      <c r="L832" s="47" t="s">
        <v>606</v>
      </c>
      <c r="M832" s="47"/>
      <c r="N832" s="47"/>
      <c r="O832" s="47"/>
      <c r="P832" s="47"/>
      <c r="Q832" s="47"/>
      <c r="R832" s="47"/>
      <c r="S832" s="64"/>
      <c r="T832" s="47"/>
    </row>
    <row r="833" spans="1:20" s="44" customFormat="1" ht="25.05" customHeight="1" x14ac:dyDescent="0.3">
      <c r="A833" s="41">
        <v>1</v>
      </c>
      <c r="B833" s="41"/>
      <c r="C833" s="51" t="str">
        <f>VLOOKUP(F833,[1]VLOOKUP!$A$2:$B$35,2,FALSE)</f>
        <v>西南</v>
      </c>
      <c r="D833" s="57" t="s">
        <v>3069</v>
      </c>
      <c r="E833" s="57"/>
      <c r="F833" s="2" t="s">
        <v>499</v>
      </c>
      <c r="G833" s="2" t="s">
        <v>3059</v>
      </c>
      <c r="H833" s="2" t="s">
        <v>3070</v>
      </c>
      <c r="I833" s="57" t="s">
        <v>720</v>
      </c>
      <c r="J833" s="57" t="s">
        <v>499</v>
      </c>
      <c r="K833" s="57" t="s">
        <v>611</v>
      </c>
      <c r="L833" s="84" t="s">
        <v>780</v>
      </c>
      <c r="M833" s="57">
        <v>45785</v>
      </c>
      <c r="N833" s="57">
        <v>45785</v>
      </c>
      <c r="O833" s="57">
        <v>45800</v>
      </c>
      <c r="P833" s="57" t="s">
        <v>3071</v>
      </c>
      <c r="Q833" s="57" t="s">
        <v>724</v>
      </c>
      <c r="R833" s="57"/>
      <c r="S833" s="58" t="s">
        <v>3072</v>
      </c>
      <c r="T833" s="57"/>
    </row>
    <row r="834" spans="1:20" s="44" customFormat="1" ht="25.05" customHeight="1" x14ac:dyDescent="0.3">
      <c r="A834" s="41">
        <v>1</v>
      </c>
      <c r="B834" s="41"/>
      <c r="C834" s="51" t="str">
        <f>VLOOKUP(F834,[1]VLOOKUP!$A$2:$B$35,2,FALSE)</f>
        <v>西南</v>
      </c>
      <c r="D834" s="41" t="s">
        <v>3073</v>
      </c>
      <c r="E834" s="41"/>
      <c r="F834" s="2" t="s">
        <v>499</v>
      </c>
      <c r="G834" s="2" t="s">
        <v>3074</v>
      </c>
      <c r="H834" s="2"/>
      <c r="I834" s="41" t="s">
        <v>720</v>
      </c>
      <c r="J834" s="41" t="s">
        <v>499</v>
      </c>
      <c r="K834" s="41" t="s">
        <v>611</v>
      </c>
      <c r="L834" s="41" t="s">
        <v>600</v>
      </c>
      <c r="M834" s="42">
        <v>44931</v>
      </c>
      <c r="N834" s="42">
        <v>44931</v>
      </c>
      <c r="O834" s="42">
        <v>47848</v>
      </c>
      <c r="P834" s="41" t="s">
        <v>3075</v>
      </c>
      <c r="Q834" s="41" t="s">
        <v>724</v>
      </c>
      <c r="R834" s="41" t="s">
        <v>3076</v>
      </c>
      <c r="S834" s="43" t="s">
        <v>3077</v>
      </c>
      <c r="T834" s="41"/>
    </row>
    <row r="835" spans="1:20" ht="25.05" customHeight="1" x14ac:dyDescent="0.3">
      <c r="A835" s="36"/>
      <c r="B835" s="36"/>
      <c r="C835" s="36"/>
      <c r="D835" s="60"/>
      <c r="E835" s="61"/>
      <c r="F835" s="3" t="s">
        <v>566</v>
      </c>
      <c r="G835" s="3"/>
      <c r="H835" s="3"/>
      <c r="I835" s="60"/>
      <c r="J835" s="60"/>
      <c r="K835" s="60"/>
      <c r="L835" s="60"/>
      <c r="M835" s="60"/>
      <c r="N835" s="60"/>
      <c r="O835" s="60"/>
      <c r="P835" s="60"/>
      <c r="Q835" s="60"/>
      <c r="R835" s="60"/>
      <c r="S835" s="62"/>
      <c r="T835" s="60"/>
    </row>
    <row r="836" spans="1:20" s="44" customFormat="1" ht="25.05" customHeight="1" x14ac:dyDescent="0.3">
      <c r="A836" s="41">
        <v>1</v>
      </c>
      <c r="B836" s="41"/>
      <c r="C836" s="51" t="str">
        <f>VLOOKUP(F836,[1]VLOOKUP!$A$2:$B$35,2,FALSE)</f>
        <v>西北</v>
      </c>
      <c r="D836" s="41" t="s">
        <v>3078</v>
      </c>
      <c r="E836" s="41"/>
      <c r="F836" s="2" t="s">
        <v>566</v>
      </c>
      <c r="G836" s="2"/>
      <c r="H836" s="2"/>
      <c r="I836" s="41" t="s">
        <v>474</v>
      </c>
      <c r="J836" s="41" t="s">
        <v>566</v>
      </c>
      <c r="K836" s="41" t="s">
        <v>611</v>
      </c>
      <c r="L836" s="41" t="s">
        <v>600</v>
      </c>
      <c r="M836" s="42">
        <v>44760</v>
      </c>
      <c r="N836" s="42">
        <v>44761</v>
      </c>
      <c r="O836" s="42">
        <v>46022</v>
      </c>
      <c r="P836" s="41" t="s">
        <v>3079</v>
      </c>
      <c r="Q836" s="41" t="s">
        <v>716</v>
      </c>
      <c r="R836" s="41" t="s">
        <v>3080</v>
      </c>
      <c r="S836" s="43" t="s">
        <v>3081</v>
      </c>
      <c r="T836" s="41"/>
    </row>
    <row r="837" spans="1:20" s="44" customFormat="1" ht="25.05" customHeight="1" x14ac:dyDescent="0.3">
      <c r="A837" s="41">
        <v>1</v>
      </c>
      <c r="B837" s="41"/>
      <c r="C837" s="51" t="str">
        <f>VLOOKUP(F837,[1]VLOOKUP!$A$2:$B$35,2,FALSE)</f>
        <v>西北</v>
      </c>
      <c r="D837" s="41" t="s">
        <v>3082</v>
      </c>
      <c r="E837" s="41"/>
      <c r="F837" s="2" t="s">
        <v>566</v>
      </c>
      <c r="G837" s="2"/>
      <c r="H837" s="2"/>
      <c r="I837" s="41" t="s">
        <v>474</v>
      </c>
      <c r="J837" s="41" t="s">
        <v>566</v>
      </c>
      <c r="K837" s="41" t="s">
        <v>599</v>
      </c>
      <c r="L837" s="41" t="s">
        <v>600</v>
      </c>
      <c r="M837" s="42">
        <v>45518</v>
      </c>
      <c r="N837" s="82">
        <v>45518</v>
      </c>
      <c r="O837" s="42">
        <v>46631</v>
      </c>
      <c r="P837" s="41" t="s">
        <v>3083</v>
      </c>
      <c r="Q837" s="41" t="s">
        <v>3084</v>
      </c>
      <c r="R837" s="41" t="s">
        <v>3085</v>
      </c>
      <c r="S837" s="43"/>
      <c r="T837" s="41"/>
    </row>
    <row r="838" spans="1:20" s="44" customFormat="1" ht="25.05" customHeight="1" x14ac:dyDescent="0.3">
      <c r="A838" s="41">
        <v>1</v>
      </c>
      <c r="B838" s="41"/>
      <c r="C838" s="51" t="str">
        <f>VLOOKUP(F838,[1]VLOOKUP!$A$2:$B$35,2,FALSE)</f>
        <v>西北</v>
      </c>
      <c r="D838" s="41" t="s">
        <v>3086</v>
      </c>
      <c r="E838" s="41"/>
      <c r="F838" s="2" t="s">
        <v>566</v>
      </c>
      <c r="G838" s="2"/>
      <c r="H838" s="2"/>
      <c r="I838" s="41" t="s">
        <v>474</v>
      </c>
      <c r="J838" s="41" t="s">
        <v>566</v>
      </c>
      <c r="K838" s="41" t="s">
        <v>599</v>
      </c>
      <c r="L838" s="41" t="s">
        <v>600</v>
      </c>
      <c r="M838" s="82">
        <v>45527</v>
      </c>
      <c r="N838" s="82">
        <v>45527</v>
      </c>
      <c r="O838" s="42"/>
      <c r="P838" s="41" t="s">
        <v>3087</v>
      </c>
      <c r="Q838" s="41" t="s">
        <v>1985</v>
      </c>
      <c r="R838" s="41"/>
      <c r="S838" s="43" t="s">
        <v>3088</v>
      </c>
      <c r="T838" s="41"/>
    </row>
    <row r="839" spans="1:20" s="44" customFormat="1" ht="25.05" customHeight="1" x14ac:dyDescent="0.3">
      <c r="A839" s="41">
        <v>1</v>
      </c>
      <c r="B839" s="41"/>
      <c r="C839" s="51" t="str">
        <f>VLOOKUP(F839,[1]VLOOKUP!$A$2:$B$35,2,FALSE)</f>
        <v>西北</v>
      </c>
      <c r="D839" s="57" t="s">
        <v>3089</v>
      </c>
      <c r="E839" s="57"/>
      <c r="F839" s="2" t="s">
        <v>566</v>
      </c>
      <c r="G839" s="2" t="s">
        <v>3090</v>
      </c>
      <c r="H839" s="2"/>
      <c r="I839" s="57" t="s">
        <v>720</v>
      </c>
      <c r="J839" s="57" t="s">
        <v>566</v>
      </c>
      <c r="K839" s="57" t="s">
        <v>611</v>
      </c>
      <c r="L839" s="84" t="s">
        <v>780</v>
      </c>
      <c r="M839" s="57">
        <v>45153</v>
      </c>
      <c r="N839" s="57">
        <v>45154</v>
      </c>
      <c r="O839" s="57">
        <v>45163</v>
      </c>
      <c r="P839" s="57" t="s">
        <v>3091</v>
      </c>
      <c r="Q839" s="57" t="s">
        <v>716</v>
      </c>
      <c r="R839" s="57"/>
      <c r="S839" s="58" t="s">
        <v>3092</v>
      </c>
      <c r="T839" s="57" t="s">
        <v>1201</v>
      </c>
    </row>
    <row r="840" spans="1:20" s="44" customFormat="1" ht="25.05" customHeight="1" x14ac:dyDescent="0.3">
      <c r="A840" s="41"/>
      <c r="B840" s="41"/>
      <c r="C840" s="41"/>
      <c r="D840" s="47" t="s">
        <v>3093</v>
      </c>
      <c r="E840" s="47"/>
      <c r="F840" s="2" t="s">
        <v>566</v>
      </c>
      <c r="G840" s="2" t="s">
        <v>3090</v>
      </c>
      <c r="H840" s="2"/>
      <c r="I840" s="47" t="s">
        <v>720</v>
      </c>
      <c r="J840" s="47" t="s">
        <v>566</v>
      </c>
      <c r="K840" s="47" t="s">
        <v>611</v>
      </c>
      <c r="L840" s="47" t="s">
        <v>606</v>
      </c>
      <c r="M840" s="47"/>
      <c r="N840" s="47"/>
      <c r="O840" s="47"/>
      <c r="P840" s="47"/>
      <c r="Q840" s="47"/>
      <c r="R840" s="47"/>
      <c r="S840" s="64"/>
      <c r="T840" s="47"/>
    </row>
    <row r="841" spans="1:20" s="44" customFormat="1" ht="25.05" customHeight="1" x14ac:dyDescent="0.3">
      <c r="A841" s="41"/>
      <c r="B841" s="41"/>
      <c r="C841" s="41"/>
      <c r="D841" s="47" t="s">
        <v>3094</v>
      </c>
      <c r="E841" s="47"/>
      <c r="F841" s="2" t="s">
        <v>566</v>
      </c>
      <c r="G841" s="2" t="s">
        <v>3090</v>
      </c>
      <c r="H841" s="2"/>
      <c r="I841" s="47" t="s">
        <v>720</v>
      </c>
      <c r="J841" s="47" t="s">
        <v>566</v>
      </c>
      <c r="K841" s="47" t="s">
        <v>611</v>
      </c>
      <c r="L841" s="47" t="s">
        <v>606</v>
      </c>
      <c r="M841" s="47"/>
      <c r="N841" s="47"/>
      <c r="O841" s="47"/>
      <c r="P841" s="47"/>
      <c r="Q841" s="47"/>
      <c r="R841" s="47"/>
      <c r="S841" s="64"/>
      <c r="T841" s="47"/>
    </row>
    <row r="842" spans="1:20" s="44" customFormat="1" ht="25.05" customHeight="1" x14ac:dyDescent="0.3">
      <c r="A842" s="41">
        <v>1</v>
      </c>
      <c r="B842" s="41"/>
      <c r="C842" s="51" t="str">
        <f>VLOOKUP(F842,[1]VLOOKUP!$A$2:$B$35,2,FALSE)</f>
        <v>西北</v>
      </c>
      <c r="D842" s="52" t="s">
        <v>3095</v>
      </c>
      <c r="E842" s="52"/>
      <c r="F842" s="2" t="s">
        <v>566</v>
      </c>
      <c r="G842" s="2" t="s">
        <v>3090</v>
      </c>
      <c r="H842" s="2" t="s">
        <v>3096</v>
      </c>
      <c r="I842" s="52" t="s">
        <v>720</v>
      </c>
      <c r="J842" s="52" t="s">
        <v>566</v>
      </c>
      <c r="K842" s="52" t="s">
        <v>605</v>
      </c>
      <c r="L842" s="52" t="s">
        <v>663</v>
      </c>
      <c r="M842" s="52">
        <v>45131</v>
      </c>
      <c r="N842" s="52">
        <v>45131</v>
      </c>
      <c r="O842" s="52">
        <v>45343</v>
      </c>
      <c r="P842" s="52" t="s">
        <v>3097</v>
      </c>
      <c r="Q842" s="52" t="s">
        <v>1599</v>
      </c>
      <c r="R842" s="52"/>
      <c r="S842" s="53" t="s">
        <v>3098</v>
      </c>
      <c r="T842" s="52"/>
    </row>
    <row r="843" spans="1:20" s="44" customFormat="1" ht="25.05" customHeight="1" x14ac:dyDescent="0.3">
      <c r="A843" s="41">
        <v>1</v>
      </c>
      <c r="B843" s="41"/>
      <c r="C843" s="51" t="str">
        <f>VLOOKUP(F843,[1]VLOOKUP!$A$2:$B$35,2,FALSE)</f>
        <v>西北</v>
      </c>
      <c r="D843" s="41" t="s">
        <v>3099</v>
      </c>
      <c r="E843" s="41"/>
      <c r="F843" s="2" t="s">
        <v>566</v>
      </c>
      <c r="G843" s="2" t="s">
        <v>3090</v>
      </c>
      <c r="H843" s="2" t="s">
        <v>3096</v>
      </c>
      <c r="I843" s="41" t="s">
        <v>720</v>
      </c>
      <c r="J843" s="41" t="s">
        <v>566</v>
      </c>
      <c r="K843" s="41" t="s">
        <v>611</v>
      </c>
      <c r="L843" s="41" t="s">
        <v>600</v>
      </c>
      <c r="M843" s="42">
        <v>44946</v>
      </c>
      <c r="N843" s="42">
        <v>44956</v>
      </c>
      <c r="O843" s="42">
        <v>47848</v>
      </c>
      <c r="P843" s="41" t="s">
        <v>3100</v>
      </c>
      <c r="Q843" s="41" t="s">
        <v>1761</v>
      </c>
      <c r="R843" s="41" t="s">
        <v>3101</v>
      </c>
      <c r="S843" s="43" t="s">
        <v>3102</v>
      </c>
      <c r="T843" s="41"/>
    </row>
    <row r="844" spans="1:20" s="44" customFormat="1" ht="25.05" customHeight="1" x14ac:dyDescent="0.3">
      <c r="A844" s="41"/>
      <c r="B844" s="41"/>
      <c r="C844" s="41"/>
      <c r="D844" s="47" t="s">
        <v>3103</v>
      </c>
      <c r="E844" s="47"/>
      <c r="F844" s="2" t="s">
        <v>566</v>
      </c>
      <c r="G844" s="2" t="s">
        <v>3090</v>
      </c>
      <c r="H844" s="2" t="s">
        <v>3096</v>
      </c>
      <c r="I844" s="47" t="s">
        <v>720</v>
      </c>
      <c r="J844" s="47" t="s">
        <v>566</v>
      </c>
      <c r="K844" s="47" t="s">
        <v>611</v>
      </c>
      <c r="L844" s="47" t="s">
        <v>606</v>
      </c>
      <c r="M844" s="47"/>
      <c r="N844" s="47"/>
      <c r="O844" s="47"/>
      <c r="P844" s="47"/>
      <c r="Q844" s="47"/>
      <c r="R844" s="47"/>
      <c r="S844" s="64"/>
      <c r="T844" s="47"/>
    </row>
    <row r="845" spans="1:20" s="44" customFormat="1" ht="25.05" customHeight="1" x14ac:dyDescent="0.3">
      <c r="A845" s="41"/>
      <c r="B845" s="41"/>
      <c r="C845" s="41"/>
      <c r="D845" s="47" t="s">
        <v>3104</v>
      </c>
      <c r="E845" s="47"/>
      <c r="F845" s="2" t="s">
        <v>566</v>
      </c>
      <c r="G845" s="2" t="s">
        <v>3105</v>
      </c>
      <c r="H845" s="2"/>
      <c r="I845" s="47" t="s">
        <v>720</v>
      </c>
      <c r="J845" s="47" t="s">
        <v>566</v>
      </c>
      <c r="K845" s="47" t="s">
        <v>611</v>
      </c>
      <c r="L845" s="47" t="s">
        <v>606</v>
      </c>
      <c r="M845" s="47"/>
      <c r="N845" s="47"/>
      <c r="O845" s="47"/>
      <c r="P845" s="47"/>
      <c r="Q845" s="47"/>
      <c r="R845" s="47"/>
      <c r="S845" s="64"/>
      <c r="T845" s="47"/>
    </row>
    <row r="846" spans="1:20" s="44" customFormat="1" ht="25.05" customHeight="1" x14ac:dyDescent="0.3">
      <c r="A846" s="41"/>
      <c r="B846" s="41"/>
      <c r="C846" s="41"/>
      <c r="D846" s="47" t="s">
        <v>3106</v>
      </c>
      <c r="E846" s="47"/>
      <c r="F846" s="2" t="s">
        <v>566</v>
      </c>
      <c r="G846" s="2" t="s">
        <v>3107</v>
      </c>
      <c r="H846" s="2"/>
      <c r="I846" s="47" t="s">
        <v>720</v>
      </c>
      <c r="J846" s="47" t="s">
        <v>566</v>
      </c>
      <c r="K846" s="47" t="s">
        <v>611</v>
      </c>
      <c r="L846" s="47" t="s">
        <v>606</v>
      </c>
      <c r="M846" s="47"/>
      <c r="N846" s="47"/>
      <c r="O846" s="47"/>
      <c r="P846" s="47"/>
      <c r="Q846" s="47"/>
      <c r="R846" s="47"/>
      <c r="S846" s="64"/>
      <c r="T846" s="47"/>
    </row>
    <row r="847" spans="1:20" s="44" customFormat="1" ht="25.05" customHeight="1" x14ac:dyDescent="0.3">
      <c r="A847" s="41">
        <v>1</v>
      </c>
      <c r="B847" s="41"/>
      <c r="C847" s="51" t="str">
        <f>VLOOKUP(F847,[1]VLOOKUP!$A$2:$B$35,2,FALSE)</f>
        <v>西北</v>
      </c>
      <c r="D847" s="41" t="s">
        <v>3108</v>
      </c>
      <c r="E847" s="41"/>
      <c r="F847" s="2" t="s">
        <v>566</v>
      </c>
      <c r="G847" s="2" t="s">
        <v>3107</v>
      </c>
      <c r="H847" s="2" t="s">
        <v>3109</v>
      </c>
      <c r="I847" s="41" t="s">
        <v>720</v>
      </c>
      <c r="J847" s="41" t="s">
        <v>566</v>
      </c>
      <c r="K847" s="41" t="s">
        <v>611</v>
      </c>
      <c r="L847" s="41" t="s">
        <v>600</v>
      </c>
      <c r="M847" s="42">
        <v>45404</v>
      </c>
      <c r="N847" s="42">
        <v>45427</v>
      </c>
      <c r="O847" s="42">
        <v>47848</v>
      </c>
      <c r="P847" s="41" t="s">
        <v>3110</v>
      </c>
      <c r="Q847" s="41" t="s">
        <v>724</v>
      </c>
      <c r="R847" s="41" t="s">
        <v>3111</v>
      </c>
      <c r="S847" s="43" t="s">
        <v>3112</v>
      </c>
      <c r="T847" s="41"/>
    </row>
    <row r="848" spans="1:20" s="44" customFormat="1" ht="25.05" customHeight="1" x14ac:dyDescent="0.3">
      <c r="A848" s="41">
        <v>1</v>
      </c>
      <c r="B848" s="41"/>
      <c r="C848" s="51" t="str">
        <f>VLOOKUP(F848,[1]VLOOKUP!$A$2:$B$35,2,FALSE)</f>
        <v>西北</v>
      </c>
      <c r="D848" s="52" t="s">
        <v>3113</v>
      </c>
      <c r="E848" s="52"/>
      <c r="F848" s="2" t="s">
        <v>566</v>
      </c>
      <c r="G848" s="2" t="s">
        <v>567</v>
      </c>
      <c r="H848" s="2"/>
      <c r="I848" s="52" t="s">
        <v>720</v>
      </c>
      <c r="J848" s="52" t="s">
        <v>566</v>
      </c>
      <c r="K848" s="52" t="s">
        <v>682</v>
      </c>
      <c r="L848" s="52" t="s">
        <v>663</v>
      </c>
      <c r="M848" s="52">
        <v>44714</v>
      </c>
      <c r="N848" s="52">
        <v>44721</v>
      </c>
      <c r="O848" s="52">
        <v>45445</v>
      </c>
      <c r="P848" s="52" t="s">
        <v>3114</v>
      </c>
      <c r="Q848" s="52" t="s">
        <v>724</v>
      </c>
      <c r="R848" s="52" t="s">
        <v>3115</v>
      </c>
      <c r="S848" s="53" t="s">
        <v>3116</v>
      </c>
      <c r="T848" s="52"/>
    </row>
    <row r="849" spans="1:20" s="44" customFormat="1" ht="25.05" customHeight="1" x14ac:dyDescent="0.3">
      <c r="A849" s="41">
        <v>1</v>
      </c>
      <c r="B849" s="41"/>
      <c r="C849" s="51" t="str">
        <f>VLOOKUP(F849,[1]VLOOKUP!$A$2:$B$35,2,FALSE)</f>
        <v>西北</v>
      </c>
      <c r="D849" s="41" t="s">
        <v>568</v>
      </c>
      <c r="E849" s="41"/>
      <c r="F849" s="2" t="s">
        <v>566</v>
      </c>
      <c r="G849" s="2" t="s">
        <v>567</v>
      </c>
      <c r="H849" s="2"/>
      <c r="I849" s="41" t="s">
        <v>720</v>
      </c>
      <c r="J849" s="41" t="s">
        <v>566</v>
      </c>
      <c r="K849" s="41" t="s">
        <v>682</v>
      </c>
      <c r="L849" s="41" t="s">
        <v>600</v>
      </c>
      <c r="M849" s="42">
        <v>45806</v>
      </c>
      <c r="N849" s="42">
        <v>45806</v>
      </c>
      <c r="O849" s="42">
        <v>46536</v>
      </c>
      <c r="P849" s="41" t="s">
        <v>3114</v>
      </c>
      <c r="Q849" s="41" t="s">
        <v>724</v>
      </c>
      <c r="R849" s="41" t="s">
        <v>3117</v>
      </c>
      <c r="S849" s="43" t="s">
        <v>3118</v>
      </c>
      <c r="T849" s="41"/>
    </row>
    <row r="850" spans="1:20" s="44" customFormat="1" ht="25.05" customHeight="1" x14ac:dyDescent="0.3">
      <c r="A850" s="41">
        <v>1</v>
      </c>
      <c r="B850" s="41"/>
      <c r="C850" s="51" t="str">
        <f>VLOOKUP(F850,[1]VLOOKUP!$A$2:$B$35,2,FALSE)</f>
        <v>西北</v>
      </c>
      <c r="D850" s="41" t="s">
        <v>3119</v>
      </c>
      <c r="E850" s="41"/>
      <c r="F850" s="2" t="s">
        <v>566</v>
      </c>
      <c r="G850" s="2" t="s">
        <v>567</v>
      </c>
      <c r="H850" s="2"/>
      <c r="I850" s="41" t="s">
        <v>720</v>
      </c>
      <c r="J850" s="41" t="s">
        <v>566</v>
      </c>
      <c r="K850" s="41" t="s">
        <v>605</v>
      </c>
      <c r="L850" s="41" t="s">
        <v>600</v>
      </c>
      <c r="M850" s="42">
        <v>45518</v>
      </c>
      <c r="N850" s="42">
        <v>45518</v>
      </c>
      <c r="O850" s="42">
        <v>46022</v>
      </c>
      <c r="P850" s="41" t="s">
        <v>3114</v>
      </c>
      <c r="Q850" s="41" t="s">
        <v>724</v>
      </c>
      <c r="R850" s="41" t="s">
        <v>3120</v>
      </c>
      <c r="S850" s="43"/>
      <c r="T850" s="41"/>
    </row>
    <row r="851" spans="1:20" s="44" customFormat="1" ht="25.05" customHeight="1" x14ac:dyDescent="0.3">
      <c r="A851" s="41"/>
      <c r="B851" s="41"/>
      <c r="C851" s="41"/>
      <c r="D851" s="47" t="s">
        <v>3121</v>
      </c>
      <c r="E851" s="47"/>
      <c r="F851" s="2" t="s">
        <v>566</v>
      </c>
      <c r="G851" s="2" t="s">
        <v>567</v>
      </c>
      <c r="H851" s="2"/>
      <c r="I851" s="47" t="s">
        <v>720</v>
      </c>
      <c r="J851" s="47" t="s">
        <v>566</v>
      </c>
      <c r="K851" s="47" t="s">
        <v>611</v>
      </c>
      <c r="L851" s="47" t="s">
        <v>606</v>
      </c>
      <c r="M851" s="47"/>
      <c r="N851" s="47"/>
      <c r="O851" s="47"/>
      <c r="P851" s="47"/>
      <c r="Q851" s="47"/>
      <c r="R851" s="47"/>
      <c r="S851" s="64"/>
      <c r="T851" s="47"/>
    </row>
    <row r="852" spans="1:20" ht="25.05" customHeight="1" x14ac:dyDescent="0.3">
      <c r="A852" s="36"/>
      <c r="B852" s="36"/>
      <c r="C852" s="36"/>
      <c r="D852" s="60"/>
      <c r="E852" s="61"/>
      <c r="F852" s="3" t="s">
        <v>371</v>
      </c>
      <c r="G852" s="3"/>
      <c r="H852" s="3"/>
      <c r="I852" s="60"/>
      <c r="J852" s="60"/>
      <c r="K852" s="60"/>
      <c r="L852" s="60"/>
      <c r="M852" s="60"/>
      <c r="N852" s="60"/>
      <c r="O852" s="60"/>
      <c r="P852" s="60"/>
      <c r="Q852" s="60"/>
      <c r="R852" s="60"/>
      <c r="S852" s="62"/>
      <c r="T852" s="60"/>
    </row>
    <row r="853" spans="1:20" s="44" customFormat="1" ht="25.05" customHeight="1" x14ac:dyDescent="0.3">
      <c r="A853" s="41">
        <v>1</v>
      </c>
      <c r="B853" s="41"/>
      <c r="C853" s="51" t="str">
        <f>VLOOKUP(F853,[1]VLOOKUP!$A$2:$B$35,2,FALSE)</f>
        <v>西北</v>
      </c>
      <c r="D853" s="41" t="s">
        <v>3122</v>
      </c>
      <c r="E853" s="41"/>
      <c r="F853" s="2" t="s">
        <v>371</v>
      </c>
      <c r="G853" s="2"/>
      <c r="H853" s="2"/>
      <c r="I853" s="41" t="s">
        <v>474</v>
      </c>
      <c r="J853" s="41" t="s">
        <v>371</v>
      </c>
      <c r="K853" s="41" t="s">
        <v>611</v>
      </c>
      <c r="L853" s="41" t="s">
        <v>600</v>
      </c>
      <c r="M853" s="42">
        <v>44938</v>
      </c>
      <c r="N853" s="42">
        <v>44938</v>
      </c>
      <c r="O853" s="42">
        <v>49674</v>
      </c>
      <c r="P853" s="41" t="s">
        <v>3123</v>
      </c>
      <c r="Q853" s="41" t="s">
        <v>1702</v>
      </c>
      <c r="R853" s="41" t="s">
        <v>3124</v>
      </c>
      <c r="S853" s="43" t="s">
        <v>3125</v>
      </c>
      <c r="T853" s="41"/>
    </row>
    <row r="854" spans="1:20" s="44" customFormat="1" ht="25.05" customHeight="1" x14ac:dyDescent="0.3">
      <c r="A854" s="41">
        <v>1</v>
      </c>
      <c r="B854" s="41"/>
      <c r="C854" s="51" t="str">
        <f>VLOOKUP(F854,[1]VLOOKUP!$A$2:$B$35,2,FALSE)</f>
        <v>西北</v>
      </c>
      <c r="D854" s="52" t="s">
        <v>3126</v>
      </c>
      <c r="E854" s="52"/>
      <c r="F854" s="2" t="s">
        <v>371</v>
      </c>
      <c r="G854" s="46"/>
      <c r="H854" s="46"/>
      <c r="I854" s="52" t="s">
        <v>474</v>
      </c>
      <c r="J854" s="52" t="s">
        <v>371</v>
      </c>
      <c r="K854" s="52" t="s">
        <v>682</v>
      </c>
      <c r="L854" s="52" t="s">
        <v>663</v>
      </c>
      <c r="M854" s="52">
        <v>44938</v>
      </c>
      <c r="N854" s="52">
        <v>44938</v>
      </c>
      <c r="O854" s="52">
        <v>46022</v>
      </c>
      <c r="P854" s="52" t="s">
        <v>3123</v>
      </c>
      <c r="Q854" s="52" t="s">
        <v>1702</v>
      </c>
      <c r="R854" s="52" t="s">
        <v>3127</v>
      </c>
      <c r="S854" s="53" t="s">
        <v>3128</v>
      </c>
      <c r="T854" s="52"/>
    </row>
    <row r="855" spans="1:20" s="44" customFormat="1" ht="25.05" customHeight="1" x14ac:dyDescent="0.3">
      <c r="A855" s="41">
        <v>1</v>
      </c>
      <c r="B855" s="41"/>
      <c r="C855" s="51" t="str">
        <f>VLOOKUP(F855,[1]VLOOKUP!$A$2:$B$35,2,FALSE)</f>
        <v>西北</v>
      </c>
      <c r="D855" s="41" t="s">
        <v>3129</v>
      </c>
      <c r="E855" s="41"/>
      <c r="F855" s="2" t="s">
        <v>371</v>
      </c>
      <c r="G855" s="2"/>
      <c r="H855" s="2"/>
      <c r="I855" s="41" t="s">
        <v>474</v>
      </c>
      <c r="J855" s="41" t="s">
        <v>371</v>
      </c>
      <c r="K855" s="41" t="s">
        <v>611</v>
      </c>
      <c r="L855" s="41" t="s">
        <v>600</v>
      </c>
      <c r="M855" s="42">
        <v>44938</v>
      </c>
      <c r="N855" s="42">
        <v>44938</v>
      </c>
      <c r="O855" s="42">
        <v>46022</v>
      </c>
      <c r="P855" s="41" t="s">
        <v>3123</v>
      </c>
      <c r="Q855" s="41" t="s">
        <v>1702</v>
      </c>
      <c r="R855" s="41" t="s">
        <v>3130</v>
      </c>
      <c r="S855" s="43" t="s">
        <v>3131</v>
      </c>
      <c r="T855" s="41"/>
    </row>
    <row r="856" spans="1:20" s="44" customFormat="1" ht="25.05" customHeight="1" x14ac:dyDescent="0.3">
      <c r="A856" s="41">
        <v>1</v>
      </c>
      <c r="B856" s="41"/>
      <c r="C856" s="51" t="str">
        <f>VLOOKUP(F856,[1]VLOOKUP!$A$2:$B$35,2,FALSE)</f>
        <v>西北</v>
      </c>
      <c r="D856" s="41" t="s">
        <v>3132</v>
      </c>
      <c r="E856" s="41"/>
      <c r="F856" s="2" t="s">
        <v>371</v>
      </c>
      <c r="G856" s="2"/>
      <c r="H856" s="2"/>
      <c r="I856" s="41" t="s">
        <v>474</v>
      </c>
      <c r="J856" s="41" t="s">
        <v>371</v>
      </c>
      <c r="K856" s="41" t="s">
        <v>682</v>
      </c>
      <c r="L856" s="41" t="s">
        <v>600</v>
      </c>
      <c r="M856" s="42">
        <v>45624</v>
      </c>
      <c r="N856" s="42">
        <v>45636</v>
      </c>
      <c r="O856" s="42">
        <v>46387</v>
      </c>
      <c r="P856" s="41" t="s">
        <v>3133</v>
      </c>
      <c r="Q856" s="41" t="s">
        <v>976</v>
      </c>
      <c r="R856" s="41" t="s">
        <v>3134</v>
      </c>
      <c r="S856" s="43" t="s">
        <v>3135</v>
      </c>
      <c r="T856" s="41"/>
    </row>
    <row r="857" spans="1:20" ht="25.05" customHeight="1" x14ac:dyDescent="0.3">
      <c r="A857" s="36"/>
      <c r="B857" s="36"/>
      <c r="C857" s="36"/>
      <c r="D857" s="60"/>
      <c r="E857" s="61"/>
      <c r="F857" s="3" t="s">
        <v>3136</v>
      </c>
      <c r="G857" s="3"/>
      <c r="H857" s="3"/>
      <c r="I857" s="60"/>
      <c r="J857" s="60"/>
      <c r="K857" s="60"/>
      <c r="L857" s="60"/>
      <c r="M857" s="60"/>
      <c r="N857" s="60"/>
      <c r="O857" s="60"/>
      <c r="P857" s="60"/>
      <c r="Q857" s="60"/>
      <c r="R857" s="60"/>
      <c r="S857" s="62"/>
      <c r="T857" s="60"/>
    </row>
    <row r="858" spans="1:20" s="44" customFormat="1" ht="25.05" customHeight="1" x14ac:dyDescent="0.3">
      <c r="A858" s="41">
        <v>1</v>
      </c>
      <c r="B858" s="41"/>
      <c r="C858" s="51" t="str">
        <f>VLOOKUP(F858,[1]VLOOKUP!$A$2:$B$35,2,FALSE)</f>
        <v>西北</v>
      </c>
      <c r="D858" s="41" t="s">
        <v>3137</v>
      </c>
      <c r="E858" s="41"/>
      <c r="F858" s="2" t="s">
        <v>3136</v>
      </c>
      <c r="G858" s="2"/>
      <c r="H858" s="2"/>
      <c r="I858" s="41" t="s">
        <v>474</v>
      </c>
      <c r="J858" s="41" t="s">
        <v>3136</v>
      </c>
      <c r="K858" s="41" t="s">
        <v>611</v>
      </c>
      <c r="L858" s="41" t="s">
        <v>600</v>
      </c>
      <c r="M858" s="42">
        <v>44924</v>
      </c>
      <c r="N858" s="42">
        <v>44929</v>
      </c>
      <c r="O858" s="42">
        <v>46022</v>
      </c>
      <c r="P858" s="41" t="s">
        <v>3138</v>
      </c>
      <c r="Q858" s="41" t="s">
        <v>724</v>
      </c>
      <c r="R858" s="41" t="s">
        <v>3139</v>
      </c>
      <c r="S858" s="43" t="s">
        <v>3140</v>
      </c>
      <c r="T858" s="41"/>
    </row>
    <row r="859" spans="1:20" s="44" customFormat="1" ht="25.05" customHeight="1" x14ac:dyDescent="0.3">
      <c r="A859" s="41"/>
      <c r="B859" s="41"/>
      <c r="C859" s="41"/>
      <c r="D859" s="47" t="s">
        <v>3141</v>
      </c>
      <c r="E859" s="47"/>
      <c r="F859" s="2" t="s">
        <v>3136</v>
      </c>
      <c r="G859" s="2" t="s">
        <v>3142</v>
      </c>
      <c r="H859" s="2"/>
      <c r="I859" s="47" t="s">
        <v>720</v>
      </c>
      <c r="J859" s="47" t="s">
        <v>3136</v>
      </c>
      <c r="K859" s="47" t="s">
        <v>611</v>
      </c>
      <c r="L859" s="47" t="s">
        <v>606</v>
      </c>
      <c r="M859" s="47"/>
      <c r="N859" s="47"/>
      <c r="O859" s="47"/>
      <c r="P859" s="47" t="s">
        <v>3143</v>
      </c>
      <c r="Q859" s="47" t="s">
        <v>519</v>
      </c>
      <c r="R859" s="47"/>
      <c r="S859" s="47"/>
      <c r="T859" s="47"/>
    </row>
    <row r="860" spans="1:20" s="44" customFormat="1" ht="25.05" customHeight="1" x14ac:dyDescent="0.3">
      <c r="A860" s="41">
        <v>1</v>
      </c>
      <c r="B860" s="41"/>
      <c r="C860" s="51" t="str">
        <f>VLOOKUP(F860,[1]VLOOKUP!$A$2:$B$35,2,FALSE)</f>
        <v>西北</v>
      </c>
      <c r="D860" s="57" t="s">
        <v>3144</v>
      </c>
      <c r="E860" s="57"/>
      <c r="F860" s="2" t="s">
        <v>3136</v>
      </c>
      <c r="G860" s="2" t="s">
        <v>3142</v>
      </c>
      <c r="H860" s="2"/>
      <c r="I860" s="57" t="s">
        <v>720</v>
      </c>
      <c r="J860" s="57" t="s">
        <v>3136</v>
      </c>
      <c r="K860" s="57" t="s">
        <v>599</v>
      </c>
      <c r="L860" s="84" t="s">
        <v>780</v>
      </c>
      <c r="M860" s="57">
        <v>46064</v>
      </c>
      <c r="N860" s="57">
        <v>46064</v>
      </c>
      <c r="O860" s="57">
        <v>46071</v>
      </c>
      <c r="P860" s="57" t="s">
        <v>3143</v>
      </c>
      <c r="Q860" s="57" t="s">
        <v>519</v>
      </c>
      <c r="R860" s="57"/>
      <c r="S860" s="58" t="s">
        <v>3145</v>
      </c>
      <c r="T860" s="57"/>
    </row>
    <row r="861" spans="1:20" s="44" customFormat="1" ht="25.05" customHeight="1" x14ac:dyDescent="0.3">
      <c r="A861" s="41">
        <v>1</v>
      </c>
      <c r="B861" s="41"/>
      <c r="C861" s="51" t="str">
        <f>VLOOKUP(F861,[1]VLOOKUP!$A$2:$B$35,2,FALSE)</f>
        <v>西北</v>
      </c>
      <c r="D861" s="41" t="s">
        <v>3146</v>
      </c>
      <c r="E861" s="41"/>
      <c r="F861" s="2" t="s">
        <v>3136</v>
      </c>
      <c r="G861" s="2" t="s">
        <v>3147</v>
      </c>
      <c r="H861" s="2"/>
      <c r="I861" s="41" t="s">
        <v>720</v>
      </c>
      <c r="J861" s="41" t="s">
        <v>3136</v>
      </c>
      <c r="K861" s="41" t="s">
        <v>611</v>
      </c>
      <c r="L861" s="41" t="s">
        <v>600</v>
      </c>
      <c r="M861" s="42">
        <v>44721</v>
      </c>
      <c r="N861" s="42">
        <v>44725</v>
      </c>
      <c r="O861" s="42">
        <v>46022</v>
      </c>
      <c r="P861" s="41" t="s">
        <v>3148</v>
      </c>
      <c r="Q861" s="41" t="s">
        <v>724</v>
      </c>
      <c r="R861" s="41" t="s">
        <v>3149</v>
      </c>
      <c r="S861" s="43" t="s">
        <v>3150</v>
      </c>
      <c r="T861" s="41"/>
    </row>
    <row r="862" spans="1:20" s="44" customFormat="1" ht="25.05" customHeight="1" x14ac:dyDescent="0.3">
      <c r="A862" s="41">
        <v>1</v>
      </c>
      <c r="B862" s="41"/>
      <c r="C862" s="51" t="str">
        <f>VLOOKUP(F862,[1]VLOOKUP!$A$2:$B$35,2,FALSE)</f>
        <v>西北</v>
      </c>
      <c r="D862" s="41" t="s">
        <v>3151</v>
      </c>
      <c r="E862" s="41"/>
      <c r="F862" s="2" t="s">
        <v>3136</v>
      </c>
      <c r="G862" s="2" t="s">
        <v>3147</v>
      </c>
      <c r="H862" s="2"/>
      <c r="I862" s="41" t="s">
        <v>720</v>
      </c>
      <c r="J862" s="41" t="s">
        <v>3136</v>
      </c>
      <c r="K862" s="41" t="s">
        <v>611</v>
      </c>
      <c r="L862" s="41" t="s">
        <v>600</v>
      </c>
      <c r="M862" s="42">
        <v>44813</v>
      </c>
      <c r="N862" s="42">
        <v>44823</v>
      </c>
      <c r="O862" s="42">
        <v>49674</v>
      </c>
      <c r="P862" s="41" t="s">
        <v>3148</v>
      </c>
      <c r="Q862" s="41" t="s">
        <v>724</v>
      </c>
      <c r="R862" s="41" t="s">
        <v>3152</v>
      </c>
      <c r="S862" s="43" t="s">
        <v>3153</v>
      </c>
      <c r="T862" s="41"/>
    </row>
    <row r="863" spans="1:20" s="44" customFormat="1" ht="25.05" customHeight="1" x14ac:dyDescent="0.3">
      <c r="A863" s="41">
        <v>1</v>
      </c>
      <c r="B863" s="41"/>
      <c r="C863" s="51" t="str">
        <f>VLOOKUP(F863,[1]VLOOKUP!$A$2:$B$35,2,FALSE)</f>
        <v>西北</v>
      </c>
      <c r="D863" s="41" t="s">
        <v>3154</v>
      </c>
      <c r="E863" s="41"/>
      <c r="F863" s="2" t="s">
        <v>3136</v>
      </c>
      <c r="G863" s="2" t="s">
        <v>3147</v>
      </c>
      <c r="H863" s="2"/>
      <c r="I863" s="41" t="s">
        <v>720</v>
      </c>
      <c r="J863" s="41" t="s">
        <v>3136</v>
      </c>
      <c r="K863" s="41" t="s">
        <v>852</v>
      </c>
      <c r="L863" s="41" t="s">
        <v>600</v>
      </c>
      <c r="M863" s="42">
        <v>44783</v>
      </c>
      <c r="N863" s="42">
        <v>44803</v>
      </c>
      <c r="O863" s="42">
        <v>45534</v>
      </c>
      <c r="P863" s="41" t="s">
        <v>3148</v>
      </c>
      <c r="Q863" s="41" t="s">
        <v>724</v>
      </c>
      <c r="R863" s="41" t="s">
        <v>3155</v>
      </c>
      <c r="S863" s="43" t="s">
        <v>3156</v>
      </c>
      <c r="T863" s="41"/>
    </row>
    <row r="864" spans="1:20" s="44" customFormat="1" ht="25.05" customHeight="1" x14ac:dyDescent="0.3">
      <c r="A864" s="41"/>
      <c r="B864" s="41"/>
      <c r="C864" s="41"/>
      <c r="D864" s="47" t="s">
        <v>3157</v>
      </c>
      <c r="E864" s="47"/>
      <c r="F864" s="2" t="s">
        <v>3136</v>
      </c>
      <c r="G864" s="2" t="s">
        <v>3147</v>
      </c>
      <c r="H864" s="2" t="s">
        <v>3158</v>
      </c>
      <c r="I864" s="47" t="s">
        <v>720</v>
      </c>
      <c r="J864" s="47" t="s">
        <v>3136</v>
      </c>
      <c r="K864" s="47" t="s">
        <v>611</v>
      </c>
      <c r="L864" s="47" t="s">
        <v>606</v>
      </c>
      <c r="M864" s="47"/>
      <c r="N864" s="47"/>
      <c r="O864" s="47"/>
      <c r="P864" s="47" t="s">
        <v>3159</v>
      </c>
      <c r="Q864" s="47" t="s">
        <v>716</v>
      </c>
      <c r="R864" s="47"/>
      <c r="S864" s="64"/>
      <c r="T864" s="47"/>
    </row>
    <row r="865" spans="1:20" s="44" customFormat="1" ht="25.05" customHeight="1" x14ac:dyDescent="0.3">
      <c r="A865" s="41"/>
      <c r="B865" s="41"/>
      <c r="C865" s="41"/>
      <c r="D865" s="47" t="s">
        <v>3160</v>
      </c>
      <c r="E865" s="47"/>
      <c r="F865" s="2" t="s">
        <v>3136</v>
      </c>
      <c r="G865" s="2" t="s">
        <v>3161</v>
      </c>
      <c r="H865" s="2"/>
      <c r="I865" s="47" t="s">
        <v>720</v>
      </c>
      <c r="J865" s="47" t="s">
        <v>3136</v>
      </c>
      <c r="K865" s="47" t="s">
        <v>611</v>
      </c>
      <c r="L865" s="47" t="s">
        <v>606</v>
      </c>
      <c r="M865" s="47"/>
      <c r="N865" s="47"/>
      <c r="O865" s="47"/>
      <c r="P865" s="47" t="s">
        <v>3162</v>
      </c>
      <c r="Q865" s="47" t="s">
        <v>724</v>
      </c>
      <c r="R865" s="47"/>
      <c r="S865" s="64"/>
      <c r="T865" s="47"/>
    </row>
    <row r="866" spans="1:20" s="44" customFormat="1" ht="25.05" customHeight="1" x14ac:dyDescent="0.3">
      <c r="A866" s="41">
        <v>1</v>
      </c>
      <c r="B866" s="41"/>
      <c r="C866" s="51" t="str">
        <f>VLOOKUP(F866,[1]VLOOKUP!$A$2:$B$35,2,FALSE)</f>
        <v>西北</v>
      </c>
      <c r="D866" s="41" t="s">
        <v>3163</v>
      </c>
      <c r="E866" s="41"/>
      <c r="F866" s="2" t="s">
        <v>3136</v>
      </c>
      <c r="G866" s="2" t="s">
        <v>3161</v>
      </c>
      <c r="H866" s="2"/>
      <c r="I866" s="41" t="s">
        <v>720</v>
      </c>
      <c r="J866" s="41" t="s">
        <v>3136</v>
      </c>
      <c r="K866" s="41" t="s">
        <v>599</v>
      </c>
      <c r="L866" s="41" t="s">
        <v>600</v>
      </c>
      <c r="M866" s="42">
        <v>45253</v>
      </c>
      <c r="N866" s="42">
        <v>45270</v>
      </c>
      <c r="O866" s="42">
        <v>45657</v>
      </c>
      <c r="P866" s="41" t="s">
        <v>3162</v>
      </c>
      <c r="Q866" s="41" t="s">
        <v>724</v>
      </c>
      <c r="R866" s="41" t="s">
        <v>3164</v>
      </c>
      <c r="S866" s="43" t="s">
        <v>3165</v>
      </c>
      <c r="T866" s="41"/>
    </row>
    <row r="867" spans="1:20" s="44" customFormat="1" ht="25.05" customHeight="1" x14ac:dyDescent="0.3">
      <c r="A867" s="41">
        <v>1</v>
      </c>
      <c r="B867" s="41"/>
      <c r="C867" s="51" t="str">
        <f>VLOOKUP(F867,[1]VLOOKUP!$A$2:$B$35,2,FALSE)</f>
        <v>西北</v>
      </c>
      <c r="D867" s="57" t="s">
        <v>3166</v>
      </c>
      <c r="E867" s="57"/>
      <c r="F867" s="2" t="s">
        <v>3136</v>
      </c>
      <c r="G867" s="2" t="s">
        <v>3161</v>
      </c>
      <c r="H867" s="2"/>
      <c r="I867" s="57" t="s">
        <v>720</v>
      </c>
      <c r="J867" s="57" t="s">
        <v>3136</v>
      </c>
      <c r="K867" s="57" t="s">
        <v>852</v>
      </c>
      <c r="L867" s="84" t="s">
        <v>780</v>
      </c>
      <c r="M867" s="57">
        <v>45246</v>
      </c>
      <c r="N867" s="57">
        <v>45246</v>
      </c>
      <c r="O867" s="57">
        <v>45260</v>
      </c>
      <c r="P867" s="57" t="s">
        <v>3167</v>
      </c>
      <c r="Q867" s="57" t="s">
        <v>3168</v>
      </c>
      <c r="R867" s="57"/>
      <c r="S867" s="58" t="s">
        <v>3169</v>
      </c>
      <c r="T867" s="57"/>
    </row>
    <row r="868" spans="1:20" s="44" customFormat="1" ht="25.05" customHeight="1" x14ac:dyDescent="0.3">
      <c r="A868" s="41">
        <v>1</v>
      </c>
      <c r="B868" s="41"/>
      <c r="C868" s="51" t="str">
        <f>VLOOKUP(F868,[1]VLOOKUP!$A$2:$B$35,2,FALSE)</f>
        <v>西北</v>
      </c>
      <c r="D868" s="41" t="s">
        <v>3170</v>
      </c>
      <c r="E868" s="41"/>
      <c r="F868" s="2" t="s">
        <v>3136</v>
      </c>
      <c r="G868" s="2" t="s">
        <v>3171</v>
      </c>
      <c r="H868" s="2"/>
      <c r="I868" s="41" t="s">
        <v>720</v>
      </c>
      <c r="J868" s="41" t="s">
        <v>3136</v>
      </c>
      <c r="K868" s="41" t="s">
        <v>611</v>
      </c>
      <c r="L868" s="41" t="s">
        <v>600</v>
      </c>
      <c r="M868" s="42">
        <v>45038</v>
      </c>
      <c r="N868" s="42">
        <v>45058</v>
      </c>
      <c r="O868" s="42">
        <v>46022</v>
      </c>
      <c r="P868" s="41" t="s">
        <v>3172</v>
      </c>
      <c r="Q868" s="41" t="s">
        <v>724</v>
      </c>
      <c r="R868" s="41" t="s">
        <v>3173</v>
      </c>
      <c r="S868" s="43" t="s">
        <v>3174</v>
      </c>
      <c r="T868" s="41"/>
    </row>
    <row r="869" spans="1:20" s="44" customFormat="1" ht="25.05" customHeight="1" x14ac:dyDescent="0.3">
      <c r="A869" s="41"/>
      <c r="B869" s="41"/>
      <c r="C869" s="41"/>
      <c r="D869" s="47" t="s">
        <v>3175</v>
      </c>
      <c r="E869" s="47"/>
      <c r="F869" s="2" t="s">
        <v>3136</v>
      </c>
      <c r="G869" s="2" t="s">
        <v>3176</v>
      </c>
      <c r="H869" s="2"/>
      <c r="I869" s="47" t="s">
        <v>720</v>
      </c>
      <c r="J869" s="47" t="s">
        <v>3136</v>
      </c>
      <c r="K869" s="47" t="s">
        <v>611</v>
      </c>
      <c r="L869" s="47" t="s">
        <v>606</v>
      </c>
      <c r="M869" s="59">
        <v>45208</v>
      </c>
      <c r="N869" s="47"/>
      <c r="O869" s="47"/>
      <c r="P869" s="47"/>
      <c r="Q869" s="47"/>
      <c r="R869" s="47"/>
      <c r="S869" s="64"/>
      <c r="T869" s="47"/>
    </row>
    <row r="870" spans="1:20" ht="25.05" customHeight="1" x14ac:dyDescent="0.3">
      <c r="A870" s="36"/>
      <c r="B870" s="36"/>
      <c r="C870" s="36"/>
      <c r="D870" s="60"/>
      <c r="E870" s="61"/>
      <c r="F870" s="3" t="s">
        <v>297</v>
      </c>
      <c r="G870" s="3"/>
      <c r="H870" s="3"/>
      <c r="I870" s="60"/>
      <c r="J870" s="60"/>
      <c r="K870" s="60"/>
      <c r="L870" s="60"/>
      <c r="M870" s="60"/>
      <c r="N870" s="60"/>
      <c r="O870" s="60"/>
      <c r="P870" s="60"/>
      <c r="Q870" s="60"/>
      <c r="R870" s="60"/>
      <c r="S870" s="62"/>
      <c r="T870" s="60"/>
    </row>
    <row r="871" spans="1:20" s="44" customFormat="1" ht="25.05" customHeight="1" x14ac:dyDescent="0.3">
      <c r="A871" s="41">
        <v>1</v>
      </c>
      <c r="B871" s="41"/>
      <c r="C871" s="51" t="str">
        <f>VLOOKUP(F871,[1]VLOOKUP!$A$2:$B$35,2,FALSE)</f>
        <v>西北</v>
      </c>
      <c r="D871" s="41" t="s">
        <v>3177</v>
      </c>
      <c r="E871" s="41"/>
      <c r="F871" s="2" t="s">
        <v>297</v>
      </c>
      <c r="G871" s="2"/>
      <c r="H871" s="2"/>
      <c r="I871" s="41" t="s">
        <v>474</v>
      </c>
      <c r="J871" s="41" t="s">
        <v>297</v>
      </c>
      <c r="K871" s="41" t="s">
        <v>611</v>
      </c>
      <c r="L871" s="41" t="s">
        <v>600</v>
      </c>
      <c r="M871" s="42">
        <v>43951</v>
      </c>
      <c r="N871" s="42">
        <v>43957</v>
      </c>
      <c r="O871" s="42">
        <v>45077</v>
      </c>
      <c r="P871" s="41" t="s">
        <v>3178</v>
      </c>
      <c r="Q871" s="41" t="s">
        <v>724</v>
      </c>
      <c r="R871" s="41" t="s">
        <v>3179</v>
      </c>
      <c r="S871" s="43" t="s">
        <v>3180</v>
      </c>
      <c r="T871" s="41"/>
    </row>
    <row r="872" spans="1:20" s="44" customFormat="1" ht="25.05" customHeight="1" x14ac:dyDescent="0.3">
      <c r="A872" s="41">
        <v>1</v>
      </c>
      <c r="B872" s="41"/>
      <c r="C872" s="51" t="str">
        <f>VLOOKUP(F872,[1]VLOOKUP!$A$2:$B$35,2,FALSE)</f>
        <v>西北</v>
      </c>
      <c r="D872" s="41" t="s">
        <v>3181</v>
      </c>
      <c r="E872" s="41"/>
      <c r="F872" s="2" t="s">
        <v>297</v>
      </c>
      <c r="G872" s="2"/>
      <c r="H872" s="2"/>
      <c r="I872" s="41" t="s">
        <v>474</v>
      </c>
      <c r="J872" s="41" t="s">
        <v>297</v>
      </c>
      <c r="K872" s="41" t="s">
        <v>611</v>
      </c>
      <c r="L872" s="41" t="s">
        <v>600</v>
      </c>
      <c r="M872" s="42">
        <v>44875</v>
      </c>
      <c r="N872" s="42">
        <v>44876</v>
      </c>
      <c r="O872" s="42">
        <v>46022</v>
      </c>
      <c r="P872" s="41" t="s">
        <v>3182</v>
      </c>
      <c r="Q872" s="41" t="s">
        <v>716</v>
      </c>
      <c r="R872" s="41" t="s">
        <v>3183</v>
      </c>
      <c r="S872" s="43" t="s">
        <v>3184</v>
      </c>
      <c r="T872" s="41"/>
    </row>
    <row r="873" spans="1:20" s="44" customFormat="1" ht="25.05" customHeight="1" x14ac:dyDescent="0.3">
      <c r="A873" s="41">
        <v>1</v>
      </c>
      <c r="B873" s="41"/>
      <c r="C873" s="51" t="str">
        <f>VLOOKUP(F873,[1]VLOOKUP!$A$2:$B$35,2,FALSE)</f>
        <v>西北</v>
      </c>
      <c r="D873" s="41" t="s">
        <v>3185</v>
      </c>
      <c r="E873" s="41"/>
      <c r="F873" s="2" t="s">
        <v>297</v>
      </c>
      <c r="G873" s="2"/>
      <c r="H873" s="2"/>
      <c r="I873" s="41" t="s">
        <v>474</v>
      </c>
      <c r="J873" s="41" t="s">
        <v>297</v>
      </c>
      <c r="K873" s="41" t="s">
        <v>852</v>
      </c>
      <c r="L873" s="41" t="s">
        <v>600</v>
      </c>
      <c r="M873" s="42">
        <v>45156</v>
      </c>
      <c r="N873" s="42">
        <v>45156</v>
      </c>
      <c r="O873" s="42">
        <v>46022</v>
      </c>
      <c r="P873" s="41" t="s">
        <v>3186</v>
      </c>
      <c r="Q873" s="41" t="s">
        <v>519</v>
      </c>
      <c r="R873" s="41"/>
      <c r="S873" s="43" t="s">
        <v>3187</v>
      </c>
      <c r="T873" s="41"/>
    </row>
    <row r="874" spans="1:20" s="44" customFormat="1" ht="25.05" customHeight="1" x14ac:dyDescent="0.3">
      <c r="A874" s="41"/>
      <c r="B874" s="41"/>
      <c r="C874" s="41"/>
      <c r="D874" s="52" t="s">
        <v>3188</v>
      </c>
      <c r="E874" s="52"/>
      <c r="F874" s="2" t="s">
        <v>297</v>
      </c>
      <c r="G874" s="2" t="s">
        <v>3189</v>
      </c>
      <c r="H874" s="2" t="s">
        <v>3190</v>
      </c>
      <c r="I874" s="52" t="s">
        <v>720</v>
      </c>
      <c r="J874" s="52" t="s">
        <v>297</v>
      </c>
      <c r="K874" s="52" t="s">
        <v>605</v>
      </c>
      <c r="L874" s="52" t="s">
        <v>606</v>
      </c>
      <c r="M874" s="52">
        <v>43831</v>
      </c>
      <c r="N874" s="52">
        <v>43831</v>
      </c>
      <c r="O874" s="52">
        <v>44743</v>
      </c>
      <c r="P874" s="52" t="s">
        <v>3191</v>
      </c>
      <c r="Q874" s="52" t="s">
        <v>512</v>
      </c>
      <c r="R874" s="52" t="s">
        <v>3192</v>
      </c>
      <c r="S874" s="53"/>
      <c r="T874" s="52"/>
    </row>
    <row r="875" spans="1:20" s="44" customFormat="1" ht="25.05" customHeight="1" x14ac:dyDescent="0.3">
      <c r="A875" s="41">
        <v>1</v>
      </c>
      <c r="B875" s="41"/>
      <c r="C875" s="51" t="str">
        <f>VLOOKUP(F875,[1]VLOOKUP!$A$2:$B$35,2,FALSE)</f>
        <v>西北</v>
      </c>
      <c r="D875" s="41" t="s">
        <v>3193</v>
      </c>
      <c r="E875" s="41"/>
      <c r="F875" s="2" t="s">
        <v>297</v>
      </c>
      <c r="G875" s="2" t="s">
        <v>3189</v>
      </c>
      <c r="H875" s="2" t="s">
        <v>3190</v>
      </c>
      <c r="I875" s="41" t="s">
        <v>720</v>
      </c>
      <c r="J875" s="41" t="s">
        <v>297</v>
      </c>
      <c r="K875" s="41" t="s">
        <v>605</v>
      </c>
      <c r="L875" s="41" t="s">
        <v>600</v>
      </c>
      <c r="M875" s="42">
        <v>44743</v>
      </c>
      <c r="N875" s="42">
        <v>44916</v>
      </c>
      <c r="O875" s="42">
        <v>46022</v>
      </c>
      <c r="P875" s="41" t="s">
        <v>3191</v>
      </c>
      <c r="Q875" s="41" t="s">
        <v>512</v>
      </c>
      <c r="R875" s="41" t="s">
        <v>3194</v>
      </c>
      <c r="S875" s="43" t="s">
        <v>3195</v>
      </c>
      <c r="T875" s="41"/>
    </row>
    <row r="876" spans="1:20" s="44" customFormat="1" ht="25.05" customHeight="1" x14ac:dyDescent="0.3">
      <c r="A876" s="41"/>
      <c r="B876" s="41"/>
      <c r="C876" s="41"/>
      <c r="D876" s="47" t="s">
        <v>3196</v>
      </c>
      <c r="E876" s="47"/>
      <c r="F876" s="2" t="s">
        <v>297</v>
      </c>
      <c r="G876" s="2" t="s">
        <v>3189</v>
      </c>
      <c r="H876" s="2" t="s">
        <v>3190</v>
      </c>
      <c r="I876" s="47" t="s">
        <v>720</v>
      </c>
      <c r="J876" s="47" t="s">
        <v>297</v>
      </c>
      <c r="K876" s="47" t="s">
        <v>852</v>
      </c>
      <c r="L876" s="47" t="s">
        <v>606</v>
      </c>
      <c r="M876" s="59">
        <v>44558</v>
      </c>
      <c r="N876" s="59">
        <v>44558</v>
      </c>
      <c r="O876" s="47">
        <v>46022</v>
      </c>
      <c r="P876" s="47" t="s">
        <v>3191</v>
      </c>
      <c r="Q876" s="47" t="s">
        <v>512</v>
      </c>
      <c r="R876" s="47" t="s">
        <v>3197</v>
      </c>
      <c r="S876" s="64"/>
      <c r="T876" s="47"/>
    </row>
    <row r="877" spans="1:20" s="44" customFormat="1" ht="25.05" customHeight="1" x14ac:dyDescent="0.3">
      <c r="A877" s="41">
        <v>1</v>
      </c>
      <c r="B877" s="41"/>
      <c r="C877" s="51" t="str">
        <f>VLOOKUP(F877,[1]VLOOKUP!$A$2:$B$35,2,FALSE)</f>
        <v>西北</v>
      </c>
      <c r="D877" s="41" t="s">
        <v>3198</v>
      </c>
      <c r="E877" s="41"/>
      <c r="F877" s="2" t="s">
        <v>297</v>
      </c>
      <c r="G877" s="2" t="s">
        <v>3189</v>
      </c>
      <c r="H877" s="2" t="s">
        <v>3190</v>
      </c>
      <c r="I877" s="41" t="s">
        <v>720</v>
      </c>
      <c r="J877" s="41" t="s">
        <v>297</v>
      </c>
      <c r="K877" s="41" t="s">
        <v>605</v>
      </c>
      <c r="L877" s="41" t="s">
        <v>600</v>
      </c>
      <c r="M877" s="42">
        <v>45349</v>
      </c>
      <c r="N877" s="42">
        <v>45356</v>
      </c>
      <c r="O877" s="42">
        <v>46387</v>
      </c>
      <c r="P877" s="41" t="s">
        <v>3191</v>
      </c>
      <c r="Q877" s="41" t="s">
        <v>512</v>
      </c>
      <c r="R877" s="41"/>
      <c r="S877" s="43" t="s">
        <v>3199</v>
      </c>
      <c r="T877" s="41"/>
    </row>
    <row r="878" spans="1:20" ht="25.05" customHeight="1" x14ac:dyDescent="0.3">
      <c r="A878" s="36"/>
      <c r="B878" s="36"/>
      <c r="C878" s="36"/>
      <c r="D878" s="60"/>
      <c r="E878" s="61"/>
      <c r="F878" s="3" t="s">
        <v>3200</v>
      </c>
      <c r="G878" s="3"/>
      <c r="H878" s="3"/>
      <c r="I878" s="60"/>
      <c r="J878" s="60"/>
      <c r="K878" s="60"/>
      <c r="L878" s="60"/>
      <c r="M878" s="60"/>
      <c r="N878" s="60"/>
      <c r="O878" s="60"/>
      <c r="P878" s="60"/>
      <c r="Q878" s="60"/>
      <c r="R878" s="60"/>
      <c r="S878" s="62"/>
      <c r="T878" s="60"/>
    </row>
    <row r="879" spans="1:20" s="44" customFormat="1" ht="25.05" customHeight="1" x14ac:dyDescent="0.3">
      <c r="A879" s="41"/>
      <c r="B879" s="41"/>
      <c r="C879" s="41"/>
      <c r="D879" s="47" t="s">
        <v>3201</v>
      </c>
      <c r="E879" s="47"/>
      <c r="F879" s="2" t="s">
        <v>3200</v>
      </c>
      <c r="G879" s="2"/>
      <c r="H879" s="2"/>
      <c r="I879" s="47" t="s">
        <v>474</v>
      </c>
      <c r="J879" s="47" t="s">
        <v>3200</v>
      </c>
      <c r="K879" s="47" t="s">
        <v>611</v>
      </c>
      <c r="L879" s="47" t="s">
        <v>606</v>
      </c>
      <c r="M879" s="47"/>
      <c r="N879" s="47"/>
      <c r="O879" s="47"/>
      <c r="P879" s="47" t="s">
        <v>3202</v>
      </c>
      <c r="Q879" s="47" t="s">
        <v>519</v>
      </c>
      <c r="R879" s="47"/>
      <c r="S879" s="64"/>
      <c r="T879" s="47"/>
    </row>
    <row r="880" spans="1:20" s="44" customFormat="1" ht="25.05" customHeight="1" x14ac:dyDescent="0.3">
      <c r="A880" s="41">
        <v>1</v>
      </c>
      <c r="B880" s="41"/>
      <c r="C880" s="51" t="str">
        <f>VLOOKUP(F880,[1]VLOOKUP!$A$2:$B$35,2,FALSE)</f>
        <v>西南</v>
      </c>
      <c r="D880" s="41" t="s">
        <v>3203</v>
      </c>
      <c r="E880" s="41"/>
      <c r="F880" s="2" t="s">
        <v>3200</v>
      </c>
      <c r="G880" s="2"/>
      <c r="H880" s="2"/>
      <c r="I880" s="41" t="s">
        <v>474</v>
      </c>
      <c r="J880" s="41" t="s">
        <v>3200</v>
      </c>
      <c r="K880" s="41" t="s">
        <v>599</v>
      </c>
      <c r="L880" s="41" t="s">
        <v>600</v>
      </c>
      <c r="M880" s="42">
        <v>45828</v>
      </c>
      <c r="N880" s="42">
        <v>45832</v>
      </c>
      <c r="O880" s="42">
        <v>45846</v>
      </c>
      <c r="P880" s="41" t="s">
        <v>3204</v>
      </c>
      <c r="Q880" s="41" t="s">
        <v>1054</v>
      </c>
      <c r="R880" s="41"/>
      <c r="S880" s="43" t="s">
        <v>3205</v>
      </c>
      <c r="T880" s="41"/>
    </row>
    <row r="881" spans="1:20" s="44" customFormat="1" ht="25.05" customHeight="1" x14ac:dyDescent="0.3">
      <c r="A881" s="41">
        <v>1</v>
      </c>
      <c r="B881" s="41"/>
      <c r="C881" s="51" t="str">
        <f>VLOOKUP(F881,[1]VLOOKUP!$A$2:$B$35,2,FALSE)</f>
        <v>西南</v>
      </c>
      <c r="D881" s="41" t="s">
        <v>3137</v>
      </c>
      <c r="E881" s="41"/>
      <c r="F881" s="2" t="s">
        <v>3200</v>
      </c>
      <c r="G881" s="2" t="s">
        <v>3206</v>
      </c>
      <c r="H881" s="2"/>
      <c r="I881" s="41" t="s">
        <v>720</v>
      </c>
      <c r="J881" s="41" t="s">
        <v>3200</v>
      </c>
      <c r="K881" s="41" t="s">
        <v>611</v>
      </c>
      <c r="L881" s="41" t="s">
        <v>600</v>
      </c>
      <c r="M881" s="42">
        <v>44406</v>
      </c>
      <c r="N881" s="42">
        <v>44406</v>
      </c>
      <c r="O881" s="42">
        <v>46022</v>
      </c>
      <c r="P881" s="41" t="s">
        <v>3207</v>
      </c>
      <c r="Q881" s="41"/>
      <c r="R881" s="41" t="s">
        <v>3208</v>
      </c>
      <c r="S881" s="43" t="s">
        <v>3209</v>
      </c>
      <c r="T881" s="41"/>
    </row>
    <row r="882" spans="1:20" s="44" customFormat="1" ht="25.05" customHeight="1" x14ac:dyDescent="0.3">
      <c r="A882" s="41"/>
      <c r="B882" s="41"/>
      <c r="C882" s="41"/>
      <c r="D882" s="47" t="s">
        <v>3210</v>
      </c>
      <c r="E882" s="47"/>
      <c r="F882" s="2" t="s">
        <v>3200</v>
      </c>
      <c r="G882" s="2" t="s">
        <v>3206</v>
      </c>
      <c r="H882" s="2"/>
      <c r="I882" s="47" t="s">
        <v>720</v>
      </c>
      <c r="J882" s="47" t="s">
        <v>3200</v>
      </c>
      <c r="K882" s="47" t="s">
        <v>611</v>
      </c>
      <c r="L882" s="47" t="s">
        <v>606</v>
      </c>
      <c r="M882" s="47"/>
      <c r="N882" s="47"/>
      <c r="O882" s="47"/>
      <c r="P882" s="47" t="s">
        <v>3207</v>
      </c>
      <c r="Q882" s="47" t="s">
        <v>724</v>
      </c>
      <c r="R882" s="47" t="s">
        <v>3211</v>
      </c>
      <c r="S882" s="64"/>
      <c r="T882" s="47"/>
    </row>
    <row r="883" spans="1:20" s="44" customFormat="1" ht="25.05" customHeight="1" x14ac:dyDescent="0.3">
      <c r="A883" s="41"/>
      <c r="B883" s="41"/>
      <c r="C883" s="41"/>
      <c r="D883" s="47" t="s">
        <v>3212</v>
      </c>
      <c r="E883" s="47"/>
      <c r="F883" s="2" t="s">
        <v>3200</v>
      </c>
      <c r="G883" s="2" t="s">
        <v>3206</v>
      </c>
      <c r="H883" s="2"/>
      <c r="I883" s="47" t="s">
        <v>720</v>
      </c>
      <c r="J883" s="47" t="s">
        <v>3200</v>
      </c>
      <c r="K883" s="47" t="s">
        <v>611</v>
      </c>
      <c r="L883" s="47" t="s">
        <v>606</v>
      </c>
      <c r="M883" s="47"/>
      <c r="N883" s="47"/>
      <c r="O883" s="47"/>
      <c r="P883" s="47"/>
      <c r="Q883" s="47"/>
      <c r="R883" s="47" t="s">
        <v>3213</v>
      </c>
      <c r="S883" s="64"/>
      <c r="T883" s="47"/>
    </row>
    <row r="884" spans="1:20" s="44" customFormat="1" ht="25.05" customHeight="1" x14ac:dyDescent="0.3">
      <c r="A884" s="41"/>
      <c r="B884" s="41"/>
      <c r="C884" s="41"/>
      <c r="D884" s="47" t="s">
        <v>3214</v>
      </c>
      <c r="E884" s="47"/>
      <c r="F884" s="2" t="s">
        <v>3200</v>
      </c>
      <c r="G884" s="2" t="s">
        <v>3206</v>
      </c>
      <c r="H884" s="2"/>
      <c r="I884" s="47" t="s">
        <v>720</v>
      </c>
      <c r="J884" s="47" t="s">
        <v>3200</v>
      </c>
      <c r="K884" s="47" t="s">
        <v>611</v>
      </c>
      <c r="L884" s="47" t="s">
        <v>606</v>
      </c>
      <c r="M884" s="47"/>
      <c r="N884" s="47"/>
      <c r="O884" s="47"/>
      <c r="P884" s="47"/>
      <c r="Q884" s="47"/>
      <c r="R884" s="47" t="s">
        <v>3215</v>
      </c>
      <c r="S884" s="64"/>
      <c r="T884" s="47"/>
    </row>
    <row r="885" spans="1:20" s="44" customFormat="1" ht="25.05" customHeight="1" x14ac:dyDescent="0.3">
      <c r="A885" s="41"/>
      <c r="B885" s="41"/>
      <c r="C885" s="41"/>
      <c r="D885" s="47" t="s">
        <v>3216</v>
      </c>
      <c r="E885" s="47"/>
      <c r="F885" s="2" t="s">
        <v>3200</v>
      </c>
      <c r="G885" s="2" t="s">
        <v>3206</v>
      </c>
      <c r="H885" s="2"/>
      <c r="I885" s="47" t="s">
        <v>720</v>
      </c>
      <c r="J885" s="47" t="s">
        <v>3200</v>
      </c>
      <c r="K885" s="47" t="s">
        <v>611</v>
      </c>
      <c r="L885" s="47" t="s">
        <v>606</v>
      </c>
      <c r="M885" s="47"/>
      <c r="N885" s="47"/>
      <c r="O885" s="47"/>
      <c r="P885" s="47"/>
      <c r="Q885" s="47"/>
      <c r="R885" s="47"/>
      <c r="S885" s="64"/>
      <c r="T885" s="47"/>
    </row>
    <row r="886" spans="1:20" ht="25.05" customHeight="1" x14ac:dyDescent="0.3">
      <c r="A886" s="36"/>
      <c r="B886" s="36"/>
      <c r="C886" s="36"/>
      <c r="D886" s="60"/>
      <c r="E886" s="61"/>
      <c r="F886" s="3" t="s">
        <v>299</v>
      </c>
      <c r="G886" s="3"/>
      <c r="H886" s="3"/>
      <c r="I886" s="60"/>
      <c r="J886" s="60"/>
      <c r="K886" s="60"/>
      <c r="L886" s="60"/>
      <c r="M886" s="60"/>
      <c r="N886" s="60"/>
      <c r="O886" s="60"/>
      <c r="P886" s="60"/>
      <c r="Q886" s="60"/>
      <c r="R886" s="60"/>
      <c r="S886" s="62"/>
      <c r="T886" s="60"/>
    </row>
    <row r="887" spans="1:20" s="44" customFormat="1" ht="25.05" customHeight="1" x14ac:dyDescent="0.3">
      <c r="A887" s="41">
        <v>1</v>
      </c>
      <c r="B887" s="41"/>
      <c r="C887" s="51" t="str">
        <f>VLOOKUP(F887,[1]VLOOKUP!$A$2:$B$35,2,FALSE)</f>
        <v>西北</v>
      </c>
      <c r="D887" s="41" t="s">
        <v>3217</v>
      </c>
      <c r="E887" s="41"/>
      <c r="F887" s="2" t="s">
        <v>299</v>
      </c>
      <c r="G887" s="2"/>
      <c r="H887" s="2"/>
      <c r="I887" s="41" t="s">
        <v>474</v>
      </c>
      <c r="J887" s="41" t="s">
        <v>299</v>
      </c>
      <c r="K887" s="41" t="s">
        <v>611</v>
      </c>
      <c r="L887" s="41" t="s">
        <v>600</v>
      </c>
      <c r="M887" s="42">
        <v>45168</v>
      </c>
      <c r="N887" s="42">
        <v>45170</v>
      </c>
      <c r="O887" s="42">
        <v>46022</v>
      </c>
      <c r="P887" s="41" t="s">
        <v>3218</v>
      </c>
      <c r="Q887" s="41" t="s">
        <v>716</v>
      </c>
      <c r="R887" s="41"/>
      <c r="S887" s="43" t="s">
        <v>3219</v>
      </c>
      <c r="T887" s="41"/>
    </row>
    <row r="888" spans="1:20" s="44" customFormat="1" ht="25.05" customHeight="1" x14ac:dyDescent="0.3">
      <c r="A888" s="41">
        <v>1</v>
      </c>
      <c r="B888" s="41"/>
      <c r="C888" s="51" t="str">
        <f>VLOOKUP(F888,[1]VLOOKUP!$A$2:$B$35,2,FALSE)</f>
        <v>西北</v>
      </c>
      <c r="D888" s="41" t="s">
        <v>3220</v>
      </c>
      <c r="E888" s="41"/>
      <c r="F888" s="2" t="s">
        <v>299</v>
      </c>
      <c r="G888" s="2"/>
      <c r="H888" s="2"/>
      <c r="I888" s="41" t="s">
        <v>474</v>
      </c>
      <c r="J888" s="41" t="s">
        <v>299</v>
      </c>
      <c r="K888" s="41" t="s">
        <v>599</v>
      </c>
      <c r="L888" s="41" t="s">
        <v>600</v>
      </c>
      <c r="M888" s="42">
        <v>45168</v>
      </c>
      <c r="N888" s="42">
        <v>45168</v>
      </c>
      <c r="O888" s="42">
        <v>46022</v>
      </c>
      <c r="P888" s="41" t="s">
        <v>3218</v>
      </c>
      <c r="Q888" s="41" t="s">
        <v>716</v>
      </c>
      <c r="R888" s="41"/>
      <c r="S888" s="43" t="s">
        <v>3221</v>
      </c>
      <c r="T888" s="41"/>
    </row>
    <row r="889" spans="1:20" s="44" customFormat="1" ht="25.05" customHeight="1" x14ac:dyDescent="0.3">
      <c r="A889" s="41">
        <v>1</v>
      </c>
      <c r="B889" s="41"/>
      <c r="C889" s="51" t="str">
        <f>VLOOKUP(F889,[1]VLOOKUP!$A$2:$B$35,2,FALSE)</f>
        <v>西北</v>
      </c>
      <c r="D889" s="52" t="s">
        <v>3222</v>
      </c>
      <c r="E889" s="52"/>
      <c r="F889" s="2" t="s">
        <v>299</v>
      </c>
      <c r="G889" s="2"/>
      <c r="H889" s="2"/>
      <c r="I889" s="52" t="s">
        <v>474</v>
      </c>
      <c r="J889" s="52" t="s">
        <v>299</v>
      </c>
      <c r="K889" s="52" t="s">
        <v>599</v>
      </c>
      <c r="L889" s="52" t="s">
        <v>663</v>
      </c>
      <c r="M889" s="52">
        <v>45064</v>
      </c>
      <c r="N889" s="52">
        <v>45064</v>
      </c>
      <c r="O889" s="52">
        <v>45092</v>
      </c>
      <c r="P889" s="52" t="s">
        <v>3218</v>
      </c>
      <c r="Q889" s="52" t="s">
        <v>716</v>
      </c>
      <c r="R889" s="52"/>
      <c r="S889" s="53" t="s">
        <v>3223</v>
      </c>
      <c r="T889" s="52"/>
    </row>
    <row r="890" spans="1:20" s="44" customFormat="1" ht="25.05" customHeight="1" x14ac:dyDescent="0.3">
      <c r="A890" s="41">
        <v>1</v>
      </c>
      <c r="B890" s="41"/>
      <c r="C890" s="51" t="str">
        <f>VLOOKUP(F890,[1]VLOOKUP!$A$2:$B$35,2,FALSE)</f>
        <v>西北</v>
      </c>
      <c r="D890" s="41" t="s">
        <v>3224</v>
      </c>
      <c r="E890" s="41"/>
      <c r="F890" s="2" t="s">
        <v>299</v>
      </c>
      <c r="G890" s="2"/>
      <c r="H890" s="2"/>
      <c r="I890" s="41" t="s">
        <v>474</v>
      </c>
      <c r="J890" s="41" t="s">
        <v>299</v>
      </c>
      <c r="K890" s="41" t="s">
        <v>599</v>
      </c>
      <c r="L890" s="41" t="s">
        <v>600</v>
      </c>
      <c r="M890" s="42">
        <v>45324</v>
      </c>
      <c r="N890" s="42">
        <v>45324</v>
      </c>
      <c r="O890" s="42">
        <v>45363</v>
      </c>
      <c r="P890" s="41" t="s">
        <v>3218</v>
      </c>
      <c r="Q890" s="41" t="s">
        <v>716</v>
      </c>
      <c r="R890" s="41"/>
      <c r="S890" s="43" t="s">
        <v>3225</v>
      </c>
      <c r="T890" s="41"/>
    </row>
    <row r="891" spans="1:20" s="44" customFormat="1" ht="25.05" customHeight="1" x14ac:dyDescent="0.3">
      <c r="A891" s="41"/>
      <c r="B891" s="41"/>
      <c r="C891" s="41"/>
      <c r="D891" s="47" t="s">
        <v>1092</v>
      </c>
      <c r="E891" s="47"/>
      <c r="F891" s="2" t="s">
        <v>299</v>
      </c>
      <c r="G891" s="2"/>
      <c r="H891" s="2"/>
      <c r="I891" s="47" t="s">
        <v>474</v>
      </c>
      <c r="J891" s="47" t="s">
        <v>299</v>
      </c>
      <c r="K891" s="47" t="s">
        <v>611</v>
      </c>
      <c r="L891" s="47" t="s">
        <v>606</v>
      </c>
      <c r="M891" s="47"/>
      <c r="N891" s="47"/>
      <c r="O891" s="47"/>
      <c r="P891" s="47" t="s">
        <v>3226</v>
      </c>
      <c r="Q891" s="47" t="s">
        <v>3227</v>
      </c>
      <c r="R891" s="47"/>
      <c r="S891" s="64"/>
      <c r="T891" s="47"/>
    </row>
    <row r="892" spans="1:20" s="44" customFormat="1" ht="25.05" customHeight="1" x14ac:dyDescent="0.3">
      <c r="A892" s="41">
        <v>1</v>
      </c>
      <c r="B892" s="41"/>
      <c r="C892" s="51" t="str">
        <f>VLOOKUP(F892,[1]VLOOKUP!$A$2:$B$35,2,FALSE)</f>
        <v>西北</v>
      </c>
      <c r="D892" s="41" t="s">
        <v>3228</v>
      </c>
      <c r="E892" s="41"/>
      <c r="F892" s="2" t="s">
        <v>299</v>
      </c>
      <c r="G892" s="2" t="s">
        <v>3229</v>
      </c>
      <c r="H892" s="2"/>
      <c r="I892" s="41" t="s">
        <v>720</v>
      </c>
      <c r="J892" s="41" t="s">
        <v>299</v>
      </c>
      <c r="K892" s="41" t="s">
        <v>599</v>
      </c>
      <c r="L892" s="41" t="s">
        <v>600</v>
      </c>
      <c r="M892" s="42">
        <v>46003</v>
      </c>
      <c r="N892" s="42">
        <v>46003</v>
      </c>
      <c r="O892" s="42">
        <v>46752</v>
      </c>
      <c r="P892" s="41" t="s">
        <v>3230</v>
      </c>
      <c r="Q892" s="41" t="s">
        <v>716</v>
      </c>
      <c r="R892" s="41" t="s">
        <v>3231</v>
      </c>
      <c r="S892" s="43"/>
      <c r="T892" s="41"/>
    </row>
    <row r="893" spans="1:20" s="44" customFormat="1" ht="25.05" customHeight="1" x14ac:dyDescent="0.3">
      <c r="A893" s="41">
        <v>1</v>
      </c>
      <c r="B893" s="41"/>
      <c r="C893" s="51" t="str">
        <f>VLOOKUP(F893,[1]VLOOKUP!$A$2:$B$35,2,FALSE)</f>
        <v>西北</v>
      </c>
      <c r="D893" s="41" t="s">
        <v>3232</v>
      </c>
      <c r="E893" s="41"/>
      <c r="F893" s="2" t="s">
        <v>299</v>
      </c>
      <c r="G893" s="2" t="s">
        <v>3233</v>
      </c>
      <c r="H893" s="2"/>
      <c r="I893" s="41" t="s">
        <v>720</v>
      </c>
      <c r="J893" s="41" t="s">
        <v>299</v>
      </c>
      <c r="K893" s="41" t="s">
        <v>611</v>
      </c>
      <c r="L893" s="41" t="s">
        <v>600</v>
      </c>
      <c r="M893" s="42">
        <v>45115</v>
      </c>
      <c r="N893" s="42">
        <v>45115</v>
      </c>
      <c r="O893" s="42">
        <v>46022</v>
      </c>
      <c r="P893" s="41" t="s">
        <v>3234</v>
      </c>
      <c r="Q893" s="41" t="s">
        <v>716</v>
      </c>
      <c r="R893" s="41"/>
      <c r="S893" s="43" t="s">
        <v>3235</v>
      </c>
      <c r="T893" s="41"/>
    </row>
    <row r="894" spans="1:20" s="44" customFormat="1" ht="25.05" customHeight="1" x14ac:dyDescent="0.3">
      <c r="A894" s="41"/>
      <c r="B894" s="41"/>
      <c r="C894" s="41"/>
      <c r="D894" s="47" t="s">
        <v>3236</v>
      </c>
      <c r="E894" s="47"/>
      <c r="F894" s="2" t="s">
        <v>299</v>
      </c>
      <c r="G894" s="2" t="s">
        <v>3233</v>
      </c>
      <c r="H894" s="2"/>
      <c r="I894" s="47" t="s">
        <v>720</v>
      </c>
      <c r="J894" s="47" t="s">
        <v>299</v>
      </c>
      <c r="K894" s="47" t="s">
        <v>611</v>
      </c>
      <c r="L894" s="47" t="s">
        <v>606</v>
      </c>
      <c r="M894" s="47"/>
      <c r="N894" s="47"/>
      <c r="O894" s="47"/>
      <c r="P894" s="47"/>
      <c r="Q894" s="47"/>
      <c r="R894" s="47"/>
      <c r="S894" s="64"/>
      <c r="T894" s="47"/>
    </row>
    <row r="895" spans="1:20" s="44" customFormat="1" ht="25.05" customHeight="1" x14ac:dyDescent="0.3">
      <c r="A895" s="41">
        <v>1</v>
      </c>
      <c r="B895" s="41"/>
      <c r="C895" s="51" t="str">
        <f>VLOOKUP(F895,[1]VLOOKUP!$A$2:$B$35,2,FALSE)</f>
        <v>西北</v>
      </c>
      <c r="D895" s="41" t="s">
        <v>3237</v>
      </c>
      <c r="E895" s="41"/>
      <c r="F895" s="2" t="s">
        <v>299</v>
      </c>
      <c r="G895" s="2" t="s">
        <v>3233</v>
      </c>
      <c r="H895" s="2"/>
      <c r="I895" s="41" t="s">
        <v>720</v>
      </c>
      <c r="J895" s="41" t="s">
        <v>299</v>
      </c>
      <c r="K895" s="41" t="s">
        <v>605</v>
      </c>
      <c r="L895" s="41" t="s">
        <v>600</v>
      </c>
      <c r="M895" s="42">
        <v>45200</v>
      </c>
      <c r="N895" s="42">
        <v>45200</v>
      </c>
      <c r="O895" s="42">
        <v>46022</v>
      </c>
      <c r="P895" s="41" t="s">
        <v>3238</v>
      </c>
      <c r="Q895" s="41" t="s">
        <v>724</v>
      </c>
      <c r="R895" s="41"/>
      <c r="S895" s="43" t="s">
        <v>3239</v>
      </c>
      <c r="T895" s="41"/>
    </row>
    <row r="896" spans="1:20" s="44" customFormat="1" ht="25.05" customHeight="1" x14ac:dyDescent="0.3">
      <c r="A896" s="41">
        <v>1</v>
      </c>
      <c r="B896" s="41"/>
      <c r="C896" s="51" t="str">
        <f>VLOOKUP(F896,[1]VLOOKUP!$A$2:$B$35,2,FALSE)</f>
        <v>西北</v>
      </c>
      <c r="D896" s="41" t="s">
        <v>3240</v>
      </c>
      <c r="E896" s="41"/>
      <c r="F896" s="2" t="s">
        <v>299</v>
      </c>
      <c r="G896" s="2" t="s">
        <v>3233</v>
      </c>
      <c r="H896" s="2"/>
      <c r="I896" s="41" t="s">
        <v>720</v>
      </c>
      <c r="J896" s="41" t="s">
        <v>299</v>
      </c>
      <c r="K896" s="41" t="s">
        <v>682</v>
      </c>
      <c r="L896" s="41" t="s">
        <v>600</v>
      </c>
      <c r="M896" s="42">
        <v>45530</v>
      </c>
      <c r="N896" s="42">
        <v>45530</v>
      </c>
      <c r="O896" s="42">
        <v>46022</v>
      </c>
      <c r="P896" s="41" t="s">
        <v>3241</v>
      </c>
      <c r="Q896" s="41" t="s">
        <v>3242</v>
      </c>
      <c r="R896" s="41" t="s">
        <v>3243</v>
      </c>
      <c r="S896" s="43" t="s">
        <v>3244</v>
      </c>
      <c r="T896" s="41"/>
    </row>
    <row r="897" spans="1:20" s="44" customFormat="1" ht="25.05" customHeight="1" x14ac:dyDescent="0.3">
      <c r="A897" s="41">
        <v>1</v>
      </c>
      <c r="B897" s="41"/>
      <c r="C897" s="51" t="str">
        <f>VLOOKUP(F897,[1]VLOOKUP!$A$2:$B$35,2,FALSE)</f>
        <v>西北</v>
      </c>
      <c r="D897" s="57" t="s">
        <v>3245</v>
      </c>
      <c r="E897" s="57"/>
      <c r="F897" s="2" t="s">
        <v>299</v>
      </c>
      <c r="G897" s="2" t="s">
        <v>3233</v>
      </c>
      <c r="H897" s="2"/>
      <c r="I897" s="57" t="s">
        <v>720</v>
      </c>
      <c r="J897" s="57" t="s">
        <v>299</v>
      </c>
      <c r="K897" s="57" t="s">
        <v>605</v>
      </c>
      <c r="L897" s="84" t="s">
        <v>780</v>
      </c>
      <c r="M897" s="57">
        <v>45596</v>
      </c>
      <c r="N897" s="57">
        <v>45596</v>
      </c>
      <c r="O897" s="57">
        <v>45607</v>
      </c>
      <c r="P897" s="57" t="s">
        <v>3234</v>
      </c>
      <c r="Q897" s="57" t="s">
        <v>716</v>
      </c>
      <c r="R897" s="57"/>
      <c r="S897" s="58" t="s">
        <v>3246</v>
      </c>
      <c r="T897" s="57"/>
    </row>
    <row r="898" spans="1:20" s="44" customFormat="1" ht="25.05" customHeight="1" x14ac:dyDescent="0.3">
      <c r="A898" s="41"/>
      <c r="B898" s="41"/>
      <c r="C898" s="41"/>
      <c r="D898" s="47" t="s">
        <v>3247</v>
      </c>
      <c r="E898" s="47"/>
      <c r="F898" s="2" t="s">
        <v>299</v>
      </c>
      <c r="G898" s="2" t="s">
        <v>300</v>
      </c>
      <c r="H898" s="2"/>
      <c r="I898" s="47" t="s">
        <v>720</v>
      </c>
      <c r="J898" s="47" t="s">
        <v>299</v>
      </c>
      <c r="K898" s="47" t="s">
        <v>611</v>
      </c>
      <c r="L898" s="47" t="s">
        <v>606</v>
      </c>
      <c r="M898" s="47"/>
      <c r="N898" s="47"/>
      <c r="O898" s="47"/>
      <c r="P898" s="47"/>
      <c r="Q898" s="47"/>
      <c r="R898" s="47"/>
      <c r="S898" s="64"/>
      <c r="T898" s="47"/>
    </row>
    <row r="899" spans="1:20" s="44" customFormat="1" ht="25.05" customHeight="1" x14ac:dyDescent="0.3">
      <c r="A899" s="41"/>
      <c r="B899" s="41"/>
      <c r="C899" s="41"/>
      <c r="D899" s="41" t="s">
        <v>546</v>
      </c>
      <c r="E899" s="41"/>
      <c r="F899" s="2" t="s">
        <v>299</v>
      </c>
      <c r="G899" s="2" t="s">
        <v>300</v>
      </c>
      <c r="H899" s="2"/>
      <c r="I899" s="41" t="s">
        <v>720</v>
      </c>
      <c r="J899" s="41" t="s">
        <v>299</v>
      </c>
      <c r="K899" s="41" t="s">
        <v>682</v>
      </c>
      <c r="L899" s="41" t="s">
        <v>600</v>
      </c>
      <c r="M899" s="42">
        <v>45198</v>
      </c>
      <c r="N899" s="42">
        <v>45200</v>
      </c>
      <c r="O899" s="42">
        <v>45931</v>
      </c>
      <c r="P899" s="41" t="s">
        <v>3248</v>
      </c>
      <c r="Q899" s="41" t="s">
        <v>724</v>
      </c>
      <c r="R899" s="41" t="s">
        <v>3249</v>
      </c>
      <c r="S899" s="43" t="s">
        <v>3250</v>
      </c>
      <c r="T899" s="41"/>
    </row>
    <row r="900" spans="1:20" s="44" customFormat="1" ht="25.05" customHeight="1" x14ac:dyDescent="0.3">
      <c r="A900" s="41">
        <v>1</v>
      </c>
      <c r="B900" s="41"/>
      <c r="C900" s="51" t="str">
        <f>VLOOKUP(F900,[1]VLOOKUP!$A$2:$B$35,2,FALSE)</f>
        <v>西北</v>
      </c>
      <c r="D900" s="41" t="s">
        <v>3251</v>
      </c>
      <c r="E900" s="41"/>
      <c r="F900" s="2" t="s">
        <v>299</v>
      </c>
      <c r="G900" s="2" t="s">
        <v>3252</v>
      </c>
      <c r="H900" s="2"/>
      <c r="I900" s="41" t="s">
        <v>720</v>
      </c>
      <c r="J900" s="41" t="s">
        <v>299</v>
      </c>
      <c r="K900" s="41" t="s">
        <v>605</v>
      </c>
      <c r="L900" s="41" t="s">
        <v>600</v>
      </c>
      <c r="M900" s="42">
        <v>45208</v>
      </c>
      <c r="N900" s="42">
        <v>45216</v>
      </c>
      <c r="O900" s="42">
        <v>46022</v>
      </c>
      <c r="P900" s="41" t="s">
        <v>3253</v>
      </c>
      <c r="Q900" s="41" t="s">
        <v>724</v>
      </c>
      <c r="R900" s="41" t="s">
        <v>3254</v>
      </c>
      <c r="S900" s="43"/>
      <c r="T900" s="41"/>
    </row>
    <row r="901" spans="1:20" s="44" customFormat="1" ht="25.05" customHeight="1" x14ac:dyDescent="0.3">
      <c r="A901" s="41">
        <v>1</v>
      </c>
      <c r="B901" s="41"/>
      <c r="C901" s="51" t="str">
        <f>VLOOKUP(F901,[1]VLOOKUP!$A$2:$B$35,2,FALSE)</f>
        <v>西北</v>
      </c>
      <c r="D901" s="57" t="s">
        <v>3255</v>
      </c>
      <c r="E901" s="57"/>
      <c r="F901" s="2" t="s">
        <v>299</v>
      </c>
      <c r="G901" s="2" t="s">
        <v>3252</v>
      </c>
      <c r="H901" s="2"/>
      <c r="I901" s="57" t="s">
        <v>720</v>
      </c>
      <c r="J901" s="57" t="s">
        <v>299</v>
      </c>
      <c r="K901" s="57" t="s">
        <v>682</v>
      </c>
      <c r="L901" s="84" t="s">
        <v>780</v>
      </c>
      <c r="M901" s="57">
        <v>46122</v>
      </c>
      <c r="N901" s="57">
        <v>46122</v>
      </c>
      <c r="O901" s="57">
        <v>46129</v>
      </c>
      <c r="P901" s="57" t="s">
        <v>3256</v>
      </c>
      <c r="Q901" s="57" t="s">
        <v>716</v>
      </c>
      <c r="R901" s="57"/>
      <c r="S901" s="58" t="s">
        <v>3257</v>
      </c>
      <c r="T901" s="57"/>
    </row>
    <row r="902" spans="1:20" s="44" customFormat="1" ht="25.05" customHeight="1" x14ac:dyDescent="0.3">
      <c r="A902" s="41">
        <v>1</v>
      </c>
      <c r="B902" s="41"/>
      <c r="C902" s="51" t="str">
        <f>VLOOKUP(F902,[1]VLOOKUP!$A$2:$B$35,2,FALSE)</f>
        <v>西北</v>
      </c>
      <c r="D902" s="41" t="s">
        <v>3258</v>
      </c>
      <c r="E902" s="41"/>
      <c r="F902" s="2" t="s">
        <v>299</v>
      </c>
      <c r="G902" s="2" t="s">
        <v>3259</v>
      </c>
      <c r="H902" s="2"/>
      <c r="I902" s="41" t="s">
        <v>720</v>
      </c>
      <c r="J902" s="41" t="s">
        <v>299</v>
      </c>
      <c r="K902" s="41" t="s">
        <v>611</v>
      </c>
      <c r="L902" s="41" t="s">
        <v>600</v>
      </c>
      <c r="M902" s="42">
        <v>45379</v>
      </c>
      <c r="N902" s="42">
        <v>45379</v>
      </c>
      <c r="O902" s="42">
        <v>49674</v>
      </c>
      <c r="P902" s="41" t="s">
        <v>3260</v>
      </c>
      <c r="Q902" s="41" t="s">
        <v>716</v>
      </c>
      <c r="R902" s="41"/>
      <c r="S902" s="43" t="s">
        <v>3261</v>
      </c>
      <c r="T902" s="41"/>
    </row>
    <row r="903" spans="1:20" s="44" customFormat="1" ht="25.05" customHeight="1" x14ac:dyDescent="0.3">
      <c r="A903" s="41"/>
      <c r="B903" s="41"/>
      <c r="C903" s="41"/>
      <c r="D903" s="47" t="s">
        <v>3262</v>
      </c>
      <c r="E903" s="47"/>
      <c r="F903" s="2" t="s">
        <v>299</v>
      </c>
      <c r="G903" s="2" t="s">
        <v>3263</v>
      </c>
      <c r="H903" s="2"/>
      <c r="I903" s="47" t="s">
        <v>720</v>
      </c>
      <c r="J903" s="47" t="s">
        <v>299</v>
      </c>
      <c r="K903" s="47" t="s">
        <v>611</v>
      </c>
      <c r="L903" s="47" t="s">
        <v>606</v>
      </c>
      <c r="M903" s="47"/>
      <c r="N903" s="47"/>
      <c r="O903" s="47"/>
      <c r="P903" s="47"/>
      <c r="Q903" s="47"/>
      <c r="R903" s="47"/>
      <c r="S903" s="64"/>
      <c r="T903" s="47"/>
    </row>
    <row r="904" spans="1:20" s="44" customFormat="1" ht="25.05" customHeight="1" x14ac:dyDescent="0.3">
      <c r="A904" s="41"/>
      <c r="B904" s="41"/>
      <c r="C904" s="41"/>
      <c r="D904" s="47" t="s">
        <v>3264</v>
      </c>
      <c r="E904" s="47"/>
      <c r="F904" s="2" t="s">
        <v>299</v>
      </c>
      <c r="G904" s="2" t="s">
        <v>3263</v>
      </c>
      <c r="H904" s="2"/>
      <c r="I904" s="47" t="s">
        <v>720</v>
      </c>
      <c r="J904" s="47" t="s">
        <v>299</v>
      </c>
      <c r="K904" s="47" t="s">
        <v>611</v>
      </c>
      <c r="L904" s="47" t="s">
        <v>606</v>
      </c>
      <c r="M904" s="47"/>
      <c r="N904" s="47"/>
      <c r="O904" s="47"/>
      <c r="P904" s="47"/>
      <c r="Q904" s="47"/>
      <c r="R904" s="47"/>
      <c r="S904" s="64"/>
      <c r="T904" s="47"/>
    </row>
    <row r="905" spans="1:20" s="44" customFormat="1" ht="25.05" customHeight="1" x14ac:dyDescent="0.3">
      <c r="A905" s="41">
        <v>1</v>
      </c>
      <c r="B905" s="41"/>
      <c r="C905" s="51" t="str">
        <f>VLOOKUP(F905,[1]VLOOKUP!$A$2:$B$35,2,FALSE)</f>
        <v>西北</v>
      </c>
      <c r="D905" s="57" t="s">
        <v>3265</v>
      </c>
      <c r="E905" s="57"/>
      <c r="F905" s="2" t="s">
        <v>299</v>
      </c>
      <c r="G905" s="2" t="s">
        <v>548</v>
      </c>
      <c r="H905" s="2" t="s">
        <v>549</v>
      </c>
      <c r="I905" s="57" t="s">
        <v>720</v>
      </c>
      <c r="J905" s="57" t="s">
        <v>299</v>
      </c>
      <c r="K905" s="57" t="s">
        <v>682</v>
      </c>
      <c r="L905" s="84" t="s">
        <v>780</v>
      </c>
      <c r="M905" s="57">
        <v>45254</v>
      </c>
      <c r="N905" s="57">
        <v>45254</v>
      </c>
      <c r="O905" s="57">
        <v>45264</v>
      </c>
      <c r="P905" s="57" t="s">
        <v>3266</v>
      </c>
      <c r="Q905" s="57" t="s">
        <v>716</v>
      </c>
      <c r="R905" s="57"/>
      <c r="S905" s="58" t="s">
        <v>3267</v>
      </c>
      <c r="T905" s="57"/>
    </row>
    <row r="906" spans="1:20" s="44" customFormat="1" ht="25.05" customHeight="1" x14ac:dyDescent="0.3">
      <c r="A906" s="41">
        <v>1</v>
      </c>
      <c r="B906" s="41"/>
      <c r="C906" s="51" t="str">
        <f>VLOOKUP(F906,[1]VLOOKUP!$A$2:$B$35,2,FALSE)</f>
        <v>西北</v>
      </c>
      <c r="D906" s="57" t="s">
        <v>3268</v>
      </c>
      <c r="E906" s="57"/>
      <c r="F906" s="2" t="s">
        <v>299</v>
      </c>
      <c r="G906" s="2" t="s">
        <v>3269</v>
      </c>
      <c r="H906" s="2" t="s">
        <v>3270</v>
      </c>
      <c r="I906" s="57" t="s">
        <v>720</v>
      </c>
      <c r="J906" s="57" t="s">
        <v>299</v>
      </c>
      <c r="K906" s="57" t="s">
        <v>611</v>
      </c>
      <c r="L906" s="84" t="s">
        <v>780</v>
      </c>
      <c r="M906" s="57">
        <v>45400</v>
      </c>
      <c r="N906" s="57">
        <v>45400</v>
      </c>
      <c r="O906" s="57">
        <v>45430</v>
      </c>
      <c r="P906" s="57" t="s">
        <v>3271</v>
      </c>
      <c r="Q906" s="57" t="s">
        <v>716</v>
      </c>
      <c r="R906" s="57"/>
      <c r="S906" s="58" t="s">
        <v>3272</v>
      </c>
      <c r="T906" s="57"/>
    </row>
    <row r="907" spans="1:20" s="44" customFormat="1" ht="25.05" customHeight="1" x14ac:dyDescent="0.3">
      <c r="A907" s="41">
        <v>1</v>
      </c>
      <c r="B907" s="41"/>
      <c r="C907" s="51" t="str">
        <f>VLOOKUP(F907,[1]VLOOKUP!$A$2:$B$35,2,FALSE)</f>
        <v>西北</v>
      </c>
      <c r="D907" s="41" t="s">
        <v>3273</v>
      </c>
      <c r="E907" s="41"/>
      <c r="F907" s="2" t="s">
        <v>299</v>
      </c>
      <c r="G907" s="2" t="s">
        <v>3269</v>
      </c>
      <c r="H907" s="2" t="s">
        <v>3270</v>
      </c>
      <c r="I907" s="41" t="s">
        <v>720</v>
      </c>
      <c r="J907" s="41" t="s">
        <v>299</v>
      </c>
      <c r="K907" s="41" t="s">
        <v>605</v>
      </c>
      <c r="L907" s="41" t="s">
        <v>600</v>
      </c>
      <c r="M907" s="42">
        <v>45458</v>
      </c>
      <c r="N907" s="42">
        <v>45458</v>
      </c>
      <c r="O907" s="42">
        <v>46249</v>
      </c>
      <c r="P907" s="41" t="s">
        <v>3274</v>
      </c>
      <c r="Q907" s="41" t="s">
        <v>3275</v>
      </c>
      <c r="R907" s="41"/>
      <c r="S907" s="43" t="s">
        <v>3276</v>
      </c>
      <c r="T907" s="41"/>
    </row>
    <row r="908" spans="1:20" ht="25.05" customHeight="1" x14ac:dyDescent="0.3">
      <c r="A908" s="36"/>
      <c r="B908" s="36"/>
      <c r="C908" s="36"/>
      <c r="D908" s="60"/>
      <c r="E908" s="61"/>
      <c r="F908" s="3" t="s">
        <v>364</v>
      </c>
      <c r="G908" s="3"/>
      <c r="H908" s="3"/>
      <c r="I908" s="60"/>
      <c r="J908" s="60"/>
      <c r="K908" s="60"/>
      <c r="L908" s="60"/>
      <c r="M908" s="60"/>
      <c r="N908" s="60"/>
      <c r="O908" s="60"/>
      <c r="P908" s="60"/>
      <c r="Q908" s="60"/>
      <c r="R908" s="60"/>
      <c r="S908" s="62"/>
      <c r="T908" s="60"/>
    </row>
    <row r="909" spans="1:20" s="44" customFormat="1" ht="25.05" customHeight="1" x14ac:dyDescent="0.3">
      <c r="A909" s="41">
        <v>1</v>
      </c>
      <c r="B909" s="41"/>
      <c r="C909" s="51" t="str">
        <f>VLOOKUP(F909,[1]VLOOKUP!$A$2:$B$35,2,FALSE)</f>
        <v>西南</v>
      </c>
      <c r="D909" s="41" t="s">
        <v>3277</v>
      </c>
      <c r="E909" s="41"/>
      <c r="F909" s="2" t="s">
        <v>364</v>
      </c>
      <c r="G909" s="2"/>
      <c r="H909" s="2"/>
      <c r="I909" s="41" t="s">
        <v>474</v>
      </c>
      <c r="J909" s="41" t="s">
        <v>364</v>
      </c>
      <c r="K909" s="41" t="s">
        <v>611</v>
      </c>
      <c r="L909" s="41" t="s">
        <v>600</v>
      </c>
      <c r="M909" s="42">
        <v>45649</v>
      </c>
      <c r="N909" s="42">
        <v>45651</v>
      </c>
      <c r="O909" s="42">
        <v>47848</v>
      </c>
      <c r="P909" s="41" t="s">
        <v>3278</v>
      </c>
      <c r="Q909" s="41" t="s">
        <v>3279</v>
      </c>
      <c r="R909" s="41" t="s">
        <v>3280</v>
      </c>
      <c r="S909" s="43" t="s">
        <v>3281</v>
      </c>
      <c r="T909" s="41"/>
    </row>
    <row r="910" spans="1:20" s="44" customFormat="1" ht="25.05" customHeight="1" x14ac:dyDescent="0.3">
      <c r="A910" s="41">
        <v>1</v>
      </c>
      <c r="B910" s="41"/>
      <c r="C910" s="51" t="str">
        <f>VLOOKUP(F910,[1]VLOOKUP!$A$2:$B$35,2,FALSE)</f>
        <v>西南</v>
      </c>
      <c r="D910" s="41" t="s">
        <v>3282</v>
      </c>
      <c r="E910" s="41"/>
      <c r="F910" s="2" t="s">
        <v>364</v>
      </c>
      <c r="G910" s="2" t="s">
        <v>365</v>
      </c>
      <c r="H910" s="2"/>
      <c r="I910" s="41" t="s">
        <v>720</v>
      </c>
      <c r="J910" s="41" t="s">
        <v>364</v>
      </c>
      <c r="K910" s="41" t="s">
        <v>599</v>
      </c>
      <c r="L910" s="41" t="s">
        <v>600</v>
      </c>
      <c r="M910" s="42">
        <v>45595</v>
      </c>
      <c r="N910" s="42">
        <v>45595</v>
      </c>
      <c r="O910" s="42">
        <v>49674</v>
      </c>
      <c r="P910" s="41" t="s">
        <v>3283</v>
      </c>
      <c r="Q910" s="41" t="s">
        <v>724</v>
      </c>
      <c r="R910" s="41"/>
      <c r="S910" s="43" t="s">
        <v>3284</v>
      </c>
      <c r="T910" s="41"/>
    </row>
    <row r="911" spans="1:20" ht="25.05" customHeight="1" x14ac:dyDescent="0.3">
      <c r="A911" s="36"/>
      <c r="B911" s="36"/>
      <c r="C911" s="36"/>
      <c r="D911" s="60"/>
      <c r="E911" s="61"/>
      <c r="F911" s="3" t="s">
        <v>3285</v>
      </c>
      <c r="G911" s="3"/>
      <c r="H911" s="3"/>
      <c r="I911" s="60"/>
      <c r="J911" s="60"/>
      <c r="K911" s="60"/>
      <c r="L911" s="60"/>
      <c r="M911" s="60"/>
      <c r="N911" s="60"/>
      <c r="O911" s="60"/>
      <c r="P911" s="60"/>
      <c r="Q911" s="60"/>
      <c r="R911" s="60"/>
      <c r="S911" s="62"/>
      <c r="T911" s="60"/>
    </row>
    <row r="912" spans="1:20" s="44" customFormat="1" ht="25.05" customHeight="1" x14ac:dyDescent="0.3">
      <c r="A912" s="41"/>
      <c r="B912" s="41"/>
      <c r="C912" s="41"/>
      <c r="D912" s="41" t="s">
        <v>3286</v>
      </c>
      <c r="E912" s="41"/>
      <c r="F912" s="2" t="s">
        <v>3285</v>
      </c>
      <c r="G912" s="2"/>
      <c r="H912" s="2"/>
      <c r="I912" s="41" t="s">
        <v>474</v>
      </c>
      <c r="J912" s="41"/>
      <c r="K912" s="41"/>
      <c r="L912" s="41"/>
      <c r="M912" s="42">
        <v>45231</v>
      </c>
      <c r="N912" s="42">
        <v>45231</v>
      </c>
      <c r="O912" s="42"/>
      <c r="P912" s="41" t="s">
        <v>3287</v>
      </c>
      <c r="Q912" s="41" t="s">
        <v>3288</v>
      </c>
      <c r="R912" s="41"/>
      <c r="S912" s="43" t="s">
        <v>3289</v>
      </c>
      <c r="T912" s="41"/>
    </row>
    <row r="913" spans="1:20" s="44" customFormat="1" ht="25.05" customHeight="1" x14ac:dyDescent="0.3">
      <c r="A913" s="41"/>
      <c r="B913" s="41"/>
      <c r="C913" s="41"/>
      <c r="D913" s="41" t="s">
        <v>3290</v>
      </c>
      <c r="E913" s="41"/>
      <c r="F913" s="2" t="s">
        <v>3285</v>
      </c>
      <c r="G913" s="2"/>
      <c r="H913" s="2"/>
      <c r="I913" s="41" t="s">
        <v>474</v>
      </c>
      <c r="J913" s="41"/>
      <c r="K913" s="41"/>
      <c r="L913" s="41"/>
      <c r="M913" s="42">
        <v>45376</v>
      </c>
      <c r="N913" s="42">
        <v>45376</v>
      </c>
      <c r="O913" s="42"/>
      <c r="P913" s="41" t="s">
        <v>3291</v>
      </c>
      <c r="Q913" s="41" t="s">
        <v>1177</v>
      </c>
      <c r="R913" s="41" t="s">
        <v>3292</v>
      </c>
      <c r="S913" s="43" t="s">
        <v>3293</v>
      </c>
      <c r="T913" s="41"/>
    </row>
    <row r="914" spans="1:20" s="44" customFormat="1" ht="25.05" customHeight="1" x14ac:dyDescent="0.3">
      <c r="A914" s="41"/>
      <c r="B914" s="41"/>
      <c r="C914" s="41"/>
      <c r="D914" s="41" t="s">
        <v>3294</v>
      </c>
      <c r="E914" s="41"/>
      <c r="F914" s="2" t="s">
        <v>3285</v>
      </c>
      <c r="G914" s="2"/>
      <c r="H914" s="2"/>
      <c r="I914" s="41" t="s">
        <v>474</v>
      </c>
      <c r="J914" s="41"/>
      <c r="K914" s="41"/>
      <c r="L914" s="41"/>
      <c r="M914" s="42">
        <v>45917</v>
      </c>
      <c r="N914" s="42">
        <v>45917</v>
      </c>
      <c r="O914" s="42"/>
      <c r="P914" s="41" t="s">
        <v>3291</v>
      </c>
      <c r="Q914" s="41" t="s">
        <v>1177</v>
      </c>
      <c r="R914" s="41" t="s">
        <v>3295</v>
      </c>
      <c r="S914" s="43" t="s">
        <v>3293</v>
      </c>
      <c r="T914" s="41"/>
    </row>
    <row r="915" spans="1:20" s="44" customFormat="1" ht="25.05" customHeight="1" x14ac:dyDescent="0.3">
      <c r="A915" s="41"/>
      <c r="B915" s="41"/>
      <c r="C915" s="41"/>
      <c r="D915" s="41" t="s">
        <v>3296</v>
      </c>
      <c r="E915" s="41"/>
      <c r="F915" s="2" t="s">
        <v>3285</v>
      </c>
      <c r="G915" s="2"/>
      <c r="H915" s="2"/>
      <c r="I915" s="41" t="s">
        <v>474</v>
      </c>
      <c r="J915" s="41"/>
      <c r="K915" s="41"/>
      <c r="L915" s="41"/>
      <c r="M915" s="42">
        <v>45979</v>
      </c>
      <c r="N915" s="42">
        <v>45979</v>
      </c>
      <c r="O915" s="42">
        <v>46387</v>
      </c>
      <c r="P915" s="41" t="s">
        <v>3297</v>
      </c>
      <c r="Q915" s="41" t="s">
        <v>3288</v>
      </c>
      <c r="R915" s="41"/>
      <c r="S915" s="43" t="s">
        <v>3298</v>
      </c>
      <c r="T915" s="41"/>
    </row>
  </sheetData>
  <autoFilter ref="A1:T1116" xr:uid="{00000000-0009-0000-0000-000022000000}"/>
  <phoneticPr fontId="2" type="noConversion"/>
  <hyperlinks>
    <hyperlink ref="S17" r:id="rId1" xr:uid="{8424C0C8-37D6-461F-A89B-A73925B89EF3}"/>
    <hyperlink ref="S24" r:id="rId2" xr:uid="{7FA0833B-018D-4DA3-8E2A-0677BA8DB696}"/>
    <hyperlink ref="S45" r:id="rId3" xr:uid="{0A8CE064-D51E-4A90-B4EF-507B69D68B62}"/>
    <hyperlink ref="S59" r:id="rId4" xr:uid="{211680F5-EA19-4BBF-8381-4702AC3404CB}"/>
    <hyperlink ref="S60" r:id="rId5" xr:uid="{8ADEF69E-60E0-4915-B30C-D6C2131C3628}"/>
    <hyperlink ref="S69" r:id="rId6" xr:uid="{14BFC2C0-A085-48A1-A1EC-D37386C37B35}"/>
    <hyperlink ref="S76" r:id="rId7" xr:uid="{BDA42E41-5D81-4132-A4AD-A2E81B53F7F2}"/>
    <hyperlink ref="S81" r:id="rId8" xr:uid="{040EBC43-4FD4-4484-96BD-42DDC7A5752C}"/>
    <hyperlink ref="S83" r:id="rId9" xr:uid="{805E765F-7554-4A3A-BD72-6777158A3C48}"/>
    <hyperlink ref="S84" r:id="rId10" xr:uid="{7421B0F2-2BD6-4D02-9748-6615B6F3347B}"/>
    <hyperlink ref="S85" r:id="rId11" xr:uid="{E8EE558A-924C-40FC-836B-A26638989B95}"/>
    <hyperlink ref="S101" r:id="rId12" xr:uid="{9F4715EA-5319-45A0-9B53-E5292B2A8AAC}"/>
    <hyperlink ref="S117" r:id="rId13" xr:uid="{78161FFD-C583-40FB-B308-0CA6ACF9DECA}"/>
    <hyperlink ref="S119" r:id="rId14" xr:uid="{CD7B698B-C836-48BB-A0B4-09E675B575DE}"/>
    <hyperlink ref="S120" r:id="rId15" xr:uid="{C94845F8-D62B-4B54-B734-327CCF9B9937}"/>
    <hyperlink ref="S121" r:id="rId16" xr:uid="{308E2B0B-BB7B-408A-81C0-6B41DF88EDC3}"/>
    <hyperlink ref="S149" r:id="rId17" xr:uid="{492867E5-B121-4ED5-9827-CB8F192B479D}"/>
    <hyperlink ref="S152" r:id="rId18" xr:uid="{18BD6ECD-E567-4778-8171-B84BC777E659}"/>
    <hyperlink ref="S153" r:id="rId19" xr:uid="{AF53ACF2-B1C7-45E8-992C-45145643FD10}"/>
    <hyperlink ref="S154" r:id="rId20" xr:uid="{3C119924-786B-43E9-86B1-E80517FE588A}"/>
    <hyperlink ref="S166" r:id="rId21" xr:uid="{12CB9BE9-028F-494C-9EFF-08617F4B434C}"/>
    <hyperlink ref="S167" r:id="rId22" xr:uid="{14F48467-763E-4D5C-93F9-0401AB570F69}"/>
    <hyperlink ref="S192" r:id="rId23" xr:uid="{8A888A0D-E4AE-49A7-B057-E3F4F1AA1F23}"/>
    <hyperlink ref="S193" r:id="rId24" xr:uid="{2D8524E9-5B0D-4706-8190-686C9639AB7A}"/>
    <hyperlink ref="S194" r:id="rId25" xr:uid="{EF42C4A0-4707-461D-8609-77D2391993D0}"/>
    <hyperlink ref="S196" r:id="rId26" xr:uid="{AFDEF112-67CE-4439-ADDE-58EFBB4FB06A}"/>
    <hyperlink ref="S200" r:id="rId27" xr:uid="{A1ED2F1D-3792-433C-B5CA-8A8908FF14DC}"/>
    <hyperlink ref="S215" r:id="rId28" xr:uid="{C423A4EA-1E93-49B1-BA7F-4D43DE47401F}"/>
    <hyperlink ref="S224" r:id="rId29" xr:uid="{868A53CC-7C03-40A0-85E4-67C7E7E2A7C4}"/>
    <hyperlink ref="S258" r:id="rId30" xr:uid="{EF04D495-67FD-4DC3-9E27-439DCE2571C7}"/>
    <hyperlink ref="S267" r:id="rId31" xr:uid="{4626D0A6-B80B-4CBD-B521-0416A177C52F}"/>
    <hyperlink ref="S269" r:id="rId32" xr:uid="{07CC5278-E8FA-4AEA-8FCF-3234916E9704}"/>
    <hyperlink ref="S270" r:id="rId33" xr:uid="{D6A0E019-D23C-49CE-B6C0-C34B5822C1B3}"/>
    <hyperlink ref="S274" r:id="rId34" xr:uid="{26157F9E-7B3C-4FC6-8FAE-F75E3A528123}"/>
    <hyperlink ref="S287" r:id="rId35" xr:uid="{5DF369FD-DCB4-4AC5-BB8D-2F13F5E61239}"/>
    <hyperlink ref="S290" r:id="rId36" xr:uid="{FEE8F652-A25E-48BE-88EA-B186E5463720}"/>
    <hyperlink ref="S292" r:id="rId37" xr:uid="{54E4D96D-34B1-43D6-BF5E-AD1A1C9C8EEB}"/>
    <hyperlink ref="S293" r:id="rId38" xr:uid="{A0C02ABB-002B-432E-9BDB-A8C9887DF817}"/>
    <hyperlink ref="S300" r:id="rId39" xr:uid="{4590A4DC-3E24-4E8E-AE52-84FE4F831B63}"/>
    <hyperlink ref="S301" r:id="rId40" xr:uid="{02E358AB-3D01-4180-86EA-69C8DE9258A8}"/>
    <hyperlink ref="S302" r:id="rId41" xr:uid="{32FBBD3A-12D4-45D0-8F52-3A0D21278FFF}"/>
    <hyperlink ref="S303" r:id="rId42" xr:uid="{E0F1293F-6FDF-4596-9379-744D999EB0DB}"/>
    <hyperlink ref="S309" r:id="rId43" xr:uid="{7B47FF6C-A9A1-43D5-AEA5-FF513709D1DD}"/>
    <hyperlink ref="S315" r:id="rId44" xr:uid="{2F5D8B02-9D53-4D31-AB11-7E10354139BB}"/>
    <hyperlink ref="S317" r:id="rId45" xr:uid="{61F7BA13-D498-41D4-93C9-EECDD11B6050}"/>
    <hyperlink ref="S319" r:id="rId46" xr:uid="{7F61B6BC-A2EE-4966-B83A-5DFE18C0DFBD}"/>
    <hyperlink ref="S320" r:id="rId47" xr:uid="{0BA56DD0-0D14-4F75-BEAF-0DE025BE2937}"/>
    <hyperlink ref="S321" r:id="rId48" xr:uid="{F0D1107F-EE29-460B-94AC-FB637B434EC5}"/>
    <hyperlink ref="S322" r:id="rId49" xr:uid="{17991662-25D3-456D-AF63-975F65653CAE}"/>
    <hyperlink ref="S323" r:id="rId50" xr:uid="{48F36404-BAB3-4868-90DF-AC31E4EFDA9B}"/>
    <hyperlink ref="S324" r:id="rId51" xr:uid="{5240E313-1FA0-45C5-A244-E5CA9E4D0FCE}"/>
    <hyperlink ref="S329" r:id="rId52" xr:uid="{3EA578CC-CB93-4996-AA26-D12AFF5E9271}"/>
    <hyperlink ref="S330" r:id="rId53" xr:uid="{3E22F071-A71A-4399-BB1A-DC62ECEDB41F}"/>
    <hyperlink ref="S331" r:id="rId54" xr:uid="{92AC5F89-A782-4F46-8D66-775BC099451A}"/>
    <hyperlink ref="S332" r:id="rId55" xr:uid="{AE5977B8-DEF2-41B0-8604-0DEF4C42F394}"/>
    <hyperlink ref="S358" r:id="rId56" xr:uid="{C32D602E-DA5C-444C-A70D-E791B547F76C}"/>
    <hyperlink ref="S359" r:id="rId57" xr:uid="{DE43742C-3BD3-4C28-8BD4-47895617332D}"/>
    <hyperlink ref="S369" r:id="rId58" xr:uid="{C7CA76C3-FB47-4B53-94EA-7B9A3B7C5122}"/>
    <hyperlink ref="S370" r:id="rId59" xr:uid="{DC1477F5-BB42-4048-B016-01FDD5F27E57}"/>
    <hyperlink ref="S371" r:id="rId60" xr:uid="{C2452AD0-B003-4E17-BF7A-3BC1BEE98B64}"/>
    <hyperlink ref="S382" r:id="rId61" xr:uid="{D64D758D-284C-425D-88AA-772E2BD5F398}"/>
    <hyperlink ref="S383" r:id="rId62" xr:uid="{54DEBF4B-DC07-4ADC-ABC7-CDC52B93756C}"/>
    <hyperlink ref="S384" r:id="rId63" xr:uid="{6159D529-576F-474A-86D7-13F0B00246F5}"/>
    <hyperlink ref="S385" r:id="rId64" xr:uid="{E03B032E-1564-4F5D-8241-1217106100BB}"/>
    <hyperlink ref="S393" r:id="rId65" xr:uid="{AC90FA66-3ABF-4393-9C41-A2F1CA01E44E}"/>
    <hyperlink ref="S394" r:id="rId66" xr:uid="{064F7865-D624-4BAB-9BF8-C3A6CFD838E6}"/>
    <hyperlink ref="S404" r:id="rId67" xr:uid="{B40E3707-B64A-4338-93B8-CA47C9E473AD}"/>
    <hyperlink ref="S405" r:id="rId68" xr:uid="{437D1405-4A23-43EF-A13C-AAA59689276E}"/>
    <hyperlink ref="S406" r:id="rId69" xr:uid="{EC6C27A7-4378-4DA0-8AF1-2E99E0835F15}"/>
    <hyperlink ref="S407" r:id="rId70" xr:uid="{7A6FEE3E-2F2F-42FC-905F-3C22554EBC46}"/>
    <hyperlink ref="S421" r:id="rId71" xr:uid="{164732CE-4FAD-4D43-80FA-0D2000CCD1A3}"/>
    <hyperlink ref="S422" r:id="rId72" xr:uid="{27AA9DAF-FD0F-45ED-A0A2-DADA0EA707AC}"/>
    <hyperlink ref="S427" r:id="rId73" xr:uid="{3AA8D86F-7FE2-4C13-8D0D-6117E8F4995F}"/>
    <hyperlink ref="S442" r:id="rId74" xr:uid="{F26A02B6-66B1-474C-8B90-3F3A2D118CA3}"/>
    <hyperlink ref="S443" r:id="rId75" xr:uid="{83B95964-D00C-4D09-85EC-B593D09F627D}"/>
    <hyperlink ref="S456" r:id="rId76" xr:uid="{09B59ED7-C9EA-44FB-B4AD-E58AA7DC163F}"/>
    <hyperlink ref="S462" r:id="rId77" xr:uid="{7FEE4217-2D03-4717-B67F-5DDB75303F0F}"/>
    <hyperlink ref="S463" r:id="rId78" xr:uid="{741CDCF6-1615-4C51-A927-755D20F45D10}"/>
    <hyperlink ref="S465" r:id="rId79" xr:uid="{C38BAD9F-8627-41C9-8EC0-63E1A2DCF400}"/>
    <hyperlink ref="S472" r:id="rId80" xr:uid="{42B1AED7-C686-414B-9B90-0EFEC5736685}"/>
    <hyperlink ref="S473" r:id="rId81" xr:uid="{824B169E-8D15-4DDD-87C1-2150218DDC69}"/>
    <hyperlink ref="S475" r:id="rId82" xr:uid="{6E74C860-6106-4B7C-BA9F-E9C65E2B95C3}"/>
    <hyperlink ref="S483" r:id="rId83" xr:uid="{1BA5FC66-E8B6-4EF8-A79B-44F0E1128753}"/>
    <hyperlink ref="S484" r:id="rId84" xr:uid="{5F5F1A5F-1C5C-4DD1-8003-3C9547DDD28F}"/>
    <hyperlink ref="S485" r:id="rId85" xr:uid="{9D81CCE4-9D60-47A8-9250-F587668E0513}"/>
    <hyperlink ref="S487" r:id="rId86" xr:uid="{D06DC3AE-B26A-44F7-BADE-A9104FB59DF2}"/>
    <hyperlink ref="S490" r:id="rId87" xr:uid="{2E89924F-9CBF-4511-89BD-5D06B705887B}"/>
    <hyperlink ref="S496" r:id="rId88" xr:uid="{FD9A603B-8167-4B67-8BEE-B3C0199F49C8}"/>
    <hyperlink ref="S533" r:id="rId89" xr:uid="{0AEA471D-B2DD-49BF-9C26-38FA1DC9E2F1}"/>
    <hyperlink ref="S537" r:id="rId90" xr:uid="{7826CEED-9318-4F36-BC54-A74EE51F57B3}"/>
    <hyperlink ref="S566" r:id="rId91" xr:uid="{E0FC7F85-1FFE-4031-A5F7-FB61FEA213D0}"/>
    <hyperlink ref="S567" r:id="rId92" xr:uid="{E23FBA1E-A7C6-4BE0-9182-C20D83F9D968}"/>
    <hyperlink ref="S584" r:id="rId93" xr:uid="{7A023259-4FA7-4739-8180-BCB8CBB4D698}"/>
    <hyperlink ref="S585" r:id="rId94" xr:uid="{9AB1D9CC-929F-42C6-BF80-BB556CE9F50D}"/>
    <hyperlink ref="S586" r:id="rId95" xr:uid="{99DF2AE4-552D-46C0-A7C4-38F9D5B0ABBC}"/>
    <hyperlink ref="S604" r:id="rId96" xr:uid="{81624D69-6174-458F-916C-052536327D5C}"/>
    <hyperlink ref="S605" r:id="rId97" xr:uid="{643A9F92-B281-4198-A849-468E3F9EB763}"/>
    <hyperlink ref="S608" r:id="rId98" xr:uid="{67C4D6A6-572A-4C31-B783-4A61CA3F5955}"/>
    <hyperlink ref="S609" r:id="rId99" tooltip="http://amr.gd.gov.cn/zwgk/tzgg/content/post_3086069.html" xr:uid="{DB453FA4-2BA1-4100-A2DF-6B5F4E85C308}"/>
    <hyperlink ref="S623" r:id="rId100" xr:uid="{A6D35C47-BEF7-40C1-BE62-0BCAAB4ACEFC}"/>
    <hyperlink ref="S637" r:id="rId101" xr:uid="{8BE53AB5-06C3-4797-A21E-500199E78EE3}"/>
    <hyperlink ref="S639" r:id="rId102" xr:uid="{669043CF-F69D-4003-B7D5-565614374320}"/>
    <hyperlink ref="S666" r:id="rId103" xr:uid="{30647CE1-D318-4E95-9896-8CC39FC2E83B}"/>
    <hyperlink ref="S675" r:id="rId104" xr:uid="{A493321A-20DC-4919-8BF3-4231F493F167}"/>
    <hyperlink ref="S679" r:id="rId105" xr:uid="{CAAFB10B-84D9-4F45-AF5B-D58C4A9CC44A}"/>
    <hyperlink ref="S681" r:id="rId106" xr:uid="{A79EA4F5-80FB-44C4-AFE7-6357A3A3AF2E}"/>
    <hyperlink ref="S697" r:id="rId107" xr:uid="{3471CFAC-913D-447E-8871-D229C74B10E0}"/>
    <hyperlink ref="S703" r:id="rId108" xr:uid="{7D68990B-27AD-4D86-85D4-C5C8DEF688D4}"/>
    <hyperlink ref="S722" r:id="rId109" xr:uid="{AEE48077-3295-471D-91D6-519111711D76}"/>
    <hyperlink ref="S763" r:id="rId110" xr:uid="{CF3E017B-B5E5-4A18-9127-4C2ED8FD2CFD}"/>
    <hyperlink ref="S771" r:id="rId111" xr:uid="{F45C3E9F-61D2-455E-9AD5-9111C5B49F30}"/>
    <hyperlink ref="S772" r:id="rId112" xr:uid="{6D8E999F-1A40-432A-A1D0-0A2B622526E7}"/>
    <hyperlink ref="S773" r:id="rId113" xr:uid="{B820239F-E4B3-44B7-8318-B12E82286E3F}"/>
    <hyperlink ref="S774" r:id="rId114" xr:uid="{08C4919D-AF1E-419C-A40B-7F6A2A2424B4}"/>
    <hyperlink ref="S799" r:id="rId115" xr:uid="{F369D105-002A-40BA-94FB-A6A5859166F0}"/>
    <hyperlink ref="S804" r:id="rId116" xr:uid="{30A11AFC-77DB-4138-8CC7-39483F7553C2}"/>
    <hyperlink ref="S825" r:id="rId117" xr:uid="{68BF2DA1-BB9B-4B21-933A-9EA9CAA37E7A}"/>
    <hyperlink ref="S871" r:id="rId118" xr:uid="{5372869F-7D7D-4333-A1C0-30727EE6EDE7}"/>
    <hyperlink ref="S325" r:id="rId119" xr:uid="{E73829DB-366C-44DF-9639-8F7E80E633DD}"/>
    <hyperlink ref="S568" r:id="rId120" xr:uid="{D50E08B5-02B7-42A9-900D-03AC89A48A26}"/>
    <hyperlink ref="S46" r:id="rId121" xr:uid="{ADE13613-F70B-43F2-9CF3-89D8F9784A87}"/>
    <hyperlink ref="S201" r:id="rId122" xr:uid="{656CB407-D451-4B46-9CC1-FBB3AEAE26F2}"/>
    <hyperlink ref="S25" r:id="rId123" xr:uid="{49B39E19-02CF-455A-AEC5-196612F1F9D0}"/>
    <hyperlink ref="S431" r:id="rId124" xr:uid="{A7921C24-3702-4CAA-9474-107EF2CBE02A}"/>
    <hyperlink ref="S479" r:id="rId125" xr:uid="{E34EB645-CB41-4DC3-9ED8-E19D56EB82D7}"/>
    <hyperlink ref="S534" r:id="rId126" xr:uid="{E821E39B-BF6E-4B4D-85DD-88C7CA321991}"/>
    <hyperlink ref="S693" r:id="rId127" xr:uid="{7BCDE129-654C-41F3-B76E-8573A4E23C82}"/>
    <hyperlink ref="S157" r:id="rId128" xr:uid="{56B01B04-5B54-4787-8BF8-205F97824B1E}"/>
    <hyperlink ref="S229" r:id="rId129" xr:uid="{5239A61A-5306-42A1-9153-2E9DA1C714D5}"/>
    <hyperlink ref="S288" r:id="rId130" xr:uid="{183D5C44-BA7C-4056-9A7C-B1904AB3CEC1}"/>
    <hyperlink ref="S665" r:id="rId131" xr:uid="{58AE37C8-7DDA-416D-8A3C-4AD677F5090E}"/>
    <hyperlink ref="S474" r:id="rId132" xr:uid="{1DA61341-4B55-4B9D-B26F-C2E2DB7CD11B}"/>
    <hyperlink ref="S399" r:id="rId133" xr:uid="{02865D07-1F29-495F-B5E9-2EA05FA920B0}"/>
    <hyperlink ref="S625" r:id="rId134" xr:uid="{79F3B03E-BF11-448D-8FA9-ED81A8577AF5}"/>
    <hyperlink ref="S202" r:id="rId135" xr:uid="{C9EFDD8A-4DB3-4FCB-86F1-037FED35C177}"/>
    <hyperlink ref="S805" r:id="rId136" xr:uid="{DBF160D7-CCB6-40C5-97BD-8DDB8AB80C84}"/>
    <hyperlink ref="S132" r:id="rId137" xr:uid="{0DD628CF-42C6-4E38-AD1A-A0F76D0ECD24}"/>
    <hyperlink ref="S779" r:id="rId138" xr:uid="{4463496E-7416-40A1-9137-CC5A4978471B}"/>
    <hyperlink ref="S829" r:id="rId139" xr:uid="{152310BB-D135-45E5-A468-F1C81863756D}"/>
    <hyperlink ref="S275" r:id="rId140" xr:uid="{11027ABB-CCA8-4E5A-BA5B-5D119701683B}"/>
    <hyperlink ref="S203" r:id="rId141" xr:uid="{8CE20420-62CE-4654-B342-2DA36BC061C6}"/>
    <hyperlink ref="S158" r:id="rId142" xr:uid="{A90A6D31-BAF1-42D1-ABC7-7CDCAB085CA3}"/>
    <hyperlink ref="S159" r:id="rId143" xr:uid="{43FEC4B2-3FFF-4E4B-A4CD-442F18073979}"/>
    <hyperlink ref="S311" r:id="rId144" xr:uid="{37205EFB-016F-4527-8617-91B4145C2E0F}"/>
    <hyperlink ref="S549" r:id="rId145" xr:uid="{EEECF8A7-DCBE-404B-B0AC-B0D4F46097DA}"/>
    <hyperlink ref="S861" r:id="rId146" xr:uid="{4FC315BF-764D-4EAB-BC9E-93C75FD8F233}"/>
    <hyperlink ref="S437" r:id="rId147" xr:uid="{41AAB9CD-E0C3-4B99-967B-5AFE31CD71E9}"/>
    <hyperlink ref="S504" r:id="rId148" xr:uid="{EB9BBC13-649C-4FB9-9F0A-9817DA402D2D}"/>
    <hyperlink ref="S123" r:id="rId149" xr:uid="{8ED16A41-026B-4EDB-9D9C-45E23E5CEB32}"/>
    <hyperlink ref="S806" r:id="rId150" xr:uid="{B2CB5B1C-ACD2-4329-A962-3C2A8320CB81}"/>
    <hyperlink ref="S480" r:id="rId151" xr:uid="{1A43697B-E0BB-4243-9018-5CA602EDA591}"/>
    <hyperlink ref="S581" r:id="rId152" xr:uid="{DB545D20-DBEC-4355-94E9-24D21615FF93}"/>
    <hyperlink ref="S507" r:id="rId153" xr:uid="{4413F000-1647-44BD-B042-BF12820706F7}"/>
    <hyperlink ref="S698" r:id="rId154" xr:uid="{B3195547-AE03-450D-A799-8BB676C3FBD6}"/>
    <hyperlink ref="S102" r:id="rId155" xr:uid="{ADC0B520-CCA3-45A7-831F-0A0FC0AAF3F5}"/>
    <hyperlink ref="S33" r:id="rId156" xr:uid="{C2C6348B-5944-4CF0-B3B8-1F6059396E09}"/>
    <hyperlink ref="S171" r:id="rId157" xr:uid="{042A122A-8EEB-452D-9E03-28E8395E6B97}"/>
    <hyperlink ref="S276" r:id="rId158" xr:uid="{9B43FA78-B6D0-4B68-967D-21013EE0603A}"/>
    <hyperlink ref="S28" r:id="rId159" xr:uid="{1D2C4026-214C-4A87-82A4-C5E23F854764}"/>
    <hyperlink ref="S541" r:id="rId160" xr:uid="{9B45BCD7-A8F3-4B69-91A3-B53CFD9042A8}"/>
    <hyperlink ref="S514" r:id="rId161" xr:uid="{051A0B6A-88FD-4045-91BF-895D21C4DE94}"/>
    <hyperlink ref="S209" r:id="rId162" xr:uid="{3B447768-0D9D-456D-ACC5-EB5626957678}"/>
    <hyperlink ref="S395" r:id="rId163" xr:uid="{6A3B7010-65A4-4E5C-A989-B6BAD6F27343}"/>
    <hyperlink ref="S848" r:id="rId164" xr:uid="{C515192C-56B3-4A4F-9DD8-CFFE4455BD93}"/>
    <hyperlink ref="S610" r:id="rId165" xr:uid="{6E780A12-05C4-44A0-B430-7902972D3D8A}"/>
    <hyperlink ref="S34" r:id="rId166" xr:uid="{BBCF3E9B-4A9E-42DA-AA7D-4999BD3D211A}"/>
    <hyperlink ref="S491" r:id="rId167" xr:uid="{3AA0E9E1-75F8-4513-A69B-E0B1CD27FF85}"/>
    <hyperlink ref="S836" r:id="rId168" xr:uid="{CFE62FDD-3344-4515-831C-0E337AD3742E}"/>
    <hyperlink ref="S277" r:id="rId169" xr:uid="{721431F6-E0F1-4106-B8B6-5F4AE8A40CD1}"/>
    <hyperlink ref="S334" r:id="rId170" xr:uid="{8C379910-CBA7-4FAE-B2AE-A251776DB88C}"/>
    <hyperlink ref="S459" r:id="rId171" xr:uid="{517C8207-5754-4BCC-B57C-772F25F3F843}"/>
    <hyperlink ref="S143" r:id="rId172" xr:uid="{F138124D-BBA6-4E39-8949-C420953BC266}"/>
    <hyperlink ref="S268" r:id="rId173" xr:uid="{2F7D550E-AFC1-4AF6-A6DC-08F3DE820C33}"/>
    <hyperlink ref="S494" r:id="rId174" xr:uid="{4F008196-7F13-4611-A47E-F4134AD9D574}"/>
    <hyperlink ref="S505" r:id="rId175" xr:uid="{33E4AA5A-1466-44BC-A641-C06B0DE6B13E}"/>
    <hyperlink ref="S392" r:id="rId176" xr:uid="{C74C9E62-BF9F-454B-9DB7-660BE389BD97}"/>
    <hyperlink ref="S589" r:id="rId177" xr:uid="{442A3E52-B6C9-41C5-9BD5-3F371542D90C}"/>
    <hyperlink ref="S486" r:id="rId178" xr:uid="{EAF44093-29B3-4A22-A710-53A9436D7818}"/>
    <hyperlink ref="S638" r:id="rId179" xr:uid="{879E4A20-DFD9-469E-B74D-DE167B8703BB}"/>
    <hyperlink ref="S646" r:id="rId180" xr:uid="{30486899-36D4-4FEF-A59F-A1AD46153204}"/>
    <hyperlink ref="S647" r:id="rId181" xr:uid="{4515B069-8BC7-4764-BE64-0ECFBAAAB651}"/>
    <hyperlink ref="S649" r:id="rId182" xr:uid="{F7C4CDB3-828A-4287-92FD-ACF5ED757BBF}"/>
    <hyperlink ref="S82" r:id="rId183" xr:uid="{D6F0C935-FEED-4306-AD10-A02A0B5224DA}"/>
    <hyperlink ref="S172" r:id="rId184" xr:uid="{14E54695-30C7-4DE8-9122-C775B9A0168A}"/>
    <hyperlink ref="S699" r:id="rId185" xr:uid="{81B41E27-D033-4763-AAAC-6A4B09B69496}"/>
    <hyperlink ref="S295" r:id="rId186" xr:uid="{354ABC0B-0A7D-4DEB-B4A8-E70A443FBC8C}"/>
    <hyperlink ref="S198" r:id="rId187" xr:uid="{BBD37073-F415-4968-83DF-B82EBF8B32B1}"/>
    <hyperlink ref="S220" r:id="rId188" xr:uid="{5F5A3630-E9CC-475A-AE2B-DE92E735C3A4}"/>
    <hyperlink ref="S217" r:id="rId189" xr:uid="{44D497DA-FEA4-43D6-B492-7D0A2E01142F}"/>
    <hyperlink ref="S223" r:id="rId190" xr:uid="{00CA0E11-9CBF-45BE-9E01-58564DFE6B15}"/>
    <hyperlink ref="S219" r:id="rId191" xr:uid="{CA2AC2EC-A3AC-4AE5-8CFA-F3303CACE956}"/>
    <hyperlink ref="S218" r:id="rId192" xr:uid="{DB87DF99-BC67-49EF-BF71-AFE1773017AE}"/>
    <hyperlink ref="S294" r:id="rId193" xr:uid="{E62B47A9-9602-4640-B9DA-50B54678410D}"/>
    <hyperlink ref="S626" r:id="rId194" xr:uid="{0053EDFD-7352-4AEF-BDF1-EEA349E55308}"/>
    <hyperlink ref="S669" r:id="rId195" xr:uid="{DC32D10B-3F71-4340-B3F2-9F3F2DB90163}"/>
    <hyperlink ref="S18" r:id="rId196" xr:uid="{5A59281C-3AD6-4FA9-9DA2-B1D861C9E410}"/>
    <hyperlink ref="S273" r:id="rId197" xr:uid="{799D5AE0-7C93-4AAA-A894-6A7D78161C57}"/>
    <hyperlink ref="S648" r:id="rId198" xr:uid="{1B872782-594F-42A1-B0AD-2D7A66F9ABAC}"/>
    <hyperlink ref="S402" r:id="rId199" xr:uid="{DFA801DD-60BC-4321-BC90-FA3BBA177C80}"/>
    <hyperlink ref="S783" r:id="rId200" xr:uid="{85030F0D-1362-4B89-8862-889227F0116E}"/>
    <hyperlink ref="S410" r:id="rId201" xr:uid="{DF8AB872-F143-420E-8696-33BB05631A6D}"/>
    <hyperlink ref="S744" r:id="rId202" xr:uid="{A5A2FA3B-EA33-4109-AB23-5669DF4037EB}"/>
    <hyperlink ref="S611" r:id="rId203" xr:uid="{F6FC1663-9AC3-4DF9-87D2-D41D6EB66ADD}"/>
    <hyperlink ref="S735" r:id="rId204" xr:uid="{C48BFDCF-87B4-43FB-BA8C-53C9083AF082}"/>
    <hyperlink ref="S738" r:id="rId205" xr:uid="{1022EEEE-BBE7-4AF2-B1A1-E90EE27AC56E}"/>
    <hyperlink ref="S49" r:id="rId206" xr:uid="{254B67FC-5538-4023-A297-E69EC5FF7FC9}"/>
    <hyperlink ref="S291" r:id="rId207" xr:uid="{FAA86214-AEBA-4E2C-8485-7CA6A17839BB}"/>
    <hyperlink ref="S863" r:id="rId208" xr:uid="{A51374F9-6AFF-4500-9E93-4C55E060E82E}"/>
    <hyperlink ref="S538" r:id="rId209" xr:uid="{0D8C8613-95E1-4040-9F17-6ADB1F745A33}"/>
    <hyperlink ref="S386" r:id="rId210" xr:uid="{2EAD010D-C0A2-4A7A-A2D9-15D03C1FEF63}"/>
    <hyperlink ref="S408" r:id="rId211" xr:uid="{6BD82240-C12F-4898-B3B4-638A01EC7806}"/>
    <hyperlink ref="S411" r:id="rId212" xr:uid="{8CEFB3B8-7C95-49C6-A5DA-5B27F778205A}"/>
    <hyperlink ref="S515" r:id="rId213" xr:uid="{341C5AC0-2C22-4BC4-A205-296AB70EF33A}"/>
    <hyperlink ref="S380" r:id="rId214" xr:uid="{E8E7B28D-0A94-44A4-BDAC-2EEEC40B70FD}"/>
    <hyperlink ref="S810" r:id="rId215" xr:uid="{9D80AD0A-7FB6-48AC-A1C3-050250379A2F}"/>
    <hyperlink ref="S56" r:id="rId216" xr:uid="{4B283AD5-8710-4C77-A20B-A5C7470FC5D6}"/>
    <hyperlink ref="S27" r:id="rId217" xr:uid="{7661F45A-D6C7-4E64-8EB8-D41CE925BF0D}"/>
    <hyperlink ref="S902" r:id="rId218" xr:uid="{DD6BACF6-067E-4439-BE2E-B218949BFF4D}"/>
    <hyperlink ref="S180" r:id="rId219" xr:uid="{1C2ACF33-AFA4-4011-B517-83DDE0A5B3E9}"/>
    <hyperlink ref="S791" r:id="rId220" xr:uid="{33B5B2D7-2C60-4D47-981F-CC111181925A}"/>
    <hyperlink ref="S752" r:id="rId221" xr:uid="{F4D9A10B-F233-4BA5-91A2-A45D2636F27D}"/>
    <hyperlink ref="S451" r:id="rId222" xr:uid="{8511C46D-B0CC-4640-AC32-C325A88FE357}"/>
    <hyperlink ref="S724" r:id="rId223" xr:uid="{BB4D34C2-2C23-422D-B09A-B14E83F295E1}"/>
    <hyperlink ref="S701" r:id="rId224" xr:uid="{D17DC043-C7FD-4015-804E-E0AD2FF26491}"/>
    <hyperlink ref="S339" r:id="rId225" xr:uid="{5617871A-6F0F-4550-9A13-889DBBE41A48}"/>
    <hyperlink ref="S308" r:id="rId226" xr:uid="{5F672C05-612D-41E0-A497-B2A93AE0D98A}"/>
    <hyperlink ref="S355" r:id="rId227" xr:uid="{492C9A20-2FD3-4BDF-8130-9B06D5DF0D0A}"/>
    <hyperlink ref="S684" r:id="rId228" xr:uid="{638C61C3-5811-48D9-A545-1DC63536CB77}"/>
    <hyperlink ref="S789" r:id="rId229" xr:uid="{EC99C0A9-AA75-48AF-989D-5D1786C31B9C}"/>
    <hyperlink ref="S423" r:id="rId230" xr:uid="{004AFA96-4FB9-4074-8117-18AA3AFB9226}"/>
    <hyperlink ref="S57" r:id="rId231" xr:uid="{DBFDD761-2F28-429A-838A-18CCED5D35DC}"/>
    <hyperlink ref="S181" r:id="rId232" xr:uid="{430040C4-FBAC-47CA-A885-A652ACC451AE}"/>
    <hyperlink ref="S30" r:id="rId233" xr:uid="{761C9877-3375-43AA-A4C6-885B25E5E95F}"/>
    <hyperlink ref="S726" r:id="rId234" xr:uid="{C6C2430C-5EA7-4F84-8FE7-67CA9CCF09BF}"/>
    <hyperlink ref="S718" r:id="rId235" xr:uid="{67665367-1FA5-4862-9C2C-67AB2440A8C5}"/>
    <hyperlink ref="S284" r:id="rId236" xr:uid="{1C2E0919-CEC5-4AC0-B530-9232F4DC867E}"/>
    <hyperlink ref="S906" r:id="rId237" xr:uid="{ADDA51B0-D48C-4ACF-A2C3-27C8A18B6929}"/>
    <hyperlink ref="S907" r:id="rId238" xr:uid="{A9B02287-8EEE-4B41-9EAC-045B0B6A0B82}"/>
    <hyperlink ref="S575" r:id="rId239" xr:uid="{BEF57883-C5C7-49ED-8841-2C45430B1A19}"/>
    <hyperlink ref="S821" r:id="rId240" xr:uid="{7142BF31-AA75-435F-A38D-986B0ACCA798}"/>
    <hyperlink ref="S531" r:id="rId241" xr:uid="{D56CA05F-B70F-4D6B-9C27-49EB38E99B8F}"/>
    <hyperlink ref="S617" r:id="rId242" xr:uid="{EF529835-1716-4ADF-B014-728D9C49D830}"/>
    <hyperlink ref="S340" r:id="rId243" xr:uid="{E74A4AC4-886B-4B19-ACB3-1C3FF6427218}"/>
    <hyperlink ref="S51" r:id="rId244" xr:uid="{94EC7F0D-FBDD-42A3-8318-39D2A4F60697}"/>
    <hyperlink ref="S72" r:id="rId245" xr:uid="{921224E5-DCED-4370-BE17-951BF6D0C710}"/>
    <hyperlink ref="S784" r:id="rId246" xr:uid="{C8A56B97-9A08-4881-B790-5BC286A6D824}"/>
    <hyperlink ref="S661" r:id="rId247" xr:uid="{6AED0684-6601-4892-8624-82F20AF012E4}"/>
    <hyperlink ref="S662" r:id="rId248" xr:uid="{7A2CA84D-2794-481A-9BD4-C2E7475AA535}"/>
    <hyperlink ref="S790" r:id="rId249" xr:uid="{65E55CAB-0A6A-4CEF-B302-EC361DC5B9B2}"/>
    <hyperlink ref="S253" r:id="rId250" xr:uid="{030CF9B7-43EA-4E54-8436-822CB09ACFBE}"/>
    <hyperlink ref="S182" r:id="rId251" xr:uid="{9B4E1FB8-F89A-4878-A1D0-510543C8E5D7}"/>
    <hyperlink ref="S186" r:id="rId252" xr:uid="{DD485C98-F113-47C7-A7F3-8BD8C522A1CE}"/>
    <hyperlink ref="S739" r:id="rId253" xr:uid="{5F3A66EA-3CDE-48B2-A095-2DF6A26A7040}"/>
    <hyperlink ref="S164" r:id="rId254" xr:uid="{8AD27D39-ECB4-40FE-A681-B4A4AB250DBB}"/>
    <hyperlink ref="S139" r:id="rId255" xr:uid="{B376B5D9-0176-4902-B41D-DAA7270148B2}"/>
    <hyperlink ref="S785" r:id="rId256" xr:uid="{07DE9B54-78F6-42FC-AF8D-C78FD7039209}"/>
    <hyperlink ref="S766" r:id="rId257" xr:uid="{2ED6BE8D-2879-461F-ABC4-3128C0A78A55}"/>
    <hyperlink ref="S212" r:id="rId258" xr:uid="{6ABBF35F-E04A-45CA-98CE-1BB9835BB241}"/>
    <hyperlink ref="S32" r:id="rId259" xr:uid="{C237AA10-01A2-43C8-AEE7-BC6FACDC6B30}"/>
    <hyperlink ref="S449" r:id="rId260" xr:uid="{9D137CE9-E2DE-427A-9C02-D60BD1E3DB52}"/>
    <hyperlink ref="S590" r:id="rId261" xr:uid="{BF496CD7-183B-48F7-8465-C8E13D36E69C}"/>
    <hyperlink ref="S556" r:id="rId262" xr:uid="{AB21218E-5BD7-448F-9512-7303CE5D6950}"/>
    <hyperlink ref="S231" r:id="rId263" xr:uid="{B928C4DC-F8C7-4EA0-B09F-F5F443B9F9CE}"/>
    <hyperlink ref="S232" r:id="rId264" xr:uid="{4ED08DE6-9030-4CAA-83D8-863B6BF1C1C2}"/>
    <hyperlink ref="S233" r:id="rId265" xr:uid="{32E95CA1-1182-41C8-BC07-FD26A7A50E7D}"/>
    <hyperlink ref="S255" r:id="rId266" xr:uid="{3DD5654E-7112-4F1A-86C2-DD8DC29B5A63}"/>
    <hyperlink ref="S376" r:id="rId267" xr:uid="{B27CA715-1AC1-4A1C-BAD8-37CE392FCBD6}"/>
    <hyperlink ref="S162" r:id="rId268" xr:uid="{9C786D18-3F6A-4F21-B597-F85E7A063C92}"/>
    <hyperlink ref="S838" r:id="rId269" xr:uid="{004F7B42-E119-43BE-B314-8E63D991F47F}"/>
    <hyperlink ref="S501" r:id="rId270" tooltip="http://js.binzhou.gov.cn/art/2024/5/22/art_120640_10312439.html" xr:uid="{5B7BCE51-3C7B-404C-9233-2650CED700D9}"/>
    <hyperlink ref="S390" r:id="rId271" xr:uid="{F31249E3-FA9E-435D-9376-71FE3AE53367}"/>
    <hyperlink ref="S226" r:id="rId272" xr:uid="{8BE014D9-3579-4CF8-ADF8-01A79CC478A6}"/>
    <hyperlink ref="S364" r:id="rId273" xr:uid="{D7A1AF7C-6BA6-48AC-89B2-4C66313C7312}"/>
    <hyperlink ref="S847" r:id="rId274" xr:uid="{7EDE2DE8-2091-465C-B95F-F279017BBBEA}"/>
    <hyperlink ref="S94" r:id="rId275" xr:uid="{A958AD2B-BD03-42B7-94CE-B4EDACD0EB3B}"/>
    <hyperlink ref="S64" r:id="rId276" tooltip="https://www.bjchp.gov.cn/cpqzf/315734/tzgg27/2024103114464284228/index.html" xr:uid="{CABC12E7-8673-4774-8E5E-A855FB698825}"/>
    <hyperlink ref="S897" r:id="rId277" xr:uid="{0C7EB08B-6C12-44E9-9963-6DC0763C3B73}"/>
    <hyperlink ref="S285" r:id="rId278" xr:uid="{6CAE0890-8C18-4B4E-B0C9-E32C9B000284}"/>
    <hyperlink ref="S910" r:id="rId279" xr:uid="{E2C648DE-BD8B-4BA5-BFE1-18F28BE66B8F}"/>
    <hyperlink ref="S792" r:id="rId280" xr:uid="{C5A625C3-3566-453F-8633-A46D1B9F0CEF}"/>
    <hyperlink ref="S765" r:id="rId281" xr:uid="{2AAE2DF3-8DFF-4DA9-A65B-E6362CFE8B33}"/>
    <hyperlink ref="S753" r:id="rId282" xr:uid="{7A54CFE2-4E49-4EC1-8276-3521E8DFCC2E}"/>
    <hyperlink ref="S564" r:id="rId283" xr:uid="{78312859-4A6A-4870-B4A4-184332F059F2}"/>
    <hyperlink ref="S195" r:id="rId284" xr:uid="{B4525B4A-0857-4214-88F0-598113A61475}"/>
    <hyperlink ref="S254" r:id="rId285" xr:uid="{C2063F67-B6CD-4A3D-93EB-009F8BA9E183}"/>
    <hyperlink ref="S206" r:id="rId286" xr:uid="{3E36D0A2-DA7A-432C-91AE-0E001F34F428}"/>
    <hyperlink ref="S58" r:id="rId287" xr:uid="{7EE93BB3-97CA-4A30-A166-6E4908F8F0C8}"/>
    <hyperlink ref="S866" r:id="rId288" xr:uid="{626EE063-9C10-4E6C-975F-0507A97CFD6F}"/>
    <hyperlink ref="S245" r:id="rId289" xr:uid="{42770CC1-2CE0-4FA9-A7A4-7FA1CEC71489}"/>
    <hyperlink ref="S576" r:id="rId290" xr:uid="{479BF845-348A-481D-A315-075BF83373B4}"/>
    <hyperlink ref="S183" r:id="rId291" xr:uid="{B8B03E13-EF2C-4E50-B181-56CEC10D376B}"/>
    <hyperlink ref="S495" r:id="rId292" xr:uid="{12CD49BE-92A4-491C-BD4A-A0CB2955B4E8}"/>
    <hyperlink ref="S754" r:id="rId293" xr:uid="{51807199-5856-4411-B2F2-8F535334B577}"/>
    <hyperlink ref="S239" r:id="rId294" tooltip="https://pc.dl.gov.cn/art/2023/2/27/art_2480_2066561.html" xr:uid="{6F3296A8-F50E-40DE-88A6-1E613C949DBD}"/>
    <hyperlink ref="S240" r:id="rId295" xr:uid="{BCF0566E-6AAD-4737-A1F5-DE0DE23FBEFC}"/>
    <hyperlink ref="S298" r:id="rId296" xr:uid="{73558AB7-56CE-4FED-9658-16E8EB951A89}"/>
    <hyperlink ref="S299" r:id="rId297" xr:uid="{2D9516AF-9CFD-486A-B899-369FA4D8D08B}"/>
    <hyperlink ref="S686" r:id="rId298" tooltip="https://www.nanhai.gov.cn/fsnhq/bmdh/zfbm/qfgj/xxgkml/gzdt/content/post_5980067.html" xr:uid="{9EA1C66A-6846-4681-9F09-0114463B6407}"/>
    <hyperlink ref="S733" r:id="rId299" xr:uid="{66D0A442-9381-403A-A99F-508D5635FFDE}"/>
    <hyperlink ref="S899" r:id="rId300" xr:uid="{DBB024BB-41CA-4A46-A7CF-2B0A2AE5E032}"/>
    <hyperlink ref="S719" r:id="rId301" tooltip="https://www.tlb.gov.hk/tc/psp/pressreleases/transport/2024/20241115d_c2.pdf" xr:uid="{3CEC5159-D9EF-46E0-9569-DC2B74315CFD}"/>
    <hyperlink ref="S856" r:id="rId302" xr:uid="{686D72E8-13B9-481E-9A5B-D2A63DBB9DCD}"/>
    <hyperlink ref="S414" r:id="rId303" xr:uid="{3CB45CB4-81A3-4355-8C06-1051BC976FFD}"/>
    <hyperlink ref="S727" r:id="rId304" xr:uid="{DFC478F9-C7BC-405C-88E0-288AFE93953B}"/>
    <hyperlink ref="S728" r:id="rId305" xr:uid="{B4BA5544-3D8D-428D-A0D9-9A80BAF40741}"/>
    <hyperlink ref="S35" r:id="rId306" xr:uid="{E52C088D-C533-4B3C-A872-A84C20F570AB}"/>
    <hyperlink ref="S73" r:id="rId307" xr:uid="{9ACA27C9-C347-4814-8523-394585C4346F}"/>
    <hyperlink ref="S190" r:id="rId308" xr:uid="{C9E31DA8-9D57-47E9-81D0-34260C8CE25A}"/>
    <hyperlink ref="S909" r:id="rId309" xr:uid="{0CFDAB0C-11A8-4728-9E85-334812E59836}"/>
    <hyperlink ref="S629" r:id="rId310" xr:uid="{9549FBD0-5817-482D-A0BC-87739E5E1ACD}"/>
    <hyperlink ref="S621" r:id="rId311" xr:uid="{C12BFA2A-0205-4C3A-8B4E-1D3042BAB81D}"/>
    <hyperlink ref="S513" r:id="rId312" xr:uid="{8ED8DDDB-5AFC-4C21-AF4C-B218C1037429}"/>
    <hyperlink ref="S381" r:id="rId313" xr:uid="{4CAB1BE4-340A-4202-B0E9-B7337014DD53}"/>
    <hyperlink ref="S896" r:id="rId314" xr:uid="{8F7AF19E-8A6D-4421-9413-5D32CC154FC7}"/>
    <hyperlink ref="S354" r:id="rId315" xr:uid="{1DDFB8BC-AA19-4D5C-B53C-3E7136E9C45A}"/>
    <hyperlink ref="S310" r:id="rId316" xr:uid="{24406C75-74BB-4256-9C2C-799CE61CE2A4}"/>
    <hyperlink ref="S140" r:id="rId317" xr:uid="{65652491-3A22-4F7B-AA6E-202CEA1FA9AD}"/>
    <hyperlink ref="S418" r:id="rId318" xr:uid="{E41DF280-70E5-4424-B925-675CCA712764}"/>
    <hyperlink ref="S524" r:id="rId319" xr:uid="{8215E7E0-2EAF-4FDD-A0FE-5877F583B5EA}"/>
    <hyperlink ref="S396" r:id="rId320" xr:uid="{7DE53C82-6EE7-438D-9C14-527511BD7BD3}"/>
    <hyperlink ref="S377" r:id="rId321" xr:uid="{4B7C10A2-0618-4162-A9A9-50955D34B7FF}"/>
    <hyperlink ref="S147" r:id="rId322" xr:uid="{189DE5AC-F3C0-44B7-B811-0F0C645E7B9C}"/>
    <hyperlink ref="S63" r:id="rId323" xr:uid="{C7D85029-8EEC-4CE7-8D5D-E59B901950D1}"/>
    <hyperlink ref="S822" r:id="rId324" xr:uid="{FA83D2AE-020C-476C-A10E-40C9ECF9A2D1}"/>
    <hyperlink ref="S598" r:id="rId325" xr:uid="{DCEB39AD-2B17-40BB-B4FD-8AE341259808}"/>
    <hyperlink ref="S820" r:id="rId326" xr:uid="{CAC8E4B2-8F1A-415A-8E7F-0B153F78FEB6}"/>
    <hyperlink ref="S367" r:id="rId327" xr:uid="{9C23522A-1092-4702-9C63-70F31C719448}"/>
    <hyperlink ref="S729" r:id="rId328" xr:uid="{05D1F59D-36C6-4CB1-BF4A-7642950F09C4}"/>
    <hyperlink ref="S725" r:id="rId329" xr:uid="{8AF9E9B8-827E-4DB6-92D2-C8E5AB5B94CE}"/>
    <hyperlink ref="S730" r:id="rId330" xr:uid="{009C6017-E310-4EE0-8088-3F5CCE256B2E}"/>
    <hyperlink ref="S793" r:id="rId331" xr:uid="{C05609CA-E2D5-4BF6-BCC8-0093F2E3C5C6}"/>
    <hyperlink ref="S526" r:id="rId332" xr:uid="{0DE745FC-3A08-4F3C-BB0B-E1E7A24AA10A}"/>
    <hyperlink ref="S256" r:id="rId333" xr:uid="{F6CE2043-3A7D-408A-8ED7-E4CDA5B690E8}"/>
    <hyperlink ref="S577" r:id="rId334" xr:uid="{560952EA-0073-4FE6-9B00-3859218737D9}"/>
    <hyperlink ref="S591" r:id="rId335" xr:uid="{2428D927-AD65-4E84-A6FB-3B09BCD650CF}"/>
    <hyperlink ref="S557" r:id="rId336" xr:uid="{AAB7993F-F143-42B2-8B73-7D708454C1B5}"/>
    <hyperlink ref="S65" r:id="rId337" xr:uid="{173FCD8B-98EC-4008-A93B-C83E27231EFA}"/>
    <hyperlink ref="S833" r:id="rId338" xr:uid="{33B3FF5B-6501-4BC1-BA89-F2022CCC66AA}"/>
    <hyperlink ref="S400" r:id="rId339" xr:uid="{D641684F-0C13-45B5-B3F4-653CBEB1C09F}"/>
    <hyperlink ref="S257" r:id="rId340" xr:uid="{C8953F24-AE5F-416B-92C7-61E8F096302E}"/>
    <hyperlink ref="S148" r:id="rId341" xr:uid="{3ECB46C7-F2F9-493A-9092-F0B14081C757}"/>
    <hyperlink ref="S767" r:id="rId342" xr:uid="{D5C2F215-85E0-4075-95B7-B6D5EE734C6F}"/>
    <hyperlink ref="S849" r:id="rId343" xr:uid="{023B4640-E4B8-473D-B179-711676E0487D}"/>
    <hyperlink ref="S11" r:id="rId344" xr:uid="{40E7D1C0-43AB-4319-8DB8-CA4758F0D058}"/>
    <hyperlink ref="S599" r:id="rId345" xr:uid="{D43C3CAD-5210-438C-8B8D-A8B378E2C8B5}"/>
    <hyperlink ref="S441" r:id="rId346" xr:uid="{17496B01-DB8A-40F1-B94F-5C63FB9F4EB8}"/>
    <hyperlink ref="S600" r:id="rId347" xr:uid="{4A1D6AB3-4DF6-4EE8-AE87-F1FD948AA462}"/>
    <hyperlink ref="S43" r:id="rId348" xr:uid="{51450F79-C0AE-46BA-AD72-0EB9812584F8}"/>
    <hyperlink ref="S482" r:id="rId349" xr:uid="{98E5BC3F-60D9-4FE4-87FF-04BE5D9289FD}"/>
    <hyperlink ref="S74" r:id="rId350" xr:uid="{52FA73E9-4A20-4E1D-B877-19A0590A2924}"/>
    <hyperlink ref="S93" r:id="rId351" xr:uid="{E55C6F0A-96BC-4040-A2B8-8507A5AC2D8A}"/>
    <hyperlink ref="S90" r:id="rId352" xr:uid="{364E99AF-304A-4AC4-A368-91B2F717C8E3}"/>
    <hyperlink ref="S368" r:id="rId353" xr:uid="{EEA0BD18-92B3-4B02-AB43-203B63F8B2A1}"/>
    <hyperlink ref="S532" r:id="rId354" xr:uid="{FC224C6D-3CEB-4746-95B0-94CC1A8AB72D}"/>
    <hyperlink ref="S562" r:id="rId355" xr:uid="{6DAD0BEF-FE0E-4580-BDFC-AC6002523DC0}"/>
    <hyperlink ref="S618" r:id="rId356" xr:uid="{ABF4AB45-BDAE-47C5-8D01-0C7CCE0B0225}"/>
    <hyperlink ref="S768" r:id="rId357" xr:uid="{F8C0C3F4-D9F4-4C5A-8AFE-AB326835CF26}"/>
    <hyperlink ref="S880" r:id="rId358" xr:uid="{B7563596-6CC7-4AC5-AAC7-23089E9AF334}"/>
    <hyperlink ref="S831" r:id="rId359" xr:uid="{36A396C9-48E8-442A-AD22-70DADAB418CF}"/>
    <hyperlink ref="S413" r:id="rId360" xr:uid="{AD8BA639-8D82-44A4-BF84-F9D8CB64BA1D}"/>
    <hyperlink ref="S795" r:id="rId361" xr:uid="{5E3A9497-9FCA-4153-9622-640EDCF1A5D7}"/>
    <hyperlink ref="S794" r:id="rId362" xr:uid="{702526AD-BD4D-4D94-ADF0-CD69263B8543}"/>
    <hyperlink ref="S630" r:id="rId363" xr:uid="{62E2A6A0-7C63-4516-95FB-37E72361A6D9}"/>
    <hyperlink ref="S397" r:id="rId364" xr:uid="{0942ED81-28C8-40E4-9C8E-14D2465D2356}"/>
    <hyperlink ref="S685" r:id="rId365" xr:uid="{C4A3C164-65E0-4E43-88B3-2269D3420009}"/>
    <hyperlink ref="S800" r:id="rId366" xr:uid="{00A59D35-4417-4633-A665-4FFC3E5B502B}"/>
    <hyperlink ref="S788" r:id="rId367" xr:uid="{30A6BE8C-D470-4C70-A1CF-A6971690DB8F}"/>
    <hyperlink ref="S452" r:id="rId368" xr:uid="{44AEE8EC-D8B6-4416-9B01-5B3BA7DD7569}"/>
    <hyperlink ref="S527" r:id="rId369" xr:uid="{2CE4C19F-B857-4A13-8ECB-03F28B8B7EFB}"/>
    <hyperlink ref="S707" r:id="rId370" tooltip="https://fgj.zhuhai.gov.cn/zwgk/fzgh/content/post_3826990.html" xr:uid="{2529CD0D-F516-4C90-8507-25B6076D9ECA}"/>
    <hyperlink ref="S227" r:id="rId371" tooltip="https://pc.dl.gov.cn/art/2025/8/20/art_2481_2457871.html" xr:uid="{99929E89-D075-4BC7-A83E-F42709DCFEAB}"/>
    <hyperlink ref="S808" r:id="rId372" xr:uid="{A980862E-0725-4CC5-B1D2-CD0A321BA9EB}"/>
    <hyperlink ref="S244" r:id="rId373" xr:uid="{B291FCB4-705A-4CFE-A827-CA847306B8A0}"/>
    <hyperlink ref="S237" r:id="rId374" xr:uid="{DAA2D924-BF78-4298-9F7F-5809BB98F033}"/>
    <hyperlink ref="S401" r:id="rId375" xr:uid="{702DDCD1-AF66-4CEC-B082-FC26EC5F6156}"/>
    <hyperlink ref="S38" r:id="rId376" xr:uid="{B7FE5C64-BAFA-499A-AF74-748D578398D8}"/>
    <hyperlink ref="S12" r:id="rId377" tooltip="https://www.nea.gov.cn/20250905/f149cae889684f6db56df6614fb68c48/c.html" xr:uid="{07E3F04C-7458-4C77-9C22-733BDA9F5271}"/>
    <hyperlink ref="S343" r:id="rId378" xr:uid="{8CA0F749-4F5A-40CE-ABFE-4AC15D3388D5}"/>
    <hyperlink ref="S342" r:id="rId379" xr:uid="{39E7F3F7-5818-46D9-8B41-70AEE7A07088}"/>
    <hyperlink ref="S341" r:id="rId380" xr:uid="{5F7CA09B-CAC5-4ADF-AC69-C8265E9F96CC}"/>
    <hyperlink ref="S740" r:id="rId381" xr:uid="{41EED443-2529-4480-A575-7A24D78A04A4}"/>
    <hyperlink ref="S796" r:id="rId382" xr:uid="{757F165F-C0C7-478D-9025-E01825E19172}"/>
    <hyperlink ref="S578" r:id="rId383" xr:uid="{8DC6CD04-6B94-4C2C-912C-665F830BEDAB}"/>
    <hyperlink ref="S797" r:id="rId384" xr:uid="{4E22BA4F-B519-460D-AD73-896E5079D1D8}"/>
    <hyperlink ref="S801" r:id="rId385" xr:uid="{5C96CBCF-210A-481B-A783-CDD27AA25970}"/>
    <hyperlink ref="S39" r:id="rId386" xr:uid="{F61F8A5A-ACCE-4F81-9219-0EFA10D1F3F5}"/>
    <hyperlink ref="S715" r:id="rId387" xr:uid="{AFDA193A-CB3F-416B-93CE-5C8D6D42D3FE}"/>
    <hyperlink ref="S760" r:id="rId388" xr:uid="{A90F090C-9CBD-4E13-A5BF-3D9328265A0C}"/>
    <hyperlink ref="S759" r:id="rId389" xr:uid="{D119565E-3564-4629-B0E1-6A0E149FE986}"/>
    <hyperlink ref="S601" r:id="rId390" xr:uid="{D24AB504-CC5D-42EB-8038-3B70C1128FA9}"/>
    <hyperlink ref="S444" r:id="rId391" xr:uid="{18A782BD-0C59-45D5-A915-7730B93731D0}"/>
    <hyperlink ref="S241" r:id="rId392" xr:uid="{7EB4F85F-9FFF-49DB-B8AA-90F6FBEEB1ED}"/>
    <hyperlink ref="S631" r:id="rId393" xr:uid="{2F2E8C39-F475-4F7E-8918-D871A64BF458}"/>
    <hyperlink ref="S571" r:id="rId394" xr:uid="{32921A3E-F81E-4BDC-AC2A-D1538D70EFE5}"/>
    <hyperlink ref="S692" r:id="rId395" location="1635" xr:uid="{EB282884-7709-4E6C-A6ED-0A4F13605B01}"/>
    <hyperlink ref="S40" r:id="rId396" xr:uid="{369280DF-CA31-4E2F-BB95-D04D451FF5D1}"/>
    <hyperlink ref="S337" r:id="rId397" xr:uid="{E2439945-C247-45D4-A1E8-C9A6267EF425}"/>
    <hyperlink ref="S335" r:id="rId398" xr:uid="{49B49638-AB88-46D7-B2AD-75E6B276AE4B}"/>
    <hyperlink ref="S809" r:id="rId399" xr:uid="{B327FCCF-AC73-4079-BFF6-EC9ED107E18B}"/>
    <hyperlink ref="S632" r:id="rId400" xr:uid="{CE9ABDA9-F682-4858-AD63-6F31AD5BC62C}"/>
    <hyperlink ref="S403" r:id="rId401" xr:uid="{4B192C96-E2DA-4FC5-906D-EAC852A1B7E8}"/>
    <hyperlink ref="S344" r:id="rId402" xr:uid="{A1EB1E17-E71C-40EA-A9FE-AC12E5CFB387}"/>
    <hyperlink ref="S769" r:id="rId403" xr:uid="{9B2E511E-EB62-490E-844B-CBA9320CE18B}"/>
    <hyperlink ref="S391" r:id="rId404" tooltip="https://www.jiaxing.gov.cn/art/2025/10/16/art_1556478_59668444.html" xr:uid="{A632E863-19CD-44AF-A93E-15EE6316B500}"/>
    <hyperlink ref="S913" r:id="rId405" tooltip="https://motclaw.motc.gov.tw/webMotcLaw2018/Law/History?type=-1&amp;LawID=E0486000" xr:uid="{3387919D-B067-4492-909D-2C4B6840A501}"/>
    <hyperlink ref="S914" r:id="rId406" tooltip="https://motclaw.motc.gov.tw/webMotcLaw2018/Law/History?type=-1&amp;LawID=E0486000" xr:uid="{CA588F7F-8B60-49E8-B795-80BA86059504}"/>
    <hyperlink ref="S52" r:id="rId407" xr:uid="{BDCDC4D8-2B99-44E9-88DA-CB609A2D1B2F}"/>
    <hyperlink ref="S95" r:id="rId408" xr:uid="{0AE0B873-A801-416A-B31C-9056DC23D84A}"/>
    <hyperlink ref="S134" r:id="rId409" xr:uid="{9A3FFEA6-9A44-4552-90E9-CF7A28E3ACC2}"/>
    <hyperlink ref="S798" r:id="rId410" xr:uid="{4E7FDDB2-D792-4520-B6E1-E8751C3ACADA}"/>
    <hyperlink ref="S633" r:id="rId411" xr:uid="{66155EA4-F7B9-4510-93CD-97AAB6C343AD}"/>
    <hyperlink ref="S741" r:id="rId412" xr:uid="{93F2CC7C-3AB7-4B3F-AF9C-D3433ABCB0A6}"/>
    <hyperlink ref="S742" r:id="rId413" xr:uid="{4557500E-0A06-41B2-A1EF-DBD7238BF6A6}"/>
    <hyperlink ref="S634" r:id="rId414" xr:uid="{CE152DCC-8317-4F1C-B2EC-39CF19D70103}"/>
    <hyperlink ref="S13" r:id="rId415" tooltip="https://www.nea.gov.cn/20251205/8b311a8f290c4573aa9af6eb1537be80/c.html" xr:uid="{B2FBD41C-9FC6-48FF-BC91-8222C48338A6}"/>
    <hyperlink ref="S163" r:id="rId416" xr:uid="{92683B46-D889-43A1-ABD4-012D3FF8E63F}"/>
    <hyperlink ref="S635" r:id="rId417" xr:uid="{DFB18C42-84D3-488C-8202-1FE04F4316D6}"/>
    <hyperlink ref="S664" r:id="rId418" xr:uid="{FACF04DA-625A-436D-B1BF-D07567909112}"/>
    <hyperlink ref="S731" r:id="rId419" xr:uid="{516F06D1-D247-46DC-95C5-08D6CFDBB48D}"/>
    <hyperlink ref="S579" r:id="rId420" xr:uid="{4B8B9444-CA62-4BD9-8F1D-4248F55AA9EF}"/>
    <hyperlink ref="S580" r:id="rId421" xr:uid="{66C73FCF-D02D-4620-99F6-BC1A85AB11E0}"/>
    <hyperlink ref="S912" r:id="rId422" xr:uid="{E85F0BC3-F5A6-4AD5-BF75-4B1ED61D277B}"/>
    <hyperlink ref="S915" r:id="rId423" xr:uid="{5052C379-455C-4917-9DF0-3516A3BE104B}"/>
    <hyperlink ref="S446" r:id="rId424" xr:uid="{D2133F48-D65E-4878-B6DE-31952D9CA307}"/>
    <hyperlink ref="S430" r:id="rId425" xr:uid="{A69BC2C2-6F94-4C73-B3CB-F43346F2BA82}"/>
    <hyperlink ref="S736" r:id="rId426" xr:uid="{FC77B567-8E52-45BC-9E96-5D27F17F8D26}"/>
    <hyperlink ref="S286" r:id="rId427" xr:uid="{96E25322-08C7-4A98-ADA0-D80E5B8D6CD9}"/>
    <hyperlink ref="S379" r:id="rId428" xr:uid="{D04CA7C6-34CD-4E1E-BCC8-E4CC90F30B31}"/>
    <hyperlink ref="S860" r:id="rId429" xr:uid="{06607BD1-3CD7-4FEF-804F-4806D5046BA0}"/>
    <hyperlink ref="S453" r:id="rId430" xr:uid="{ED0079E4-A1C1-41CE-B6DA-D64BC49BC331}"/>
    <hyperlink ref="S602" r:id="rId431" xr:uid="{A777B4F0-242A-4B3E-8F2B-552EA257F0D3}"/>
    <hyperlink ref="S770" r:id="rId432" xr:uid="{E4453FBF-0388-4B24-B755-7F8CFBA93BE3}"/>
    <hyperlink ref="S260" r:id="rId433" xr:uid="{EC49F734-0663-4745-A240-8C6ADB02E409}"/>
    <hyperlink ref="S191" r:id="rId434" tooltip="https://www.baotou.gov.cn/zfxxgk/zc/zc_xzgfxwj/zfjqbm/szfhcxjsj/202601/t20260108_724248.html" xr:uid="{F6DA246A-CEC2-4B8A-B362-7D635DB0601E}"/>
    <hyperlink ref="S901" r:id="rId435" xr:uid="{31CB7293-CBA6-4C44-A773-69545BDC9331}"/>
    <hyperlink ref="S732" r:id="rId436" xr:uid="{9AB08A32-76E7-4D4F-8515-91D6E1A3BF20}"/>
    <hyperlink ref="S135" r:id="rId437" tooltip="https://gongxinju.tangshan.gov.cn/tsgongxinju/zw_gongxinjutzfb/20260421/1647935.html" xr:uid="{0ECA5713-3524-48EE-A752-CDD09081528F}"/>
    <hyperlink ref="S445" r:id="rId438" xr:uid="{29137D99-1EC5-44F9-B29B-9B55FC950F33}"/>
    <hyperlink ref="S716" r:id="rId439" xr:uid="{65EDBB36-D51B-4DD6-A3AA-58CDB2DD2900}"/>
    <hyperlink ref="S438" r:id="rId440" xr:uid="{9FDB58CF-D879-4D4E-A01F-0B7D0EC053F6}"/>
    <hyperlink ref="S489" r:id="rId441" xr:uid="{8916D2C6-FDB6-4B28-AC61-469FA5DDF117}"/>
    <hyperlink ref="S378" r:id="rId442" xr:uid="{4FA1688A-0607-4A8D-94DD-042C2ACD6A2E}"/>
    <hyperlink ref="S529" r:id="rId443" tooltip="https://gxj.zhengzhou.gov.cn/tzgg/10059224.jhtml" xr:uid="{00F4990A-8723-4EAB-8085-3D770BDFFE20}"/>
    <hyperlink ref="S528" r:id="rId444" xr:uid="{180C17EC-5383-421D-B0C1-4497076BFD49}"/>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FD9D-692D-413A-AABE-3B306B59F97D}">
  <dimension ref="A1:T69"/>
  <sheetViews>
    <sheetView workbookViewId="0">
      <selection activeCell="F11" sqref="F11"/>
    </sheetView>
  </sheetViews>
  <sheetFormatPr defaultColWidth="9" defaultRowHeight="24.95" customHeight="1" x14ac:dyDescent="0.3"/>
  <cols>
    <col min="1" max="2" width="9" style="86"/>
    <col min="3" max="3" width="50.59765625" style="86" customWidth="1"/>
    <col min="4" max="7" width="9" style="86"/>
    <col min="8" max="8" width="50.59765625" style="86" customWidth="1"/>
    <col min="9" max="16384" width="9" style="86"/>
  </cols>
  <sheetData>
    <row r="1" spans="1:20" ht="24.95" customHeight="1" x14ac:dyDescent="0.3">
      <c r="A1" s="85"/>
      <c r="B1" s="85"/>
      <c r="C1" s="85"/>
      <c r="D1" s="85"/>
      <c r="E1" s="85"/>
      <c r="F1" s="85"/>
      <c r="G1" s="85"/>
      <c r="H1" s="85"/>
      <c r="I1" s="119">
        <v>2025</v>
      </c>
      <c r="J1" s="120"/>
      <c r="K1" s="120"/>
      <c r="L1" s="121"/>
      <c r="M1" s="119">
        <v>2030</v>
      </c>
      <c r="N1" s="120"/>
      <c r="O1" s="120"/>
      <c r="P1" s="121"/>
      <c r="Q1" s="119">
        <v>2035</v>
      </c>
      <c r="R1" s="120"/>
      <c r="S1" s="120"/>
      <c r="T1" s="121"/>
    </row>
    <row r="2" spans="1:20" ht="24.95" customHeight="1" x14ac:dyDescent="0.3">
      <c r="A2" s="85" t="s">
        <v>3299</v>
      </c>
      <c r="B2" s="85"/>
      <c r="C2" s="85" t="s">
        <v>581</v>
      </c>
      <c r="D2" s="85" t="s">
        <v>3300</v>
      </c>
      <c r="E2" s="85" t="s">
        <v>3301</v>
      </c>
      <c r="F2" s="85" t="s">
        <v>3302</v>
      </c>
      <c r="G2" s="85" t="s">
        <v>3303</v>
      </c>
      <c r="H2" s="85" t="s">
        <v>581</v>
      </c>
      <c r="I2" s="85" t="s">
        <v>3304</v>
      </c>
      <c r="J2" s="85" t="s">
        <v>3305</v>
      </c>
      <c r="K2" s="85" t="s">
        <v>3306</v>
      </c>
      <c r="L2" s="85" t="s">
        <v>3307</v>
      </c>
      <c r="M2" s="85" t="s">
        <v>3304</v>
      </c>
      <c r="N2" s="85" t="s">
        <v>3305</v>
      </c>
      <c r="O2" s="85" t="s">
        <v>3306</v>
      </c>
      <c r="P2" s="85" t="s">
        <v>3307</v>
      </c>
      <c r="Q2" s="85" t="s">
        <v>3304</v>
      </c>
      <c r="R2" s="85" t="s">
        <v>3305</v>
      </c>
      <c r="S2" s="85" t="s">
        <v>3306</v>
      </c>
      <c r="T2" s="85" t="s">
        <v>3307</v>
      </c>
    </row>
    <row r="3" spans="1:20" ht="24.95" customHeight="1" x14ac:dyDescent="0.3">
      <c r="A3" s="85" t="s">
        <v>230</v>
      </c>
      <c r="B3" s="87" t="str">
        <f>VLOOKUP(A3,[1]VLOOKUP!$A$2:$B$35,2,FALSE)</f>
        <v>华北</v>
      </c>
      <c r="C3" s="88"/>
      <c r="D3" s="87"/>
      <c r="E3" s="87"/>
      <c r="F3" s="87"/>
      <c r="G3" s="87"/>
      <c r="H3" s="88" t="s">
        <v>3308</v>
      </c>
      <c r="I3" s="89">
        <v>1000</v>
      </c>
      <c r="J3" s="90">
        <v>10000</v>
      </c>
      <c r="K3" s="91">
        <v>74</v>
      </c>
      <c r="L3" s="92" t="s">
        <v>264</v>
      </c>
      <c r="M3" s="89" t="s">
        <v>264</v>
      </c>
      <c r="N3" s="90" t="s">
        <v>264</v>
      </c>
      <c r="O3" s="91" t="s">
        <v>264</v>
      </c>
      <c r="P3" s="92" t="s">
        <v>264</v>
      </c>
      <c r="Q3" s="89" t="s">
        <v>264</v>
      </c>
      <c r="R3" s="90" t="s">
        <v>264</v>
      </c>
      <c r="S3" s="91" t="s">
        <v>264</v>
      </c>
      <c r="T3" s="92" t="s">
        <v>264</v>
      </c>
    </row>
    <row r="4" spans="1:20" ht="24.95" customHeight="1" x14ac:dyDescent="0.3">
      <c r="A4" s="85" t="s">
        <v>250</v>
      </c>
      <c r="B4" s="87" t="str">
        <f>VLOOKUP(A4,[1]VLOOKUP!$A$2:$B$35,2,FALSE)</f>
        <v>华北</v>
      </c>
      <c r="C4" s="88"/>
      <c r="D4" s="87"/>
      <c r="E4" s="87"/>
      <c r="F4" s="87"/>
      <c r="G4" s="87"/>
      <c r="H4" s="88" t="s">
        <v>3309</v>
      </c>
      <c r="I4" s="89">
        <v>150</v>
      </c>
      <c r="J4" s="90">
        <v>1000</v>
      </c>
      <c r="K4" s="91">
        <v>10</v>
      </c>
      <c r="L4" s="92" t="s">
        <v>264</v>
      </c>
      <c r="M4" s="89" t="s">
        <v>264</v>
      </c>
      <c r="N4" s="90" t="s">
        <v>264</v>
      </c>
      <c r="O4" s="91" t="s">
        <v>264</v>
      </c>
      <c r="P4" s="92" t="s">
        <v>264</v>
      </c>
      <c r="Q4" s="89" t="s">
        <v>264</v>
      </c>
      <c r="R4" s="90" t="s">
        <v>264</v>
      </c>
      <c r="S4" s="91" t="s">
        <v>264</v>
      </c>
      <c r="T4" s="92" t="s">
        <v>264</v>
      </c>
    </row>
    <row r="5" spans="1:20" ht="24.95" customHeight="1" x14ac:dyDescent="0.3">
      <c r="A5" s="85" t="s">
        <v>252</v>
      </c>
      <c r="B5" s="87" t="str">
        <f>VLOOKUP(A5,[1]VLOOKUP!$A$2:$B$35,2,FALSE)</f>
        <v>华北</v>
      </c>
      <c r="C5" s="88"/>
      <c r="D5" s="87"/>
      <c r="E5" s="87"/>
      <c r="F5" s="87"/>
      <c r="G5" s="87"/>
      <c r="H5" s="88" t="s">
        <v>3310</v>
      </c>
      <c r="I5" s="89">
        <v>500</v>
      </c>
      <c r="J5" s="90">
        <v>10000</v>
      </c>
      <c r="K5" s="91">
        <v>100</v>
      </c>
      <c r="L5" s="92" t="s">
        <v>264</v>
      </c>
      <c r="M5" s="89" t="s">
        <v>264</v>
      </c>
      <c r="N5" s="90" t="s">
        <v>264</v>
      </c>
      <c r="O5" s="91" t="s">
        <v>264</v>
      </c>
      <c r="P5" s="92" t="s">
        <v>264</v>
      </c>
      <c r="Q5" s="89" t="s">
        <v>264</v>
      </c>
      <c r="R5" s="90" t="s">
        <v>264</v>
      </c>
      <c r="S5" s="91" t="s">
        <v>264</v>
      </c>
      <c r="T5" s="92" t="s">
        <v>264</v>
      </c>
    </row>
    <row r="6" spans="1:20" ht="24.95" customHeight="1" x14ac:dyDescent="0.3">
      <c r="A6" s="85" t="s">
        <v>265</v>
      </c>
      <c r="B6" s="87" t="str">
        <f>VLOOKUP(A6,[1]VLOOKUP!$A$2:$B$35,2,FALSE)</f>
        <v>华北</v>
      </c>
      <c r="C6" s="88"/>
      <c r="D6" s="87"/>
      <c r="E6" s="87"/>
      <c r="F6" s="87"/>
      <c r="G6" s="87"/>
      <c r="H6" s="88" t="s">
        <v>3311</v>
      </c>
      <c r="I6" s="89" t="s">
        <v>264</v>
      </c>
      <c r="J6" s="90">
        <v>10000</v>
      </c>
      <c r="K6" s="91" t="s">
        <v>264</v>
      </c>
      <c r="L6" s="92" t="s">
        <v>264</v>
      </c>
      <c r="M6" s="89" t="s">
        <v>264</v>
      </c>
      <c r="N6" s="90">
        <v>50000</v>
      </c>
      <c r="O6" s="91" t="s">
        <v>264</v>
      </c>
      <c r="P6" s="92" t="s">
        <v>264</v>
      </c>
      <c r="Q6" s="89" t="s">
        <v>264</v>
      </c>
      <c r="R6" s="90" t="s">
        <v>264</v>
      </c>
      <c r="S6" s="91" t="s">
        <v>264</v>
      </c>
      <c r="T6" s="92" t="s">
        <v>264</v>
      </c>
    </row>
    <row r="7" spans="1:20" ht="24.95" customHeight="1" x14ac:dyDescent="0.3">
      <c r="A7" s="85" t="s">
        <v>267</v>
      </c>
      <c r="B7" s="87" t="str">
        <f>VLOOKUP(A7,[1]VLOOKUP!$A$2:$B$35,2,FALSE)</f>
        <v>华北</v>
      </c>
      <c r="C7" s="88"/>
      <c r="D7" s="87"/>
      <c r="E7" s="87"/>
      <c r="F7" s="87"/>
      <c r="G7" s="87"/>
      <c r="H7" s="88" t="s">
        <v>3312</v>
      </c>
      <c r="I7" s="89">
        <v>1000</v>
      </c>
      <c r="J7" s="90">
        <v>5000</v>
      </c>
      <c r="K7" s="91">
        <v>60</v>
      </c>
      <c r="L7" s="92">
        <v>48</v>
      </c>
      <c r="M7" s="89" t="s">
        <v>264</v>
      </c>
      <c r="N7" s="90" t="s">
        <v>264</v>
      </c>
      <c r="O7" s="91" t="s">
        <v>264</v>
      </c>
      <c r="P7" s="92" t="s">
        <v>264</v>
      </c>
      <c r="Q7" s="89" t="s">
        <v>264</v>
      </c>
      <c r="R7" s="90" t="s">
        <v>264</v>
      </c>
      <c r="S7" s="91" t="s">
        <v>264</v>
      </c>
      <c r="T7" s="92" t="s">
        <v>264</v>
      </c>
    </row>
    <row r="8" spans="1:20" ht="24.95" customHeight="1" x14ac:dyDescent="0.3">
      <c r="A8" s="85" t="s">
        <v>271</v>
      </c>
      <c r="B8" s="87" t="str">
        <f>VLOOKUP(A8,[1]VLOOKUP!$A$2:$B$35,2,FALSE)</f>
        <v>东北</v>
      </c>
      <c r="C8" s="88"/>
      <c r="D8" s="87"/>
      <c r="E8" s="87"/>
      <c r="F8" s="87"/>
      <c r="G8" s="87"/>
      <c r="H8" s="88" t="s">
        <v>3313</v>
      </c>
      <c r="I8" s="89">
        <v>600</v>
      </c>
      <c r="J8" s="90">
        <v>2000</v>
      </c>
      <c r="K8" s="91">
        <v>30</v>
      </c>
      <c r="L8" s="92" t="s">
        <v>264</v>
      </c>
      <c r="M8" s="89" t="s">
        <v>264</v>
      </c>
      <c r="N8" s="90" t="s">
        <v>264</v>
      </c>
      <c r="O8" s="91" t="s">
        <v>264</v>
      </c>
      <c r="P8" s="92" t="s">
        <v>264</v>
      </c>
      <c r="Q8" s="89">
        <v>5000</v>
      </c>
      <c r="R8" s="90">
        <v>150000</v>
      </c>
      <c r="S8" s="91">
        <v>500</v>
      </c>
      <c r="T8" s="92" t="s">
        <v>264</v>
      </c>
    </row>
    <row r="9" spans="1:20" ht="24.95" customHeight="1" x14ac:dyDescent="0.3">
      <c r="A9" s="85" t="s">
        <v>327</v>
      </c>
      <c r="B9" s="87" t="str">
        <f>VLOOKUP(A9,[1]VLOOKUP!$A$2:$B$35,2,FALSE)</f>
        <v>东北</v>
      </c>
      <c r="C9" s="88" t="s">
        <v>3314</v>
      </c>
      <c r="D9" s="87">
        <v>100</v>
      </c>
      <c r="E9" s="87">
        <v>600</v>
      </c>
      <c r="F9" s="87"/>
      <c r="G9" s="87"/>
      <c r="H9" s="88" t="s">
        <v>3315</v>
      </c>
      <c r="I9" s="89">
        <v>100</v>
      </c>
      <c r="J9" s="90">
        <v>500</v>
      </c>
      <c r="K9" s="91">
        <v>10</v>
      </c>
      <c r="L9" s="92">
        <v>7</v>
      </c>
      <c r="M9" s="89">
        <v>300</v>
      </c>
      <c r="N9" s="90">
        <v>7000</v>
      </c>
      <c r="O9" s="91">
        <v>70</v>
      </c>
      <c r="P9" s="92">
        <v>35</v>
      </c>
      <c r="Q9" s="89">
        <v>1000</v>
      </c>
      <c r="R9" s="90">
        <v>70000</v>
      </c>
      <c r="S9" s="91">
        <v>400</v>
      </c>
      <c r="T9" s="92">
        <v>135</v>
      </c>
    </row>
    <row r="10" spans="1:20" ht="24.95" customHeight="1" x14ac:dyDescent="0.3">
      <c r="A10" s="85" t="s">
        <v>1342</v>
      </c>
      <c r="B10" s="87" t="str">
        <f>VLOOKUP(A10,[1]VLOOKUP!$A$2:$B$35,2,FALSE)</f>
        <v>东北</v>
      </c>
      <c r="C10" s="88" t="s">
        <v>3316</v>
      </c>
      <c r="D10" s="87">
        <v>100</v>
      </c>
      <c r="E10" s="87">
        <v>300</v>
      </c>
      <c r="F10" s="87"/>
      <c r="G10" s="87"/>
      <c r="H10" s="88" t="s">
        <v>3317</v>
      </c>
      <c r="I10" s="89" t="s">
        <v>264</v>
      </c>
      <c r="J10" s="90" t="s">
        <v>264</v>
      </c>
      <c r="K10" s="91">
        <v>8</v>
      </c>
      <c r="L10" s="92" t="s">
        <v>264</v>
      </c>
      <c r="M10" s="89" t="s">
        <v>264</v>
      </c>
      <c r="N10" s="90" t="s">
        <v>264</v>
      </c>
      <c r="O10" s="91" t="s">
        <v>264</v>
      </c>
      <c r="P10" s="92" t="s">
        <v>264</v>
      </c>
      <c r="Q10" s="89" t="s">
        <v>264</v>
      </c>
      <c r="R10" s="90" t="s">
        <v>264</v>
      </c>
      <c r="S10" s="91" t="s">
        <v>264</v>
      </c>
      <c r="T10" s="92" t="s">
        <v>264</v>
      </c>
    </row>
    <row r="11" spans="1:20" ht="24.95" customHeight="1" x14ac:dyDescent="0.3">
      <c r="A11" s="85" t="s">
        <v>273</v>
      </c>
      <c r="B11" s="87" t="str">
        <f>VLOOKUP(A11,[1]VLOOKUP!$A$2:$B$35,2,FALSE)</f>
        <v>华东</v>
      </c>
      <c r="C11" s="88"/>
      <c r="D11" s="87"/>
      <c r="E11" s="87"/>
      <c r="F11" s="87"/>
      <c r="G11" s="87"/>
      <c r="H11" s="88" t="s">
        <v>3318</v>
      </c>
      <c r="I11" s="89">
        <v>1000</v>
      </c>
      <c r="J11" s="90">
        <v>10000</v>
      </c>
      <c r="K11" s="91">
        <v>70</v>
      </c>
      <c r="L11" s="92" t="s">
        <v>264</v>
      </c>
      <c r="M11" s="89" t="s">
        <v>264</v>
      </c>
      <c r="N11" s="90" t="s">
        <v>264</v>
      </c>
      <c r="O11" s="91" t="s">
        <v>264</v>
      </c>
      <c r="P11" s="92" t="s">
        <v>264</v>
      </c>
      <c r="Q11" s="89" t="s">
        <v>264</v>
      </c>
      <c r="R11" s="90" t="s">
        <v>264</v>
      </c>
      <c r="S11" s="91" t="s">
        <v>264</v>
      </c>
      <c r="T11" s="92" t="s">
        <v>264</v>
      </c>
    </row>
    <row r="12" spans="1:20" ht="24.95" customHeight="1" x14ac:dyDescent="0.3">
      <c r="A12" s="85" t="s">
        <v>274</v>
      </c>
      <c r="B12" s="87" t="str">
        <f>VLOOKUP(A12,[1]VLOOKUP!$A$2:$B$35,2,FALSE)</f>
        <v>华东</v>
      </c>
      <c r="C12" s="88"/>
      <c r="D12" s="87"/>
      <c r="E12" s="87"/>
      <c r="F12" s="87"/>
      <c r="G12" s="87"/>
      <c r="H12" s="93" t="s">
        <v>3319</v>
      </c>
      <c r="I12" s="94">
        <v>1000</v>
      </c>
      <c r="J12" s="95">
        <v>4000</v>
      </c>
      <c r="K12" s="96">
        <v>100</v>
      </c>
      <c r="L12" s="92" t="s">
        <v>264</v>
      </c>
      <c r="M12" s="89" t="s">
        <v>264</v>
      </c>
      <c r="N12" s="90" t="s">
        <v>264</v>
      </c>
      <c r="O12" s="91" t="s">
        <v>264</v>
      </c>
      <c r="P12" s="92" t="s">
        <v>264</v>
      </c>
      <c r="Q12" s="89" t="s">
        <v>264</v>
      </c>
      <c r="R12" s="90" t="s">
        <v>264</v>
      </c>
      <c r="S12" s="91" t="s">
        <v>264</v>
      </c>
      <c r="T12" s="92" t="s">
        <v>264</v>
      </c>
    </row>
    <row r="13" spans="1:20" ht="24.95" customHeight="1" x14ac:dyDescent="0.3">
      <c r="A13" s="85" t="s">
        <v>276</v>
      </c>
      <c r="B13" s="87" t="str">
        <f>VLOOKUP(A13,[1]VLOOKUP!$A$2:$B$35,2,FALSE)</f>
        <v>华东</v>
      </c>
      <c r="C13" s="88"/>
      <c r="D13" s="87"/>
      <c r="E13" s="87"/>
      <c r="F13" s="87"/>
      <c r="G13" s="87"/>
      <c r="H13" s="88" t="s">
        <v>3320</v>
      </c>
      <c r="I13" s="89" t="s">
        <v>264</v>
      </c>
      <c r="J13" s="90">
        <v>5000</v>
      </c>
      <c r="K13" s="91">
        <v>50</v>
      </c>
      <c r="L13" s="92" t="s">
        <v>264</v>
      </c>
      <c r="M13" s="89" t="s">
        <v>264</v>
      </c>
      <c r="N13" s="90" t="s">
        <v>264</v>
      </c>
      <c r="O13" s="91" t="s">
        <v>264</v>
      </c>
      <c r="P13" s="92" t="s">
        <v>264</v>
      </c>
      <c r="Q13" s="89" t="s">
        <v>264</v>
      </c>
      <c r="R13" s="90" t="s">
        <v>264</v>
      </c>
      <c r="S13" s="91" t="s">
        <v>264</v>
      </c>
      <c r="T13" s="92" t="s">
        <v>264</v>
      </c>
    </row>
    <row r="14" spans="1:20" ht="24.95" customHeight="1" x14ac:dyDescent="0.3">
      <c r="A14" s="85" t="s">
        <v>278</v>
      </c>
      <c r="B14" s="87" t="str">
        <f>VLOOKUP(A14,[1]VLOOKUP!$A$2:$B$35,2,FALSE)</f>
        <v>华东</v>
      </c>
      <c r="C14" s="88"/>
      <c r="D14" s="87"/>
      <c r="E14" s="87"/>
      <c r="F14" s="87"/>
      <c r="G14" s="87"/>
      <c r="H14" s="88" t="s">
        <v>3321</v>
      </c>
      <c r="I14" s="89">
        <v>500</v>
      </c>
      <c r="J14" s="90" t="s">
        <v>264</v>
      </c>
      <c r="K14" s="91">
        <v>30</v>
      </c>
      <c r="L14" s="92" t="s">
        <v>264</v>
      </c>
      <c r="M14" s="89">
        <v>1200</v>
      </c>
      <c r="N14" s="90" t="s">
        <v>264</v>
      </c>
      <c r="O14" s="91">
        <v>120</v>
      </c>
      <c r="P14" s="92" t="s">
        <v>264</v>
      </c>
      <c r="Q14" s="89" t="s">
        <v>264</v>
      </c>
      <c r="R14" s="90" t="s">
        <v>264</v>
      </c>
      <c r="S14" s="91" t="s">
        <v>264</v>
      </c>
      <c r="T14" s="92" t="s">
        <v>264</v>
      </c>
    </row>
    <row r="15" spans="1:20" ht="24.95" customHeight="1" x14ac:dyDescent="0.3">
      <c r="A15" s="85" t="s">
        <v>392</v>
      </c>
      <c r="B15" s="87" t="str">
        <f>VLOOKUP(A15,[1]VLOOKUP!$A$2:$B$35,2,FALSE)</f>
        <v>华东</v>
      </c>
      <c r="C15" s="88"/>
      <c r="D15" s="87"/>
      <c r="E15" s="87"/>
      <c r="F15" s="87"/>
      <c r="G15" s="87"/>
      <c r="H15" s="93" t="s">
        <v>3322</v>
      </c>
      <c r="I15" s="94" t="s">
        <v>264</v>
      </c>
      <c r="J15" s="95" t="s">
        <v>264</v>
      </c>
      <c r="K15" s="96" t="s">
        <v>264</v>
      </c>
      <c r="L15" s="97" t="s">
        <v>264</v>
      </c>
      <c r="M15" s="94">
        <v>600</v>
      </c>
      <c r="N15" s="95">
        <v>6000</v>
      </c>
      <c r="O15" s="96">
        <v>50</v>
      </c>
      <c r="P15" s="97">
        <v>3</v>
      </c>
      <c r="Q15" s="94">
        <v>3000</v>
      </c>
      <c r="R15" s="95" t="s">
        <v>264</v>
      </c>
      <c r="S15" s="96" t="s">
        <v>264</v>
      </c>
      <c r="T15" s="97">
        <v>10</v>
      </c>
    </row>
    <row r="16" spans="1:20" ht="24.95" customHeight="1" x14ac:dyDescent="0.3">
      <c r="A16" s="85" t="s">
        <v>280</v>
      </c>
      <c r="B16" s="87" t="str">
        <f>VLOOKUP(A16,[1]VLOOKUP!$A$2:$B$35,2,FALSE)</f>
        <v>华东</v>
      </c>
      <c r="C16" s="88"/>
      <c r="D16" s="87"/>
      <c r="E16" s="87"/>
      <c r="F16" s="87"/>
      <c r="G16" s="87"/>
      <c r="H16" s="88" t="s">
        <v>3323</v>
      </c>
      <c r="I16" s="89">
        <v>1000</v>
      </c>
      <c r="J16" s="90">
        <v>10000</v>
      </c>
      <c r="K16" s="91">
        <v>100</v>
      </c>
      <c r="L16" s="92" t="s">
        <v>264</v>
      </c>
      <c r="M16" s="89" t="s">
        <v>264</v>
      </c>
      <c r="N16" s="90">
        <v>50000</v>
      </c>
      <c r="O16" s="91">
        <v>200</v>
      </c>
      <c r="P16" s="92" t="s">
        <v>264</v>
      </c>
      <c r="Q16" s="89" t="s">
        <v>264</v>
      </c>
      <c r="R16" s="90" t="s">
        <v>264</v>
      </c>
      <c r="S16" s="91" t="s">
        <v>264</v>
      </c>
      <c r="T16" s="92" t="s">
        <v>264</v>
      </c>
    </row>
    <row r="17" spans="1:20" ht="24.95" customHeight="1" x14ac:dyDescent="0.3">
      <c r="A17" s="85" t="s">
        <v>352</v>
      </c>
      <c r="B17" s="87" t="str">
        <f>VLOOKUP(A17,[1]VLOOKUP!$A$2:$B$35,2,FALSE)</f>
        <v>华东</v>
      </c>
      <c r="C17" s="88"/>
      <c r="D17" s="87"/>
      <c r="E17" s="87"/>
      <c r="F17" s="87"/>
      <c r="G17" s="87"/>
      <c r="H17" s="88" t="s">
        <v>3324</v>
      </c>
      <c r="I17" s="89">
        <v>500</v>
      </c>
      <c r="J17" s="90">
        <v>500</v>
      </c>
      <c r="K17" s="91">
        <v>10</v>
      </c>
      <c r="L17" s="92">
        <v>0.1</v>
      </c>
      <c r="M17" s="89" t="s">
        <v>264</v>
      </c>
      <c r="N17" s="90" t="s">
        <v>264</v>
      </c>
      <c r="O17" s="91" t="s">
        <v>264</v>
      </c>
      <c r="P17" s="92" t="s">
        <v>264</v>
      </c>
      <c r="Q17" s="89" t="s">
        <v>264</v>
      </c>
      <c r="R17" s="90" t="s">
        <v>264</v>
      </c>
      <c r="S17" s="91" t="s">
        <v>264</v>
      </c>
      <c r="T17" s="92" t="s">
        <v>264</v>
      </c>
    </row>
    <row r="18" spans="1:20" ht="24.95" customHeight="1" x14ac:dyDescent="0.3">
      <c r="A18" s="85" t="s">
        <v>283</v>
      </c>
      <c r="B18" s="87" t="str">
        <f>VLOOKUP(A18,[1]VLOOKUP!$A$2:$B$35,2,FALSE)</f>
        <v>华中</v>
      </c>
      <c r="C18" s="88"/>
      <c r="D18" s="87"/>
      <c r="E18" s="87"/>
      <c r="F18" s="87"/>
      <c r="G18" s="87"/>
      <c r="H18" s="88" t="s">
        <v>3325</v>
      </c>
      <c r="I18" s="89">
        <v>1000</v>
      </c>
      <c r="J18" s="90">
        <v>5000</v>
      </c>
      <c r="K18" s="91" t="s">
        <v>264</v>
      </c>
      <c r="L18" s="92" t="s">
        <v>264</v>
      </c>
      <c r="M18" s="89" t="s">
        <v>264</v>
      </c>
      <c r="N18" s="90" t="s">
        <v>264</v>
      </c>
      <c r="O18" s="91" t="s">
        <v>264</v>
      </c>
      <c r="P18" s="92" t="s">
        <v>264</v>
      </c>
      <c r="Q18" s="89" t="s">
        <v>264</v>
      </c>
      <c r="R18" s="90" t="s">
        <v>264</v>
      </c>
      <c r="S18" s="91" t="s">
        <v>264</v>
      </c>
      <c r="T18" s="92" t="s">
        <v>264</v>
      </c>
    </row>
    <row r="19" spans="1:20" ht="24.95" customHeight="1" x14ac:dyDescent="0.3">
      <c r="A19" s="85" t="s">
        <v>368</v>
      </c>
      <c r="B19" s="87" t="str">
        <f>VLOOKUP(A19,[1]VLOOKUP!$A$2:$B$35,2,FALSE)</f>
        <v>华中</v>
      </c>
      <c r="C19" s="88"/>
      <c r="D19" s="87"/>
      <c r="E19" s="87"/>
      <c r="F19" s="87"/>
      <c r="G19" s="87"/>
      <c r="H19" s="93" t="s">
        <v>3326</v>
      </c>
      <c r="I19" s="94">
        <v>1000</v>
      </c>
      <c r="J19" s="95">
        <v>7000</v>
      </c>
      <c r="K19" s="96">
        <v>100</v>
      </c>
      <c r="L19" s="92" t="s">
        <v>264</v>
      </c>
      <c r="M19" s="89" t="s">
        <v>264</v>
      </c>
      <c r="N19" s="90" t="s">
        <v>264</v>
      </c>
      <c r="O19" s="91" t="s">
        <v>264</v>
      </c>
      <c r="P19" s="92" t="s">
        <v>264</v>
      </c>
      <c r="Q19" s="89" t="s">
        <v>264</v>
      </c>
      <c r="R19" s="90" t="s">
        <v>264</v>
      </c>
      <c r="S19" s="91" t="s">
        <v>264</v>
      </c>
      <c r="T19" s="92" t="s">
        <v>264</v>
      </c>
    </row>
    <row r="20" spans="1:20" ht="24.95" customHeight="1" x14ac:dyDescent="0.3">
      <c r="A20" s="85" t="s">
        <v>576</v>
      </c>
      <c r="B20" s="87" t="str">
        <f>VLOOKUP(A20,[1]VLOOKUP!$A$2:$B$35,2,FALSE)</f>
        <v>华中</v>
      </c>
      <c r="C20" s="88"/>
      <c r="D20" s="87"/>
      <c r="E20" s="87"/>
      <c r="F20" s="87"/>
      <c r="G20" s="87"/>
      <c r="H20" s="88" t="s">
        <v>3327</v>
      </c>
      <c r="I20" s="89" t="s">
        <v>264</v>
      </c>
      <c r="J20" s="90">
        <v>500</v>
      </c>
      <c r="K20" s="91">
        <v>10</v>
      </c>
      <c r="L20" s="92" t="s">
        <v>264</v>
      </c>
      <c r="M20" s="89" t="s">
        <v>264</v>
      </c>
      <c r="N20" s="90" t="s">
        <v>264</v>
      </c>
      <c r="O20" s="91" t="s">
        <v>264</v>
      </c>
      <c r="P20" s="92" t="s">
        <v>264</v>
      </c>
      <c r="Q20" s="89" t="s">
        <v>264</v>
      </c>
      <c r="R20" s="90" t="s">
        <v>264</v>
      </c>
      <c r="S20" s="91" t="s">
        <v>264</v>
      </c>
      <c r="T20" s="92" t="s">
        <v>264</v>
      </c>
    </row>
    <row r="21" spans="1:20" ht="24.95" customHeight="1" x14ac:dyDescent="0.3">
      <c r="A21" s="85" t="s">
        <v>292</v>
      </c>
      <c r="B21" s="87" t="str">
        <f>VLOOKUP(A21,[1]VLOOKUP!$A$2:$B$35,2,FALSE)</f>
        <v>华南</v>
      </c>
      <c r="C21" s="88"/>
      <c r="D21" s="87"/>
      <c r="E21" s="87"/>
      <c r="F21" s="87"/>
      <c r="G21" s="87"/>
      <c r="H21" s="88" t="s">
        <v>3328</v>
      </c>
      <c r="I21" s="89" t="s">
        <v>264</v>
      </c>
      <c r="J21" s="90">
        <v>10000</v>
      </c>
      <c r="K21" s="91">
        <v>300</v>
      </c>
      <c r="L21" s="92" t="s">
        <v>264</v>
      </c>
      <c r="M21" s="89" t="s">
        <v>264</v>
      </c>
      <c r="N21" s="90" t="s">
        <v>264</v>
      </c>
      <c r="O21" s="91" t="s">
        <v>264</v>
      </c>
      <c r="P21" s="92" t="s">
        <v>264</v>
      </c>
      <c r="Q21" s="89" t="s">
        <v>264</v>
      </c>
      <c r="R21" s="90" t="s">
        <v>264</v>
      </c>
      <c r="S21" s="91" t="s">
        <v>264</v>
      </c>
      <c r="T21" s="92" t="s">
        <v>264</v>
      </c>
    </row>
    <row r="22" spans="1:20" ht="24.95" customHeight="1" x14ac:dyDescent="0.3">
      <c r="A22" s="85" t="s">
        <v>377</v>
      </c>
      <c r="B22" s="87" t="str">
        <f>VLOOKUP(A22,[1]VLOOKUP!$A$2:$B$35,2,FALSE)</f>
        <v>华南</v>
      </c>
      <c r="C22" s="88"/>
      <c r="D22" s="87"/>
      <c r="E22" s="87"/>
      <c r="F22" s="87"/>
      <c r="G22" s="87"/>
      <c r="H22" s="93" t="s">
        <v>3329</v>
      </c>
      <c r="I22" s="94">
        <v>200</v>
      </c>
      <c r="J22" s="95">
        <v>2000</v>
      </c>
      <c r="K22" s="96" t="s">
        <v>264</v>
      </c>
      <c r="L22" s="92" t="s">
        <v>264</v>
      </c>
      <c r="M22" s="89" t="s">
        <v>264</v>
      </c>
      <c r="N22" s="90" t="s">
        <v>264</v>
      </c>
      <c r="O22" s="91" t="s">
        <v>264</v>
      </c>
      <c r="P22" s="92" t="s">
        <v>264</v>
      </c>
      <c r="Q22" s="89" t="s">
        <v>264</v>
      </c>
      <c r="R22" s="90" t="s">
        <v>264</v>
      </c>
      <c r="S22" s="91" t="s">
        <v>264</v>
      </c>
      <c r="T22" s="92" t="s">
        <v>264</v>
      </c>
    </row>
    <row r="23" spans="1:20" ht="24.95" customHeight="1" x14ac:dyDescent="0.3">
      <c r="A23" s="85" t="s">
        <v>338</v>
      </c>
      <c r="B23" s="87" t="str">
        <f>VLOOKUP(A23,[1]VLOOKUP!$A$2:$B$35,2,FALSE)</f>
        <v>华南</v>
      </c>
      <c r="C23" s="88"/>
      <c r="D23" s="87"/>
      <c r="E23" s="87"/>
      <c r="F23" s="87"/>
      <c r="G23" s="87"/>
      <c r="H23" s="88" t="s">
        <v>3330</v>
      </c>
      <c r="I23" s="89" t="s">
        <v>264</v>
      </c>
      <c r="J23" s="90">
        <v>200</v>
      </c>
      <c r="K23" s="91">
        <v>6</v>
      </c>
      <c r="L23" s="92">
        <v>10</v>
      </c>
      <c r="M23" s="89" t="s">
        <v>264</v>
      </c>
      <c r="N23" s="90">
        <v>1000</v>
      </c>
      <c r="O23" s="91">
        <v>15</v>
      </c>
      <c r="P23" s="92">
        <v>40</v>
      </c>
      <c r="Q23" s="89" t="s">
        <v>264</v>
      </c>
      <c r="R23" s="90" t="s">
        <v>264</v>
      </c>
      <c r="S23" s="91" t="s">
        <v>264</v>
      </c>
      <c r="T23" s="92" t="s">
        <v>264</v>
      </c>
    </row>
    <row r="24" spans="1:20" ht="24.95" customHeight="1" x14ac:dyDescent="0.3">
      <c r="A24" s="85" t="s">
        <v>572</v>
      </c>
      <c r="B24" s="87" t="str">
        <f>VLOOKUP(A24,[1]VLOOKUP!$A$2:$B$35,2,FALSE)</f>
        <v>西南</v>
      </c>
      <c r="C24" s="88"/>
      <c r="D24" s="87"/>
      <c r="E24" s="87"/>
      <c r="F24" s="87"/>
      <c r="G24" s="87"/>
      <c r="H24" s="88" t="s">
        <v>3331</v>
      </c>
      <c r="I24" s="89" t="s">
        <v>264</v>
      </c>
      <c r="J24" s="90">
        <v>1500</v>
      </c>
      <c r="K24" s="91">
        <v>15</v>
      </c>
      <c r="L24" s="92" t="s">
        <v>264</v>
      </c>
      <c r="M24" s="89" t="s">
        <v>264</v>
      </c>
      <c r="N24" s="90" t="s">
        <v>264</v>
      </c>
      <c r="O24" s="91" t="s">
        <v>264</v>
      </c>
      <c r="P24" s="92" t="s">
        <v>264</v>
      </c>
      <c r="Q24" s="89" t="s">
        <v>264</v>
      </c>
      <c r="R24" s="90" t="s">
        <v>264</v>
      </c>
      <c r="S24" s="91" t="s">
        <v>264</v>
      </c>
      <c r="T24" s="92" t="s">
        <v>264</v>
      </c>
    </row>
    <row r="25" spans="1:20" ht="24.95" customHeight="1" x14ac:dyDescent="0.3">
      <c r="A25" s="85" t="s">
        <v>384</v>
      </c>
      <c r="B25" s="87" t="str">
        <f>VLOOKUP(A25,[1]VLOOKUP!$A$2:$B$35,2,FALSE)</f>
        <v>西南</v>
      </c>
      <c r="C25" s="88"/>
      <c r="D25" s="87"/>
      <c r="E25" s="87"/>
      <c r="F25" s="87"/>
      <c r="G25" s="87"/>
      <c r="H25" s="88" t="s">
        <v>3332</v>
      </c>
      <c r="I25" s="89" t="s">
        <v>264</v>
      </c>
      <c r="J25" s="90">
        <v>6000</v>
      </c>
      <c r="K25" s="91">
        <v>60</v>
      </c>
      <c r="L25" s="92" t="s">
        <v>264</v>
      </c>
      <c r="M25" s="89" t="s">
        <v>264</v>
      </c>
      <c r="N25" s="90" t="s">
        <v>264</v>
      </c>
      <c r="O25" s="91" t="s">
        <v>264</v>
      </c>
      <c r="P25" s="92" t="s">
        <v>264</v>
      </c>
      <c r="Q25" s="89" t="s">
        <v>264</v>
      </c>
      <c r="R25" s="90" t="s">
        <v>264</v>
      </c>
      <c r="S25" s="91" t="s">
        <v>264</v>
      </c>
      <c r="T25" s="92" t="s">
        <v>264</v>
      </c>
    </row>
    <row r="26" spans="1:20" ht="24.95" customHeight="1" x14ac:dyDescent="0.3">
      <c r="A26" s="85" t="s">
        <v>499</v>
      </c>
      <c r="B26" s="87" t="str">
        <f>VLOOKUP(A26,[1]VLOOKUP!$A$2:$B$35,2,FALSE)</f>
        <v>西南</v>
      </c>
      <c r="C26" s="88"/>
      <c r="D26" s="87"/>
      <c r="E26" s="87"/>
      <c r="F26" s="87"/>
      <c r="G26" s="87"/>
      <c r="H26" s="88" t="s">
        <v>3333</v>
      </c>
      <c r="I26" s="89">
        <v>200</v>
      </c>
      <c r="J26" s="90">
        <v>1000</v>
      </c>
      <c r="K26" s="91">
        <v>15</v>
      </c>
      <c r="L26" s="92" t="s">
        <v>264</v>
      </c>
      <c r="M26" s="89" t="s">
        <v>264</v>
      </c>
      <c r="N26" s="90" t="s">
        <v>264</v>
      </c>
      <c r="O26" s="91" t="s">
        <v>264</v>
      </c>
      <c r="P26" s="92" t="s">
        <v>264</v>
      </c>
      <c r="Q26" s="89" t="s">
        <v>264</v>
      </c>
      <c r="R26" s="90" t="s">
        <v>264</v>
      </c>
      <c r="S26" s="91" t="s">
        <v>264</v>
      </c>
      <c r="T26" s="92" t="s">
        <v>264</v>
      </c>
    </row>
    <row r="27" spans="1:20" ht="24.95" customHeight="1" x14ac:dyDescent="0.3">
      <c r="A27" s="85" t="s">
        <v>3200</v>
      </c>
      <c r="B27" s="87" t="str">
        <f>VLOOKUP(A27,[1]VLOOKUP!$A$2:$B$35,2,FALSE)</f>
        <v>西南</v>
      </c>
      <c r="C27" s="88"/>
      <c r="D27" s="87"/>
      <c r="E27" s="87"/>
      <c r="F27" s="87"/>
      <c r="G27" s="87"/>
      <c r="H27" s="88" t="s">
        <v>264</v>
      </c>
      <c r="I27" s="89"/>
      <c r="J27" s="90"/>
      <c r="K27" s="91"/>
      <c r="L27" s="92"/>
      <c r="M27" s="89"/>
      <c r="N27" s="90"/>
      <c r="O27" s="91"/>
      <c r="P27" s="92"/>
      <c r="Q27" s="89"/>
      <c r="R27" s="90"/>
      <c r="S27" s="91"/>
      <c r="T27" s="92"/>
    </row>
    <row r="28" spans="1:20" ht="24.95" customHeight="1" x14ac:dyDescent="0.3">
      <c r="A28" s="98" t="s">
        <v>364</v>
      </c>
      <c r="B28" s="87" t="str">
        <f>VLOOKUP(A28,[1]VLOOKUP!$A$2:$B$35,2,FALSE)</f>
        <v>西南</v>
      </c>
      <c r="C28" s="88"/>
      <c r="D28" s="99"/>
      <c r="E28" s="99"/>
      <c r="F28" s="99"/>
      <c r="G28" s="99"/>
      <c r="H28" s="100" t="s">
        <v>3334</v>
      </c>
      <c r="I28" s="89" t="s">
        <v>264</v>
      </c>
      <c r="J28" s="90" t="s">
        <v>264</v>
      </c>
      <c r="K28" s="91" t="s">
        <v>264</v>
      </c>
      <c r="L28" s="92" t="s">
        <v>264</v>
      </c>
      <c r="M28" s="89" t="s">
        <v>264</v>
      </c>
      <c r="N28" s="90" t="s">
        <v>264</v>
      </c>
      <c r="O28" s="91" t="s">
        <v>264</v>
      </c>
      <c r="P28" s="92" t="s">
        <v>264</v>
      </c>
      <c r="Q28" s="89" t="s">
        <v>264</v>
      </c>
      <c r="R28" s="90" t="s">
        <v>264</v>
      </c>
      <c r="S28" s="91" t="s">
        <v>264</v>
      </c>
      <c r="T28" s="92" t="s">
        <v>264</v>
      </c>
    </row>
    <row r="29" spans="1:20" ht="24.95" customHeight="1" x14ac:dyDescent="0.3">
      <c r="A29" s="85" t="s">
        <v>566</v>
      </c>
      <c r="B29" s="87" t="str">
        <f>VLOOKUP(A29,[1]VLOOKUP!$A$2:$B$35,2,FALSE)</f>
        <v>西北</v>
      </c>
      <c r="C29" s="88"/>
      <c r="D29" s="87"/>
      <c r="E29" s="87"/>
      <c r="F29" s="87"/>
      <c r="G29" s="87"/>
      <c r="H29" s="88" t="s">
        <v>3335</v>
      </c>
      <c r="I29" s="89">
        <v>1000</v>
      </c>
      <c r="J29" s="90">
        <v>10000</v>
      </c>
      <c r="K29" s="91">
        <v>100</v>
      </c>
      <c r="L29" s="92" t="s">
        <v>264</v>
      </c>
      <c r="M29" s="89" t="s">
        <v>264</v>
      </c>
      <c r="N29" s="90" t="s">
        <v>264</v>
      </c>
      <c r="O29" s="91" t="s">
        <v>264</v>
      </c>
      <c r="P29" s="92" t="s">
        <v>264</v>
      </c>
      <c r="Q29" s="89" t="s">
        <v>264</v>
      </c>
      <c r="R29" s="90" t="s">
        <v>264</v>
      </c>
      <c r="S29" s="91" t="s">
        <v>264</v>
      </c>
      <c r="T29" s="92" t="s">
        <v>264</v>
      </c>
    </row>
    <row r="30" spans="1:20" ht="24.95" customHeight="1" x14ac:dyDescent="0.3">
      <c r="A30" s="85" t="s">
        <v>371</v>
      </c>
      <c r="B30" s="87" t="str">
        <f>VLOOKUP(A30,[1]VLOOKUP!$A$2:$B$35,2,FALSE)</f>
        <v>西北</v>
      </c>
      <c r="C30" s="88"/>
      <c r="D30" s="87"/>
      <c r="E30" s="87"/>
      <c r="F30" s="87"/>
      <c r="G30" s="87"/>
      <c r="H30" s="88" t="s">
        <v>3336</v>
      </c>
      <c r="I30" s="89">
        <v>35</v>
      </c>
      <c r="J30" s="90">
        <v>250</v>
      </c>
      <c r="K30" s="91">
        <v>4</v>
      </c>
      <c r="L30" s="92">
        <v>4</v>
      </c>
      <c r="M30" s="89">
        <v>160</v>
      </c>
      <c r="N30" s="90">
        <v>1000</v>
      </c>
      <c r="O30" s="91">
        <v>15</v>
      </c>
      <c r="P30" s="92">
        <v>30</v>
      </c>
      <c r="Q30" s="89">
        <v>500</v>
      </c>
      <c r="R30" s="90" t="s">
        <v>264</v>
      </c>
      <c r="S30" s="91" t="s">
        <v>264</v>
      </c>
      <c r="T30" s="92">
        <v>100</v>
      </c>
    </row>
    <row r="31" spans="1:20" ht="24.95" customHeight="1" x14ac:dyDescent="0.3">
      <c r="A31" s="85" t="s">
        <v>3136</v>
      </c>
      <c r="B31" s="87" t="str">
        <f>VLOOKUP(A31,[1]VLOOKUP!$A$2:$B$35,2,FALSE)</f>
        <v>西北</v>
      </c>
      <c r="C31" s="88"/>
      <c r="D31" s="87"/>
      <c r="E31" s="87"/>
      <c r="F31" s="87"/>
      <c r="G31" s="87"/>
      <c r="H31" s="88" t="s">
        <v>3337</v>
      </c>
      <c r="I31" s="89">
        <v>100</v>
      </c>
      <c r="J31" s="90" t="s">
        <v>264</v>
      </c>
      <c r="K31" s="91" t="s">
        <v>264</v>
      </c>
      <c r="L31" s="92">
        <v>20</v>
      </c>
      <c r="M31" s="89" t="s">
        <v>264</v>
      </c>
      <c r="N31" s="90" t="s">
        <v>264</v>
      </c>
      <c r="O31" s="91" t="s">
        <v>264</v>
      </c>
      <c r="P31" s="92" t="s">
        <v>264</v>
      </c>
      <c r="Q31" s="89" t="s">
        <v>264</v>
      </c>
      <c r="R31" s="90" t="s">
        <v>264</v>
      </c>
      <c r="S31" s="91" t="s">
        <v>264</v>
      </c>
      <c r="T31" s="92" t="s">
        <v>264</v>
      </c>
    </row>
    <row r="32" spans="1:20" ht="24.95" customHeight="1" x14ac:dyDescent="0.3">
      <c r="A32" s="85" t="s">
        <v>297</v>
      </c>
      <c r="B32" s="87" t="str">
        <f>VLOOKUP(A32,[1]VLOOKUP!$A$2:$B$35,2,FALSE)</f>
        <v>西北</v>
      </c>
      <c r="C32" s="88"/>
      <c r="D32" s="87"/>
      <c r="E32" s="87"/>
      <c r="F32" s="87"/>
      <c r="G32" s="87"/>
      <c r="H32" s="88" t="s">
        <v>3338</v>
      </c>
      <c r="I32" s="89" t="s">
        <v>264</v>
      </c>
      <c r="J32" s="90">
        <v>500</v>
      </c>
      <c r="K32" s="91">
        <v>10</v>
      </c>
      <c r="L32" s="92">
        <v>8</v>
      </c>
      <c r="M32" s="89" t="s">
        <v>264</v>
      </c>
      <c r="N32" s="90" t="s">
        <v>264</v>
      </c>
      <c r="O32" s="91" t="s">
        <v>264</v>
      </c>
      <c r="P32" s="92">
        <v>30</v>
      </c>
      <c r="Q32" s="89" t="s">
        <v>264</v>
      </c>
      <c r="R32" s="90" t="s">
        <v>264</v>
      </c>
      <c r="S32" s="91" t="s">
        <v>264</v>
      </c>
      <c r="T32" s="92" t="s">
        <v>264</v>
      </c>
    </row>
    <row r="33" spans="1:20" ht="24.95" customHeight="1" thickBot="1" x14ac:dyDescent="0.35">
      <c r="A33" s="85" t="s">
        <v>299</v>
      </c>
      <c r="B33" s="87" t="str">
        <f>VLOOKUP(A33,[1]VLOOKUP!$A$2:$B$35,2,FALSE)</f>
        <v>西北</v>
      </c>
      <c r="C33" s="88"/>
      <c r="D33" s="87"/>
      <c r="E33" s="87"/>
      <c r="F33" s="87"/>
      <c r="G33" s="87"/>
      <c r="H33" s="88" t="s">
        <v>3339</v>
      </c>
      <c r="I33" s="89" t="s">
        <v>264</v>
      </c>
      <c r="J33" s="90">
        <v>1500</v>
      </c>
      <c r="K33" s="91" t="s">
        <v>264</v>
      </c>
      <c r="L33" s="92">
        <v>10</v>
      </c>
      <c r="M33" s="89" t="s">
        <v>264</v>
      </c>
      <c r="N33" s="90" t="s">
        <v>264</v>
      </c>
      <c r="O33" s="91" t="s">
        <v>264</v>
      </c>
      <c r="P33" s="92" t="s">
        <v>264</v>
      </c>
      <c r="Q33" s="89" t="s">
        <v>264</v>
      </c>
      <c r="R33" s="90" t="s">
        <v>264</v>
      </c>
      <c r="S33" s="91" t="s">
        <v>264</v>
      </c>
      <c r="T33" s="92" t="s">
        <v>264</v>
      </c>
    </row>
    <row r="34" spans="1:20" ht="24.95" customHeight="1" thickBot="1" x14ac:dyDescent="0.35">
      <c r="A34" s="101"/>
      <c r="B34" s="101"/>
      <c r="C34" s="101"/>
      <c r="D34" s="101"/>
      <c r="E34" s="101"/>
      <c r="F34" s="101"/>
      <c r="G34" s="101"/>
      <c r="H34" s="102" t="s">
        <v>231</v>
      </c>
      <c r="I34" s="102">
        <f t="shared" ref="I34:T34" si="0">SUM(I3:I33)</f>
        <v>10885</v>
      </c>
      <c r="J34" s="102">
        <f t="shared" si="0"/>
        <v>113450</v>
      </c>
      <c r="K34" s="102">
        <f t="shared" si="0"/>
        <v>1272</v>
      </c>
      <c r="L34" s="102">
        <f t="shared" si="0"/>
        <v>107.1</v>
      </c>
      <c r="M34" s="102">
        <f t="shared" si="0"/>
        <v>2260</v>
      </c>
      <c r="N34" s="102">
        <f t="shared" si="0"/>
        <v>115000</v>
      </c>
      <c r="O34" s="102">
        <f t="shared" si="0"/>
        <v>470</v>
      </c>
      <c r="P34" s="102">
        <f t="shared" si="0"/>
        <v>138</v>
      </c>
      <c r="Q34" s="102">
        <f t="shared" si="0"/>
        <v>9500</v>
      </c>
      <c r="R34" s="102">
        <f t="shared" si="0"/>
        <v>220000</v>
      </c>
      <c r="S34" s="102">
        <f t="shared" si="0"/>
        <v>900</v>
      </c>
      <c r="T34" s="102">
        <f t="shared" si="0"/>
        <v>245</v>
      </c>
    </row>
    <row r="36" spans="1:20" ht="24.95" customHeight="1" x14ac:dyDescent="0.3">
      <c r="A36" s="85"/>
      <c r="B36" s="85"/>
      <c r="C36" s="85"/>
      <c r="D36" s="85"/>
      <c r="E36" s="85"/>
      <c r="F36" s="85"/>
      <c r="G36" s="85"/>
      <c r="H36" s="85"/>
      <c r="I36" s="119">
        <v>2025</v>
      </c>
      <c r="J36" s="120"/>
      <c r="K36" s="120"/>
      <c r="L36" s="121"/>
      <c r="M36" s="119">
        <v>2030</v>
      </c>
      <c r="N36" s="120"/>
      <c r="O36" s="120"/>
      <c r="P36" s="121"/>
      <c r="Q36" s="119">
        <v>2035</v>
      </c>
      <c r="R36" s="120"/>
      <c r="S36" s="120"/>
      <c r="T36" s="121"/>
    </row>
    <row r="37" spans="1:20" ht="24.95" customHeight="1" x14ac:dyDescent="0.3">
      <c r="A37" s="85" t="s">
        <v>3299</v>
      </c>
      <c r="B37" s="85"/>
      <c r="C37" s="85"/>
      <c r="D37" s="85"/>
      <c r="E37" s="85"/>
      <c r="F37" s="85"/>
      <c r="G37" s="85"/>
      <c r="H37" s="85" t="s">
        <v>581</v>
      </c>
      <c r="I37" s="85" t="s">
        <v>3304</v>
      </c>
      <c r="J37" s="85" t="s">
        <v>3305</v>
      </c>
      <c r="K37" s="85" t="s">
        <v>3306</v>
      </c>
      <c r="L37" s="85" t="s">
        <v>3307</v>
      </c>
      <c r="M37" s="85" t="s">
        <v>3304</v>
      </c>
      <c r="N37" s="85" t="s">
        <v>3305</v>
      </c>
      <c r="O37" s="85" t="s">
        <v>3306</v>
      </c>
      <c r="P37" s="85" t="s">
        <v>3307</v>
      </c>
      <c r="Q37" s="85" t="s">
        <v>3304</v>
      </c>
      <c r="R37" s="85" t="s">
        <v>3305</v>
      </c>
      <c r="S37" s="85" t="s">
        <v>3306</v>
      </c>
      <c r="T37" s="85" t="s">
        <v>3307</v>
      </c>
    </row>
    <row r="38" spans="1:20" ht="24.95" customHeight="1" x14ac:dyDescent="0.3">
      <c r="A38" s="85" t="s">
        <v>230</v>
      </c>
      <c r="B38" s="87" t="str">
        <f>VLOOKUP(A38,[1]VLOOKUP!$A$2:$B$35,2,FALSE)</f>
        <v>华北</v>
      </c>
      <c r="C38" s="87"/>
      <c r="D38" s="87"/>
      <c r="E38" s="87"/>
      <c r="F38" s="87"/>
      <c r="G38" s="87"/>
      <c r="H38" s="88" t="s">
        <v>3308</v>
      </c>
      <c r="I38" s="89">
        <v>1000</v>
      </c>
      <c r="J38" s="90">
        <v>10000</v>
      </c>
      <c r="K38" s="91">
        <v>74</v>
      </c>
      <c r="L38" s="92" t="s">
        <v>264</v>
      </c>
      <c r="M38" s="103">
        <v>1000</v>
      </c>
      <c r="N38" s="104">
        <v>10000</v>
      </c>
      <c r="O38" s="105">
        <v>74</v>
      </c>
      <c r="P38" s="106" t="s">
        <v>264</v>
      </c>
      <c r="Q38" s="103">
        <v>1000</v>
      </c>
      <c r="R38" s="104">
        <v>10000</v>
      </c>
      <c r="S38" s="105">
        <v>74</v>
      </c>
      <c r="T38" s="106" t="s">
        <v>264</v>
      </c>
    </row>
    <row r="39" spans="1:20" ht="24.95" customHeight="1" x14ac:dyDescent="0.3">
      <c r="A39" s="85" t="s">
        <v>250</v>
      </c>
      <c r="B39" s="87" t="str">
        <f>VLOOKUP(A39,[1]VLOOKUP!$A$2:$B$35,2,FALSE)</f>
        <v>华北</v>
      </c>
      <c r="C39" s="87"/>
      <c r="D39" s="87"/>
      <c r="E39" s="87"/>
      <c r="F39" s="87"/>
      <c r="G39" s="87"/>
      <c r="H39" s="88" t="s">
        <v>3309</v>
      </c>
      <c r="I39" s="89">
        <v>150</v>
      </c>
      <c r="J39" s="90">
        <v>1000</v>
      </c>
      <c r="K39" s="91">
        <v>10</v>
      </c>
      <c r="L39" s="92" t="s">
        <v>264</v>
      </c>
      <c r="M39" s="103">
        <v>150</v>
      </c>
      <c r="N39" s="104">
        <v>1000</v>
      </c>
      <c r="O39" s="105">
        <v>10</v>
      </c>
      <c r="P39" s="106" t="s">
        <v>264</v>
      </c>
      <c r="Q39" s="103">
        <v>150</v>
      </c>
      <c r="R39" s="104">
        <v>1000</v>
      </c>
      <c r="S39" s="105">
        <v>10</v>
      </c>
      <c r="T39" s="106" t="s">
        <v>264</v>
      </c>
    </row>
    <row r="40" spans="1:20" ht="24.95" customHeight="1" x14ac:dyDescent="0.3">
      <c r="A40" s="85" t="s">
        <v>252</v>
      </c>
      <c r="B40" s="87" t="str">
        <f>VLOOKUP(A40,[1]VLOOKUP!$A$2:$B$35,2,FALSE)</f>
        <v>华北</v>
      </c>
      <c r="C40" s="87"/>
      <c r="D40" s="87"/>
      <c r="E40" s="87"/>
      <c r="F40" s="87"/>
      <c r="G40" s="87"/>
      <c r="H40" s="88" t="s">
        <v>3310</v>
      </c>
      <c r="I40" s="89">
        <v>500</v>
      </c>
      <c r="J40" s="90">
        <v>10000</v>
      </c>
      <c r="K40" s="91">
        <v>100</v>
      </c>
      <c r="L40" s="92" t="s">
        <v>264</v>
      </c>
      <c r="M40" s="103">
        <v>500</v>
      </c>
      <c r="N40" s="104">
        <v>10000</v>
      </c>
      <c r="O40" s="105">
        <v>100</v>
      </c>
      <c r="P40" s="106" t="s">
        <v>264</v>
      </c>
      <c r="Q40" s="103">
        <v>500</v>
      </c>
      <c r="R40" s="104">
        <v>10000</v>
      </c>
      <c r="S40" s="105">
        <v>100</v>
      </c>
      <c r="T40" s="106" t="s">
        <v>264</v>
      </c>
    </row>
    <row r="41" spans="1:20" ht="24.95" customHeight="1" x14ac:dyDescent="0.3">
      <c r="A41" s="85" t="s">
        <v>265</v>
      </c>
      <c r="B41" s="87" t="str">
        <f>VLOOKUP(A41,[1]VLOOKUP!$A$2:$B$35,2,FALSE)</f>
        <v>华北</v>
      </c>
      <c r="C41" s="87"/>
      <c r="D41" s="87"/>
      <c r="E41" s="87"/>
      <c r="F41" s="87"/>
      <c r="G41" s="87"/>
      <c r="H41" s="88" t="s">
        <v>3311</v>
      </c>
      <c r="I41" s="89" t="s">
        <v>264</v>
      </c>
      <c r="J41" s="90">
        <v>10000</v>
      </c>
      <c r="K41" s="91" t="s">
        <v>264</v>
      </c>
      <c r="L41" s="92" t="s">
        <v>264</v>
      </c>
      <c r="M41" s="89" t="s">
        <v>264</v>
      </c>
      <c r="N41" s="90">
        <v>50000</v>
      </c>
      <c r="O41" s="91" t="s">
        <v>264</v>
      </c>
      <c r="P41" s="92" t="s">
        <v>264</v>
      </c>
      <c r="Q41" s="89" t="s">
        <v>264</v>
      </c>
      <c r="R41" s="104">
        <v>50000</v>
      </c>
      <c r="S41" s="91" t="s">
        <v>264</v>
      </c>
      <c r="T41" s="92" t="s">
        <v>264</v>
      </c>
    </row>
    <row r="42" spans="1:20" ht="24.95" customHeight="1" x14ac:dyDescent="0.3">
      <c r="A42" s="85" t="s">
        <v>267</v>
      </c>
      <c r="B42" s="87" t="str">
        <f>VLOOKUP(A42,[1]VLOOKUP!$A$2:$B$35,2,FALSE)</f>
        <v>华北</v>
      </c>
      <c r="C42" s="87"/>
      <c r="D42" s="87"/>
      <c r="E42" s="87"/>
      <c r="F42" s="87"/>
      <c r="G42" s="87"/>
      <c r="H42" s="88" t="s">
        <v>3312</v>
      </c>
      <c r="I42" s="89">
        <v>1000</v>
      </c>
      <c r="J42" s="90">
        <v>5000</v>
      </c>
      <c r="K42" s="91">
        <v>60</v>
      </c>
      <c r="L42" s="92">
        <v>48</v>
      </c>
      <c r="M42" s="103">
        <v>1000</v>
      </c>
      <c r="N42" s="104">
        <v>5000</v>
      </c>
      <c r="O42" s="105">
        <v>60</v>
      </c>
      <c r="P42" s="106">
        <v>48</v>
      </c>
      <c r="Q42" s="103">
        <v>1000</v>
      </c>
      <c r="R42" s="104">
        <v>5000</v>
      </c>
      <c r="S42" s="105">
        <v>60</v>
      </c>
      <c r="T42" s="106">
        <v>48</v>
      </c>
    </row>
    <row r="43" spans="1:20" ht="24.95" customHeight="1" x14ac:dyDescent="0.3">
      <c r="A43" s="85" t="s">
        <v>271</v>
      </c>
      <c r="B43" s="87" t="str">
        <f>VLOOKUP(A43,[1]VLOOKUP!$A$2:$B$35,2,FALSE)</f>
        <v>东北</v>
      </c>
      <c r="C43" s="87"/>
      <c r="D43" s="87"/>
      <c r="E43" s="87"/>
      <c r="F43" s="87"/>
      <c r="G43" s="87"/>
      <c r="H43" s="88" t="s">
        <v>3313</v>
      </c>
      <c r="I43" s="89">
        <v>600</v>
      </c>
      <c r="J43" s="90">
        <v>2000</v>
      </c>
      <c r="K43" s="91">
        <v>30</v>
      </c>
      <c r="L43" s="92" t="s">
        <v>264</v>
      </c>
      <c r="M43" s="103">
        <v>600</v>
      </c>
      <c r="N43" s="104">
        <v>2000</v>
      </c>
      <c r="O43" s="105">
        <v>30</v>
      </c>
      <c r="P43" s="106" t="s">
        <v>264</v>
      </c>
      <c r="Q43" s="89">
        <v>5000</v>
      </c>
      <c r="R43" s="90">
        <v>150000</v>
      </c>
      <c r="S43" s="91">
        <v>500</v>
      </c>
      <c r="T43" s="92" t="s">
        <v>264</v>
      </c>
    </row>
    <row r="44" spans="1:20" ht="24.95" customHeight="1" x14ac:dyDescent="0.3">
      <c r="A44" s="85" t="s">
        <v>327</v>
      </c>
      <c r="B44" s="87" t="str">
        <f>VLOOKUP(A44,[1]VLOOKUP!$A$2:$B$35,2,FALSE)</f>
        <v>东北</v>
      </c>
      <c r="C44" s="87"/>
      <c r="D44" s="87"/>
      <c r="E44" s="87"/>
      <c r="F44" s="87"/>
      <c r="G44" s="87"/>
      <c r="H44" s="88" t="s">
        <v>3315</v>
      </c>
      <c r="I44" s="89">
        <v>100</v>
      </c>
      <c r="J44" s="90">
        <v>500</v>
      </c>
      <c r="K44" s="91">
        <v>10</v>
      </c>
      <c r="L44" s="92">
        <v>7</v>
      </c>
      <c r="M44" s="89">
        <v>300</v>
      </c>
      <c r="N44" s="90">
        <v>7000</v>
      </c>
      <c r="O44" s="91">
        <v>70</v>
      </c>
      <c r="P44" s="92">
        <v>35</v>
      </c>
      <c r="Q44" s="89">
        <v>1000</v>
      </c>
      <c r="R44" s="90">
        <v>70000</v>
      </c>
      <c r="S44" s="91">
        <v>400</v>
      </c>
      <c r="T44" s="92">
        <v>135</v>
      </c>
    </row>
    <row r="45" spans="1:20" ht="24.95" customHeight="1" x14ac:dyDescent="0.3">
      <c r="A45" s="85" t="s">
        <v>1342</v>
      </c>
      <c r="B45" s="87" t="str">
        <f>VLOOKUP(A45,[1]VLOOKUP!$A$2:$B$35,2,FALSE)</f>
        <v>东北</v>
      </c>
      <c r="C45" s="87"/>
      <c r="D45" s="87"/>
      <c r="E45" s="87"/>
      <c r="F45" s="87"/>
      <c r="G45" s="87"/>
      <c r="H45" s="88" t="s">
        <v>3317</v>
      </c>
      <c r="I45" s="89" t="s">
        <v>264</v>
      </c>
      <c r="J45" s="90" t="s">
        <v>264</v>
      </c>
      <c r="K45" s="91">
        <v>8</v>
      </c>
      <c r="L45" s="92" t="s">
        <v>264</v>
      </c>
      <c r="M45" s="103" t="s">
        <v>264</v>
      </c>
      <c r="N45" s="104" t="s">
        <v>264</v>
      </c>
      <c r="O45" s="105">
        <v>8</v>
      </c>
      <c r="P45" s="106" t="s">
        <v>264</v>
      </c>
      <c r="Q45" s="103" t="s">
        <v>264</v>
      </c>
      <c r="R45" s="104" t="s">
        <v>264</v>
      </c>
      <c r="S45" s="105">
        <v>8</v>
      </c>
      <c r="T45" s="106" t="s">
        <v>264</v>
      </c>
    </row>
    <row r="46" spans="1:20" ht="24.95" customHeight="1" x14ac:dyDescent="0.3">
      <c r="A46" s="85" t="s">
        <v>273</v>
      </c>
      <c r="B46" s="87" t="str">
        <f>VLOOKUP(A46,[1]VLOOKUP!$A$2:$B$35,2,FALSE)</f>
        <v>华东</v>
      </c>
      <c r="C46" s="87"/>
      <c r="D46" s="87"/>
      <c r="E46" s="87"/>
      <c r="F46" s="87"/>
      <c r="G46" s="87"/>
      <c r="H46" s="88" t="s">
        <v>3318</v>
      </c>
      <c r="I46" s="89">
        <v>1000</v>
      </c>
      <c r="J46" s="90">
        <v>10000</v>
      </c>
      <c r="K46" s="91">
        <v>70</v>
      </c>
      <c r="L46" s="92" t="s">
        <v>264</v>
      </c>
      <c r="M46" s="103">
        <v>1000</v>
      </c>
      <c r="N46" s="104">
        <v>10000</v>
      </c>
      <c r="O46" s="105">
        <v>70</v>
      </c>
      <c r="P46" s="106" t="s">
        <v>264</v>
      </c>
      <c r="Q46" s="103">
        <v>1000</v>
      </c>
      <c r="R46" s="104">
        <v>10000</v>
      </c>
      <c r="S46" s="105">
        <v>70</v>
      </c>
      <c r="T46" s="106" t="s">
        <v>264</v>
      </c>
    </row>
    <row r="47" spans="1:20" ht="24.95" customHeight="1" x14ac:dyDescent="0.3">
      <c r="A47" s="85" t="s">
        <v>274</v>
      </c>
      <c r="B47" s="87" t="str">
        <f>VLOOKUP(A47,[1]VLOOKUP!$A$2:$B$35,2,FALSE)</f>
        <v>华东</v>
      </c>
      <c r="C47" s="87"/>
      <c r="D47" s="87"/>
      <c r="E47" s="87"/>
      <c r="F47" s="87"/>
      <c r="G47" s="87"/>
      <c r="H47" s="93" t="s">
        <v>3319</v>
      </c>
      <c r="I47" s="94">
        <v>1000</v>
      </c>
      <c r="J47" s="95">
        <v>4000</v>
      </c>
      <c r="K47" s="96">
        <v>100</v>
      </c>
      <c r="L47" s="92" t="s">
        <v>264</v>
      </c>
      <c r="M47" s="103">
        <v>1000</v>
      </c>
      <c r="N47" s="104">
        <v>4000</v>
      </c>
      <c r="O47" s="105">
        <v>100</v>
      </c>
      <c r="P47" s="106" t="s">
        <v>264</v>
      </c>
      <c r="Q47" s="103">
        <v>1000</v>
      </c>
      <c r="R47" s="104">
        <v>4000</v>
      </c>
      <c r="S47" s="105">
        <v>100</v>
      </c>
      <c r="T47" s="106" t="s">
        <v>264</v>
      </c>
    </row>
    <row r="48" spans="1:20" ht="24.95" customHeight="1" x14ac:dyDescent="0.3">
      <c r="A48" s="85" t="s">
        <v>276</v>
      </c>
      <c r="B48" s="87" t="str">
        <f>VLOOKUP(A48,[1]VLOOKUP!$A$2:$B$35,2,FALSE)</f>
        <v>华东</v>
      </c>
      <c r="C48" s="87"/>
      <c r="D48" s="87"/>
      <c r="E48" s="87"/>
      <c r="F48" s="87"/>
      <c r="G48" s="87"/>
      <c r="H48" s="88" t="s">
        <v>3320</v>
      </c>
      <c r="I48" s="89" t="s">
        <v>264</v>
      </c>
      <c r="J48" s="90">
        <v>5000</v>
      </c>
      <c r="K48" s="91">
        <v>50</v>
      </c>
      <c r="L48" s="92" t="s">
        <v>264</v>
      </c>
      <c r="M48" s="103" t="s">
        <v>264</v>
      </c>
      <c r="N48" s="104">
        <v>5000</v>
      </c>
      <c r="O48" s="105">
        <v>50</v>
      </c>
      <c r="P48" s="106" t="s">
        <v>264</v>
      </c>
      <c r="Q48" s="103" t="s">
        <v>264</v>
      </c>
      <c r="R48" s="104">
        <v>5000</v>
      </c>
      <c r="S48" s="105">
        <v>50</v>
      </c>
      <c r="T48" s="106" t="s">
        <v>264</v>
      </c>
    </row>
    <row r="49" spans="1:20" ht="24.95" customHeight="1" x14ac:dyDescent="0.3">
      <c r="A49" s="85" t="s">
        <v>278</v>
      </c>
      <c r="B49" s="87" t="str">
        <f>VLOOKUP(A49,[1]VLOOKUP!$A$2:$B$35,2,FALSE)</f>
        <v>华东</v>
      </c>
      <c r="C49" s="87"/>
      <c r="D49" s="87"/>
      <c r="E49" s="87"/>
      <c r="F49" s="87"/>
      <c r="G49" s="87"/>
      <c r="H49" s="88" t="s">
        <v>3321</v>
      </c>
      <c r="I49" s="89">
        <v>500</v>
      </c>
      <c r="J49" s="90" t="s">
        <v>264</v>
      </c>
      <c r="K49" s="91">
        <v>30</v>
      </c>
      <c r="L49" s="92" t="s">
        <v>264</v>
      </c>
      <c r="M49" s="89">
        <v>1200</v>
      </c>
      <c r="N49" s="90" t="s">
        <v>264</v>
      </c>
      <c r="O49" s="91">
        <v>120</v>
      </c>
      <c r="P49" s="92" t="s">
        <v>264</v>
      </c>
      <c r="Q49" s="103">
        <v>1200</v>
      </c>
      <c r="R49" s="104" t="s">
        <v>264</v>
      </c>
      <c r="S49" s="105">
        <v>120</v>
      </c>
      <c r="T49" s="106" t="s">
        <v>264</v>
      </c>
    </row>
    <row r="50" spans="1:20" ht="24.95" customHeight="1" x14ac:dyDescent="0.3">
      <c r="A50" s="85" t="s">
        <v>392</v>
      </c>
      <c r="B50" s="87" t="str">
        <f>VLOOKUP(A50,[1]VLOOKUP!$A$2:$B$35,2,FALSE)</f>
        <v>华东</v>
      </c>
      <c r="C50" s="87"/>
      <c r="D50" s="87"/>
      <c r="E50" s="87"/>
      <c r="F50" s="87"/>
      <c r="G50" s="87"/>
      <c r="H50" s="93" t="s">
        <v>3322</v>
      </c>
      <c r="I50" s="94" t="s">
        <v>264</v>
      </c>
      <c r="J50" s="95" t="s">
        <v>264</v>
      </c>
      <c r="K50" s="96" t="s">
        <v>264</v>
      </c>
      <c r="L50" s="97" t="s">
        <v>264</v>
      </c>
      <c r="M50" s="94">
        <v>600</v>
      </c>
      <c r="N50" s="95">
        <v>6000</v>
      </c>
      <c r="O50" s="96">
        <v>50</v>
      </c>
      <c r="P50" s="97">
        <v>3</v>
      </c>
      <c r="Q50" s="94">
        <v>3000</v>
      </c>
      <c r="R50" s="95" t="s">
        <v>264</v>
      </c>
      <c r="S50" s="96" t="s">
        <v>264</v>
      </c>
      <c r="T50" s="97">
        <v>10</v>
      </c>
    </row>
    <row r="51" spans="1:20" ht="24.95" customHeight="1" x14ac:dyDescent="0.3">
      <c r="A51" s="85" t="s">
        <v>280</v>
      </c>
      <c r="B51" s="87" t="str">
        <f>VLOOKUP(A51,[1]VLOOKUP!$A$2:$B$35,2,FALSE)</f>
        <v>华东</v>
      </c>
      <c r="C51" s="87"/>
      <c r="D51" s="87"/>
      <c r="E51" s="87"/>
      <c r="F51" s="87"/>
      <c r="G51" s="87"/>
      <c r="H51" s="88" t="s">
        <v>3323</v>
      </c>
      <c r="I51" s="89">
        <v>1000</v>
      </c>
      <c r="J51" s="90">
        <v>10000</v>
      </c>
      <c r="K51" s="91">
        <v>100</v>
      </c>
      <c r="L51" s="92" t="s">
        <v>264</v>
      </c>
      <c r="M51" s="89" t="s">
        <v>264</v>
      </c>
      <c r="N51" s="90">
        <v>50000</v>
      </c>
      <c r="O51" s="91">
        <v>200</v>
      </c>
      <c r="P51" s="92" t="s">
        <v>264</v>
      </c>
      <c r="Q51" s="103" t="s">
        <v>264</v>
      </c>
      <c r="R51" s="104">
        <v>50000</v>
      </c>
      <c r="S51" s="105">
        <v>200</v>
      </c>
      <c r="T51" s="106" t="s">
        <v>264</v>
      </c>
    </row>
    <row r="52" spans="1:20" ht="24.95" customHeight="1" x14ac:dyDescent="0.3">
      <c r="A52" s="85" t="s">
        <v>352</v>
      </c>
      <c r="B52" s="87" t="str">
        <f>VLOOKUP(A52,[1]VLOOKUP!$A$2:$B$35,2,FALSE)</f>
        <v>华东</v>
      </c>
      <c r="C52" s="87"/>
      <c r="D52" s="87"/>
      <c r="E52" s="87"/>
      <c r="F52" s="87"/>
      <c r="G52" s="87"/>
      <c r="H52" s="88" t="s">
        <v>3324</v>
      </c>
      <c r="I52" s="89">
        <v>500</v>
      </c>
      <c r="J52" s="90">
        <v>500</v>
      </c>
      <c r="K52" s="91">
        <v>10</v>
      </c>
      <c r="L52" s="92">
        <v>0.1</v>
      </c>
      <c r="M52" s="103">
        <v>500</v>
      </c>
      <c r="N52" s="104">
        <v>500</v>
      </c>
      <c r="O52" s="105">
        <v>10</v>
      </c>
      <c r="P52" s="106">
        <v>0.1</v>
      </c>
      <c r="Q52" s="103">
        <v>500</v>
      </c>
      <c r="R52" s="104">
        <v>500</v>
      </c>
      <c r="S52" s="105">
        <v>10</v>
      </c>
      <c r="T52" s="106">
        <v>0.1</v>
      </c>
    </row>
    <row r="53" spans="1:20" ht="24.95" customHeight="1" x14ac:dyDescent="0.3">
      <c r="A53" s="85" t="s">
        <v>283</v>
      </c>
      <c r="B53" s="87" t="str">
        <f>VLOOKUP(A53,[1]VLOOKUP!$A$2:$B$35,2,FALSE)</f>
        <v>华中</v>
      </c>
      <c r="C53" s="87"/>
      <c r="D53" s="87"/>
      <c r="E53" s="87"/>
      <c r="F53" s="87"/>
      <c r="G53" s="87"/>
      <c r="H53" s="88" t="s">
        <v>3325</v>
      </c>
      <c r="I53" s="89">
        <v>1000</v>
      </c>
      <c r="J53" s="90">
        <v>5000</v>
      </c>
      <c r="K53" s="91" t="s">
        <v>264</v>
      </c>
      <c r="L53" s="92" t="s">
        <v>264</v>
      </c>
      <c r="M53" s="103">
        <v>1000</v>
      </c>
      <c r="N53" s="104">
        <v>5000</v>
      </c>
      <c r="O53" s="105" t="s">
        <v>264</v>
      </c>
      <c r="P53" s="106" t="s">
        <v>264</v>
      </c>
      <c r="Q53" s="103">
        <v>1000</v>
      </c>
      <c r="R53" s="104">
        <v>5000</v>
      </c>
      <c r="S53" s="105" t="s">
        <v>264</v>
      </c>
      <c r="T53" s="106" t="s">
        <v>264</v>
      </c>
    </row>
    <row r="54" spans="1:20" ht="24.95" customHeight="1" x14ac:dyDescent="0.3">
      <c r="A54" s="85" t="s">
        <v>368</v>
      </c>
      <c r="B54" s="87" t="str">
        <f>VLOOKUP(A54,[1]VLOOKUP!$A$2:$B$35,2,FALSE)</f>
        <v>华中</v>
      </c>
      <c r="C54" s="87"/>
      <c r="D54" s="87"/>
      <c r="E54" s="87"/>
      <c r="F54" s="87"/>
      <c r="G54" s="87"/>
      <c r="H54" s="93" t="s">
        <v>3326</v>
      </c>
      <c r="I54" s="94">
        <v>1000</v>
      </c>
      <c r="J54" s="95">
        <v>7000</v>
      </c>
      <c r="K54" s="96">
        <v>100</v>
      </c>
      <c r="L54" s="92" t="s">
        <v>264</v>
      </c>
      <c r="M54" s="103">
        <v>1000</v>
      </c>
      <c r="N54" s="104">
        <v>7000</v>
      </c>
      <c r="O54" s="105">
        <v>100</v>
      </c>
      <c r="P54" s="106" t="s">
        <v>264</v>
      </c>
      <c r="Q54" s="103">
        <v>1000</v>
      </c>
      <c r="R54" s="104">
        <v>7000</v>
      </c>
      <c r="S54" s="105">
        <v>100</v>
      </c>
      <c r="T54" s="106" t="s">
        <v>264</v>
      </c>
    </row>
    <row r="55" spans="1:20" ht="24.95" customHeight="1" x14ac:dyDescent="0.3">
      <c r="A55" s="85" t="s">
        <v>576</v>
      </c>
      <c r="B55" s="87" t="str">
        <f>VLOOKUP(A55,[1]VLOOKUP!$A$2:$B$35,2,FALSE)</f>
        <v>华中</v>
      </c>
      <c r="C55" s="87"/>
      <c r="D55" s="87"/>
      <c r="E55" s="87"/>
      <c r="F55" s="87"/>
      <c r="G55" s="87"/>
      <c r="H55" s="88" t="s">
        <v>3327</v>
      </c>
      <c r="I55" s="89" t="s">
        <v>264</v>
      </c>
      <c r="J55" s="90">
        <v>500</v>
      </c>
      <c r="K55" s="91">
        <v>10</v>
      </c>
      <c r="L55" s="92" t="s">
        <v>264</v>
      </c>
      <c r="M55" s="103" t="s">
        <v>264</v>
      </c>
      <c r="N55" s="104">
        <v>500</v>
      </c>
      <c r="O55" s="105">
        <v>10</v>
      </c>
      <c r="P55" s="106" t="s">
        <v>264</v>
      </c>
      <c r="Q55" s="103" t="s">
        <v>264</v>
      </c>
      <c r="R55" s="104">
        <v>500</v>
      </c>
      <c r="S55" s="105">
        <v>10</v>
      </c>
      <c r="T55" s="106" t="s">
        <v>264</v>
      </c>
    </row>
    <row r="56" spans="1:20" ht="24.95" customHeight="1" x14ac:dyDescent="0.3">
      <c r="A56" s="85" t="s">
        <v>292</v>
      </c>
      <c r="B56" s="87" t="str">
        <f>VLOOKUP(A56,[1]VLOOKUP!$A$2:$B$35,2,FALSE)</f>
        <v>华南</v>
      </c>
      <c r="C56" s="87"/>
      <c r="D56" s="87"/>
      <c r="E56" s="87"/>
      <c r="F56" s="87"/>
      <c r="G56" s="87"/>
      <c r="H56" s="88" t="s">
        <v>3328</v>
      </c>
      <c r="I56" s="89" t="s">
        <v>264</v>
      </c>
      <c r="J56" s="90">
        <v>10000</v>
      </c>
      <c r="K56" s="91">
        <v>300</v>
      </c>
      <c r="L56" s="92" t="s">
        <v>264</v>
      </c>
      <c r="M56" s="103" t="s">
        <v>264</v>
      </c>
      <c r="N56" s="104">
        <v>10000</v>
      </c>
      <c r="O56" s="105">
        <v>300</v>
      </c>
      <c r="P56" s="106" t="s">
        <v>264</v>
      </c>
      <c r="Q56" s="103" t="s">
        <v>264</v>
      </c>
      <c r="R56" s="104">
        <v>10000</v>
      </c>
      <c r="S56" s="105">
        <v>300</v>
      </c>
      <c r="T56" s="106" t="s">
        <v>264</v>
      </c>
    </row>
    <row r="57" spans="1:20" ht="24.95" customHeight="1" x14ac:dyDescent="0.3">
      <c r="A57" s="85" t="s">
        <v>377</v>
      </c>
      <c r="B57" s="87" t="str">
        <f>VLOOKUP(A57,[1]VLOOKUP!$A$2:$B$35,2,FALSE)</f>
        <v>华南</v>
      </c>
      <c r="C57" s="87"/>
      <c r="D57" s="87"/>
      <c r="E57" s="87"/>
      <c r="F57" s="87"/>
      <c r="G57" s="87"/>
      <c r="H57" s="93" t="s">
        <v>3329</v>
      </c>
      <c r="I57" s="94">
        <v>200</v>
      </c>
      <c r="J57" s="95">
        <v>2000</v>
      </c>
      <c r="K57" s="96" t="s">
        <v>264</v>
      </c>
      <c r="L57" s="92" t="s">
        <v>264</v>
      </c>
      <c r="M57" s="103">
        <v>200</v>
      </c>
      <c r="N57" s="104">
        <v>2000</v>
      </c>
      <c r="O57" s="105" t="s">
        <v>264</v>
      </c>
      <c r="P57" s="106" t="s">
        <v>264</v>
      </c>
      <c r="Q57" s="103">
        <v>200</v>
      </c>
      <c r="R57" s="104">
        <v>2000</v>
      </c>
      <c r="S57" s="105" t="s">
        <v>264</v>
      </c>
      <c r="T57" s="106" t="s">
        <v>264</v>
      </c>
    </row>
    <row r="58" spans="1:20" ht="24.95" customHeight="1" x14ac:dyDescent="0.3">
      <c r="A58" s="85" t="s">
        <v>338</v>
      </c>
      <c r="B58" s="87" t="str">
        <f>VLOOKUP(A58,[1]VLOOKUP!$A$2:$B$35,2,FALSE)</f>
        <v>华南</v>
      </c>
      <c r="C58" s="87"/>
      <c r="D58" s="87"/>
      <c r="E58" s="87"/>
      <c r="F58" s="87"/>
      <c r="G58" s="87"/>
      <c r="H58" s="88" t="s">
        <v>3330</v>
      </c>
      <c r="I58" s="89" t="s">
        <v>264</v>
      </c>
      <c r="J58" s="90">
        <v>200</v>
      </c>
      <c r="K58" s="91">
        <v>6</v>
      </c>
      <c r="L58" s="92">
        <v>10</v>
      </c>
      <c r="M58" s="89" t="s">
        <v>264</v>
      </c>
      <c r="N58" s="90">
        <v>1000</v>
      </c>
      <c r="O58" s="91">
        <v>15</v>
      </c>
      <c r="P58" s="92">
        <v>40</v>
      </c>
      <c r="Q58" s="103" t="s">
        <v>264</v>
      </c>
      <c r="R58" s="104">
        <v>1000</v>
      </c>
      <c r="S58" s="105">
        <v>15</v>
      </c>
      <c r="T58" s="106">
        <v>40</v>
      </c>
    </row>
    <row r="59" spans="1:20" ht="24.95" customHeight="1" x14ac:dyDescent="0.3">
      <c r="A59" s="85" t="s">
        <v>572</v>
      </c>
      <c r="B59" s="87" t="str">
        <f>VLOOKUP(A59,[1]VLOOKUP!$A$2:$B$35,2,FALSE)</f>
        <v>西南</v>
      </c>
      <c r="C59" s="87"/>
      <c r="D59" s="87"/>
      <c r="E59" s="87"/>
      <c r="F59" s="87"/>
      <c r="G59" s="87"/>
      <c r="H59" s="88" t="s">
        <v>3331</v>
      </c>
      <c r="I59" s="89" t="s">
        <v>264</v>
      </c>
      <c r="J59" s="90">
        <v>1500</v>
      </c>
      <c r="K59" s="91">
        <v>15</v>
      </c>
      <c r="L59" s="92" t="s">
        <v>264</v>
      </c>
      <c r="M59" s="103" t="s">
        <v>264</v>
      </c>
      <c r="N59" s="104">
        <v>1500</v>
      </c>
      <c r="O59" s="105">
        <v>15</v>
      </c>
      <c r="P59" s="106" t="s">
        <v>264</v>
      </c>
      <c r="Q59" s="103" t="s">
        <v>264</v>
      </c>
      <c r="R59" s="104">
        <v>1500</v>
      </c>
      <c r="S59" s="105">
        <v>15</v>
      </c>
      <c r="T59" s="106" t="s">
        <v>264</v>
      </c>
    </row>
    <row r="60" spans="1:20" ht="24.95" customHeight="1" x14ac:dyDescent="0.3">
      <c r="A60" s="85" t="s">
        <v>384</v>
      </c>
      <c r="B60" s="87" t="str">
        <f>VLOOKUP(A60,[1]VLOOKUP!$A$2:$B$35,2,FALSE)</f>
        <v>西南</v>
      </c>
      <c r="C60" s="87"/>
      <c r="D60" s="87"/>
      <c r="E60" s="87"/>
      <c r="F60" s="87"/>
      <c r="G60" s="87"/>
      <c r="H60" s="88" t="s">
        <v>3332</v>
      </c>
      <c r="I60" s="89" t="s">
        <v>264</v>
      </c>
      <c r="J60" s="90">
        <v>6000</v>
      </c>
      <c r="K60" s="91">
        <v>60</v>
      </c>
      <c r="L60" s="92" t="s">
        <v>264</v>
      </c>
      <c r="M60" s="103" t="s">
        <v>264</v>
      </c>
      <c r="N60" s="104">
        <v>6000</v>
      </c>
      <c r="O60" s="105">
        <v>60</v>
      </c>
      <c r="P60" s="106" t="s">
        <v>264</v>
      </c>
      <c r="Q60" s="103" t="s">
        <v>264</v>
      </c>
      <c r="R60" s="104">
        <v>6000</v>
      </c>
      <c r="S60" s="105">
        <v>60</v>
      </c>
      <c r="T60" s="106" t="s">
        <v>264</v>
      </c>
    </row>
    <row r="61" spans="1:20" ht="24.95" customHeight="1" x14ac:dyDescent="0.3">
      <c r="A61" s="85" t="s">
        <v>499</v>
      </c>
      <c r="B61" s="87" t="str">
        <f>VLOOKUP(A61,[1]VLOOKUP!$A$2:$B$35,2,FALSE)</f>
        <v>西南</v>
      </c>
      <c r="C61" s="87"/>
      <c r="D61" s="87"/>
      <c r="E61" s="87"/>
      <c r="F61" s="87"/>
      <c r="G61" s="87"/>
      <c r="H61" s="88" t="s">
        <v>3333</v>
      </c>
      <c r="I61" s="89">
        <v>200</v>
      </c>
      <c r="J61" s="90">
        <v>1000</v>
      </c>
      <c r="K61" s="91">
        <v>15</v>
      </c>
      <c r="L61" s="92" t="s">
        <v>264</v>
      </c>
      <c r="M61" s="103">
        <v>200</v>
      </c>
      <c r="N61" s="104">
        <v>1000</v>
      </c>
      <c r="O61" s="105">
        <v>15</v>
      </c>
      <c r="P61" s="106" t="s">
        <v>264</v>
      </c>
      <c r="Q61" s="103">
        <v>200</v>
      </c>
      <c r="R61" s="104">
        <v>1000</v>
      </c>
      <c r="S61" s="105">
        <v>15</v>
      </c>
      <c r="T61" s="106" t="s">
        <v>264</v>
      </c>
    </row>
    <row r="62" spans="1:20" ht="24.95" customHeight="1" x14ac:dyDescent="0.3">
      <c r="A62" s="85" t="s">
        <v>3200</v>
      </c>
      <c r="B62" s="87" t="str">
        <f>VLOOKUP(A62,[1]VLOOKUP!$A$2:$B$35,2,FALSE)</f>
        <v>西南</v>
      </c>
      <c r="C62" s="87"/>
      <c r="D62" s="87"/>
      <c r="E62" s="87"/>
      <c r="F62" s="87"/>
      <c r="G62" s="87"/>
      <c r="H62" s="88" t="s">
        <v>264</v>
      </c>
      <c r="I62" s="89"/>
      <c r="J62" s="90"/>
      <c r="K62" s="91"/>
      <c r="L62" s="92"/>
      <c r="M62" s="89"/>
      <c r="N62" s="90"/>
      <c r="O62" s="91"/>
      <c r="P62" s="92"/>
      <c r="Q62" s="89"/>
      <c r="R62" s="90"/>
      <c r="S62" s="91"/>
      <c r="T62" s="92"/>
    </row>
    <row r="63" spans="1:20" ht="24.95" customHeight="1" x14ac:dyDescent="0.3">
      <c r="A63" s="98" t="s">
        <v>364</v>
      </c>
      <c r="B63" s="87" t="str">
        <f>VLOOKUP(A63,[1]VLOOKUP!$A$2:$B$35,2,FALSE)</f>
        <v>西南</v>
      </c>
      <c r="C63" s="99"/>
      <c r="D63" s="99"/>
      <c r="E63" s="99"/>
      <c r="F63" s="99"/>
      <c r="G63" s="99"/>
      <c r="H63" s="100" t="s">
        <v>3340</v>
      </c>
      <c r="I63" s="89" t="s">
        <v>264</v>
      </c>
      <c r="J63" s="90" t="s">
        <v>264</v>
      </c>
      <c r="K63" s="91" t="s">
        <v>264</v>
      </c>
      <c r="L63" s="92" t="s">
        <v>264</v>
      </c>
      <c r="M63" s="89" t="s">
        <v>264</v>
      </c>
      <c r="N63" s="90" t="s">
        <v>264</v>
      </c>
      <c r="O63" s="91" t="s">
        <v>264</v>
      </c>
      <c r="P63" s="92" t="s">
        <v>264</v>
      </c>
      <c r="Q63" s="89" t="s">
        <v>264</v>
      </c>
      <c r="R63" s="90" t="s">
        <v>264</v>
      </c>
      <c r="S63" s="91" t="s">
        <v>264</v>
      </c>
      <c r="T63" s="92" t="s">
        <v>264</v>
      </c>
    </row>
    <row r="64" spans="1:20" ht="24.95" customHeight="1" x14ac:dyDescent="0.3">
      <c r="A64" s="85" t="s">
        <v>566</v>
      </c>
      <c r="B64" s="87" t="str">
        <f>VLOOKUP(A64,[1]VLOOKUP!$A$2:$B$35,2,FALSE)</f>
        <v>西北</v>
      </c>
      <c r="C64" s="87"/>
      <c r="D64" s="87"/>
      <c r="E64" s="87"/>
      <c r="F64" s="87"/>
      <c r="G64" s="87"/>
      <c r="H64" s="88" t="s">
        <v>3335</v>
      </c>
      <c r="I64" s="89">
        <v>1000</v>
      </c>
      <c r="J64" s="90">
        <v>10000</v>
      </c>
      <c r="K64" s="91">
        <v>100</v>
      </c>
      <c r="L64" s="92" t="s">
        <v>264</v>
      </c>
      <c r="M64" s="103">
        <v>1000</v>
      </c>
      <c r="N64" s="104">
        <v>10000</v>
      </c>
      <c r="O64" s="105">
        <v>100</v>
      </c>
      <c r="P64" s="106" t="s">
        <v>264</v>
      </c>
      <c r="Q64" s="103">
        <v>1000</v>
      </c>
      <c r="R64" s="104">
        <v>10000</v>
      </c>
      <c r="S64" s="105">
        <v>100</v>
      </c>
      <c r="T64" s="106" t="s">
        <v>264</v>
      </c>
    </row>
    <row r="65" spans="1:20" ht="24.95" customHeight="1" x14ac:dyDescent="0.3">
      <c r="A65" s="85" t="s">
        <v>371</v>
      </c>
      <c r="B65" s="87" t="str">
        <f>VLOOKUP(A65,[1]VLOOKUP!$A$2:$B$35,2,FALSE)</f>
        <v>西北</v>
      </c>
      <c r="C65" s="87"/>
      <c r="D65" s="87"/>
      <c r="E65" s="87"/>
      <c r="F65" s="87"/>
      <c r="G65" s="87"/>
      <c r="H65" s="88" t="s">
        <v>3336</v>
      </c>
      <c r="I65" s="89">
        <v>35</v>
      </c>
      <c r="J65" s="90">
        <v>250</v>
      </c>
      <c r="K65" s="91">
        <v>4</v>
      </c>
      <c r="L65" s="92">
        <v>4</v>
      </c>
      <c r="M65" s="89">
        <v>160</v>
      </c>
      <c r="N65" s="90">
        <v>1000</v>
      </c>
      <c r="O65" s="91">
        <v>15</v>
      </c>
      <c r="P65" s="92">
        <v>30</v>
      </c>
      <c r="Q65" s="89">
        <v>500</v>
      </c>
      <c r="R65" s="90" t="s">
        <v>264</v>
      </c>
      <c r="S65" s="91" t="s">
        <v>264</v>
      </c>
      <c r="T65" s="92">
        <v>100</v>
      </c>
    </row>
    <row r="66" spans="1:20" ht="24.95" customHeight="1" x14ac:dyDescent="0.3">
      <c r="A66" s="85" t="s">
        <v>3136</v>
      </c>
      <c r="B66" s="87" t="str">
        <f>VLOOKUP(A66,[1]VLOOKUP!$A$2:$B$35,2,FALSE)</f>
        <v>西北</v>
      </c>
      <c r="C66" s="87"/>
      <c r="D66" s="87"/>
      <c r="E66" s="87"/>
      <c r="F66" s="87"/>
      <c r="G66" s="87"/>
      <c r="H66" s="88" t="s">
        <v>3337</v>
      </c>
      <c r="I66" s="89">
        <v>100</v>
      </c>
      <c r="J66" s="90" t="s">
        <v>264</v>
      </c>
      <c r="K66" s="91" t="s">
        <v>264</v>
      </c>
      <c r="L66" s="92">
        <v>20</v>
      </c>
      <c r="M66" s="103">
        <v>100</v>
      </c>
      <c r="N66" s="104" t="s">
        <v>264</v>
      </c>
      <c r="O66" s="105" t="s">
        <v>264</v>
      </c>
      <c r="P66" s="106">
        <v>20</v>
      </c>
      <c r="Q66" s="103">
        <v>100</v>
      </c>
      <c r="R66" s="104" t="s">
        <v>264</v>
      </c>
      <c r="S66" s="105" t="s">
        <v>264</v>
      </c>
      <c r="T66" s="106">
        <v>20</v>
      </c>
    </row>
    <row r="67" spans="1:20" ht="24.95" customHeight="1" x14ac:dyDescent="0.3">
      <c r="A67" s="85" t="s">
        <v>297</v>
      </c>
      <c r="B67" s="87" t="str">
        <f>VLOOKUP(A67,[1]VLOOKUP!$A$2:$B$35,2,FALSE)</f>
        <v>西北</v>
      </c>
      <c r="C67" s="87"/>
      <c r="D67" s="87"/>
      <c r="E67" s="87"/>
      <c r="F67" s="87"/>
      <c r="G67" s="87"/>
      <c r="H67" s="88" t="s">
        <v>3338</v>
      </c>
      <c r="I67" s="89" t="s">
        <v>264</v>
      </c>
      <c r="J67" s="90">
        <v>500</v>
      </c>
      <c r="K67" s="91">
        <v>10</v>
      </c>
      <c r="L67" s="92">
        <v>8</v>
      </c>
      <c r="M67" s="103" t="s">
        <v>264</v>
      </c>
      <c r="N67" s="104">
        <v>500</v>
      </c>
      <c r="O67" s="105">
        <v>10</v>
      </c>
      <c r="P67" s="92">
        <v>30</v>
      </c>
      <c r="Q67" s="103" t="s">
        <v>264</v>
      </c>
      <c r="R67" s="104">
        <v>500</v>
      </c>
      <c r="S67" s="105">
        <v>10</v>
      </c>
      <c r="T67" s="106">
        <v>30</v>
      </c>
    </row>
    <row r="68" spans="1:20" ht="24.95" customHeight="1" thickBot="1" x14ac:dyDescent="0.35">
      <c r="A68" s="85" t="s">
        <v>299</v>
      </c>
      <c r="B68" s="87" t="str">
        <f>VLOOKUP(A68,[1]VLOOKUP!$A$2:$B$35,2,FALSE)</f>
        <v>西北</v>
      </c>
      <c r="C68" s="87"/>
      <c r="D68" s="87"/>
      <c r="E68" s="87"/>
      <c r="F68" s="87"/>
      <c r="G68" s="87"/>
      <c r="H68" s="88" t="s">
        <v>3339</v>
      </c>
      <c r="I68" s="89" t="s">
        <v>264</v>
      </c>
      <c r="J68" s="90">
        <v>1500</v>
      </c>
      <c r="K68" s="91" t="s">
        <v>264</v>
      </c>
      <c r="L68" s="92">
        <v>10</v>
      </c>
      <c r="M68" s="103" t="s">
        <v>264</v>
      </c>
      <c r="N68" s="104">
        <v>1500</v>
      </c>
      <c r="O68" s="105" t="s">
        <v>264</v>
      </c>
      <c r="P68" s="106">
        <v>10</v>
      </c>
      <c r="Q68" s="103" t="s">
        <v>264</v>
      </c>
      <c r="R68" s="104">
        <v>1500</v>
      </c>
      <c r="S68" s="105" t="s">
        <v>264</v>
      </c>
      <c r="T68" s="106">
        <v>10</v>
      </c>
    </row>
    <row r="69" spans="1:20" ht="24.95" customHeight="1" thickBot="1" x14ac:dyDescent="0.35">
      <c r="A69" s="101"/>
      <c r="B69" s="101"/>
      <c r="C69" s="101"/>
      <c r="D69" s="101"/>
      <c r="E69" s="101"/>
      <c r="F69" s="101"/>
      <c r="G69" s="101"/>
      <c r="H69" s="102" t="s">
        <v>231</v>
      </c>
      <c r="I69" s="102">
        <f t="shared" ref="I69:T69" si="1">SUM(I38:I68)</f>
        <v>10885</v>
      </c>
      <c r="J69" s="102">
        <f t="shared" si="1"/>
        <v>113450</v>
      </c>
      <c r="K69" s="102">
        <f t="shared" si="1"/>
        <v>1272</v>
      </c>
      <c r="L69" s="102">
        <f t="shared" si="1"/>
        <v>107.1</v>
      </c>
      <c r="M69" s="102">
        <f t="shared" si="1"/>
        <v>11510</v>
      </c>
      <c r="N69" s="102">
        <f t="shared" si="1"/>
        <v>207500</v>
      </c>
      <c r="O69" s="102">
        <f t="shared" si="1"/>
        <v>1592</v>
      </c>
      <c r="P69" s="102">
        <f t="shared" si="1"/>
        <v>216.1</v>
      </c>
      <c r="Q69" s="102">
        <f t="shared" si="1"/>
        <v>19350</v>
      </c>
      <c r="R69" s="102">
        <f t="shared" si="1"/>
        <v>411500</v>
      </c>
      <c r="S69" s="102">
        <f t="shared" si="1"/>
        <v>2327</v>
      </c>
      <c r="T69" s="102">
        <f t="shared" si="1"/>
        <v>393.1</v>
      </c>
    </row>
  </sheetData>
  <mergeCells count="6">
    <mergeCell ref="I1:L1"/>
    <mergeCell ref="M1:P1"/>
    <mergeCell ref="Q1:T1"/>
    <mergeCell ref="I36:L36"/>
    <mergeCell ref="M36:P36"/>
    <mergeCell ref="Q36:T36"/>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国际-国家级氢能政策</vt:lpstr>
      <vt:lpstr>政策-政府工作报告</vt:lpstr>
      <vt:lpstr>政策-示范城市群补贴</vt:lpstr>
      <vt:lpstr>政策-制氢加氢一体站放开</vt:lpstr>
      <vt:lpstr>政策-氢能高速</vt:lpstr>
      <vt:lpstr>政策-加氢站主管部门</vt:lpstr>
      <vt:lpstr>政策-各地方政府规划</vt:lpstr>
      <vt:lpstr>政府-各省级政府规划目标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Liu [cn19xl]</dc:creator>
  <cp:lastModifiedBy>Xiao Liu [cn19xl]</cp:lastModifiedBy>
  <dcterms:created xsi:type="dcterms:W3CDTF">2026-05-25T09:02:56Z</dcterms:created>
  <dcterms:modified xsi:type="dcterms:W3CDTF">2026-05-25T09:04:53Z</dcterms:modified>
</cp:coreProperties>
</file>