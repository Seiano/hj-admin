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A 氢能研究院\数智化工作\企业库\数据表-给博英\1.项目数据表\2.储运环节\"/>
    </mc:Choice>
  </mc:AlternateContent>
  <xr:revisionPtr revIDLastSave="0" documentId="13_ncr:1_{7AC82A02-03E7-498D-AFAC-FABCE244A251}" xr6:coauthVersionLast="47" xr6:coauthVersionMax="47" xr10:uidLastSave="{00000000-0000-0000-0000-000000000000}"/>
  <bookViews>
    <workbookView xWindow="-98" yWindow="-98" windowWidth="22695" windowHeight="14476" xr2:uid="{3ACEACB8-CC79-43E7-B9F7-E6B303B88E41}"/>
  </bookViews>
  <sheets>
    <sheet name="储运-氢气管道项目" sheetId="1" r:id="rId1"/>
  </sheets>
  <definedNames>
    <definedName name="_xlnm._FilterDatabase" localSheetId="0" hidden="1">'储运-氢气管道项目'!$B$1:$AC$92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X90" i="1" l="1"/>
  <c r="V90" i="1"/>
  <c r="X62" i="1"/>
  <c r="X60" i="1"/>
  <c r="X59" i="1"/>
  <c r="X58" i="1"/>
  <c r="V62" i="1"/>
  <c r="V61" i="1"/>
  <c r="V60" i="1"/>
  <c r="V59" i="1"/>
  <c r="V58" i="1"/>
  <c r="X56" i="1"/>
  <c r="X55" i="1"/>
  <c r="V56" i="1"/>
  <c r="V55" i="1"/>
  <c r="X51" i="1"/>
  <c r="V51" i="1"/>
  <c r="X16" i="1"/>
  <c r="V16" i="1"/>
  <c r="T92" i="1"/>
  <c r="T90" i="1"/>
  <c r="T88" i="1"/>
  <c r="T87" i="1"/>
  <c r="T86" i="1"/>
  <c r="T80" i="1"/>
  <c r="T79" i="1"/>
  <c r="T76" i="1"/>
  <c r="T75" i="1"/>
  <c r="T71" i="1"/>
  <c r="T62" i="1"/>
  <c r="T61" i="1"/>
  <c r="T60" i="1"/>
  <c r="T59" i="1"/>
  <c r="T58" i="1"/>
  <c r="T57" i="1"/>
  <c r="T56" i="1"/>
  <c r="T55" i="1"/>
  <c r="T52" i="1"/>
  <c r="T51" i="1"/>
  <c r="T50" i="1"/>
  <c r="T48" i="1"/>
  <c r="T45" i="1"/>
  <c r="T44" i="1"/>
  <c r="T43" i="1"/>
  <c r="T42" i="1"/>
  <c r="T40" i="1"/>
  <c r="T34" i="1"/>
  <c r="T33" i="1"/>
  <c r="T32" i="1"/>
  <c r="T31" i="1"/>
  <c r="T30" i="1"/>
  <c r="T29" i="1"/>
  <c r="T28" i="1"/>
  <c r="T27" i="1"/>
  <c r="T26" i="1"/>
  <c r="T24" i="1"/>
  <c r="T23" i="1"/>
  <c r="T22" i="1"/>
  <c r="T20" i="1"/>
  <c r="T19" i="1"/>
  <c r="T18" i="1"/>
  <c r="T17" i="1"/>
  <c r="T16" i="1"/>
  <c r="T15" i="1"/>
  <c r="T13" i="1"/>
  <c r="T12" i="1"/>
  <c r="T7" i="1"/>
  <c r="T6" i="1"/>
  <c r="T3" i="1"/>
  <c r="T4" i="1"/>
  <c r="T2" i="1"/>
  <c r="S92" i="1"/>
  <c r="S91" i="1"/>
  <c r="S90" i="1"/>
  <c r="S88" i="1"/>
  <c r="S87" i="1"/>
  <c r="S86" i="1"/>
  <c r="S80" i="1"/>
  <c r="S79" i="1"/>
  <c r="S75" i="1"/>
  <c r="S71" i="1"/>
  <c r="S62" i="1"/>
  <c r="S61" i="1"/>
  <c r="S60" i="1"/>
  <c r="S59" i="1"/>
  <c r="S58" i="1"/>
  <c r="S57" i="1"/>
  <c r="S56" i="1"/>
  <c r="S55" i="1"/>
  <c r="S52" i="1"/>
  <c r="S51" i="1"/>
  <c r="S48" i="1"/>
  <c r="S45" i="1"/>
  <c r="S44" i="1"/>
  <c r="S43" i="1"/>
  <c r="S42" i="1"/>
  <c r="S41" i="1"/>
  <c r="S40" i="1"/>
  <c r="S38" i="1"/>
  <c r="S37" i="1"/>
  <c r="S35" i="1"/>
  <c r="S34" i="1"/>
  <c r="S33" i="1"/>
  <c r="S32" i="1"/>
  <c r="S30" i="1"/>
  <c r="S29" i="1"/>
  <c r="S28" i="1"/>
  <c r="S27" i="1"/>
  <c r="S7" i="1"/>
  <c r="S8" i="1"/>
  <c r="S9" i="1"/>
  <c r="S10" i="1"/>
  <c r="S11" i="1"/>
  <c r="S12" i="1"/>
  <c r="S13" i="1"/>
  <c r="S14" i="1"/>
  <c r="S15" i="1"/>
  <c r="S16" i="1"/>
  <c r="S17" i="1"/>
  <c r="S18" i="1"/>
  <c r="S19" i="1"/>
  <c r="S20" i="1"/>
  <c r="S21" i="1"/>
  <c r="S22" i="1"/>
  <c r="S23" i="1"/>
  <c r="S24" i="1"/>
  <c r="S6" i="1"/>
  <c r="S3" i="1"/>
  <c r="S4" i="1"/>
  <c r="S2" i="1"/>
  <c r="R91" i="1"/>
  <c r="R90" i="1"/>
  <c r="R87" i="1"/>
  <c r="R86" i="1"/>
  <c r="R82" i="1"/>
  <c r="R81" i="1"/>
  <c r="R80" i="1"/>
  <c r="R79" i="1"/>
  <c r="R76" i="1"/>
  <c r="R70" i="1"/>
  <c r="R68" i="1"/>
  <c r="R62" i="1"/>
  <c r="R61" i="1"/>
  <c r="R60" i="1"/>
  <c r="R59" i="1"/>
  <c r="R58" i="1"/>
  <c r="R57" i="1"/>
  <c r="R56" i="1"/>
  <c r="R55" i="1"/>
  <c r="R52" i="1"/>
  <c r="R51" i="1"/>
  <c r="R50" i="1"/>
  <c r="R47" i="1"/>
  <c r="R46" i="1"/>
  <c r="R45" i="1"/>
  <c r="R44" i="1"/>
  <c r="R41" i="1"/>
  <c r="R40" i="1"/>
  <c r="R36" i="1"/>
  <c r="R23" i="1"/>
  <c r="R24" i="1"/>
  <c r="R25" i="1"/>
  <c r="R26" i="1"/>
  <c r="R27" i="1"/>
  <c r="R28" i="1"/>
  <c r="R29" i="1"/>
  <c r="R30" i="1"/>
  <c r="R31" i="1"/>
  <c r="R32" i="1"/>
  <c r="R33" i="1"/>
  <c r="R34" i="1"/>
  <c r="R22" i="1"/>
  <c r="R20" i="1"/>
  <c r="R19" i="1"/>
  <c r="R17" i="1"/>
  <c r="R16" i="1"/>
  <c r="R12" i="1"/>
  <c r="R13" i="1"/>
  <c r="R14" i="1"/>
  <c r="R11" i="1"/>
  <c r="R3" i="1"/>
  <c r="R4" i="1"/>
  <c r="R5" i="1"/>
  <c r="R6" i="1"/>
  <c r="R7" i="1"/>
  <c r="R2" i="1"/>
  <c r="Q91" i="1"/>
  <c r="Q92" i="1"/>
  <c r="Q90" i="1"/>
  <c r="Q87" i="1"/>
  <c r="Q88" i="1"/>
  <c r="Q86" i="1"/>
  <c r="Q81" i="1"/>
  <c r="Q80" i="1"/>
  <c r="Q79" i="1"/>
  <c r="Q76" i="1"/>
  <c r="Q75" i="1"/>
  <c r="Q51" i="1"/>
  <c r="Q52" i="1"/>
  <c r="Q53" i="1"/>
  <c r="Q54" i="1"/>
  <c r="Q55" i="1"/>
  <c r="Q56" i="1"/>
  <c r="Q57" i="1"/>
  <c r="Q58" i="1"/>
  <c r="Q59" i="1"/>
  <c r="Q60" i="1"/>
  <c r="Q61" i="1"/>
  <c r="Q62" i="1"/>
  <c r="Q63" i="1"/>
  <c r="Q64" i="1"/>
  <c r="Q65" i="1"/>
  <c r="Q66" i="1"/>
  <c r="Q67" i="1"/>
  <c r="Q68" i="1"/>
  <c r="Q69" i="1"/>
  <c r="Q70" i="1"/>
  <c r="Q71" i="1"/>
  <c r="Q50" i="1"/>
  <c r="Q38" i="1"/>
  <c r="Q39" i="1"/>
  <c r="Q40" i="1"/>
  <c r="Q41" i="1"/>
  <c r="Q42" i="1"/>
  <c r="Q43" i="1"/>
  <c r="Q44" i="1"/>
  <c r="Q45" i="1"/>
  <c r="Q46" i="1"/>
  <c r="Q47" i="1"/>
  <c r="Q48" i="1"/>
  <c r="Q37"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2" i="1"/>
  <c r="P91" i="1"/>
  <c r="P88" i="1"/>
  <c r="P87" i="1"/>
  <c r="P79" i="1"/>
  <c r="P52" i="1"/>
  <c r="P51" i="1"/>
  <c r="P50" i="1"/>
  <c r="P42" i="1"/>
  <c r="P41" i="1"/>
  <c r="P40" i="1"/>
  <c r="P39" i="1"/>
  <c r="P36" i="1"/>
  <c r="P35" i="1"/>
  <c r="P31" i="1"/>
  <c r="P27" i="1"/>
  <c r="P26" i="1"/>
  <c r="P25" i="1"/>
  <c r="P23" i="1"/>
  <c r="P20" i="1"/>
  <c r="P19" i="1"/>
  <c r="P16" i="1"/>
  <c r="P15" i="1"/>
  <c r="P11" i="1"/>
  <c r="P8" i="1"/>
  <c r="P7" i="1"/>
  <c r="P6" i="1"/>
  <c r="P5" i="1"/>
  <c r="P4" i="1"/>
  <c r="P2" i="1"/>
  <c r="O91" i="1"/>
  <c r="O88" i="1"/>
  <c r="O87" i="1"/>
  <c r="O79" i="1"/>
  <c r="O71" i="1"/>
  <c r="O52" i="1"/>
  <c r="O51" i="1"/>
  <c r="O50" i="1"/>
  <c r="O42" i="1"/>
  <c r="O41" i="1"/>
  <c r="O40" i="1"/>
  <c r="O39" i="1"/>
  <c r="O36" i="1"/>
  <c r="O35" i="1"/>
  <c r="O31" i="1"/>
  <c r="O27" i="1"/>
  <c r="O26" i="1"/>
  <c r="O25" i="1"/>
  <c r="O23" i="1"/>
  <c r="O20" i="1"/>
  <c r="O19" i="1"/>
  <c r="O16" i="1"/>
  <c r="O15" i="1"/>
  <c r="O3" i="1"/>
  <c r="O4" i="1"/>
  <c r="O5" i="1"/>
  <c r="O6" i="1"/>
  <c r="O7" i="1"/>
  <c r="O8" i="1"/>
  <c r="O9" i="1"/>
  <c r="O10" i="1"/>
  <c r="O11" i="1"/>
  <c r="O2" i="1"/>
  <c r="N91" i="1"/>
  <c r="N90" i="1"/>
  <c r="N88" i="1"/>
  <c r="N87" i="1"/>
  <c r="N79" i="1"/>
  <c r="N53" i="1"/>
  <c r="N51" i="1"/>
  <c r="N41" i="1"/>
  <c r="N40" i="1"/>
  <c r="N37" i="1"/>
  <c r="N35" i="1"/>
  <c r="N34" i="1"/>
  <c r="N27" i="1"/>
  <c r="N25" i="1"/>
  <c r="N24" i="1"/>
  <c r="N20" i="1"/>
  <c r="N19" i="1"/>
  <c r="N17" i="1"/>
  <c r="N16" i="1"/>
  <c r="N8" i="1"/>
  <c r="N3" i="1"/>
  <c r="N4" i="1"/>
  <c r="N5" i="1"/>
  <c r="N2" i="1"/>
  <c r="M91" i="1"/>
  <c r="M90" i="1"/>
  <c r="M88" i="1"/>
  <c r="M87" i="1"/>
  <c r="M79" i="1"/>
  <c r="M71" i="1"/>
  <c r="M53" i="1"/>
  <c r="M51" i="1"/>
  <c r="M41" i="1"/>
  <c r="M40" i="1"/>
  <c r="M37" i="1"/>
  <c r="M36" i="1"/>
  <c r="M35" i="1"/>
  <c r="M34" i="1"/>
  <c r="M27" i="1"/>
  <c r="M26" i="1"/>
  <c r="M25" i="1"/>
  <c r="M24" i="1"/>
  <c r="M20" i="1"/>
  <c r="M19" i="1"/>
  <c r="M17" i="1"/>
  <c r="M16" i="1"/>
  <c r="M8" i="1"/>
  <c r="M5" i="1"/>
  <c r="M4" i="1"/>
  <c r="M3" i="1"/>
  <c r="M2" i="1"/>
  <c r="L50" i="1"/>
  <c r="L41" i="1"/>
  <c r="L40" i="1"/>
  <c r="L33" i="1"/>
  <c r="L28" i="1"/>
  <c r="L27" i="1"/>
  <c r="L22" i="1"/>
  <c r="L21" i="1"/>
  <c r="L14" i="1"/>
  <c r="L13" i="1"/>
  <c r="L12" i="1"/>
  <c r="L4" i="1"/>
  <c r="L3" i="1"/>
  <c r="L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denni</author>
  </authors>
  <commentList>
    <comment ref="Q7" authorId="0" shapeId="0" xr:uid="{B0B7D62A-818D-4862-9F2F-008A2F9532C8}">
      <text>
        <r>
          <rPr>
            <b/>
            <sz val="9"/>
            <rFont val="宋体"/>
            <family val="3"/>
            <charset val="134"/>
          </rPr>
          <t>denni:</t>
        </r>
        <r>
          <rPr>
            <sz val="9"/>
            <rFont val="宋体"/>
            <family val="3"/>
            <charset val="134"/>
          </rPr>
          <t xml:space="preserve">
根据三期环评调整</t>
        </r>
      </text>
    </comment>
    <comment ref="Q51" authorId="0" shapeId="0" xr:uid="{067FB57E-1ED9-437B-94FB-89DB1CC8D57E}">
      <text>
        <r>
          <rPr>
            <b/>
            <sz val="9"/>
            <rFont val="宋体"/>
            <family val="3"/>
            <charset val="134"/>
          </rPr>
          <t>denni:</t>
        </r>
        <r>
          <rPr>
            <sz val="9"/>
            <rFont val="宋体"/>
            <family val="3"/>
            <charset val="134"/>
          </rPr>
          <t xml:space="preserve">
包头市境内169.55km，巴彦淖尔市境内20.33km</t>
        </r>
      </text>
    </comment>
  </commentList>
</comments>
</file>

<file path=xl/sharedStrings.xml><?xml version="1.0" encoding="utf-8"?>
<sst xmlns="http://schemas.openxmlformats.org/spreadsheetml/2006/main" count="907" uniqueCount="338">
  <si>
    <t>项目名称</t>
  </si>
  <si>
    <t>类型</t>
  </si>
  <si>
    <t>进展</t>
  </si>
  <si>
    <t>项目起点</t>
  </si>
  <si>
    <t>项目终点</t>
  </si>
  <si>
    <t>起点</t>
  </si>
  <si>
    <t>终点</t>
  </si>
  <si>
    <t>总投资
/亿元</t>
  </si>
  <si>
    <t>开工年份</t>
  </si>
  <si>
    <t>开工月份</t>
  </si>
  <si>
    <t>建成年份</t>
  </si>
  <si>
    <t>建成月份</t>
  </si>
  <si>
    <t>长度/km</t>
  </si>
  <si>
    <t>输氢能力
万吨/年</t>
  </si>
  <si>
    <t>DN/mm</t>
  </si>
  <si>
    <t>压力/MPa</t>
  </si>
  <si>
    <t>选用钢材</t>
  </si>
  <si>
    <t>站场/座</t>
  </si>
  <si>
    <t>阀室/座</t>
  </si>
  <si>
    <t>其他</t>
  </si>
  <si>
    <t>Source</t>
  </si>
  <si>
    <t>相关企业</t>
  </si>
  <si>
    <t>济源-洛阳氢气管道</t>
  </si>
  <si>
    <t>纯氢管道</t>
  </si>
  <si>
    <t>运营</t>
  </si>
  <si>
    <t>中国石化</t>
  </si>
  <si>
    <t>盈德气体集团有限公司</t>
  </si>
  <si>
    <t>中国石油化工股份有限公司洛阳分公司</t>
  </si>
  <si>
    <t>L245无缝钢管</t>
  </si>
  <si>
    <t>洛阳炼化有限责任公司</t>
  </si>
  <si>
    <t>金陵-扬子氢气管道</t>
  </si>
  <si>
    <t>中国石化集团金陵石油化工有限责任公司</t>
  </si>
  <si>
    <t>中国石化扬子石油化工有限公司</t>
  </si>
  <si>
    <t>20#无缝钢管</t>
  </si>
  <si>
    <t>其中17km在南京化工园区内架空敷设</t>
  </si>
  <si>
    <t>中国石化仪征化纤有限责任公司</t>
  </si>
  <si>
    <t>巴陵-长岭氢气管道</t>
  </si>
  <si>
    <t>中石化巴陵石油化工有限公司</t>
  </si>
  <si>
    <t>中国石油化工股份有限公司长岭分公司</t>
  </si>
  <si>
    <t>裂化碳素无缝钢管</t>
  </si>
  <si>
    <t>其中城区-云溪为地埋18.8km，云溪-长炼为管架24.2km</t>
  </si>
  <si>
    <t>中国石化巴陵石化公司</t>
  </si>
  <si>
    <t>化工区公共管廊氢气管道一期工程项目</t>
  </si>
  <si>
    <t>https://doc.xuehai.net/bc7f2000c8844d3113e69094f.html</t>
  </si>
  <si>
    <t>上海化学工业区金山分区</t>
  </si>
  <si>
    <t>上海浦江特种气体有限公司</t>
  </si>
  <si>
    <t>114/80/50</t>
  </si>
  <si>
    <t>16Mn</t>
  </si>
  <si>
    <t>上海华林工业气体有限公司</t>
  </si>
  <si>
    <t>化工区公共管廊氢气管道二期工程项目（1）</t>
  </si>
  <si>
    <t>https://max.book118.com/html/2018/0507/165188653.shtm</t>
  </si>
  <si>
    <t>英威达尼龙化工（中国）有限公司</t>
  </si>
  <si>
    <t>化工区公共管廊氢气管道二期工程项目（2）</t>
  </si>
  <si>
    <t>上海纳克润滑技术有限公司</t>
  </si>
  <si>
    <t>化工区公共管廊氢气管道三期工程项目（1）</t>
  </si>
  <si>
    <t>https://jz.docin.com/p-2087673538.html</t>
  </si>
  <si>
    <t>上海氯碱化工股份有限公司</t>
  </si>
  <si>
    <t>化工区公共管廊氢气管道三期工程项目（2）</t>
  </si>
  <si>
    <t>驿蓝舜工加氢母站（化工区公共管廊氢气管道三期工程项目（3））</t>
  </si>
  <si>
    <t>普工路楚华路</t>
  </si>
  <si>
    <t>驿蓝舜工加氢站</t>
  </si>
  <si>
    <t>化工区公共管廊氢气管道三期工程项目（4）</t>
  </si>
  <si>
    <t>揭阳大南海石化工业区中石油外供氢气管线项目</t>
  </si>
  <si>
    <t>揭阳大南海石化工业区</t>
  </si>
  <si>
    <t>https://www.doc88.com/p-17219710921493.html</t>
  </si>
  <si>
    <t>揭阳大南海石化工业区氢气管网系统工程</t>
  </si>
  <si>
    <t>规划</t>
  </si>
  <si>
    <t>http://www.jieyang.gov.cn/attachment/0/166/166539/999929.pdf</t>
  </si>
  <si>
    <t>金城化学（江苏）有限公司氢气输送管线</t>
  </si>
  <si>
    <t>金城化学（江苏）有限公司</t>
  </si>
  <si>
    <t>外管从芳烃南路扬子界区至金城化工界区，长度2.8km；内管为金城化工界区至氢气储罐，总长250m。金城化学（江苏）有限公司环己胺和邻氯苯胺项目的配套工程</t>
  </si>
  <si>
    <t>http://www.jshbgz.cn/hpgs/201805/t20180529_420826.html</t>
  </si>
  <si>
    <t>易高生物化工科技（张家港）有限公司园区管道氢气工程</t>
  </si>
  <si>
    <t>东华能源（张家港）新材料有限公司</t>
  </si>
  <si>
    <t>易高生物化工科技（张家港）有限公司</t>
  </si>
  <si>
    <t>河北定州-高碑店氢气长输管道</t>
  </si>
  <si>
    <t>定州河北旭阳能源园区</t>
  </si>
  <si>
    <t>高碑店市新发地物流园</t>
  </si>
  <si>
    <t>L245N</t>
  </si>
  <si>
    <t>徐水分输站</t>
  </si>
  <si>
    <t>中国石油天然气管道工程有限公司中标</t>
  </si>
  <si>
    <t>定州旭阳氢能有限公司</t>
  </si>
  <si>
    <t>宁夏宝廷新能源有限公司至宁夏沃凯珑新材料有限公司氢气管道</t>
  </si>
  <si>
    <t>宁夏宝廷新能源有限公司</t>
  </si>
  <si>
    <t>宁夏沃凯珑新材料有限公司</t>
  </si>
  <si>
    <t>http://www.chinapower.com.cn/qingneng/dongtai/20220317/139178.html</t>
  </si>
  <si>
    <t>宁夏宝廷新能源有限公司，宁夏沃凯珑新材料有限公司</t>
  </si>
  <si>
    <t>宁夏宝廷新能源有限公司至五恒化学有限公司氢气管道</t>
  </si>
  <si>
    <t>五恒化学有限公司</t>
  </si>
  <si>
    <t>玉门油田输氢管道</t>
  </si>
  <si>
    <t>中国石油</t>
  </si>
  <si>
    <t>中国石油玉门油田分公司</t>
  </si>
  <si>
    <t>https://mp.weixin.qq.com/s/EAULPo7zUnHOaGGnVc2BJw</t>
  </si>
  <si>
    <t>玉门油田输氢管道（支线）</t>
  </si>
  <si>
    <t>长连化工（盘锦）有限公司氢气管线建设工程</t>
  </si>
  <si>
    <t>建设</t>
  </si>
  <si>
    <t>辽宁宝来新材料有限公司</t>
  </si>
  <si>
    <t>长连化工（盘锦）有限公司</t>
  </si>
  <si>
    <t>2.1/1</t>
  </si>
  <si>
    <t>304不锈钢</t>
  </si>
  <si>
    <t>http://ldwxq.panjin.gov.cn/2021_09/16_09/content-338703.html</t>
  </si>
  <si>
    <t>宝雅气体氢气输送管线项目</t>
  </si>
  <si>
    <t>南京宝雅气体有限公司</t>
  </si>
  <si>
    <t>http://njna.nanjing.gov.cn/njsjbxqglwyh/201904/P020190416591715371515.pdf</t>
  </si>
  <si>
    <t>中国石化新疆库车绿氢示范项目</t>
  </si>
  <si>
    <t>中石化新星新疆绿氢新能源有限公司</t>
  </si>
  <si>
    <t>中国石化塔河炼化有限责任公司</t>
  </si>
  <si>
    <t>国家能源集团宁东可再生氢碳减排示范区</t>
  </si>
  <si>
    <t>国华投资</t>
  </si>
  <si>
    <t>国华投资宁夏分公司</t>
  </si>
  <si>
    <t>国华投资（氢能公司）、宁夏电力、宁夏煤业</t>
  </si>
  <si>
    <t>宝钢无取向硅钢产品结构优化标段三</t>
  </si>
  <si>
    <t>纬十一路经四路</t>
  </si>
  <si>
    <t>五延路护厂河路</t>
  </si>
  <si>
    <t>全球第一个完全面向新能源汽车行业的高等级无取向硅钢专业生产线</t>
  </si>
  <si>
    <t>https://mp.weixin.qq.com/s/nwMzE-i3Sh5IZzENRwqqeA</t>
  </si>
  <si>
    <t>上海宝冶冶金工程公司</t>
  </si>
  <si>
    <t>中国石化马店河加氢站</t>
  </si>
  <si>
    <t>仁和区金江镇马店河</t>
  </si>
  <si>
    <t>1312Nm3/h</t>
  </si>
  <si>
    <t>LIUCHANG</t>
  </si>
  <si>
    <t>中国石化四川石油、东方电气集团东方锅炉股份有限公司、攀枝花市花城新能源有限公司</t>
  </si>
  <si>
    <t>中国石化仪征化纤有限责任公司实友-仪化输氢管线项目</t>
  </si>
  <si>
    <t>http://ycfc.sinopec.com/ycfc/csr/envir_pro/Documents/20220524/doc_20220524_525781920275.pdf</t>
  </si>
  <si>
    <t>实友化工（扬州）有限公司</t>
  </si>
  <si>
    <t>仅批复400公里</t>
  </si>
  <si>
    <t>乌兰察布—北京“西氢东送”输氢管道示范工程</t>
  </si>
  <si>
    <t>中石化新星（内蒙古）西氢东送新能源有限公司</t>
  </si>
  <si>
    <t>中国石化集团北京燕山石油化工有限公司</t>
  </si>
  <si>
    <t>近期10万吨/年，远期50万吨/年（126840m3/h，634200m3/h）</t>
  </si>
  <si>
    <t>https://ebidding.sinopec.com/v3/portal/#/article/TENDER/8c9a8f30-6875-48f8-aac3-6dafaf5c7484/1</t>
  </si>
  <si>
    <t>中石化石油工程技术服务股份有限公司</t>
  </si>
  <si>
    <t>乌兰察布—北京“西氢东送”输氢管道示范工程（内蒙古段：商都首站—兴和清管站）</t>
  </si>
  <si>
    <t>https://sthjj.wulanchabu.gov.cn/rmt/userfiles/ueditor/upload/file/20250729/1753784837821080359.pdf</t>
  </si>
  <si>
    <t>乌兰察布—北京“西氢东送”输氢管道示范工程（内蒙古段：兴和清管站—蒙冀分界线）</t>
  </si>
  <si>
    <t>攀枝花1.2公里纯氢管道（中国石化马店河加氢站）</t>
  </si>
  <si>
    <t>辽宁昆仑汉兴氢能源科技有限公司氢气管道项目</t>
  </si>
  <si>
    <t>辽宁昆仑汉兴制氢装置</t>
  </si>
  <si>
    <t>辽宁特力环保科技有限公司西门</t>
  </si>
  <si>
    <t>Q345E</t>
  </si>
  <si>
    <t>辽宁昆仑汉兴氢能源科技有限公司</t>
  </si>
  <si>
    <t>嘉兴港区加氢（供氢）站项目</t>
  </si>
  <si>
    <t>浙江华泓新材料有限公司</t>
  </si>
  <si>
    <t>嘉兴港区加氢（供氢）站</t>
  </si>
  <si>
    <t>华泓公司至滨海大道加氢站</t>
  </si>
  <si>
    <t>嘉兴港区滨海大道加氢站</t>
  </si>
  <si>
    <t>/</t>
  </si>
  <si>
    <t>2025.12 关于拟对浙江氢能产业发展有限公司嘉兴港区加氢（供氢）站项目环评文件作出审批意见的公告（23000Nm3/h）</t>
  </si>
  <si>
    <t>https://jxgq.jiaxing.gov.cn/col/col1596939/art/2025/art_725af0b707b140e68f9acc4d13a16d27.html</t>
  </si>
  <si>
    <t>浙江氢能产业发展有限公司</t>
  </si>
  <si>
    <t>华泓公司至东恒加氢站</t>
  </si>
  <si>
    <t>东恒加氢站</t>
  </si>
  <si>
    <t>碳钢管道</t>
  </si>
  <si>
    <t>2022.01 中标公示</t>
  </si>
  <si>
    <t>http://jxgq.jiaxing.gov.cn/art/2022/1/28/art_1632322_59017962.html</t>
  </si>
  <si>
    <t>嘉兴氢能产业发展股份有限公司</t>
  </si>
  <si>
    <t>古雷石化-福海创公司氢气管道</t>
  </si>
  <si>
    <t>福建古雷石化有限公司</t>
  </si>
  <si>
    <t>福建福海创石油化工有限公司</t>
  </si>
  <si>
    <t>2022.09 投用</t>
  </si>
  <si>
    <t>福建古雷石化有限公司，福建福海创石油化工有限公司</t>
  </si>
  <si>
    <t>绿电绿氢制储加用一体化氢能矿场综合建设项目</t>
  </si>
  <si>
    <t>2023.03 开建</t>
  </si>
  <si>
    <t>https://mp.weixin.qq.com/s/IE13AhB4FxbJLPb_aCkHhA</t>
  </si>
  <si>
    <t>中科院武汉岩土力学研究所、中冶武勘工程技术有限公司</t>
  </si>
  <si>
    <t>林德-士兰氢气管道</t>
  </si>
  <si>
    <t>林德东南气体（厦门）有限公司</t>
  </si>
  <si>
    <t>厦门士兰明镓化合物半导体有限公司</t>
  </si>
  <si>
    <t>2021.01 环评</t>
  </si>
  <si>
    <t>https://sthjj.xm.gov.cn/qj/hc/gsgk/12/202101/P020210115537473640052.pdf</t>
  </si>
  <si>
    <t>山东省首座管道输氢到站示范项目</t>
  </si>
  <si>
    <t>齐鲁石化氯碱厂</t>
  </si>
  <si>
    <t>齐鲁氢能加氢站</t>
  </si>
  <si>
    <t>2023.12 新闻</t>
  </si>
  <si>
    <t>中国石化销售股份有限公司山东石油分公司</t>
  </si>
  <si>
    <t>康保-曹妃甸氢气长输管道项目</t>
  </si>
  <si>
    <t>张家口康保制氢厂</t>
  </si>
  <si>
    <t>河北曹妃甸</t>
  </si>
  <si>
    <t>2025.10 开工</t>
  </si>
  <si>
    <t>https://mp.weixin.qq.com/s/Gv9x8vESPbPibZF2-b4LPQ</t>
  </si>
  <si>
    <t>张家口海泰氢能科技有限公司</t>
  </si>
  <si>
    <t>深能鄂尔多斯市鄂托克前旗上海庙经济开发区光伏制氢项目配套输氢管道工程</t>
  </si>
  <si>
    <t>鄂尔多斯市鄂托克前旗上海庙经济开发区光伏制氢项目</t>
  </si>
  <si>
    <t>润阳悦达光伏装备制造全产业链科技示范项目</t>
  </si>
  <si>
    <t>2024.1 获批</t>
  </si>
  <si>
    <t>https://mp.weixin.qq.com/s/A6J8bpMTQ6ehuU2VH1bIDQ</t>
  </si>
  <si>
    <t>深能北方（鄂托克前旗）能源开发有限公司</t>
  </si>
  <si>
    <t>宝丰集团内部氢能管道</t>
  </si>
  <si>
    <t>宁夏宝丰能源集团股份有限公司</t>
  </si>
  <si>
    <t>https://mp.weixin.qq.com/s/75Q5WIIS5aIKu0wu0Gt28A</t>
  </si>
  <si>
    <t>云南曲靖大为输氢管道</t>
  </si>
  <si>
    <t>云南大为制焦有限公司</t>
  </si>
  <si>
    <t>曲靖大为焦化制供气有限公司</t>
  </si>
  <si>
    <t>2025.2 EPC（会新增600米）</t>
  </si>
  <si>
    <t>https://mp.weixin.qq.com/s/mmnKnItIQFGcIBBKywxCpA</t>
  </si>
  <si>
    <t>云南大为制焦有限公司，曲靖大为焦化制供气有限公司</t>
  </si>
  <si>
    <t>华北石化-大兴氢气管道</t>
  </si>
  <si>
    <t>可研</t>
  </si>
  <si>
    <t>中国石油管道公司</t>
  </si>
  <si>
    <t>乐亭-迁西氢气管道工程</t>
  </si>
  <si>
    <t>河钢集团</t>
  </si>
  <si>
    <t>中能建鹿泉制氢基地-中电科普兴电子输氢管道工程（干线）</t>
  </si>
  <si>
    <t>石井乡鹿泉制氢基地</t>
  </si>
  <si>
    <t>中国电科十三所信息产业园（一期）和普兴电子二厂（二期）</t>
  </si>
  <si>
    <t>2024.04 备案</t>
  </si>
  <si>
    <t>https://mp.weixin.qq.com/s/IP_uXW-l44GxpQynDo-UYw</t>
  </si>
  <si>
    <t>国家管网集团北京管道有限公司</t>
  </si>
  <si>
    <t>中能建鹿泉制氢基地-中电科普兴电子输氢管道工程（支线）</t>
  </si>
  <si>
    <t>鹿泉氢能实流验证平台</t>
  </si>
  <si>
    <t>2025.07 环评首次公开</t>
  </si>
  <si>
    <t>https://mp.weixin.qq.com/s/dRpq8x3iT3cfUKt5wV4_mQ</t>
  </si>
  <si>
    <t>重塑能源氢气管道项目</t>
  </si>
  <si>
    <t>太阳山</t>
  </si>
  <si>
    <t>宁东能源化工基地</t>
  </si>
  <si>
    <t>重塑能源</t>
  </si>
  <si>
    <t>高新区宝通街（潍坊电厂至潍安路）次高压输氢管道工程</t>
  </si>
  <si>
    <t>建成</t>
  </si>
  <si>
    <t>高新区珠光街华电潍坊电厂</t>
  </si>
  <si>
    <t>宝通街潍安路口</t>
  </si>
  <si>
    <t>2024.07 获得主管部门颁发的建设工程规划许可证</t>
  </si>
  <si>
    <t>https://mp.weixin.qq.com/s/xvZzxDADrwknNj1mz0BxNA</t>
  </si>
  <si>
    <t>达茂旗至包头市区氢气长输管道工程</t>
  </si>
  <si>
    <t>包头市达尔罕茂明安联合旗巴润工业园区输氢首站</t>
  </si>
  <si>
    <t>包头市昆都仑区的输气末站</t>
  </si>
  <si>
    <t>白云鄂博矿区巴润产业园（化工集中区）首站、新型工业园分输站、固阳县分输站、昆都仑区末站</t>
  </si>
  <si>
    <t>2025.08 项目获得总部批准；远期年输氢20万吨</t>
  </si>
  <si>
    <t>http://www.byeb.gov.cn/zxgh/39074.html</t>
  </si>
  <si>
    <t>内蒙古华电华蒙管道有限公司</t>
  </si>
  <si>
    <t>镇海炼化加氢站—招宝氢谷产业园氢气管道</t>
  </si>
  <si>
    <t>镇海炼化加氢站</t>
  </si>
  <si>
    <t>招宝氢谷产业园</t>
  </si>
  <si>
    <t>中石瑞氢新能源（宁波）有限公司</t>
  </si>
  <si>
    <t>青岛氢能产业园输氢管道项目</t>
  </si>
  <si>
    <t>金能化学厂区</t>
  </si>
  <si>
    <t>泊里镇氢能产业园</t>
  </si>
  <si>
    <t>https://ggzy.qingdao.gov.cn/PortalQDManage/PortalQD/ZbjhShow/7479</t>
  </si>
  <si>
    <t xml:space="preserve"> 青岛泊里城市建设集团有限公司</t>
  </si>
  <si>
    <t>乌拉特前旗—包头氢气管道项目</t>
  </si>
  <si>
    <t>https://mp.weixin.qq.com/s/b7GwebcNR5QEVWTJuMHW0A</t>
  </si>
  <si>
    <t>林西-元宝山绿氢管道项目</t>
  </si>
  <si>
    <t>林西一元宝山干线</t>
  </si>
  <si>
    <t>林西压气站、翁牛特旗注入站、元宝山分输站</t>
  </si>
  <si>
    <t>监控阀室</t>
  </si>
  <si>
    <t>林西工业园支线</t>
  </si>
  <si>
    <t>林西工业园注入站</t>
  </si>
  <si>
    <t>元宝山支线</t>
  </si>
  <si>
    <t>敖汉旗-元宝山绿氢管道项目</t>
  </si>
  <si>
    <t>敖汉旗注入站</t>
  </si>
  <si>
    <t>克什克腾旗-林西绿氢管道项目</t>
  </si>
  <si>
    <t>克什克腾旗注入站</t>
  </si>
  <si>
    <t>阿鲁科尔沁旗-林西绿氢管道项目</t>
  </si>
  <si>
    <t>阿鲁科尔沁旗一林西段</t>
  </si>
  <si>
    <t>阿鲁科尔沁旗注入站、巴林左旗注入站、巴林右旗注入站</t>
  </si>
  <si>
    <t>巴林右旗工业园段</t>
  </si>
  <si>
    <t>右旗工业园注入站</t>
  </si>
  <si>
    <t>元宝山-宁城绿氢管道项目</t>
  </si>
  <si>
    <t>宁城注入站、宁城清管站</t>
  </si>
  <si>
    <t>赤峰-锦州绿氢管道项目</t>
  </si>
  <si>
    <t>磴口-上海庙-宁东绿氢管道项目</t>
  </si>
  <si>
    <t>乌拉特中旗-独贵塔拉-乌审旗绿氢管道项目</t>
  </si>
  <si>
    <t>四子王旗-准格尔旗绿氢管道项目</t>
  </si>
  <si>
    <t>化德-商都-兴和绿氢管道项目</t>
  </si>
  <si>
    <t>远景集团敖汉—元宝山绿氢管道项目</t>
  </si>
  <si>
    <t>敖汉旗工业园区</t>
  </si>
  <si>
    <t>元宝山产业园元宝山综合站</t>
  </si>
  <si>
    <t>2025.04 备案</t>
  </si>
  <si>
    <t>远景绿氢管道工程（敖汉旗）有限公司</t>
  </si>
  <si>
    <t>年输送0.64亿方氢气管道建设项目</t>
  </si>
  <si>
    <t>和远潜江电子特种气体有限公司</t>
  </si>
  <si>
    <t>潜江市江汉盐化工业园</t>
  </si>
  <si>
    <t>DN150
DN100
DN65</t>
  </si>
  <si>
    <t>0.64亿Nm3/a</t>
  </si>
  <si>
    <t>30GW新能源制绿氢输氢管道（一期）</t>
  </si>
  <si>
    <t>2025.10 推进中</t>
  </si>
  <si>
    <t>30GW新能源制绿氢输氢管道</t>
  </si>
  <si>
    <t>30GW新能源制绿氢输氢管道一期（内蒙古段）</t>
  </si>
  <si>
    <t>L290QH</t>
  </si>
  <si>
    <t>宝武清能（阳江）绿氢产业园项目配套管道（1）</t>
  </si>
  <si>
    <t>宝武清洁能源有限公司</t>
  </si>
  <si>
    <t>宝武清能（阳江）绿氢产业园项目配套管道（2）</t>
  </si>
  <si>
    <t>宝武清能（阳江）绿氢产业园项目配套管道（3）</t>
  </si>
  <si>
    <t>陕西省榆林市榆林南区长庆油田产建区块管道</t>
  </si>
  <si>
    <t>https://max.book118.com/html/2024/0322/8127032022006050.shtm</t>
  </si>
  <si>
    <t>中国石油天然气股份有限公司长庆油田分公司</t>
  </si>
  <si>
    <t>（+1）</t>
  </si>
  <si>
    <t>蒙古氢电科技有限公司达拉特旗电网侧（增量配网）独立储能示范项目配套管道</t>
  </si>
  <si>
    <t>输氢管道及燃气管网天然气掺氢降碳示范化工程中试项目</t>
  </si>
  <si>
    <t>掺氢管道</t>
  </si>
  <si>
    <t>我国首个省级掺氢综合实验平台</t>
  </si>
  <si>
    <t>https://chuneng.bjx.com.cn/news/20210928/1179425.shtml</t>
  </si>
  <si>
    <t>中国石油天然气管道工程有限公司</t>
  </si>
  <si>
    <t>广东海底掺氢管道项目</t>
  </si>
  <si>
    <t>L415M</t>
  </si>
  <si>
    <t>掺氢比例20%</t>
  </si>
  <si>
    <t>宝钢湛江钢铁有限公司</t>
  </si>
  <si>
    <t>朝阳天然气掺氢示范项目</t>
  </si>
  <si>
    <t>掺氢比例10%；主要是示范和实验，大概百来米（DL咨询）</t>
  </si>
  <si>
    <t>国家电投-辽宁朝阳燕山湖发电有限公司</t>
  </si>
  <si>
    <t>张家口掺氢天然气管道示范项目</t>
  </si>
  <si>
    <t>宁夏宝廷新能源有限公司天然气掺氢综合利用项目</t>
  </si>
  <si>
    <t>https://page.om.qq.com/page/OX-kYSQM2DGc4RMrJJ3Pd85g0</t>
  </si>
  <si>
    <t>宁夏宁东恒瑞燃气有限公司，宁夏宝廷新能源有限公司</t>
  </si>
  <si>
    <t>浙江省首个掺氢示范项目</t>
  </si>
  <si>
    <t>中国石油工程建设有限公司西南分公司、浙江能源天然气集团有限公司</t>
  </si>
  <si>
    <t>扎鲁特旗-乌兰浩特氢混天然气长输管线</t>
  </si>
  <si>
    <t>该项目利用宝廷新能源公司化工副产氢开展天然气掺氢中试，试验不同掺氢比例（6%-20%）下现有天然气管道管材、主要设备、检测仪表及可燃气体探测器、天然气管道密封材料等的匹配性、适应性问题，实现掺氢环节、输送环节和用户环节全流程验证，提出天然气掺氢产业化最佳比例及管材改良方案</t>
  </si>
  <si>
    <t>http://app.myzaker.com/news/article.php?pk=62ef542e8e9f091a775b148b&amp;f=normal</t>
  </si>
  <si>
    <t>盟行署与昆仑氢能有限公司、兴安盟吉通天然气有限公司</t>
  </si>
  <si>
    <t>陕宁一线掺氢示范项目</t>
  </si>
  <si>
    <t>L360Q无缝钢</t>
  </si>
  <si>
    <t>掺氢比例5%</t>
  </si>
  <si>
    <t>中石油管道局</t>
  </si>
  <si>
    <t>包头-临河输气（掺氢）管道工程项目</t>
  </si>
  <si>
    <t>干线235公里，支线23公里；掺氢比例10%</t>
  </si>
  <si>
    <t>https://mp.weixin.qq.com/s/IPlwMBqgG4MBUoVHzFAY_w</t>
  </si>
  <si>
    <t>内蒙古西部天然气股份有限公司</t>
  </si>
  <si>
    <t>中低压纯氢与掺氢燃气管道输送及其应用关键技术研发</t>
  </si>
  <si>
    <t>纯氢/掺氢管道</t>
  </si>
  <si>
    <t>科左后旗甘旗卡园区管网</t>
  </si>
  <si>
    <t>通辽市隆圣峰天然气有限公司</t>
  </si>
  <si>
    <t>涩宁兰管道开展天然气掺氢运输</t>
  </si>
  <si>
    <t>2.7-5.4</t>
  </si>
  <si>
    <t>固阳-白云鄂博输气管道工程</t>
  </si>
  <si>
    <t>包头市固阳县</t>
  </si>
  <si>
    <t>巴润工业园</t>
  </si>
  <si>
    <t>L360</t>
  </si>
  <si>
    <t>https://mp.weixin.qq.com/s/SrqTI2qkZzQYEQtw_XyX9Q</t>
  </si>
  <si>
    <t>内蒙古西部天然气包北管理有限公司</t>
  </si>
  <si>
    <t>库车门站天然气掺氢示范工程</t>
  </si>
  <si>
    <t>新星新疆绿氢公司</t>
  </si>
  <si>
    <t>2025.01 新闻</t>
  </si>
  <si>
    <t>https://mp.weixin.qq.com/s/7DIG4rqr-2yptjTAYpbECg</t>
  </si>
  <si>
    <t>国家管网集团氢储运项目</t>
  </si>
  <si>
    <t>掺氢比例30%</t>
  </si>
  <si>
    <t>国家管网集团</t>
  </si>
  <si>
    <t>省A</t>
  </si>
  <si>
    <t>省A</t>
    <phoneticPr fontId="2" type="noConversion"/>
  </si>
  <si>
    <t>市A</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</si>
</sst>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宋体"/>
      <family val="3"/>
      <charset val="134"/>
      <scheme val="minor"/>
    </font>
    <font>
      <b/>
      <sz val="9"/>
      <color theme="0"/>
      <name val="微软雅黑"/>
      <family val="2"/>
      <charset val="134"/>
    </font>
    <font>
      <sz val="9"/>
      <name val="宋体"/>
      <family val="3"/>
      <charset val="134"/>
      <scheme val="minor"/>
    </font>
    <font>
      <b/>
      <sz val="9"/>
      <name val="微软雅黑"/>
      <family val="2"/>
      <charset val="134"/>
    </font>
    <font>
      <b/>
      <sz val="9"/>
      <color rgb="FFFF0000"/>
      <name val="微软雅黑"/>
      <family val="2"/>
      <charset val="134"/>
    </font>
    <font>
      <b/>
      <sz val="9"/>
      <color rgb="FF187FC4"/>
      <name val="微软雅黑"/>
      <family val="2"/>
      <charset val="134"/>
    </font>
    <font>
      <b/>
      <sz val="9"/>
      <color theme="1"/>
      <name val="宋体"/>
      <family val="3"/>
      <charset val="134"/>
      <scheme val="minor"/>
    </font>
    <font>
      <b/>
      <sz val="9"/>
      <color rgb="FFC00000"/>
      <name val="微软雅黑"/>
      <family val="2"/>
      <charset val="134"/>
    </font>
    <font>
      <sz val="11"/>
      <color rgb="FFFF0000"/>
      <name val="宋体"/>
      <family val="3"/>
      <charset val="134"/>
      <scheme val="minor"/>
    </font>
    <font>
      <sz val="11"/>
      <color theme="0"/>
      <name val="宋体"/>
      <family val="3"/>
      <charset val="134"/>
      <scheme val="minor"/>
    </font>
    <font>
      <sz val="11"/>
      <color rgb="FFCC00CC"/>
      <name val="宋体"/>
      <family val="3"/>
      <charset val="134"/>
      <scheme val="minor"/>
    </font>
    <font>
      <b/>
      <sz val="9"/>
      <color rgb="FFCC00CC"/>
      <name val="微软雅黑"/>
      <family val="2"/>
      <charset val="134"/>
    </font>
    <font>
      <b/>
      <sz val="9"/>
      <name val="宋体"/>
      <family val="3"/>
      <charset val="134"/>
    </font>
    <font>
      <sz val="9"/>
      <name val="宋体"/>
      <family val="3"/>
      <charset val="134"/>
    </font>
  </fonts>
  <fills count="10">
    <fill>
      <patternFill patternType="none"/>
    </fill>
    <fill>
      <patternFill patternType="gray125"/>
    </fill>
    <fill>
      <patternFill patternType="solid">
        <fgColor rgb="FF004098"/>
        <bgColor indexed="64"/>
      </patternFill>
    </fill>
    <fill>
      <patternFill patternType="solid">
        <fgColor theme="0"/>
        <bgColor indexed="64"/>
      </patternFill>
    </fill>
    <fill>
      <patternFill patternType="solid">
        <fgColor theme="9" tint="0.79992065187536243"/>
        <bgColor indexed="64"/>
      </patternFill>
    </fill>
    <fill>
      <patternFill patternType="solid">
        <fgColor theme="9" tint="0.39991454817346722"/>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rgb="FFFFC000"/>
        <bgColor indexed="64"/>
      </patternFill>
    </fill>
    <fill>
      <patternFill patternType="solid">
        <fgColor theme="7"/>
        <bgColor indexed="64"/>
      </patternFill>
    </fill>
  </fills>
  <borders count="3">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2" borderId="1" xfId="0" applyFont="1" applyFill="1" applyBorder="1" applyAlignment="1">
      <alignment horizontal="center" vertical="center" wrapText="1"/>
    </xf>
    <xf numFmtId="0" fontId="0" fillId="0" borderId="0" xfId="0" applyAlignment="1">
      <alignment horizontal="center" vertical="center" wrapText="1"/>
    </xf>
    <xf numFmtId="0" fontId="3" fillId="3" borderId="2" xfId="0" applyFont="1" applyFill="1" applyBorder="1" applyAlignment="1">
      <alignment horizontal="center" vertical="center" wrapText="1"/>
    </xf>
    <xf numFmtId="57" fontId="3" fillId="3" borderId="2" xfId="0" applyNumberFormat="1"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3" fillId="6" borderId="2" xfId="0" applyFont="1" applyFill="1" applyBorder="1" applyAlignment="1">
      <alignment horizontal="center" vertical="center" wrapText="1"/>
    </xf>
    <xf numFmtId="0" fontId="3" fillId="7" borderId="2" xfId="0" applyFont="1" applyFill="1" applyBorder="1" applyAlignment="1">
      <alignment horizontal="center" vertical="center" wrapText="1"/>
    </xf>
    <xf numFmtId="0" fontId="4" fillId="3" borderId="2" xfId="0" applyFont="1" applyFill="1" applyBorder="1" applyAlignment="1">
      <alignment horizontal="center" vertical="center" wrapText="1"/>
    </xf>
    <xf numFmtId="57" fontId="3" fillId="3" borderId="2" xfId="0" applyNumberFormat="1" applyFont="1" applyFill="1" applyBorder="1" applyAlignment="1">
      <alignment horizontal="left" vertical="center" wrapText="1"/>
    </xf>
    <xf numFmtId="0" fontId="5" fillId="3" borderId="2" xfId="0" applyFont="1" applyFill="1" applyBorder="1" applyAlignment="1">
      <alignment horizontal="center" vertical="center" wrapText="1"/>
    </xf>
    <xf numFmtId="0" fontId="6" fillId="8" borderId="0" xfId="0" applyFont="1" applyFill="1" applyAlignment="1">
      <alignment horizontal="center" vertical="center" wrapText="1"/>
    </xf>
    <xf numFmtId="57" fontId="7" fillId="3" borderId="2" xfId="0" applyNumberFormat="1" applyFont="1" applyFill="1" applyBorder="1" applyAlignment="1">
      <alignment horizontal="left" vertical="center" wrapText="1"/>
    </xf>
    <xf numFmtId="0" fontId="6" fillId="0" borderId="0" xfId="0" applyFont="1" applyAlignment="1">
      <alignment horizontal="center" vertical="center" wrapText="1"/>
    </xf>
    <xf numFmtId="0" fontId="8" fillId="0" borderId="0" xfId="0" applyFont="1" applyAlignment="1">
      <alignment horizontal="center" vertical="center" wrapText="1"/>
    </xf>
    <xf numFmtId="0" fontId="4" fillId="2" borderId="1" xfId="0" applyFont="1" applyFill="1" applyBorder="1" applyAlignment="1">
      <alignment horizontal="center" vertical="center" wrapText="1"/>
    </xf>
    <xf numFmtId="57" fontId="4" fillId="3" borderId="2" xfId="0" applyNumberFormat="1" applyFont="1" applyFill="1" applyBorder="1" applyAlignment="1">
      <alignment horizontal="center" vertical="center" wrapText="1"/>
    </xf>
    <xf numFmtId="0" fontId="4" fillId="6" borderId="2" xfId="0" applyFont="1" applyFill="1" applyBorder="1" applyAlignment="1">
      <alignment horizontal="center" vertical="center" wrapText="1"/>
    </xf>
    <xf numFmtId="57" fontId="4" fillId="3" borderId="2" xfId="0" applyNumberFormat="1" applyFont="1" applyFill="1" applyBorder="1" applyAlignment="1">
      <alignment horizontal="left" vertical="center" wrapText="1"/>
    </xf>
    <xf numFmtId="0" fontId="1" fillId="9" borderId="1" xfId="0" applyFont="1" applyFill="1" applyBorder="1" applyAlignment="1">
      <alignment horizontal="center" vertical="center" wrapText="1"/>
    </xf>
    <xf numFmtId="0" fontId="3" fillId="9" borderId="2" xfId="0" applyFont="1" applyFill="1" applyBorder="1" applyAlignment="1">
      <alignment horizontal="center" vertical="center" wrapText="1"/>
    </xf>
    <xf numFmtId="57" fontId="3" fillId="9" borderId="2" xfId="0" applyNumberFormat="1" applyFont="1" applyFill="1" applyBorder="1" applyAlignment="1">
      <alignment horizontal="center" vertical="center" wrapText="1"/>
    </xf>
    <xf numFmtId="0" fontId="4" fillId="9" borderId="2" xfId="0" applyFont="1" applyFill="1" applyBorder="1" applyAlignment="1">
      <alignment horizontal="center" vertical="center" wrapText="1"/>
    </xf>
    <xf numFmtId="57" fontId="3" fillId="9" borderId="2" xfId="0" applyNumberFormat="1" applyFont="1" applyFill="1" applyBorder="1" applyAlignment="1">
      <alignment horizontal="left" vertical="center" wrapText="1"/>
    </xf>
    <xf numFmtId="0" fontId="5" fillId="9" borderId="2" xfId="0" applyFont="1" applyFill="1" applyBorder="1" applyAlignment="1">
      <alignment horizontal="center" vertical="center" wrapText="1"/>
    </xf>
    <xf numFmtId="0" fontId="0" fillId="3" borderId="0" xfId="0" applyFill="1" applyAlignment="1">
      <alignment horizontal="center" vertical="center" wrapText="1"/>
    </xf>
    <xf numFmtId="0" fontId="9" fillId="3" borderId="0" xfId="0" applyFont="1" applyFill="1" applyAlignment="1">
      <alignment horizontal="center" vertical="center" wrapText="1"/>
    </xf>
    <xf numFmtId="0" fontId="5" fillId="3" borderId="0" xfId="0" applyFont="1" applyFill="1" applyAlignment="1">
      <alignment horizontal="center" vertical="center" wrapText="1"/>
    </xf>
    <xf numFmtId="0" fontId="10" fillId="3" borderId="0" xfId="0" applyFont="1" applyFill="1" applyAlignment="1">
      <alignment horizontal="center" vertical="center" wrapText="1"/>
    </xf>
    <xf numFmtId="0" fontId="11" fillId="3" borderId="0" xfId="0" applyFont="1" applyFill="1" applyAlignment="1">
      <alignment horizontal="center" vertical="center" wrapText="1"/>
    </xf>
    <xf numFmtId="0" fontId="4" fillId="3" borderId="0" xfId="0" applyFont="1" applyFill="1" applyAlignment="1">
      <alignment horizontal="center" vertical="center" wrapText="1"/>
    </xf>
    <xf numFmtId="0" fontId="0" fillId="3" borderId="0" xfId="0" applyFill="1" applyAlignment="1">
      <alignment horizontal="left" vertical="center" wrapText="1"/>
    </xf>
    <xf numFmtId="0" fontId="6" fillId="8" borderId="0" xfId="0" applyFont="1" applyFill="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page.om.qq.com/page/OX-kYSQM2DGc4RMrJJ3Pd85g0" TargetMode="External"/><Relationship Id="rId13" Type="http://schemas.openxmlformats.org/officeDocument/2006/relationships/hyperlink" Target="https://mp.weixin.qq.com/s/IP_uXW-l44GxpQynDo-UYw" TargetMode="External"/><Relationship Id="rId18" Type="http://schemas.openxmlformats.org/officeDocument/2006/relationships/hyperlink" Target="http://www.byeb.gov.cn/zxgh/39074.html" TargetMode="External"/><Relationship Id="rId3" Type="http://schemas.openxmlformats.org/officeDocument/2006/relationships/hyperlink" Target="http://ldwxq.panjin.gov.cn/2021_09/16_09/content-338703.html" TargetMode="External"/><Relationship Id="rId21" Type="http://schemas.openxmlformats.org/officeDocument/2006/relationships/hyperlink" Target="http://www.jieyang.gov.cn/attachment/0/166/166539/999929.pdf" TargetMode="External"/><Relationship Id="rId7" Type="http://schemas.openxmlformats.org/officeDocument/2006/relationships/hyperlink" Target="https://mp.weixin.qq.com/s/EAULPo7zUnHOaGGnVc2BJw" TargetMode="External"/><Relationship Id="rId12" Type="http://schemas.openxmlformats.org/officeDocument/2006/relationships/hyperlink" Target="https://ebidding.sinopec.com/v3/portal/" TargetMode="External"/><Relationship Id="rId17" Type="http://schemas.openxmlformats.org/officeDocument/2006/relationships/hyperlink" Target="https://sthjj.wulanchabu.gov.cn/rmt/userfiles/ueditor/upload/file/20250729/1753784837821080359.pdf" TargetMode="External"/><Relationship Id="rId25" Type="http://schemas.openxmlformats.org/officeDocument/2006/relationships/comments" Target="../comments1.xml"/><Relationship Id="rId2" Type="http://schemas.openxmlformats.org/officeDocument/2006/relationships/hyperlink" Target="http://njna.nanjing.gov.cn/njsjbxqglwyh/201904/P020190416591715371515.pdf" TargetMode="External"/><Relationship Id="rId16" Type="http://schemas.openxmlformats.org/officeDocument/2006/relationships/hyperlink" Target="https://sthjj.wulanchabu.gov.cn/rmt/userfiles/ueditor/upload/file/20250729/1753784837821080359.pdf" TargetMode="External"/><Relationship Id="rId20" Type="http://schemas.openxmlformats.org/officeDocument/2006/relationships/hyperlink" Target="https://ggzy.qingdao.gov.cn/PortalQDManage/PortalQD/ZbjhShow/7479" TargetMode="External"/><Relationship Id="rId1" Type="http://schemas.openxmlformats.org/officeDocument/2006/relationships/hyperlink" Target="http://www.jshbgz.cn/hpgs/201805/t20180529_420826.html" TargetMode="External"/><Relationship Id="rId6" Type="http://schemas.openxmlformats.org/officeDocument/2006/relationships/hyperlink" Target="https://doc.xuehai.net/bc7f2000c8844d3113e69094f.html" TargetMode="External"/><Relationship Id="rId11" Type="http://schemas.openxmlformats.org/officeDocument/2006/relationships/hyperlink" Target="https://mp.weixin.qq.com/s/SrqTI2qkZzQYEQtw_XyX9Q" TargetMode="External"/><Relationship Id="rId24" Type="http://schemas.openxmlformats.org/officeDocument/2006/relationships/vmlDrawing" Target="../drawings/vmlDrawing1.vml"/><Relationship Id="rId5" Type="http://schemas.openxmlformats.org/officeDocument/2006/relationships/hyperlink" Target="https://max.book118.com/html/2018/0507/165188653.shtm" TargetMode="External"/><Relationship Id="rId15" Type="http://schemas.openxmlformats.org/officeDocument/2006/relationships/hyperlink" Target="https://mp.weixin.qq.com/s/dRpq8x3iT3cfUKt5wV4_mQ" TargetMode="External"/><Relationship Id="rId23" Type="http://schemas.openxmlformats.org/officeDocument/2006/relationships/hyperlink" Target="https://max.book118.com/html/2024/0322/8127032022006050.shtm" TargetMode="External"/><Relationship Id="rId10" Type="http://schemas.openxmlformats.org/officeDocument/2006/relationships/hyperlink" Target="https://chuneng.bjx.com.cn/news/20210928/1179425.shtml" TargetMode="External"/><Relationship Id="rId19" Type="http://schemas.openxmlformats.org/officeDocument/2006/relationships/hyperlink" Target="https://jxgq.jiaxing.gov.cn/col/col1596939/art/2025/art_725af0b707b140e68f9acc4d13a16d27.html" TargetMode="External"/><Relationship Id="rId4" Type="http://schemas.openxmlformats.org/officeDocument/2006/relationships/hyperlink" Target="https://jz.docin.com/p-2087673538.html" TargetMode="External"/><Relationship Id="rId9" Type="http://schemas.openxmlformats.org/officeDocument/2006/relationships/hyperlink" Target="http://app.myzaker.com/news/article.php?pk=62ef542e8e9f091a775b148b&amp;f=normal" TargetMode="External"/><Relationship Id="rId14" Type="http://schemas.openxmlformats.org/officeDocument/2006/relationships/hyperlink" Target="https://mp.weixin.qq.com/s/IP_uXW-l44GxpQynDo-UYw" TargetMode="External"/><Relationship Id="rId22" Type="http://schemas.openxmlformats.org/officeDocument/2006/relationships/hyperlink" Target="https://www.doc88.com/p-17219710921493.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B0989-18A5-46BB-8382-ABE518B11E97}">
  <sheetPr filterMode="1"/>
  <dimension ref="A1:AC93"/>
  <sheetViews>
    <sheetView tabSelected="1" topLeftCell="E1" zoomScale="85" zoomScaleNormal="85" workbookViewId="0">
      <pane ySplit="1" topLeftCell="A49" activePane="bottomLeft" state="frozen"/>
      <selection pane="bottomLeft" activeCell="P20" sqref="P20"/>
    </sheetView>
  </sheetViews>
  <sheetFormatPr defaultColWidth="15.59765625" defaultRowHeight="25.05" customHeight="1" x14ac:dyDescent="0.3"/>
  <cols>
    <col min="1" max="1" width="15.59765625" style="26"/>
    <col min="2" max="2" width="50.59765625" style="27" customWidth="1"/>
    <col min="3" max="3" width="12.53125" style="27" customWidth="1"/>
    <col min="4" max="4" width="8.1328125" style="28" customWidth="1"/>
    <col min="5" max="9" width="8.1328125" style="26" customWidth="1"/>
    <col min="10" max="11" width="30.46484375" style="29" customWidth="1"/>
    <col min="12" max="16" width="8.1328125" style="28" customWidth="1"/>
    <col min="17" max="17" width="12.53125" style="28" customWidth="1"/>
    <col min="18" max="18" width="12.53125" style="30" customWidth="1"/>
    <col min="19" max="20" width="12.53125" style="28" customWidth="1"/>
    <col min="21" max="21" width="10.59765625" style="31" customWidth="1"/>
    <col min="22" max="22" width="10.59765625" style="28" customWidth="1"/>
    <col min="23" max="23" width="25.59765625" style="28" customWidth="1"/>
    <col min="24" max="24" width="10.59765625" style="28" customWidth="1"/>
    <col min="25" max="25" width="25.59765625" style="28" customWidth="1"/>
    <col min="26" max="26" width="35.59765625" style="32" customWidth="1"/>
    <col min="27" max="27" width="15.59765625" style="28" customWidth="1"/>
    <col min="28" max="28" width="15.53125" style="26" customWidth="1"/>
    <col min="29" max="29" width="15.59765625" style="28" customWidth="1"/>
    <col min="30" max="16384" width="15.59765625" style="26"/>
  </cols>
  <sheetData>
    <row r="1" spans="2:29" s="2" customFormat="1" ht="25.05" customHeight="1" x14ac:dyDescent="0.3">
      <c r="B1" s="1" t="s">
        <v>0</v>
      </c>
      <c r="C1" s="1" t="s">
        <v>1</v>
      </c>
      <c r="D1" s="1" t="s">
        <v>2</v>
      </c>
      <c r="E1" s="1" t="s">
        <v>3</v>
      </c>
      <c r="F1" s="1" t="s">
        <v>3</v>
      </c>
      <c r="G1" s="1" t="s">
        <v>4</v>
      </c>
      <c r="H1" s="1" t="s">
        <v>4</v>
      </c>
      <c r="I1" s="1"/>
      <c r="J1" s="1" t="s">
        <v>5</v>
      </c>
      <c r="K1" s="1" t="s">
        <v>6</v>
      </c>
      <c r="L1" s="1" t="s">
        <v>7</v>
      </c>
      <c r="M1" s="1" t="s">
        <v>8</v>
      </c>
      <c r="N1" s="1" t="s">
        <v>9</v>
      </c>
      <c r="O1" s="1" t="s">
        <v>10</v>
      </c>
      <c r="P1" s="1" t="s">
        <v>11</v>
      </c>
      <c r="Q1" s="1" t="s">
        <v>12</v>
      </c>
      <c r="R1" s="1" t="s">
        <v>13</v>
      </c>
      <c r="S1" s="1" t="s">
        <v>14</v>
      </c>
      <c r="T1" s="1" t="s">
        <v>15</v>
      </c>
      <c r="U1" s="1" t="s">
        <v>16</v>
      </c>
      <c r="V1" s="1" t="s">
        <v>17</v>
      </c>
      <c r="W1" s="1"/>
      <c r="X1" s="1" t="s">
        <v>18</v>
      </c>
      <c r="Y1" s="1"/>
      <c r="Z1" s="1" t="s">
        <v>19</v>
      </c>
      <c r="AA1" s="1" t="s">
        <v>20</v>
      </c>
      <c r="AB1" s="1" t="s">
        <v>21</v>
      </c>
      <c r="AC1" s="1"/>
    </row>
    <row r="2" spans="2:29" s="2" customFormat="1" ht="25.05" customHeight="1" x14ac:dyDescent="0.3">
      <c r="B2" s="1" t="s">
        <v>22</v>
      </c>
      <c r="C2" s="1" t="s">
        <v>23</v>
      </c>
      <c r="D2" s="3" t="s">
        <v>24</v>
      </c>
      <c r="E2" s="4" t="s">
        <v>336</v>
      </c>
      <c r="F2" s="4" t="s">
        <v>337</v>
      </c>
      <c r="G2" s="4" t="s">
        <v>336</v>
      </c>
      <c r="H2" s="4" t="s">
        <v>337</v>
      </c>
      <c r="I2" s="4" t="s">
        <v>25</v>
      </c>
      <c r="J2" s="4" t="s">
        <v>26</v>
      </c>
      <c r="K2" s="4" t="s">
        <v>27</v>
      </c>
      <c r="L2" s="3">
        <f ca="1">RANDBETWEEN(1,100)</f>
        <v>64</v>
      </c>
      <c r="M2" s="3">
        <f ca="1">RANDBETWEEN(2010,2026)</f>
        <v>2014</v>
      </c>
      <c r="N2" s="3">
        <f ca="1">RANDBETWEEN(1,12)</f>
        <v>10</v>
      </c>
      <c r="O2" s="3">
        <f ca="1">RANDBETWEEN(2010,2026)</f>
        <v>2010</v>
      </c>
      <c r="P2" s="3">
        <f ca="1">RANDBETWEEN(1,12)</f>
        <v>3</v>
      </c>
      <c r="Q2" s="5">
        <f ca="1">RANDBETWEEN(1,1000)</f>
        <v>192</v>
      </c>
      <c r="R2" s="6">
        <f ca="1">RANDBETWEEN(1,100)</f>
        <v>55</v>
      </c>
      <c r="S2" s="7">
        <f ca="1">RANDBETWEEN(50,1000)</f>
        <v>493</v>
      </c>
      <c r="T2" s="8">
        <f ca="1">RANDBETWEEN(1,10)</f>
        <v>10</v>
      </c>
      <c r="U2" s="9" t="s">
        <v>28</v>
      </c>
      <c r="V2" s="3"/>
      <c r="W2" s="3"/>
      <c r="X2" s="3"/>
      <c r="Y2" s="3"/>
      <c r="Z2" s="10"/>
      <c r="AA2" s="10"/>
      <c r="AB2" s="4" t="s">
        <v>29</v>
      </c>
      <c r="AC2" s="11"/>
    </row>
    <row r="3" spans="2:29" s="2" customFormat="1" ht="25.05" customHeight="1" x14ac:dyDescent="0.3">
      <c r="B3" s="1" t="s">
        <v>30</v>
      </c>
      <c r="C3" s="1" t="s">
        <v>23</v>
      </c>
      <c r="D3" s="3" t="s">
        <v>24</v>
      </c>
      <c r="E3" s="4" t="s">
        <v>336</v>
      </c>
      <c r="F3" s="4" t="s">
        <v>337</v>
      </c>
      <c r="G3" s="4" t="s">
        <v>336</v>
      </c>
      <c r="H3" s="4" t="s">
        <v>337</v>
      </c>
      <c r="I3" s="4" t="s">
        <v>25</v>
      </c>
      <c r="J3" s="4" t="s">
        <v>31</v>
      </c>
      <c r="K3" s="4" t="s">
        <v>32</v>
      </c>
      <c r="L3" s="3">
        <f t="shared" ref="L3:L4" ca="1" si="0">RANDBETWEEN(1,100)</f>
        <v>48</v>
      </c>
      <c r="M3" s="3">
        <f t="shared" ref="M3:M5" ca="1" si="1">RANDBETWEEN(2010,2026)</f>
        <v>2026</v>
      </c>
      <c r="N3" s="3">
        <f t="shared" ref="N3:N5" ca="1" si="2">RANDBETWEEN(1,12)</f>
        <v>2</v>
      </c>
      <c r="O3" s="3">
        <f t="shared" ref="O3:O11" ca="1" si="3">RANDBETWEEN(2010,2026)</f>
        <v>2025</v>
      </c>
      <c r="P3" s="3"/>
      <c r="Q3" s="5">
        <f t="shared" ref="Q3:Q66" ca="1" si="4">RANDBETWEEN(1,1000)</f>
        <v>720</v>
      </c>
      <c r="R3" s="6">
        <f t="shared" ref="R3:R7" ca="1" si="5">RANDBETWEEN(1,100)</f>
        <v>31</v>
      </c>
      <c r="S3" s="7">
        <f t="shared" ref="S3:S24" ca="1" si="6">RANDBETWEEN(50,1000)</f>
        <v>95</v>
      </c>
      <c r="T3" s="8">
        <f t="shared" ref="T3:T7" ca="1" si="7">RANDBETWEEN(1,10)</f>
        <v>1</v>
      </c>
      <c r="U3" s="9" t="s">
        <v>33</v>
      </c>
      <c r="V3" s="3"/>
      <c r="W3" s="3"/>
      <c r="X3" s="3"/>
      <c r="Y3" s="3"/>
      <c r="Z3" s="10" t="s">
        <v>34</v>
      </c>
      <c r="AA3" s="10"/>
      <c r="AB3" s="4" t="s">
        <v>35</v>
      </c>
      <c r="AC3" s="11"/>
    </row>
    <row r="4" spans="2:29" s="2" customFormat="1" ht="25.05" customHeight="1" x14ac:dyDescent="0.3">
      <c r="B4" s="1" t="s">
        <v>36</v>
      </c>
      <c r="C4" s="1" t="s">
        <v>23</v>
      </c>
      <c r="D4" s="3" t="s">
        <v>24</v>
      </c>
      <c r="E4" s="4" t="s">
        <v>336</v>
      </c>
      <c r="F4" s="4" t="s">
        <v>337</v>
      </c>
      <c r="G4" s="4" t="s">
        <v>336</v>
      </c>
      <c r="H4" s="4" t="s">
        <v>337</v>
      </c>
      <c r="I4" s="4" t="s">
        <v>25</v>
      </c>
      <c r="J4" s="4" t="s">
        <v>37</v>
      </c>
      <c r="K4" s="4" t="s">
        <v>38</v>
      </c>
      <c r="L4" s="3">
        <f t="shared" ca="1" si="0"/>
        <v>54</v>
      </c>
      <c r="M4" s="3">
        <f t="shared" ca="1" si="1"/>
        <v>2019</v>
      </c>
      <c r="N4" s="3">
        <f t="shared" ca="1" si="2"/>
        <v>12</v>
      </c>
      <c r="O4" s="3">
        <f t="shared" ca="1" si="3"/>
        <v>2013</v>
      </c>
      <c r="P4" s="3">
        <f t="shared" ref="P4:P8" ca="1" si="8">RANDBETWEEN(1,12)</f>
        <v>5</v>
      </c>
      <c r="Q4" s="5">
        <f t="shared" ca="1" si="4"/>
        <v>777</v>
      </c>
      <c r="R4" s="6">
        <f t="shared" ca="1" si="5"/>
        <v>60</v>
      </c>
      <c r="S4" s="7">
        <f t="shared" ca="1" si="6"/>
        <v>435</v>
      </c>
      <c r="T4" s="8">
        <f t="shared" ca="1" si="7"/>
        <v>3</v>
      </c>
      <c r="U4" s="9" t="s">
        <v>39</v>
      </c>
      <c r="V4" s="3"/>
      <c r="W4" s="3"/>
      <c r="X4" s="3"/>
      <c r="Y4" s="3"/>
      <c r="Z4" s="10" t="s">
        <v>40</v>
      </c>
      <c r="AA4" s="10"/>
      <c r="AB4" s="4" t="s">
        <v>41</v>
      </c>
      <c r="AC4" s="11"/>
    </row>
    <row r="5" spans="2:29" s="2" customFormat="1" ht="25.05" hidden="1" customHeight="1" x14ac:dyDescent="0.3">
      <c r="B5" s="1" t="s">
        <v>42</v>
      </c>
      <c r="C5" s="1" t="s">
        <v>23</v>
      </c>
      <c r="D5" s="3" t="s">
        <v>24</v>
      </c>
      <c r="E5" s="4" t="s">
        <v>336</v>
      </c>
      <c r="F5" s="4"/>
      <c r="G5" s="4" t="s">
        <v>336</v>
      </c>
      <c r="H5" s="4"/>
      <c r="I5" s="4"/>
      <c r="J5" s="4" t="s">
        <v>44</v>
      </c>
      <c r="K5" s="4" t="s">
        <v>45</v>
      </c>
      <c r="L5" s="3"/>
      <c r="M5" s="3">
        <f t="shared" ca="1" si="1"/>
        <v>2016</v>
      </c>
      <c r="N5" s="3">
        <f t="shared" ca="1" si="2"/>
        <v>4</v>
      </c>
      <c r="O5" s="3">
        <f t="shared" ca="1" si="3"/>
        <v>2011</v>
      </c>
      <c r="P5" s="3">
        <f t="shared" ca="1" si="8"/>
        <v>2</v>
      </c>
      <c r="Q5" s="5">
        <f t="shared" ca="1" si="4"/>
        <v>73</v>
      </c>
      <c r="R5" s="6">
        <f t="shared" ca="1" si="5"/>
        <v>89</v>
      </c>
      <c r="S5" s="7" t="s">
        <v>46</v>
      </c>
      <c r="T5" s="8"/>
      <c r="U5" s="9" t="s">
        <v>47</v>
      </c>
      <c r="V5" s="3"/>
      <c r="W5" s="3"/>
      <c r="X5" s="3"/>
      <c r="Y5" s="3"/>
      <c r="Z5" s="10"/>
      <c r="AA5" s="10" t="s">
        <v>43</v>
      </c>
      <c r="AB5" s="4" t="s">
        <v>48</v>
      </c>
      <c r="AC5" s="11"/>
    </row>
    <row r="6" spans="2:29" s="2" customFormat="1" ht="25.05" hidden="1" customHeight="1" x14ac:dyDescent="0.3">
      <c r="B6" s="1" t="s">
        <v>49</v>
      </c>
      <c r="C6" s="1" t="s">
        <v>23</v>
      </c>
      <c r="D6" s="3" t="s">
        <v>24</v>
      </c>
      <c r="E6" s="4" t="s">
        <v>336</v>
      </c>
      <c r="F6" s="4"/>
      <c r="G6" s="4" t="s">
        <v>336</v>
      </c>
      <c r="H6" s="4"/>
      <c r="I6" s="4"/>
      <c r="J6" s="4" t="s">
        <v>48</v>
      </c>
      <c r="K6" s="4" t="s">
        <v>51</v>
      </c>
      <c r="L6" s="3"/>
      <c r="M6" s="3"/>
      <c r="N6" s="3"/>
      <c r="O6" s="3">
        <f t="shared" ca="1" si="3"/>
        <v>2025</v>
      </c>
      <c r="P6" s="3">
        <f t="shared" ca="1" si="8"/>
        <v>9</v>
      </c>
      <c r="Q6" s="5">
        <f t="shared" ca="1" si="4"/>
        <v>841</v>
      </c>
      <c r="R6" s="6">
        <f t="shared" ca="1" si="5"/>
        <v>97</v>
      </c>
      <c r="S6" s="7">
        <f t="shared" ca="1" si="6"/>
        <v>608</v>
      </c>
      <c r="T6" s="8">
        <f t="shared" ca="1" si="7"/>
        <v>4</v>
      </c>
      <c r="U6" s="9"/>
      <c r="V6" s="3"/>
      <c r="W6" s="3"/>
      <c r="X6" s="3"/>
      <c r="Y6" s="3"/>
      <c r="Z6" s="10"/>
      <c r="AA6" s="10" t="s">
        <v>50</v>
      </c>
      <c r="AB6" s="4" t="s">
        <v>48</v>
      </c>
      <c r="AC6" s="11"/>
    </row>
    <row r="7" spans="2:29" s="2" customFormat="1" ht="25.05" hidden="1" customHeight="1" x14ac:dyDescent="0.3">
      <c r="B7" s="1" t="s">
        <v>52</v>
      </c>
      <c r="C7" s="1" t="s">
        <v>23</v>
      </c>
      <c r="D7" s="3" t="s">
        <v>24</v>
      </c>
      <c r="E7" s="4" t="s">
        <v>336</v>
      </c>
      <c r="F7" s="4"/>
      <c r="G7" s="4" t="s">
        <v>336</v>
      </c>
      <c r="H7" s="4"/>
      <c r="I7" s="4"/>
      <c r="J7" s="4" t="s">
        <v>48</v>
      </c>
      <c r="K7" s="4" t="s">
        <v>53</v>
      </c>
      <c r="L7" s="3"/>
      <c r="M7" s="3"/>
      <c r="N7" s="3"/>
      <c r="O7" s="3">
        <f t="shared" ca="1" si="3"/>
        <v>2026</v>
      </c>
      <c r="P7" s="3">
        <f t="shared" ca="1" si="8"/>
        <v>3</v>
      </c>
      <c r="Q7" s="5">
        <f t="shared" ca="1" si="4"/>
        <v>785</v>
      </c>
      <c r="R7" s="6">
        <f t="shared" ca="1" si="5"/>
        <v>31</v>
      </c>
      <c r="S7" s="7">
        <f t="shared" ca="1" si="6"/>
        <v>888</v>
      </c>
      <c r="T7" s="8">
        <f t="shared" ca="1" si="7"/>
        <v>5</v>
      </c>
      <c r="U7" s="9"/>
      <c r="V7" s="3"/>
      <c r="W7" s="3"/>
      <c r="X7" s="3"/>
      <c r="Y7" s="3"/>
      <c r="Z7" s="10"/>
      <c r="AA7" s="10"/>
      <c r="AB7" s="4" t="s">
        <v>48</v>
      </c>
      <c r="AC7" s="11"/>
    </row>
    <row r="8" spans="2:29" s="2" customFormat="1" ht="25.05" hidden="1" customHeight="1" x14ac:dyDescent="0.3">
      <c r="B8" s="1" t="s">
        <v>54</v>
      </c>
      <c r="C8" s="1" t="s">
        <v>23</v>
      </c>
      <c r="D8" s="3" t="s">
        <v>24</v>
      </c>
      <c r="E8" s="4" t="s">
        <v>336</v>
      </c>
      <c r="F8" s="4"/>
      <c r="G8" s="4" t="s">
        <v>336</v>
      </c>
      <c r="H8" s="4"/>
      <c r="I8" s="4"/>
      <c r="J8" s="4" t="s">
        <v>56</v>
      </c>
      <c r="K8" s="4" t="s">
        <v>51</v>
      </c>
      <c r="L8" s="3"/>
      <c r="M8" s="3">
        <f ca="1">RANDBETWEEN(2010,2026)</f>
        <v>2022</v>
      </c>
      <c r="N8" s="3">
        <f t="shared" ref="N8" ca="1" si="9">RANDBETWEEN(1,12)</f>
        <v>5</v>
      </c>
      <c r="O8" s="3">
        <f t="shared" ca="1" si="3"/>
        <v>2010</v>
      </c>
      <c r="P8" s="3">
        <f t="shared" ca="1" si="8"/>
        <v>9</v>
      </c>
      <c r="Q8" s="5">
        <f t="shared" ca="1" si="4"/>
        <v>181</v>
      </c>
      <c r="R8" s="6"/>
      <c r="S8" s="7">
        <f t="shared" ca="1" si="6"/>
        <v>477</v>
      </c>
      <c r="T8" s="8"/>
      <c r="U8" s="9"/>
      <c r="V8" s="3"/>
      <c r="W8" s="3"/>
      <c r="X8" s="3"/>
      <c r="Y8" s="3"/>
      <c r="Z8" s="10"/>
      <c r="AA8" s="10" t="s">
        <v>55</v>
      </c>
      <c r="AB8" s="4" t="s">
        <v>48</v>
      </c>
      <c r="AC8" s="11"/>
    </row>
    <row r="9" spans="2:29" s="2" customFormat="1" ht="25.05" hidden="1" customHeight="1" x14ac:dyDescent="0.3">
      <c r="B9" s="1" t="s">
        <v>57</v>
      </c>
      <c r="C9" s="1" t="s">
        <v>23</v>
      </c>
      <c r="D9" s="3" t="s">
        <v>24</v>
      </c>
      <c r="E9" s="4" t="s">
        <v>336</v>
      </c>
      <c r="F9" s="4"/>
      <c r="G9" s="4" t="s">
        <v>336</v>
      </c>
      <c r="H9" s="4"/>
      <c r="I9" s="4"/>
      <c r="J9" s="4" t="s">
        <v>45</v>
      </c>
      <c r="K9" s="4" t="s">
        <v>45</v>
      </c>
      <c r="L9" s="3"/>
      <c r="M9" s="3"/>
      <c r="N9" s="3"/>
      <c r="O9" s="3">
        <f t="shared" ca="1" si="3"/>
        <v>2017</v>
      </c>
      <c r="P9" s="3"/>
      <c r="Q9" s="5">
        <f t="shared" ca="1" si="4"/>
        <v>780</v>
      </c>
      <c r="R9" s="6"/>
      <c r="S9" s="7">
        <f t="shared" ca="1" si="6"/>
        <v>869</v>
      </c>
      <c r="T9" s="8"/>
      <c r="U9" s="9"/>
      <c r="V9" s="3"/>
      <c r="W9" s="3"/>
      <c r="X9" s="3"/>
      <c r="Y9" s="3"/>
      <c r="Z9" s="10"/>
      <c r="AA9" s="10"/>
      <c r="AB9" s="4" t="s">
        <v>48</v>
      </c>
      <c r="AC9" s="11"/>
    </row>
    <row r="10" spans="2:29" s="2" customFormat="1" ht="25.05" hidden="1" customHeight="1" x14ac:dyDescent="0.3">
      <c r="B10" s="1" t="s">
        <v>58</v>
      </c>
      <c r="C10" s="1" t="s">
        <v>23</v>
      </c>
      <c r="D10" s="3" t="s">
        <v>24</v>
      </c>
      <c r="E10" s="4" t="s">
        <v>336</v>
      </c>
      <c r="F10" s="4"/>
      <c r="G10" s="4" t="s">
        <v>336</v>
      </c>
      <c r="H10" s="4"/>
      <c r="I10" s="4"/>
      <c r="J10" s="4" t="s">
        <v>59</v>
      </c>
      <c r="K10" s="4" t="s">
        <v>60</v>
      </c>
      <c r="L10" s="3"/>
      <c r="M10" s="3"/>
      <c r="N10" s="3"/>
      <c r="O10" s="3">
        <f t="shared" ca="1" si="3"/>
        <v>2010</v>
      </c>
      <c r="P10" s="3"/>
      <c r="Q10" s="5">
        <f t="shared" ca="1" si="4"/>
        <v>486</v>
      </c>
      <c r="R10" s="6"/>
      <c r="S10" s="7">
        <f t="shared" ca="1" si="6"/>
        <v>494</v>
      </c>
      <c r="T10" s="8"/>
      <c r="U10" s="9"/>
      <c r="V10" s="3"/>
      <c r="W10" s="3"/>
      <c r="X10" s="3"/>
      <c r="Y10" s="3"/>
      <c r="Z10" s="10"/>
      <c r="AA10" s="10"/>
      <c r="AB10" s="4" t="s">
        <v>48</v>
      </c>
      <c r="AC10" s="11"/>
    </row>
    <row r="11" spans="2:29" s="2" customFormat="1" ht="25.05" hidden="1" customHeight="1" x14ac:dyDescent="0.3">
      <c r="B11" s="1" t="s">
        <v>61</v>
      </c>
      <c r="C11" s="1" t="s">
        <v>23</v>
      </c>
      <c r="D11" s="3" t="s">
        <v>24</v>
      </c>
      <c r="E11" s="4" t="s">
        <v>336</v>
      </c>
      <c r="F11" s="4"/>
      <c r="G11" s="4" t="s">
        <v>336</v>
      </c>
      <c r="H11" s="4"/>
      <c r="I11" s="4"/>
      <c r="J11" s="4" t="s">
        <v>56</v>
      </c>
      <c r="K11" s="4" t="s">
        <v>48</v>
      </c>
      <c r="L11" s="3"/>
      <c r="M11" s="3"/>
      <c r="N11" s="3"/>
      <c r="O11" s="3">
        <f t="shared" ca="1" si="3"/>
        <v>2019</v>
      </c>
      <c r="P11" s="3">
        <f ca="1">RANDBETWEEN(1,12)</f>
        <v>2</v>
      </c>
      <c r="Q11" s="5">
        <f t="shared" ca="1" si="4"/>
        <v>766</v>
      </c>
      <c r="R11" s="6">
        <f t="shared" ref="R11:R36" ca="1" si="10">RANDBETWEEN(1,100)</f>
        <v>77</v>
      </c>
      <c r="S11" s="7">
        <f t="shared" ca="1" si="6"/>
        <v>527</v>
      </c>
      <c r="T11" s="8"/>
      <c r="U11" s="9"/>
      <c r="V11" s="3"/>
      <c r="W11" s="3"/>
      <c r="X11" s="3"/>
      <c r="Y11" s="3"/>
      <c r="Z11" s="10"/>
      <c r="AA11" s="10"/>
      <c r="AB11" s="4" t="s">
        <v>48</v>
      </c>
      <c r="AC11" s="11"/>
    </row>
    <row r="12" spans="2:29" s="2" customFormat="1" ht="25.05" customHeight="1" x14ac:dyDescent="0.3">
      <c r="B12" s="1" t="s">
        <v>62</v>
      </c>
      <c r="C12" s="1" t="s">
        <v>23</v>
      </c>
      <c r="D12" s="3" t="s">
        <v>24</v>
      </c>
      <c r="E12" s="4" t="s">
        <v>336</v>
      </c>
      <c r="F12" s="4" t="s">
        <v>337</v>
      </c>
      <c r="G12" s="4" t="s">
        <v>336</v>
      </c>
      <c r="H12" s="4" t="s">
        <v>337</v>
      </c>
      <c r="I12" s="4"/>
      <c r="J12" s="4" t="s">
        <v>63</v>
      </c>
      <c r="K12" s="4" t="s">
        <v>63</v>
      </c>
      <c r="L12" s="3">
        <f t="shared" ref="L12:L14" ca="1" si="11">RANDBETWEEN(1,100)</f>
        <v>49</v>
      </c>
      <c r="M12" s="3"/>
      <c r="N12" s="3"/>
      <c r="O12" s="3"/>
      <c r="P12" s="3"/>
      <c r="Q12" s="5">
        <f t="shared" ca="1" si="4"/>
        <v>54</v>
      </c>
      <c r="R12" s="6">
        <f t="shared" ca="1" si="10"/>
        <v>23</v>
      </c>
      <c r="S12" s="7">
        <f t="shared" ca="1" si="6"/>
        <v>785</v>
      </c>
      <c r="T12" s="8">
        <f t="shared" ref="T12:T13" ca="1" si="12">RANDBETWEEN(1,10)</f>
        <v>10</v>
      </c>
      <c r="U12" s="9"/>
      <c r="V12" s="3"/>
      <c r="W12" s="3"/>
      <c r="X12" s="3"/>
      <c r="Y12" s="3"/>
      <c r="Z12" s="10"/>
      <c r="AA12" s="10" t="s">
        <v>64</v>
      </c>
      <c r="AB12" s="4"/>
      <c r="AC12" s="11"/>
    </row>
    <row r="13" spans="2:29" s="2" customFormat="1" ht="25.05" customHeight="1" x14ac:dyDescent="0.3">
      <c r="B13" s="1" t="s">
        <v>65</v>
      </c>
      <c r="C13" s="1" t="s">
        <v>23</v>
      </c>
      <c r="D13" s="3" t="s">
        <v>66</v>
      </c>
      <c r="E13" s="4" t="s">
        <v>336</v>
      </c>
      <c r="F13" s="4" t="s">
        <v>337</v>
      </c>
      <c r="G13" s="4" t="s">
        <v>336</v>
      </c>
      <c r="H13" s="4" t="s">
        <v>337</v>
      </c>
      <c r="I13" s="4"/>
      <c r="J13" s="4" t="s">
        <v>63</v>
      </c>
      <c r="K13" s="4" t="s">
        <v>63</v>
      </c>
      <c r="L13" s="3">
        <f t="shared" ca="1" si="11"/>
        <v>26</v>
      </c>
      <c r="M13" s="3"/>
      <c r="N13" s="3"/>
      <c r="O13" s="3"/>
      <c r="P13" s="3"/>
      <c r="Q13" s="5">
        <f t="shared" ca="1" si="4"/>
        <v>916</v>
      </c>
      <c r="R13" s="6">
        <f t="shared" ca="1" si="10"/>
        <v>45</v>
      </c>
      <c r="S13" s="7">
        <f t="shared" ca="1" si="6"/>
        <v>513</v>
      </c>
      <c r="T13" s="8">
        <f t="shared" ca="1" si="12"/>
        <v>8</v>
      </c>
      <c r="U13" s="9"/>
      <c r="V13" s="3"/>
      <c r="W13" s="3"/>
      <c r="X13" s="3"/>
      <c r="Y13" s="3"/>
      <c r="Z13" s="10"/>
      <c r="AA13" s="10" t="s">
        <v>67</v>
      </c>
      <c r="AB13" s="4"/>
      <c r="AC13" s="11"/>
    </row>
    <row r="14" spans="2:29" s="2" customFormat="1" ht="25.05" customHeight="1" x14ac:dyDescent="0.3">
      <c r="B14" s="1" t="s">
        <v>68</v>
      </c>
      <c r="C14" s="1" t="s">
        <v>23</v>
      </c>
      <c r="D14" s="3" t="s">
        <v>24</v>
      </c>
      <c r="E14" s="4" t="s">
        <v>336</v>
      </c>
      <c r="F14" s="4" t="s">
        <v>337</v>
      </c>
      <c r="G14" s="4" t="s">
        <v>336</v>
      </c>
      <c r="H14" s="4" t="s">
        <v>337</v>
      </c>
      <c r="I14" s="4" t="s">
        <v>25</v>
      </c>
      <c r="J14" s="4" t="s">
        <v>32</v>
      </c>
      <c r="K14" s="4" t="s">
        <v>69</v>
      </c>
      <c r="L14" s="3">
        <f t="shared" ca="1" si="11"/>
        <v>23</v>
      </c>
      <c r="M14" s="3"/>
      <c r="N14" s="3"/>
      <c r="O14" s="3"/>
      <c r="P14" s="3"/>
      <c r="Q14" s="5">
        <f t="shared" ca="1" si="4"/>
        <v>870</v>
      </c>
      <c r="R14" s="6">
        <f t="shared" ca="1" si="10"/>
        <v>98</v>
      </c>
      <c r="S14" s="7">
        <f t="shared" ca="1" si="6"/>
        <v>598</v>
      </c>
      <c r="T14" s="8"/>
      <c r="U14" s="9"/>
      <c r="V14" s="3"/>
      <c r="W14" s="3"/>
      <c r="X14" s="3"/>
      <c r="Y14" s="3"/>
      <c r="Z14" s="10" t="s">
        <v>70</v>
      </c>
      <c r="AA14" s="10" t="s">
        <v>71</v>
      </c>
      <c r="AB14" s="4" t="s">
        <v>69</v>
      </c>
      <c r="AC14" s="11"/>
    </row>
    <row r="15" spans="2:29" s="2" customFormat="1" ht="25.05" customHeight="1" x14ac:dyDescent="0.3">
      <c r="B15" s="1" t="s">
        <v>72</v>
      </c>
      <c r="C15" s="1" t="s">
        <v>23</v>
      </c>
      <c r="D15" s="3" t="s">
        <v>24</v>
      </c>
      <c r="E15" s="4" t="s">
        <v>336</v>
      </c>
      <c r="F15" s="4" t="s">
        <v>337</v>
      </c>
      <c r="G15" s="4" t="s">
        <v>336</v>
      </c>
      <c r="H15" s="4" t="s">
        <v>337</v>
      </c>
      <c r="I15" s="4"/>
      <c r="J15" s="4" t="s">
        <v>73</v>
      </c>
      <c r="K15" s="4" t="s">
        <v>74</v>
      </c>
      <c r="L15" s="3"/>
      <c r="M15" s="3"/>
      <c r="N15" s="3"/>
      <c r="O15" s="3">
        <f t="shared" ref="O15:O16" ca="1" si="13">RANDBETWEEN(2010,2026)</f>
        <v>2024</v>
      </c>
      <c r="P15" s="3">
        <f t="shared" ref="P15:P16" ca="1" si="14">RANDBETWEEN(1,12)</f>
        <v>8</v>
      </c>
      <c r="Q15" s="5">
        <f t="shared" ca="1" si="4"/>
        <v>949</v>
      </c>
      <c r="R15" s="6"/>
      <c r="S15" s="7">
        <f t="shared" ca="1" si="6"/>
        <v>291</v>
      </c>
      <c r="T15" s="8">
        <f t="shared" ref="T15:T20" ca="1" si="15">RANDBETWEEN(1,10)</f>
        <v>1</v>
      </c>
      <c r="U15" s="9" t="s">
        <v>33</v>
      </c>
      <c r="V15" s="3"/>
      <c r="W15" s="3"/>
      <c r="X15" s="3"/>
      <c r="Y15" s="3"/>
      <c r="Z15" s="10"/>
      <c r="AA15" s="10"/>
      <c r="AB15" s="4" t="s">
        <v>74</v>
      </c>
      <c r="AC15" s="11"/>
    </row>
    <row r="16" spans="2:29" s="2" customFormat="1" ht="25.05" customHeight="1" x14ac:dyDescent="0.3">
      <c r="B16" s="1" t="s">
        <v>75</v>
      </c>
      <c r="C16" s="1" t="s">
        <v>23</v>
      </c>
      <c r="D16" s="3" t="s">
        <v>66</v>
      </c>
      <c r="E16" s="4" t="s">
        <v>336</v>
      </c>
      <c r="F16" s="4" t="s">
        <v>337</v>
      </c>
      <c r="G16" s="4" t="s">
        <v>336</v>
      </c>
      <c r="H16" s="4" t="s">
        <v>337</v>
      </c>
      <c r="I16" s="4"/>
      <c r="J16" s="4" t="s">
        <v>76</v>
      </c>
      <c r="K16" s="4" t="s">
        <v>77</v>
      </c>
      <c r="L16" s="3"/>
      <c r="M16" s="3">
        <f t="shared" ref="M16:M17" ca="1" si="16">RANDBETWEEN(2010,2026)</f>
        <v>2014</v>
      </c>
      <c r="N16" s="3">
        <f t="shared" ref="N16:N17" ca="1" si="17">RANDBETWEEN(1,12)</f>
        <v>8</v>
      </c>
      <c r="O16" s="3">
        <f t="shared" ca="1" si="13"/>
        <v>2013</v>
      </c>
      <c r="P16" s="3">
        <f t="shared" ca="1" si="14"/>
        <v>1</v>
      </c>
      <c r="Q16" s="5">
        <f t="shared" ca="1" si="4"/>
        <v>370</v>
      </c>
      <c r="R16" s="6">
        <f t="shared" ca="1" si="10"/>
        <v>89</v>
      </c>
      <c r="S16" s="7">
        <f t="shared" ca="1" si="6"/>
        <v>128</v>
      </c>
      <c r="T16" s="8">
        <f t="shared" ca="1" si="15"/>
        <v>5</v>
      </c>
      <c r="U16" s="9" t="s">
        <v>78</v>
      </c>
      <c r="V16" s="3">
        <f ca="1">RANDBETWEEN(1,5)</f>
        <v>3</v>
      </c>
      <c r="W16" s="3" t="s">
        <v>79</v>
      </c>
      <c r="X16" s="3">
        <f ca="1">RANDBETWEEN(1,5)</f>
        <v>3</v>
      </c>
      <c r="Y16" s="3"/>
      <c r="Z16" s="10" t="s">
        <v>80</v>
      </c>
      <c r="AA16" s="10"/>
      <c r="AB16" s="4" t="s">
        <v>81</v>
      </c>
      <c r="AC16" s="11"/>
    </row>
    <row r="17" spans="1:29" s="2" customFormat="1" ht="25.05" customHeight="1" x14ac:dyDescent="0.3">
      <c r="B17" s="1" t="s">
        <v>82</v>
      </c>
      <c r="C17" s="1" t="s">
        <v>23</v>
      </c>
      <c r="D17" s="3" t="s">
        <v>24</v>
      </c>
      <c r="E17" s="4" t="s">
        <v>336</v>
      </c>
      <c r="F17" s="4" t="s">
        <v>337</v>
      </c>
      <c r="G17" s="4" t="s">
        <v>336</v>
      </c>
      <c r="H17" s="4" t="s">
        <v>337</v>
      </c>
      <c r="I17" s="4"/>
      <c r="J17" s="4" t="s">
        <v>83</v>
      </c>
      <c r="K17" s="4" t="s">
        <v>84</v>
      </c>
      <c r="L17" s="3"/>
      <c r="M17" s="3">
        <f t="shared" ca="1" si="16"/>
        <v>2023</v>
      </c>
      <c r="N17" s="3">
        <f t="shared" ca="1" si="17"/>
        <v>6</v>
      </c>
      <c r="O17" s="3"/>
      <c r="P17" s="3"/>
      <c r="Q17" s="5">
        <f t="shared" ca="1" si="4"/>
        <v>887</v>
      </c>
      <c r="R17" s="6">
        <f t="shared" ca="1" si="10"/>
        <v>2</v>
      </c>
      <c r="S17" s="7">
        <f t="shared" ca="1" si="6"/>
        <v>886</v>
      </c>
      <c r="T17" s="8">
        <f t="shared" ca="1" si="15"/>
        <v>10</v>
      </c>
      <c r="U17" s="9"/>
      <c r="V17" s="3"/>
      <c r="W17" s="3"/>
      <c r="X17" s="3"/>
      <c r="Y17" s="3"/>
      <c r="Z17" s="10"/>
      <c r="AA17" s="10" t="s">
        <v>85</v>
      </c>
      <c r="AB17" s="4" t="s">
        <v>86</v>
      </c>
      <c r="AC17" s="11"/>
    </row>
    <row r="18" spans="1:29" s="2" customFormat="1" ht="25.05" customHeight="1" x14ac:dyDescent="0.3">
      <c r="B18" s="1" t="s">
        <v>87</v>
      </c>
      <c r="C18" s="1" t="s">
        <v>23</v>
      </c>
      <c r="D18" s="3" t="s">
        <v>24</v>
      </c>
      <c r="E18" s="4" t="s">
        <v>336</v>
      </c>
      <c r="F18" s="4" t="s">
        <v>337</v>
      </c>
      <c r="G18" s="4" t="s">
        <v>336</v>
      </c>
      <c r="H18" s="4" t="s">
        <v>337</v>
      </c>
      <c r="I18" s="4"/>
      <c r="J18" s="4" t="s">
        <v>83</v>
      </c>
      <c r="K18" s="4" t="s">
        <v>88</v>
      </c>
      <c r="L18" s="3"/>
      <c r="M18" s="3"/>
      <c r="N18" s="3"/>
      <c r="O18" s="3"/>
      <c r="P18" s="3"/>
      <c r="Q18" s="5">
        <f t="shared" ca="1" si="4"/>
        <v>316</v>
      </c>
      <c r="R18" s="6"/>
      <c r="S18" s="7">
        <f t="shared" ca="1" si="6"/>
        <v>831</v>
      </c>
      <c r="T18" s="8">
        <f t="shared" ca="1" si="15"/>
        <v>6</v>
      </c>
      <c r="U18" s="9"/>
      <c r="V18" s="3"/>
      <c r="W18" s="3"/>
      <c r="X18" s="3"/>
      <c r="Y18" s="3"/>
      <c r="Z18" s="10"/>
      <c r="AA18" s="10"/>
      <c r="AB18" s="4"/>
      <c r="AC18" s="11"/>
    </row>
    <row r="19" spans="1:29" s="2" customFormat="1" ht="25.05" customHeight="1" x14ac:dyDescent="0.3">
      <c r="B19" s="1" t="s">
        <v>89</v>
      </c>
      <c r="C19" s="1" t="s">
        <v>23</v>
      </c>
      <c r="D19" s="3" t="s">
        <v>24</v>
      </c>
      <c r="E19" s="4" t="s">
        <v>336</v>
      </c>
      <c r="F19" s="4" t="s">
        <v>337</v>
      </c>
      <c r="G19" s="4" t="s">
        <v>336</v>
      </c>
      <c r="H19" s="4" t="s">
        <v>337</v>
      </c>
      <c r="I19" s="4" t="s">
        <v>90</v>
      </c>
      <c r="J19" s="4" t="s">
        <v>91</v>
      </c>
      <c r="K19" s="4" t="s">
        <v>91</v>
      </c>
      <c r="L19" s="3"/>
      <c r="M19" s="3">
        <f t="shared" ref="M19:M20" ca="1" si="18">RANDBETWEEN(2010,2026)</f>
        <v>2010</v>
      </c>
      <c r="N19" s="3">
        <f t="shared" ref="N19:N20" ca="1" si="19">RANDBETWEEN(1,12)</f>
        <v>12</v>
      </c>
      <c r="O19" s="3">
        <f t="shared" ref="O19:O20" ca="1" si="20">RANDBETWEEN(2010,2026)</f>
        <v>2016</v>
      </c>
      <c r="P19" s="3">
        <f t="shared" ref="P19:P20" ca="1" si="21">RANDBETWEEN(1,12)</f>
        <v>7</v>
      </c>
      <c r="Q19" s="5">
        <f t="shared" ca="1" si="4"/>
        <v>337</v>
      </c>
      <c r="R19" s="6">
        <f t="shared" ca="1" si="10"/>
        <v>31</v>
      </c>
      <c r="S19" s="7">
        <f t="shared" ca="1" si="6"/>
        <v>687</v>
      </c>
      <c r="T19" s="8">
        <f t="shared" ca="1" si="15"/>
        <v>4</v>
      </c>
      <c r="U19" s="9" t="s">
        <v>28</v>
      </c>
      <c r="V19" s="3"/>
      <c r="W19" s="3"/>
      <c r="X19" s="3"/>
      <c r="Y19" s="3"/>
      <c r="Z19" s="10"/>
      <c r="AA19" s="10" t="s">
        <v>92</v>
      </c>
      <c r="AB19" s="4" t="s">
        <v>91</v>
      </c>
      <c r="AC19" s="11"/>
    </row>
    <row r="20" spans="1:29" s="2" customFormat="1" ht="25.05" customHeight="1" x14ac:dyDescent="0.3">
      <c r="B20" s="1" t="s">
        <v>93</v>
      </c>
      <c r="C20" s="1" t="s">
        <v>23</v>
      </c>
      <c r="D20" s="3" t="s">
        <v>24</v>
      </c>
      <c r="E20" s="4" t="s">
        <v>336</v>
      </c>
      <c r="F20" s="4" t="s">
        <v>337</v>
      </c>
      <c r="G20" s="4" t="s">
        <v>336</v>
      </c>
      <c r="H20" s="4" t="s">
        <v>337</v>
      </c>
      <c r="I20" s="4" t="s">
        <v>90</v>
      </c>
      <c r="J20" s="4" t="s">
        <v>91</v>
      </c>
      <c r="K20" s="4" t="s">
        <v>91</v>
      </c>
      <c r="L20" s="3"/>
      <c r="M20" s="3">
        <f t="shared" ca="1" si="18"/>
        <v>2019</v>
      </c>
      <c r="N20" s="3">
        <f t="shared" ca="1" si="19"/>
        <v>2</v>
      </c>
      <c r="O20" s="3">
        <f t="shared" ca="1" si="20"/>
        <v>2026</v>
      </c>
      <c r="P20" s="3">
        <f t="shared" ca="1" si="21"/>
        <v>11</v>
      </c>
      <c r="Q20" s="5">
        <f t="shared" ca="1" si="4"/>
        <v>658</v>
      </c>
      <c r="R20" s="6">
        <f t="shared" ca="1" si="10"/>
        <v>55</v>
      </c>
      <c r="S20" s="7">
        <f t="shared" ca="1" si="6"/>
        <v>318</v>
      </c>
      <c r="T20" s="8">
        <f t="shared" ca="1" si="15"/>
        <v>10</v>
      </c>
      <c r="U20" s="9"/>
      <c r="V20" s="3"/>
      <c r="W20" s="3"/>
      <c r="X20" s="3"/>
      <c r="Y20" s="3"/>
      <c r="Z20" s="10"/>
      <c r="AA20" s="10"/>
      <c r="AB20" s="4" t="s">
        <v>91</v>
      </c>
      <c r="AC20" s="11"/>
    </row>
    <row r="21" spans="1:29" s="2" customFormat="1" ht="25.05" customHeight="1" x14ac:dyDescent="0.3">
      <c r="B21" s="1" t="s">
        <v>94</v>
      </c>
      <c r="C21" s="1" t="s">
        <v>23</v>
      </c>
      <c r="D21" s="3" t="s">
        <v>95</v>
      </c>
      <c r="E21" s="4" t="s">
        <v>336</v>
      </c>
      <c r="F21" s="4" t="s">
        <v>337</v>
      </c>
      <c r="G21" s="4" t="s">
        <v>336</v>
      </c>
      <c r="H21" s="4" t="s">
        <v>337</v>
      </c>
      <c r="I21" s="4"/>
      <c r="J21" s="4" t="s">
        <v>96</v>
      </c>
      <c r="K21" s="4" t="s">
        <v>97</v>
      </c>
      <c r="L21" s="3">
        <f t="shared" ref="L21:L22" ca="1" si="22">RANDBETWEEN(1,100)</f>
        <v>72</v>
      </c>
      <c r="M21" s="3"/>
      <c r="N21" s="3"/>
      <c r="O21" s="3"/>
      <c r="P21" s="3"/>
      <c r="Q21" s="5">
        <f t="shared" ca="1" si="4"/>
        <v>121</v>
      </c>
      <c r="R21" s="6"/>
      <c r="S21" s="7">
        <f t="shared" ca="1" si="6"/>
        <v>407</v>
      </c>
      <c r="T21" s="8" t="s">
        <v>98</v>
      </c>
      <c r="U21" s="9" t="s">
        <v>99</v>
      </c>
      <c r="V21" s="3"/>
      <c r="W21" s="3"/>
      <c r="X21" s="3"/>
      <c r="Y21" s="3"/>
      <c r="Z21" s="10"/>
      <c r="AA21" s="10" t="s">
        <v>100</v>
      </c>
      <c r="AB21" s="4" t="s">
        <v>97</v>
      </c>
      <c r="AC21" s="11"/>
    </row>
    <row r="22" spans="1:29" s="2" customFormat="1" ht="25.05" customHeight="1" x14ac:dyDescent="0.3">
      <c r="B22" s="1" t="s">
        <v>101</v>
      </c>
      <c r="C22" s="1" t="s">
        <v>23</v>
      </c>
      <c r="D22" s="3" t="s">
        <v>24</v>
      </c>
      <c r="E22" s="4" t="s">
        <v>336</v>
      </c>
      <c r="F22" s="4" t="s">
        <v>337</v>
      </c>
      <c r="G22" s="4" t="s">
        <v>336</v>
      </c>
      <c r="H22" s="4" t="s">
        <v>337</v>
      </c>
      <c r="I22" s="4" t="s">
        <v>25</v>
      </c>
      <c r="J22" s="4" t="s">
        <v>32</v>
      </c>
      <c r="K22" s="4" t="s">
        <v>102</v>
      </c>
      <c r="L22" s="3">
        <f t="shared" ca="1" si="22"/>
        <v>78</v>
      </c>
      <c r="M22" s="3"/>
      <c r="N22" s="3"/>
      <c r="O22" s="3"/>
      <c r="P22" s="3"/>
      <c r="Q22" s="5">
        <f t="shared" ca="1" si="4"/>
        <v>82</v>
      </c>
      <c r="R22" s="6">
        <f t="shared" ca="1" si="10"/>
        <v>52</v>
      </c>
      <c r="S22" s="7">
        <f t="shared" ca="1" si="6"/>
        <v>693</v>
      </c>
      <c r="T22" s="8">
        <f t="shared" ref="T22:T24" ca="1" si="23">RANDBETWEEN(1,10)</f>
        <v>9</v>
      </c>
      <c r="U22" s="9"/>
      <c r="V22" s="3"/>
      <c r="W22" s="3"/>
      <c r="X22" s="3"/>
      <c r="Y22" s="3"/>
      <c r="Z22" s="10"/>
      <c r="AA22" s="10" t="s">
        <v>103</v>
      </c>
      <c r="AB22" s="4" t="s">
        <v>102</v>
      </c>
      <c r="AC22" s="11"/>
    </row>
    <row r="23" spans="1:29" s="2" customFormat="1" ht="25.05" customHeight="1" x14ac:dyDescent="0.3">
      <c r="B23" s="1" t="s">
        <v>104</v>
      </c>
      <c r="C23" s="1" t="s">
        <v>23</v>
      </c>
      <c r="D23" s="3" t="s">
        <v>24</v>
      </c>
      <c r="E23" s="4" t="s">
        <v>336</v>
      </c>
      <c r="F23" s="4" t="s">
        <v>337</v>
      </c>
      <c r="G23" s="4" t="s">
        <v>336</v>
      </c>
      <c r="H23" s="4" t="s">
        <v>337</v>
      </c>
      <c r="I23" s="4" t="s">
        <v>25</v>
      </c>
      <c r="J23" s="4" t="s">
        <v>105</v>
      </c>
      <c r="K23" s="4" t="s">
        <v>106</v>
      </c>
      <c r="L23" s="3"/>
      <c r="M23" s="3"/>
      <c r="N23" s="3"/>
      <c r="O23" s="3">
        <f t="shared" ref="O23" ca="1" si="24">RANDBETWEEN(2010,2026)</f>
        <v>2025</v>
      </c>
      <c r="P23" s="3">
        <f ca="1">RANDBETWEEN(1,12)</f>
        <v>1</v>
      </c>
      <c r="Q23" s="5">
        <f t="shared" ca="1" si="4"/>
        <v>2</v>
      </c>
      <c r="R23" s="6">
        <f t="shared" ca="1" si="10"/>
        <v>98</v>
      </c>
      <c r="S23" s="7">
        <f t="shared" ca="1" si="6"/>
        <v>417</v>
      </c>
      <c r="T23" s="8">
        <f t="shared" ca="1" si="23"/>
        <v>5</v>
      </c>
      <c r="U23" s="9"/>
      <c r="V23" s="3"/>
      <c r="W23" s="3"/>
      <c r="X23" s="3"/>
      <c r="Y23" s="3"/>
      <c r="Z23" s="10"/>
      <c r="AA23" s="10"/>
      <c r="AB23" s="4" t="s">
        <v>105</v>
      </c>
      <c r="AC23" s="11"/>
    </row>
    <row r="24" spans="1:29" s="2" customFormat="1" ht="25.05" customHeight="1" x14ac:dyDescent="0.3">
      <c r="B24" s="1" t="s">
        <v>107</v>
      </c>
      <c r="C24" s="1" t="s">
        <v>23</v>
      </c>
      <c r="D24" s="3" t="s">
        <v>24</v>
      </c>
      <c r="E24" s="4" t="s">
        <v>336</v>
      </c>
      <c r="F24" s="4" t="s">
        <v>337</v>
      </c>
      <c r="G24" s="4" t="s">
        <v>336</v>
      </c>
      <c r="H24" s="4" t="s">
        <v>337</v>
      </c>
      <c r="I24" s="4" t="s">
        <v>108</v>
      </c>
      <c r="J24" s="4" t="s">
        <v>109</v>
      </c>
      <c r="K24" s="4" t="s">
        <v>109</v>
      </c>
      <c r="L24" s="3"/>
      <c r="M24" s="3">
        <f t="shared" ref="M24:M27" ca="1" si="25">RANDBETWEEN(2010,2026)</f>
        <v>2024</v>
      </c>
      <c r="N24" s="3">
        <f t="shared" ref="N24:N25" ca="1" si="26">RANDBETWEEN(1,12)</f>
        <v>3</v>
      </c>
      <c r="O24" s="3"/>
      <c r="P24" s="3"/>
      <c r="Q24" s="5">
        <f t="shared" ca="1" si="4"/>
        <v>164</v>
      </c>
      <c r="R24" s="6">
        <f t="shared" ca="1" si="10"/>
        <v>34</v>
      </c>
      <c r="S24" s="7">
        <f t="shared" ca="1" si="6"/>
        <v>301</v>
      </c>
      <c r="T24" s="8">
        <f t="shared" ca="1" si="23"/>
        <v>3</v>
      </c>
      <c r="U24" s="9"/>
      <c r="V24" s="3"/>
      <c r="W24" s="3"/>
      <c r="X24" s="3"/>
      <c r="Y24" s="3"/>
      <c r="Z24" s="10"/>
      <c r="AA24" s="10"/>
      <c r="AB24" s="4" t="s">
        <v>110</v>
      </c>
      <c r="AC24" s="11"/>
    </row>
    <row r="25" spans="1:29" s="2" customFormat="1" ht="25.05" hidden="1" customHeight="1" x14ac:dyDescent="0.3">
      <c r="B25" s="1" t="s">
        <v>111</v>
      </c>
      <c r="C25" s="1" t="s">
        <v>23</v>
      </c>
      <c r="D25" s="3" t="s">
        <v>24</v>
      </c>
      <c r="E25" s="4" t="s">
        <v>336</v>
      </c>
      <c r="F25" s="4"/>
      <c r="G25" s="4" t="s">
        <v>336</v>
      </c>
      <c r="H25" s="4"/>
      <c r="I25" s="4"/>
      <c r="J25" s="4" t="s">
        <v>112</v>
      </c>
      <c r="K25" s="4" t="s">
        <v>113</v>
      </c>
      <c r="L25" s="3"/>
      <c r="M25" s="3">
        <f t="shared" ca="1" si="25"/>
        <v>2013</v>
      </c>
      <c r="N25" s="3">
        <f t="shared" ca="1" si="26"/>
        <v>9</v>
      </c>
      <c r="O25" s="3">
        <f t="shared" ref="O25:O27" ca="1" si="27">RANDBETWEEN(2010,2026)</f>
        <v>2012</v>
      </c>
      <c r="P25" s="3">
        <f t="shared" ref="P25:P27" ca="1" si="28">RANDBETWEEN(1,12)</f>
        <v>8</v>
      </c>
      <c r="Q25" s="5">
        <f t="shared" ca="1" si="4"/>
        <v>389</v>
      </c>
      <c r="R25" s="6">
        <f t="shared" ca="1" si="10"/>
        <v>39</v>
      </c>
      <c r="S25" s="7"/>
      <c r="T25" s="8"/>
      <c r="U25" s="9"/>
      <c r="V25" s="3"/>
      <c r="W25" s="3"/>
      <c r="X25" s="3"/>
      <c r="Y25" s="3"/>
      <c r="Z25" s="10" t="s">
        <v>114</v>
      </c>
      <c r="AA25" s="10" t="s">
        <v>115</v>
      </c>
      <c r="AB25" s="4" t="s">
        <v>116</v>
      </c>
      <c r="AC25" s="11"/>
    </row>
    <row r="26" spans="1:29" s="2" customFormat="1" ht="25.05" customHeight="1" x14ac:dyDescent="0.3">
      <c r="B26" s="1" t="s">
        <v>117</v>
      </c>
      <c r="C26" s="1" t="s">
        <v>23</v>
      </c>
      <c r="D26" s="3" t="s">
        <v>24</v>
      </c>
      <c r="E26" s="4" t="s">
        <v>336</v>
      </c>
      <c r="F26" s="4" t="s">
        <v>337</v>
      </c>
      <c r="G26" s="4" t="s">
        <v>336</v>
      </c>
      <c r="H26" s="4" t="s">
        <v>337</v>
      </c>
      <c r="I26" s="4"/>
      <c r="J26" s="4" t="s">
        <v>118</v>
      </c>
      <c r="K26" s="4" t="s">
        <v>118</v>
      </c>
      <c r="L26" s="3"/>
      <c r="M26" s="3">
        <f t="shared" ca="1" si="25"/>
        <v>2018</v>
      </c>
      <c r="N26" s="3"/>
      <c r="O26" s="3">
        <f t="shared" ca="1" si="27"/>
        <v>2019</v>
      </c>
      <c r="P26" s="3">
        <f t="shared" ca="1" si="28"/>
        <v>10</v>
      </c>
      <c r="Q26" s="5">
        <f t="shared" ca="1" si="4"/>
        <v>151</v>
      </c>
      <c r="R26" s="6">
        <f t="shared" ca="1" si="10"/>
        <v>69</v>
      </c>
      <c r="S26" s="7"/>
      <c r="T26" s="8">
        <f t="shared" ref="T26:T34" ca="1" si="29">RANDBETWEEN(1,10)</f>
        <v>3</v>
      </c>
      <c r="U26" s="9"/>
      <c r="V26" s="3"/>
      <c r="W26" s="3"/>
      <c r="X26" s="3"/>
      <c r="Y26" s="3"/>
      <c r="Z26" s="10" t="s">
        <v>119</v>
      </c>
      <c r="AA26" s="10" t="s">
        <v>120</v>
      </c>
      <c r="AB26" s="4" t="s">
        <v>121</v>
      </c>
      <c r="AC26" s="11"/>
    </row>
    <row r="27" spans="1:29" s="2" customFormat="1" ht="25.05" customHeight="1" x14ac:dyDescent="0.3">
      <c r="B27" s="1" t="s">
        <v>122</v>
      </c>
      <c r="C27" s="1" t="s">
        <v>23</v>
      </c>
      <c r="D27" s="3" t="s">
        <v>24</v>
      </c>
      <c r="E27" s="4" t="s">
        <v>336</v>
      </c>
      <c r="F27" s="4" t="s">
        <v>337</v>
      </c>
      <c r="G27" s="4" t="s">
        <v>336</v>
      </c>
      <c r="H27" s="4" t="s">
        <v>337</v>
      </c>
      <c r="I27" s="4" t="s">
        <v>25</v>
      </c>
      <c r="J27" s="4" t="s">
        <v>35</v>
      </c>
      <c r="K27" s="4" t="s">
        <v>124</v>
      </c>
      <c r="L27" s="3">
        <f t="shared" ref="L27:L28" ca="1" si="30">RANDBETWEEN(1,100)</f>
        <v>10</v>
      </c>
      <c r="M27" s="3">
        <f t="shared" ca="1" si="25"/>
        <v>2021</v>
      </c>
      <c r="N27" s="3">
        <f t="shared" ref="N27" ca="1" si="31">RANDBETWEEN(1,12)</f>
        <v>2</v>
      </c>
      <c r="O27" s="3">
        <f t="shared" ca="1" si="27"/>
        <v>2018</v>
      </c>
      <c r="P27" s="3">
        <f t="shared" ca="1" si="28"/>
        <v>6</v>
      </c>
      <c r="Q27" s="5">
        <f t="shared" ca="1" si="4"/>
        <v>444</v>
      </c>
      <c r="R27" s="6">
        <f t="shared" ca="1" si="10"/>
        <v>50</v>
      </c>
      <c r="S27" s="7">
        <f t="shared" ref="S27:S30" ca="1" si="32">RANDBETWEEN(50,1000)</f>
        <v>267</v>
      </c>
      <c r="T27" s="8">
        <f t="shared" ca="1" si="29"/>
        <v>2</v>
      </c>
      <c r="U27" s="9"/>
      <c r="V27" s="3"/>
      <c r="W27" s="3"/>
      <c r="X27" s="3"/>
      <c r="Y27" s="3"/>
      <c r="Z27" s="10"/>
      <c r="AA27" s="10" t="s">
        <v>123</v>
      </c>
      <c r="AB27" s="4" t="s">
        <v>35</v>
      </c>
      <c r="AC27" s="11"/>
    </row>
    <row r="28" spans="1:29" s="2" customFormat="1" ht="25.05" customHeight="1" x14ac:dyDescent="0.3">
      <c r="A28" s="2" t="s">
        <v>125</v>
      </c>
      <c r="B28" s="1" t="s">
        <v>126</v>
      </c>
      <c r="C28" s="1" t="s">
        <v>23</v>
      </c>
      <c r="D28" s="3" t="s">
        <v>66</v>
      </c>
      <c r="E28" s="4" t="s">
        <v>336</v>
      </c>
      <c r="F28" s="4" t="s">
        <v>337</v>
      </c>
      <c r="G28" s="4" t="s">
        <v>336</v>
      </c>
      <c r="H28" s="4" t="s">
        <v>337</v>
      </c>
      <c r="I28" s="4" t="s">
        <v>25</v>
      </c>
      <c r="J28" s="4" t="s">
        <v>127</v>
      </c>
      <c r="K28" s="4" t="s">
        <v>128</v>
      </c>
      <c r="L28" s="3">
        <f t="shared" ca="1" si="30"/>
        <v>8</v>
      </c>
      <c r="M28" s="3"/>
      <c r="N28" s="3"/>
      <c r="O28" s="3"/>
      <c r="P28" s="3"/>
      <c r="Q28" s="5">
        <f t="shared" ca="1" si="4"/>
        <v>678</v>
      </c>
      <c r="R28" s="6">
        <f t="shared" ca="1" si="10"/>
        <v>39</v>
      </c>
      <c r="S28" s="7">
        <f t="shared" ca="1" si="32"/>
        <v>197</v>
      </c>
      <c r="T28" s="8">
        <f t="shared" ca="1" si="29"/>
        <v>4</v>
      </c>
      <c r="U28" s="9"/>
      <c r="V28" s="3"/>
      <c r="W28" s="3"/>
      <c r="X28" s="3"/>
      <c r="Y28" s="3"/>
      <c r="Z28" s="10" t="s">
        <v>129</v>
      </c>
      <c r="AA28" s="10" t="s">
        <v>130</v>
      </c>
      <c r="AB28" s="4" t="s">
        <v>131</v>
      </c>
      <c r="AC28" s="11"/>
    </row>
    <row r="29" spans="1:29" s="2" customFormat="1" ht="25.05" customHeight="1" x14ac:dyDescent="0.3">
      <c r="A29" s="33" t="s">
        <v>126</v>
      </c>
      <c r="B29" s="1" t="s">
        <v>132</v>
      </c>
      <c r="C29" s="1" t="s">
        <v>23</v>
      </c>
      <c r="D29" s="3" t="s">
        <v>66</v>
      </c>
      <c r="E29" s="4" t="s">
        <v>336</v>
      </c>
      <c r="F29" s="4" t="s">
        <v>337</v>
      </c>
      <c r="G29" s="4" t="s">
        <v>336</v>
      </c>
      <c r="H29" s="4" t="s">
        <v>337</v>
      </c>
      <c r="I29" s="4" t="s">
        <v>25</v>
      </c>
      <c r="J29" s="4"/>
      <c r="K29" s="4"/>
      <c r="L29" s="3"/>
      <c r="M29" s="3"/>
      <c r="N29" s="3"/>
      <c r="O29" s="3"/>
      <c r="P29" s="3"/>
      <c r="Q29" s="5">
        <f t="shared" ca="1" si="4"/>
        <v>169</v>
      </c>
      <c r="R29" s="6">
        <f t="shared" ca="1" si="10"/>
        <v>90</v>
      </c>
      <c r="S29" s="7">
        <f t="shared" ca="1" si="32"/>
        <v>612</v>
      </c>
      <c r="T29" s="8">
        <f t="shared" ca="1" si="29"/>
        <v>10</v>
      </c>
      <c r="U29" s="9"/>
      <c r="V29" s="3"/>
      <c r="W29" s="3"/>
      <c r="X29" s="3"/>
      <c r="Y29" s="3"/>
      <c r="Z29" s="10"/>
      <c r="AA29" s="10" t="s">
        <v>133</v>
      </c>
      <c r="AB29" s="4" t="s">
        <v>127</v>
      </c>
      <c r="AC29" s="11"/>
    </row>
    <row r="30" spans="1:29" s="2" customFormat="1" ht="25.05" customHeight="1" x14ac:dyDescent="0.3">
      <c r="A30" s="33"/>
      <c r="B30" s="1" t="s">
        <v>134</v>
      </c>
      <c r="C30" s="1" t="s">
        <v>23</v>
      </c>
      <c r="D30" s="3" t="s">
        <v>66</v>
      </c>
      <c r="E30" s="4" t="s">
        <v>336</v>
      </c>
      <c r="F30" s="4" t="s">
        <v>337</v>
      </c>
      <c r="G30" s="4" t="s">
        <v>336</v>
      </c>
      <c r="H30" s="4" t="s">
        <v>337</v>
      </c>
      <c r="I30" s="4" t="s">
        <v>25</v>
      </c>
      <c r="J30" s="4"/>
      <c r="K30" s="4"/>
      <c r="L30" s="3"/>
      <c r="M30" s="3"/>
      <c r="N30" s="3"/>
      <c r="O30" s="3"/>
      <c r="P30" s="3"/>
      <c r="Q30" s="5">
        <f t="shared" ca="1" si="4"/>
        <v>874</v>
      </c>
      <c r="R30" s="6">
        <f t="shared" ca="1" si="10"/>
        <v>85</v>
      </c>
      <c r="S30" s="7">
        <f t="shared" ca="1" si="32"/>
        <v>79</v>
      </c>
      <c r="T30" s="8">
        <f t="shared" ca="1" si="29"/>
        <v>4</v>
      </c>
      <c r="U30" s="9"/>
      <c r="V30" s="3"/>
      <c r="W30" s="3"/>
      <c r="X30" s="3"/>
      <c r="Y30" s="3"/>
      <c r="Z30" s="10"/>
      <c r="AA30" s="10" t="s">
        <v>133</v>
      </c>
      <c r="AB30" s="4" t="s">
        <v>127</v>
      </c>
      <c r="AC30" s="11"/>
    </row>
    <row r="31" spans="1:29" s="2" customFormat="1" ht="25.05" customHeight="1" x14ac:dyDescent="0.3">
      <c r="B31" s="1" t="s">
        <v>135</v>
      </c>
      <c r="C31" s="1" t="s">
        <v>23</v>
      </c>
      <c r="D31" s="3" t="s">
        <v>24</v>
      </c>
      <c r="E31" s="4" t="s">
        <v>336</v>
      </c>
      <c r="F31" s="4" t="s">
        <v>337</v>
      </c>
      <c r="G31" s="4" t="s">
        <v>336</v>
      </c>
      <c r="H31" s="4" t="s">
        <v>337</v>
      </c>
      <c r="I31" s="4"/>
      <c r="J31" s="4"/>
      <c r="K31" s="4"/>
      <c r="L31" s="3"/>
      <c r="M31" s="3"/>
      <c r="N31" s="3"/>
      <c r="O31" s="3">
        <f t="shared" ref="O31" ca="1" si="33">RANDBETWEEN(2010,2026)</f>
        <v>2026</v>
      </c>
      <c r="P31" s="3">
        <f ca="1">RANDBETWEEN(1,12)</f>
        <v>1</v>
      </c>
      <c r="Q31" s="5">
        <f t="shared" ca="1" si="4"/>
        <v>612</v>
      </c>
      <c r="R31" s="6">
        <f t="shared" ca="1" si="10"/>
        <v>52</v>
      </c>
      <c r="S31" s="7"/>
      <c r="T31" s="8">
        <f t="shared" ca="1" si="29"/>
        <v>6</v>
      </c>
      <c r="U31" s="9"/>
      <c r="V31" s="3"/>
      <c r="W31" s="3"/>
      <c r="X31" s="3"/>
      <c r="Y31" s="3"/>
      <c r="Z31" s="10" t="s">
        <v>119</v>
      </c>
      <c r="AA31" s="10"/>
      <c r="AB31" s="4"/>
      <c r="AC31" s="11"/>
    </row>
    <row r="32" spans="1:29" s="2" customFormat="1" ht="25.05" customHeight="1" x14ac:dyDescent="0.3">
      <c r="B32" s="1" t="s">
        <v>136</v>
      </c>
      <c r="C32" s="1" t="s">
        <v>23</v>
      </c>
      <c r="D32" s="3" t="s">
        <v>66</v>
      </c>
      <c r="E32" s="4" t="s">
        <v>336</v>
      </c>
      <c r="F32" s="4" t="s">
        <v>337</v>
      </c>
      <c r="G32" s="4" t="s">
        <v>336</v>
      </c>
      <c r="H32" s="4" t="s">
        <v>337</v>
      </c>
      <c r="I32" s="4"/>
      <c r="J32" s="4" t="s">
        <v>137</v>
      </c>
      <c r="K32" s="4" t="s">
        <v>138</v>
      </c>
      <c r="L32" s="3"/>
      <c r="M32" s="3"/>
      <c r="N32" s="3"/>
      <c r="O32" s="3"/>
      <c r="P32" s="3"/>
      <c r="Q32" s="5">
        <f t="shared" ca="1" si="4"/>
        <v>523</v>
      </c>
      <c r="R32" s="6">
        <f t="shared" ca="1" si="10"/>
        <v>32</v>
      </c>
      <c r="S32" s="7">
        <f t="shared" ref="S32:S45" ca="1" si="34">RANDBETWEEN(50,1000)</f>
        <v>384</v>
      </c>
      <c r="T32" s="8">
        <f t="shared" ca="1" si="29"/>
        <v>10</v>
      </c>
      <c r="U32" s="9" t="s">
        <v>139</v>
      </c>
      <c r="V32" s="3"/>
      <c r="W32" s="3"/>
      <c r="X32" s="3"/>
      <c r="Y32" s="3"/>
      <c r="Z32" s="10"/>
      <c r="AA32" s="10"/>
      <c r="AB32" s="4" t="s">
        <v>140</v>
      </c>
      <c r="AC32" s="11"/>
    </row>
    <row r="33" spans="2:29" s="2" customFormat="1" ht="25.05" customHeight="1" x14ac:dyDescent="0.3">
      <c r="B33" s="1" t="s">
        <v>141</v>
      </c>
      <c r="C33" s="1" t="s">
        <v>23</v>
      </c>
      <c r="D33" s="3" t="s">
        <v>95</v>
      </c>
      <c r="E33" s="4" t="s">
        <v>336</v>
      </c>
      <c r="F33" s="4" t="s">
        <v>337</v>
      </c>
      <c r="G33" s="4" t="s">
        <v>336</v>
      </c>
      <c r="H33" s="4" t="s">
        <v>337</v>
      </c>
      <c r="I33" s="4"/>
      <c r="J33" s="4" t="s">
        <v>142</v>
      </c>
      <c r="K33" s="4" t="s">
        <v>143</v>
      </c>
      <c r="L33" s="3">
        <f ca="1">RANDBETWEEN(1,100)</f>
        <v>61</v>
      </c>
      <c r="M33" s="3"/>
      <c r="N33" s="3"/>
      <c r="O33" s="3"/>
      <c r="P33" s="3"/>
      <c r="Q33" s="5">
        <f t="shared" ca="1" si="4"/>
        <v>929</v>
      </c>
      <c r="R33" s="6">
        <f t="shared" ca="1" si="10"/>
        <v>55</v>
      </c>
      <c r="S33" s="7">
        <f t="shared" ca="1" si="34"/>
        <v>51</v>
      </c>
      <c r="T33" s="8">
        <f t="shared" ca="1" si="29"/>
        <v>1</v>
      </c>
      <c r="U33" s="9"/>
      <c r="V33" s="3"/>
      <c r="W33" s="3"/>
      <c r="X33" s="3"/>
      <c r="Y33" s="3"/>
      <c r="Z33" s="10"/>
      <c r="AA33" s="10"/>
      <c r="AB33" s="4"/>
      <c r="AC33" s="11"/>
    </row>
    <row r="34" spans="2:29" s="2" customFormat="1" ht="25.05" customHeight="1" x14ac:dyDescent="0.3">
      <c r="B34" s="1" t="s">
        <v>144</v>
      </c>
      <c r="C34" s="1" t="s">
        <v>23</v>
      </c>
      <c r="D34" s="3" t="s">
        <v>24</v>
      </c>
      <c r="E34" s="4" t="s">
        <v>336</v>
      </c>
      <c r="F34" s="4" t="s">
        <v>337</v>
      </c>
      <c r="G34" s="4" t="s">
        <v>336</v>
      </c>
      <c r="H34" s="4" t="s">
        <v>337</v>
      </c>
      <c r="I34" s="4"/>
      <c r="J34" s="4" t="s">
        <v>142</v>
      </c>
      <c r="K34" s="4" t="s">
        <v>145</v>
      </c>
      <c r="L34" s="3"/>
      <c r="M34" s="3">
        <f ca="1">RANDBETWEEN(2010,2026)</f>
        <v>2018</v>
      </c>
      <c r="N34" s="3">
        <f t="shared" ref="N34:N35" ca="1" si="35">RANDBETWEEN(1,12)</f>
        <v>12</v>
      </c>
      <c r="O34" s="3"/>
      <c r="P34" s="3"/>
      <c r="Q34" s="5">
        <f t="shared" ca="1" si="4"/>
        <v>44</v>
      </c>
      <c r="R34" s="6">
        <f t="shared" ca="1" si="10"/>
        <v>79</v>
      </c>
      <c r="S34" s="7">
        <f t="shared" ca="1" si="34"/>
        <v>670</v>
      </c>
      <c r="T34" s="8">
        <f t="shared" ca="1" si="29"/>
        <v>3</v>
      </c>
      <c r="U34" s="9"/>
      <c r="V34" s="3" t="s">
        <v>146</v>
      </c>
      <c r="W34" s="3"/>
      <c r="X34" s="3" t="s">
        <v>146</v>
      </c>
      <c r="Y34" s="3"/>
      <c r="Z34" s="13" t="s">
        <v>147</v>
      </c>
      <c r="AA34" s="13" t="s">
        <v>148</v>
      </c>
      <c r="AB34" s="4" t="s">
        <v>149</v>
      </c>
      <c r="AC34" s="11"/>
    </row>
    <row r="35" spans="2:29" s="2" customFormat="1" ht="25.05" customHeight="1" x14ac:dyDescent="0.3">
      <c r="B35" s="1" t="s">
        <v>150</v>
      </c>
      <c r="C35" s="1" t="s">
        <v>23</v>
      </c>
      <c r="D35" s="3" t="s">
        <v>24</v>
      </c>
      <c r="E35" s="4" t="s">
        <v>336</v>
      </c>
      <c r="F35" s="4" t="s">
        <v>337</v>
      </c>
      <c r="G35" s="4" t="s">
        <v>336</v>
      </c>
      <c r="H35" s="4" t="s">
        <v>337</v>
      </c>
      <c r="I35" s="4"/>
      <c r="J35" s="4" t="s">
        <v>142</v>
      </c>
      <c r="K35" s="4" t="s">
        <v>151</v>
      </c>
      <c r="L35" s="3"/>
      <c r="M35" s="3">
        <f t="shared" ref="M35:M37" ca="1" si="36">RANDBETWEEN(2010,2026)</f>
        <v>2015</v>
      </c>
      <c r="N35" s="3">
        <f t="shared" ca="1" si="35"/>
        <v>4</v>
      </c>
      <c r="O35" s="3">
        <f t="shared" ref="O35:O36" ca="1" si="37">RANDBETWEEN(2010,2026)</f>
        <v>2010</v>
      </c>
      <c r="P35" s="3">
        <f t="shared" ref="P35:P36" ca="1" si="38">RANDBETWEEN(1,12)</f>
        <v>8</v>
      </c>
      <c r="Q35" s="5">
        <f t="shared" ca="1" si="4"/>
        <v>691</v>
      </c>
      <c r="R35" s="6"/>
      <c r="S35" s="7">
        <f t="shared" ca="1" si="34"/>
        <v>967</v>
      </c>
      <c r="T35" s="8"/>
      <c r="U35" s="9" t="s">
        <v>152</v>
      </c>
      <c r="V35" s="3"/>
      <c r="W35" s="3"/>
      <c r="X35" s="3"/>
      <c r="Y35" s="3"/>
      <c r="Z35" s="10" t="s">
        <v>153</v>
      </c>
      <c r="AA35" s="10" t="s">
        <v>154</v>
      </c>
      <c r="AB35" s="4" t="s">
        <v>155</v>
      </c>
      <c r="AC35" s="11"/>
    </row>
    <row r="36" spans="2:29" s="2" customFormat="1" ht="25.05" customHeight="1" x14ac:dyDescent="0.3">
      <c r="B36" s="1" t="s">
        <v>156</v>
      </c>
      <c r="C36" s="1" t="s">
        <v>23</v>
      </c>
      <c r="D36" s="3" t="s">
        <v>24</v>
      </c>
      <c r="E36" s="4" t="s">
        <v>336</v>
      </c>
      <c r="F36" s="4" t="s">
        <v>337</v>
      </c>
      <c r="G36" s="4" t="s">
        <v>336</v>
      </c>
      <c r="H36" s="4" t="s">
        <v>337</v>
      </c>
      <c r="I36" s="4"/>
      <c r="J36" s="4" t="s">
        <v>157</v>
      </c>
      <c r="K36" s="4" t="s">
        <v>158</v>
      </c>
      <c r="L36" s="3"/>
      <c r="M36" s="3">
        <f t="shared" ca="1" si="36"/>
        <v>2020</v>
      </c>
      <c r="N36" s="3"/>
      <c r="O36" s="3">
        <f t="shared" ca="1" si="37"/>
        <v>2021</v>
      </c>
      <c r="P36" s="3">
        <f t="shared" ca="1" si="38"/>
        <v>11</v>
      </c>
      <c r="Q36" s="5"/>
      <c r="R36" s="6">
        <f t="shared" ca="1" si="10"/>
        <v>74</v>
      </c>
      <c r="S36" s="7"/>
      <c r="T36" s="8"/>
      <c r="U36" s="9"/>
      <c r="V36" s="3"/>
      <c r="W36" s="3"/>
      <c r="X36" s="3"/>
      <c r="Y36" s="3"/>
      <c r="Z36" s="10" t="s">
        <v>159</v>
      </c>
      <c r="AA36" s="10"/>
      <c r="AB36" s="4" t="s">
        <v>160</v>
      </c>
      <c r="AC36" s="11"/>
    </row>
    <row r="37" spans="2:29" s="2" customFormat="1" ht="25.05" customHeight="1" x14ac:dyDescent="0.3">
      <c r="B37" s="1" t="s">
        <v>161</v>
      </c>
      <c r="C37" s="1" t="s">
        <v>23</v>
      </c>
      <c r="D37" s="3" t="s">
        <v>95</v>
      </c>
      <c r="E37" s="4" t="s">
        <v>336</v>
      </c>
      <c r="F37" s="4" t="s">
        <v>337</v>
      </c>
      <c r="G37" s="4" t="s">
        <v>336</v>
      </c>
      <c r="H37" s="4" t="s">
        <v>337</v>
      </c>
      <c r="I37" s="4"/>
      <c r="J37" s="4"/>
      <c r="K37" s="4"/>
      <c r="L37" s="3"/>
      <c r="M37" s="3">
        <f t="shared" ca="1" si="36"/>
        <v>2019</v>
      </c>
      <c r="N37" s="3">
        <f t="shared" ref="N37" ca="1" si="39">RANDBETWEEN(1,12)</f>
        <v>3</v>
      </c>
      <c r="O37" s="3"/>
      <c r="P37" s="3"/>
      <c r="Q37" s="5">
        <f t="shared" ca="1" si="4"/>
        <v>976</v>
      </c>
      <c r="R37" s="6"/>
      <c r="S37" s="7">
        <f t="shared" ca="1" si="34"/>
        <v>976</v>
      </c>
      <c r="T37" s="8"/>
      <c r="U37" s="9"/>
      <c r="V37" s="3"/>
      <c r="W37" s="3"/>
      <c r="X37" s="3"/>
      <c r="Y37" s="3"/>
      <c r="Z37" s="10" t="s">
        <v>162</v>
      </c>
      <c r="AA37" s="10" t="s">
        <v>163</v>
      </c>
      <c r="AB37" s="4" t="s">
        <v>164</v>
      </c>
      <c r="AC37" s="11"/>
    </row>
    <row r="38" spans="2:29" s="2" customFormat="1" ht="25.05" customHeight="1" x14ac:dyDescent="0.3">
      <c r="B38" s="1" t="s">
        <v>165</v>
      </c>
      <c r="C38" s="1" t="s">
        <v>23</v>
      </c>
      <c r="D38" s="3" t="s">
        <v>24</v>
      </c>
      <c r="E38" s="4" t="s">
        <v>336</v>
      </c>
      <c r="F38" s="4" t="s">
        <v>337</v>
      </c>
      <c r="G38" s="4" t="s">
        <v>336</v>
      </c>
      <c r="H38" s="4" t="s">
        <v>337</v>
      </c>
      <c r="I38" s="4"/>
      <c r="J38" s="4" t="s">
        <v>166</v>
      </c>
      <c r="K38" s="4" t="s">
        <v>167</v>
      </c>
      <c r="L38" s="3"/>
      <c r="M38" s="3"/>
      <c r="N38" s="3"/>
      <c r="O38" s="3"/>
      <c r="P38" s="3"/>
      <c r="Q38" s="5">
        <f t="shared" ca="1" si="4"/>
        <v>534</v>
      </c>
      <c r="R38" s="6"/>
      <c r="S38" s="7">
        <f t="shared" ca="1" si="34"/>
        <v>332</v>
      </c>
      <c r="T38" s="8"/>
      <c r="U38" s="9"/>
      <c r="V38" s="3"/>
      <c r="W38" s="3"/>
      <c r="X38" s="3"/>
      <c r="Y38" s="3"/>
      <c r="Z38" s="10" t="s">
        <v>168</v>
      </c>
      <c r="AA38" s="10" t="s">
        <v>169</v>
      </c>
      <c r="AB38" s="4" t="s">
        <v>166</v>
      </c>
      <c r="AC38" s="11"/>
    </row>
    <row r="39" spans="2:29" s="2" customFormat="1" ht="25.05" customHeight="1" x14ac:dyDescent="0.3">
      <c r="B39" s="1" t="s">
        <v>170</v>
      </c>
      <c r="C39" s="1" t="s">
        <v>23</v>
      </c>
      <c r="D39" s="3" t="s">
        <v>24</v>
      </c>
      <c r="E39" s="4" t="s">
        <v>336</v>
      </c>
      <c r="F39" s="4" t="s">
        <v>337</v>
      </c>
      <c r="G39" s="4" t="s">
        <v>336</v>
      </c>
      <c r="H39" s="4" t="s">
        <v>337</v>
      </c>
      <c r="I39" s="4"/>
      <c r="J39" s="4" t="s">
        <v>171</v>
      </c>
      <c r="K39" s="4" t="s">
        <v>172</v>
      </c>
      <c r="L39" s="3"/>
      <c r="M39" s="3"/>
      <c r="N39" s="3"/>
      <c r="O39" s="3">
        <f t="shared" ref="O39:O42" ca="1" si="40">RANDBETWEEN(2010,2026)</f>
        <v>2018</v>
      </c>
      <c r="P39" s="3">
        <f t="shared" ref="P39:P42" ca="1" si="41">RANDBETWEEN(1,12)</f>
        <v>9</v>
      </c>
      <c r="Q39" s="5">
        <f t="shared" ca="1" si="4"/>
        <v>734</v>
      </c>
      <c r="R39" s="6"/>
      <c r="S39" s="7"/>
      <c r="T39" s="8"/>
      <c r="U39" s="9"/>
      <c r="V39" s="3"/>
      <c r="W39" s="3"/>
      <c r="X39" s="3"/>
      <c r="Y39" s="3"/>
      <c r="Z39" s="10" t="s">
        <v>173</v>
      </c>
      <c r="AA39" s="10"/>
      <c r="AB39" s="4" t="s">
        <v>174</v>
      </c>
      <c r="AC39" s="11"/>
    </row>
    <row r="40" spans="2:29" s="2" customFormat="1" ht="25.05" customHeight="1" x14ac:dyDescent="0.3">
      <c r="B40" s="1" t="s">
        <v>175</v>
      </c>
      <c r="C40" s="1" t="s">
        <v>23</v>
      </c>
      <c r="D40" s="3" t="s">
        <v>95</v>
      </c>
      <c r="E40" s="4" t="s">
        <v>336</v>
      </c>
      <c r="F40" s="4" t="s">
        <v>337</v>
      </c>
      <c r="G40" s="4" t="s">
        <v>336</v>
      </c>
      <c r="H40" s="4" t="s">
        <v>337</v>
      </c>
      <c r="I40" s="4"/>
      <c r="J40" s="4" t="s">
        <v>176</v>
      </c>
      <c r="K40" s="4" t="s">
        <v>177</v>
      </c>
      <c r="L40" s="3">
        <f t="shared" ref="L40:L41" ca="1" si="42">RANDBETWEEN(1,100)</f>
        <v>10</v>
      </c>
      <c r="M40" s="3">
        <f t="shared" ref="M40:M41" ca="1" si="43">RANDBETWEEN(2010,2026)</f>
        <v>2010</v>
      </c>
      <c r="N40" s="3">
        <f t="shared" ref="N40:N41" ca="1" si="44">RANDBETWEEN(1,12)</f>
        <v>9</v>
      </c>
      <c r="O40" s="3">
        <f t="shared" ca="1" si="40"/>
        <v>2014</v>
      </c>
      <c r="P40" s="3">
        <f t="shared" ca="1" si="41"/>
        <v>10</v>
      </c>
      <c r="Q40" s="5">
        <f t="shared" ca="1" si="4"/>
        <v>370</v>
      </c>
      <c r="R40" s="6">
        <f t="shared" ref="R40:R41" ca="1" si="45">RANDBETWEEN(1,100)</f>
        <v>23</v>
      </c>
      <c r="S40" s="7">
        <f t="shared" ca="1" si="34"/>
        <v>284</v>
      </c>
      <c r="T40" s="8">
        <f t="shared" ref="T40" ca="1" si="46">RANDBETWEEN(1,10)</f>
        <v>6</v>
      </c>
      <c r="U40" s="9"/>
      <c r="V40" s="3"/>
      <c r="W40" s="3"/>
      <c r="X40" s="3"/>
      <c r="Y40" s="3"/>
      <c r="Z40" s="10" t="s">
        <v>178</v>
      </c>
      <c r="AA40" s="10" t="s">
        <v>179</v>
      </c>
      <c r="AB40" s="4" t="s">
        <v>180</v>
      </c>
      <c r="AC40" s="11"/>
    </row>
    <row r="41" spans="2:29" s="2" customFormat="1" ht="25.05" customHeight="1" x14ac:dyDescent="0.3">
      <c r="B41" s="1" t="s">
        <v>181</v>
      </c>
      <c r="C41" s="1" t="s">
        <v>23</v>
      </c>
      <c r="D41" s="3" t="s">
        <v>24</v>
      </c>
      <c r="E41" s="4" t="s">
        <v>336</v>
      </c>
      <c r="F41" s="4" t="s">
        <v>337</v>
      </c>
      <c r="G41" s="4" t="s">
        <v>336</v>
      </c>
      <c r="H41" s="4" t="s">
        <v>337</v>
      </c>
      <c r="I41" s="4"/>
      <c r="J41" s="4" t="s">
        <v>182</v>
      </c>
      <c r="K41" s="4" t="s">
        <v>183</v>
      </c>
      <c r="L41" s="3">
        <f t="shared" ca="1" si="42"/>
        <v>48</v>
      </c>
      <c r="M41" s="3">
        <f t="shared" ca="1" si="43"/>
        <v>2011</v>
      </c>
      <c r="N41" s="3">
        <f t="shared" ca="1" si="44"/>
        <v>10</v>
      </c>
      <c r="O41" s="3">
        <f t="shared" ca="1" si="40"/>
        <v>2020</v>
      </c>
      <c r="P41" s="3">
        <f t="shared" ca="1" si="41"/>
        <v>9</v>
      </c>
      <c r="Q41" s="5">
        <f t="shared" ca="1" si="4"/>
        <v>307</v>
      </c>
      <c r="R41" s="6">
        <f t="shared" ca="1" si="45"/>
        <v>74</v>
      </c>
      <c r="S41" s="7">
        <f t="shared" ca="1" si="34"/>
        <v>840</v>
      </c>
      <c r="T41" s="8"/>
      <c r="U41" s="9"/>
      <c r="V41" s="3"/>
      <c r="W41" s="3"/>
      <c r="X41" s="3"/>
      <c r="Y41" s="3"/>
      <c r="Z41" s="10" t="s">
        <v>184</v>
      </c>
      <c r="AA41" s="10" t="s">
        <v>185</v>
      </c>
      <c r="AB41" s="4" t="s">
        <v>186</v>
      </c>
      <c r="AC41" s="11"/>
    </row>
    <row r="42" spans="2:29" s="2" customFormat="1" ht="25.05" customHeight="1" x14ac:dyDescent="0.3">
      <c r="B42" s="1" t="s">
        <v>187</v>
      </c>
      <c r="C42" s="1" t="s">
        <v>23</v>
      </c>
      <c r="D42" s="3" t="s">
        <v>24</v>
      </c>
      <c r="E42" s="4" t="s">
        <v>336</v>
      </c>
      <c r="F42" s="4" t="s">
        <v>337</v>
      </c>
      <c r="G42" s="4" t="s">
        <v>336</v>
      </c>
      <c r="H42" s="4" t="s">
        <v>337</v>
      </c>
      <c r="I42" s="4"/>
      <c r="J42" s="4" t="s">
        <v>188</v>
      </c>
      <c r="K42" s="4" t="s">
        <v>188</v>
      </c>
      <c r="L42" s="3"/>
      <c r="M42" s="3"/>
      <c r="N42" s="3"/>
      <c r="O42" s="3">
        <f t="shared" ca="1" si="40"/>
        <v>2014</v>
      </c>
      <c r="P42" s="3">
        <f t="shared" ca="1" si="41"/>
        <v>7</v>
      </c>
      <c r="Q42" s="5">
        <f t="shared" ca="1" si="4"/>
        <v>182</v>
      </c>
      <c r="R42" s="6"/>
      <c r="S42" s="7">
        <f t="shared" ca="1" si="34"/>
        <v>654</v>
      </c>
      <c r="T42" s="8">
        <f t="shared" ref="T42:T45" ca="1" si="47">RANDBETWEEN(1,10)</f>
        <v>5</v>
      </c>
      <c r="U42" s="9"/>
      <c r="V42" s="3"/>
      <c r="W42" s="3"/>
      <c r="X42" s="3"/>
      <c r="Y42" s="3"/>
      <c r="Z42" s="10"/>
      <c r="AA42" s="10" t="s">
        <v>189</v>
      </c>
      <c r="AB42" s="4" t="s">
        <v>188</v>
      </c>
      <c r="AC42" s="11"/>
    </row>
    <row r="43" spans="2:29" s="2" customFormat="1" ht="25.05" customHeight="1" x14ac:dyDescent="0.3">
      <c r="B43" s="1" t="s">
        <v>190</v>
      </c>
      <c r="C43" s="1" t="s">
        <v>23</v>
      </c>
      <c r="D43" s="3" t="s">
        <v>24</v>
      </c>
      <c r="E43" s="4" t="s">
        <v>336</v>
      </c>
      <c r="F43" s="4" t="s">
        <v>337</v>
      </c>
      <c r="G43" s="4" t="s">
        <v>336</v>
      </c>
      <c r="H43" s="4" t="s">
        <v>337</v>
      </c>
      <c r="I43" s="4"/>
      <c r="J43" s="4" t="s">
        <v>191</v>
      </c>
      <c r="K43" s="4" t="s">
        <v>192</v>
      </c>
      <c r="L43" s="3"/>
      <c r="M43" s="3"/>
      <c r="N43" s="3"/>
      <c r="O43" s="3"/>
      <c r="P43" s="3"/>
      <c r="Q43" s="5">
        <f t="shared" ca="1" si="4"/>
        <v>85</v>
      </c>
      <c r="R43" s="6"/>
      <c r="S43" s="7">
        <f t="shared" ca="1" si="34"/>
        <v>854</v>
      </c>
      <c r="T43" s="8">
        <f t="shared" ca="1" si="47"/>
        <v>10</v>
      </c>
      <c r="U43" s="9"/>
      <c r="V43" s="3"/>
      <c r="W43" s="3"/>
      <c r="X43" s="3"/>
      <c r="Y43" s="3"/>
      <c r="Z43" s="10" t="s">
        <v>193</v>
      </c>
      <c r="AA43" s="10" t="s">
        <v>194</v>
      </c>
      <c r="AB43" s="4" t="s">
        <v>195</v>
      </c>
      <c r="AC43" s="11"/>
    </row>
    <row r="44" spans="2:29" s="2" customFormat="1" ht="25.05" hidden="1" customHeight="1" x14ac:dyDescent="0.3">
      <c r="B44" s="1" t="s">
        <v>196</v>
      </c>
      <c r="C44" s="1" t="s">
        <v>23</v>
      </c>
      <c r="D44" s="3" t="s">
        <v>66</v>
      </c>
      <c r="E44" s="4" t="s">
        <v>336</v>
      </c>
      <c r="F44" s="4" t="s">
        <v>337</v>
      </c>
      <c r="G44" s="4" t="s">
        <v>336</v>
      </c>
      <c r="H44" s="4"/>
      <c r="I44" s="4"/>
      <c r="J44" s="4"/>
      <c r="K44" s="4"/>
      <c r="L44" s="3"/>
      <c r="M44" s="3"/>
      <c r="N44" s="3"/>
      <c r="O44" s="3"/>
      <c r="P44" s="3"/>
      <c r="Q44" s="5">
        <f t="shared" ca="1" si="4"/>
        <v>396</v>
      </c>
      <c r="R44" s="6">
        <f t="shared" ref="R44:R47" ca="1" si="48">RANDBETWEEN(1,100)</f>
        <v>84</v>
      </c>
      <c r="S44" s="7">
        <f t="shared" ca="1" si="34"/>
        <v>173</v>
      </c>
      <c r="T44" s="8">
        <f t="shared" ca="1" si="47"/>
        <v>6</v>
      </c>
      <c r="U44" s="9"/>
      <c r="V44" s="3"/>
      <c r="W44" s="3"/>
      <c r="X44" s="3"/>
      <c r="Y44" s="3"/>
      <c r="Z44" s="10" t="s">
        <v>197</v>
      </c>
      <c r="AA44" s="10"/>
      <c r="AB44" s="4" t="s">
        <v>198</v>
      </c>
      <c r="AC44" s="11"/>
    </row>
    <row r="45" spans="2:29" s="2" customFormat="1" ht="25.05" hidden="1" customHeight="1" x14ac:dyDescent="0.3">
      <c r="B45" s="1" t="s">
        <v>199</v>
      </c>
      <c r="C45" s="1" t="s">
        <v>23</v>
      </c>
      <c r="D45" s="3" t="s">
        <v>66</v>
      </c>
      <c r="E45" s="4"/>
      <c r="F45" s="4"/>
      <c r="G45" s="4"/>
      <c r="H45" s="4"/>
      <c r="I45" s="4"/>
      <c r="J45" s="4"/>
      <c r="K45" s="4"/>
      <c r="L45" s="3"/>
      <c r="M45" s="3"/>
      <c r="N45" s="3"/>
      <c r="O45" s="3"/>
      <c r="P45" s="3"/>
      <c r="Q45" s="5">
        <f t="shared" ca="1" si="4"/>
        <v>856</v>
      </c>
      <c r="R45" s="6">
        <f t="shared" ca="1" si="48"/>
        <v>100</v>
      </c>
      <c r="S45" s="7">
        <f t="shared" ca="1" si="34"/>
        <v>622</v>
      </c>
      <c r="T45" s="8">
        <f t="shared" ca="1" si="47"/>
        <v>2</v>
      </c>
      <c r="U45" s="9"/>
      <c r="V45" s="3"/>
      <c r="W45" s="3"/>
      <c r="X45" s="3"/>
      <c r="Y45" s="3"/>
      <c r="Z45" s="10" t="s">
        <v>197</v>
      </c>
      <c r="AA45" s="10"/>
      <c r="AB45" s="4" t="s">
        <v>200</v>
      </c>
      <c r="AC45" s="11"/>
    </row>
    <row r="46" spans="2:29" s="2" customFormat="1" ht="25.05" customHeight="1" x14ac:dyDescent="0.3">
      <c r="B46" s="1" t="s">
        <v>201</v>
      </c>
      <c r="C46" s="1" t="s">
        <v>23</v>
      </c>
      <c r="D46" s="3" t="s">
        <v>66</v>
      </c>
      <c r="E46" s="4" t="s">
        <v>335</v>
      </c>
      <c r="F46" s="4" t="s">
        <v>337</v>
      </c>
      <c r="G46" s="4" t="s">
        <v>336</v>
      </c>
      <c r="H46" s="4" t="s">
        <v>337</v>
      </c>
      <c r="I46" s="4"/>
      <c r="J46" s="4" t="s">
        <v>202</v>
      </c>
      <c r="K46" s="4" t="s">
        <v>203</v>
      </c>
      <c r="L46" s="3"/>
      <c r="M46" s="3"/>
      <c r="N46" s="3"/>
      <c r="O46" s="3"/>
      <c r="P46" s="3"/>
      <c r="Q46" s="5">
        <f t="shared" ca="1" si="4"/>
        <v>242</v>
      </c>
      <c r="R46" s="6">
        <f t="shared" ca="1" si="48"/>
        <v>41</v>
      </c>
      <c r="S46" s="7"/>
      <c r="T46" s="8"/>
      <c r="U46" s="9"/>
      <c r="V46" s="3"/>
      <c r="W46" s="3"/>
      <c r="X46" s="3"/>
      <c r="Y46" s="3"/>
      <c r="Z46" s="10" t="s">
        <v>204</v>
      </c>
      <c r="AA46" s="10" t="s">
        <v>205</v>
      </c>
      <c r="AB46" s="4" t="s">
        <v>206</v>
      </c>
      <c r="AC46" s="11"/>
    </row>
    <row r="47" spans="2:29" s="2" customFormat="1" ht="25.05" customHeight="1" x14ac:dyDescent="0.3">
      <c r="B47" s="1" t="s">
        <v>207</v>
      </c>
      <c r="C47" s="1" t="s">
        <v>23</v>
      </c>
      <c r="D47" s="3" t="s">
        <v>66</v>
      </c>
      <c r="E47" s="4" t="s">
        <v>335</v>
      </c>
      <c r="F47" s="4" t="s">
        <v>337</v>
      </c>
      <c r="G47" s="4" t="s">
        <v>336</v>
      </c>
      <c r="H47" s="4" t="s">
        <v>337</v>
      </c>
      <c r="I47" s="4"/>
      <c r="J47" s="4" t="s">
        <v>202</v>
      </c>
      <c r="K47" s="4" t="s">
        <v>203</v>
      </c>
      <c r="L47" s="3"/>
      <c r="M47" s="3"/>
      <c r="N47" s="3"/>
      <c r="O47" s="3"/>
      <c r="P47" s="3"/>
      <c r="Q47" s="5">
        <f t="shared" ca="1" si="4"/>
        <v>320</v>
      </c>
      <c r="R47" s="6">
        <f t="shared" ca="1" si="48"/>
        <v>87</v>
      </c>
      <c r="S47" s="7"/>
      <c r="T47" s="8"/>
      <c r="U47" s="9"/>
      <c r="V47" s="3"/>
      <c r="W47" s="3"/>
      <c r="X47" s="3"/>
      <c r="Y47" s="3"/>
      <c r="Z47" s="10" t="s">
        <v>204</v>
      </c>
      <c r="AA47" s="10" t="s">
        <v>205</v>
      </c>
      <c r="AB47" s="4" t="s">
        <v>206</v>
      </c>
      <c r="AC47" s="11"/>
    </row>
    <row r="48" spans="2:29" s="2" customFormat="1" ht="25.05" customHeight="1" x14ac:dyDescent="0.3">
      <c r="B48" s="1" t="s">
        <v>208</v>
      </c>
      <c r="C48" s="1" t="s">
        <v>23</v>
      </c>
      <c r="D48" s="3" t="s">
        <v>66</v>
      </c>
      <c r="E48" s="4" t="s">
        <v>335</v>
      </c>
      <c r="F48" s="4" t="s">
        <v>337</v>
      </c>
      <c r="G48" s="4" t="s">
        <v>336</v>
      </c>
      <c r="H48" s="4" t="s">
        <v>337</v>
      </c>
      <c r="I48" s="4"/>
      <c r="J48" s="4"/>
      <c r="K48" s="4"/>
      <c r="L48" s="3"/>
      <c r="M48" s="3"/>
      <c r="N48" s="3"/>
      <c r="O48" s="3"/>
      <c r="P48" s="3"/>
      <c r="Q48" s="5">
        <f t="shared" ca="1" si="4"/>
        <v>195</v>
      </c>
      <c r="R48" s="6"/>
      <c r="S48" s="7">
        <f t="shared" ref="S48" ca="1" si="49">RANDBETWEEN(50,1000)</f>
        <v>123</v>
      </c>
      <c r="T48" s="8">
        <f t="shared" ref="T48" ca="1" si="50">RANDBETWEEN(1,10)</f>
        <v>9</v>
      </c>
      <c r="U48" s="9"/>
      <c r="V48" s="3"/>
      <c r="W48" s="3"/>
      <c r="X48" s="3"/>
      <c r="Y48" s="3"/>
      <c r="Z48" s="10" t="s">
        <v>209</v>
      </c>
      <c r="AA48" s="10" t="s">
        <v>210</v>
      </c>
      <c r="AB48" s="4" t="s">
        <v>206</v>
      </c>
      <c r="AC48" s="11"/>
    </row>
    <row r="49" spans="1:29" s="2" customFormat="1" ht="25.05" customHeight="1" x14ac:dyDescent="0.3">
      <c r="B49" s="1" t="s">
        <v>211</v>
      </c>
      <c r="C49" s="1" t="s">
        <v>23</v>
      </c>
      <c r="D49" s="3" t="s">
        <v>66</v>
      </c>
      <c r="E49" s="4" t="s">
        <v>335</v>
      </c>
      <c r="F49" s="4" t="s">
        <v>337</v>
      </c>
      <c r="G49" s="4" t="s">
        <v>336</v>
      </c>
      <c r="H49" s="4" t="s">
        <v>337</v>
      </c>
      <c r="I49" s="4"/>
      <c r="J49" s="4" t="s">
        <v>212</v>
      </c>
      <c r="K49" s="4" t="s">
        <v>213</v>
      </c>
      <c r="L49" s="3"/>
      <c r="M49" s="3"/>
      <c r="N49" s="3"/>
      <c r="O49" s="3"/>
      <c r="P49" s="3"/>
      <c r="Q49" s="5"/>
      <c r="R49" s="6"/>
      <c r="S49" s="7"/>
      <c r="T49" s="8"/>
      <c r="U49" s="9"/>
      <c r="V49" s="3"/>
      <c r="W49" s="3"/>
      <c r="X49" s="3"/>
      <c r="Y49" s="3"/>
      <c r="Z49" s="10"/>
      <c r="AA49" s="10"/>
      <c r="AB49" s="4" t="s">
        <v>214</v>
      </c>
      <c r="AC49" s="11"/>
    </row>
    <row r="50" spans="1:29" s="2" customFormat="1" ht="25.05" customHeight="1" x14ac:dyDescent="0.3">
      <c r="B50" s="1" t="s">
        <v>215</v>
      </c>
      <c r="C50" s="1" t="s">
        <v>23</v>
      </c>
      <c r="D50" s="3" t="s">
        <v>216</v>
      </c>
      <c r="E50" s="4" t="s">
        <v>335</v>
      </c>
      <c r="F50" s="4" t="s">
        <v>337</v>
      </c>
      <c r="G50" s="4" t="s">
        <v>336</v>
      </c>
      <c r="H50" s="4" t="s">
        <v>337</v>
      </c>
      <c r="I50" s="4"/>
      <c r="J50" s="4" t="s">
        <v>217</v>
      </c>
      <c r="K50" s="4" t="s">
        <v>218</v>
      </c>
      <c r="L50" s="3">
        <f ca="1">RANDBETWEEN(1,100)</f>
        <v>64</v>
      </c>
      <c r="M50" s="3"/>
      <c r="N50" s="3"/>
      <c r="O50" s="3">
        <f t="shared" ref="O50:O52" ca="1" si="51">RANDBETWEEN(2010,2026)</f>
        <v>2015</v>
      </c>
      <c r="P50" s="3">
        <f t="shared" ref="P50:P52" ca="1" si="52">RANDBETWEEN(1,12)</f>
        <v>1</v>
      </c>
      <c r="Q50" s="5">
        <f t="shared" ca="1" si="4"/>
        <v>274</v>
      </c>
      <c r="R50" s="6">
        <f t="shared" ref="R50:R52" ca="1" si="53">RANDBETWEEN(1,100)</f>
        <v>89</v>
      </c>
      <c r="S50" s="7"/>
      <c r="T50" s="8">
        <f t="shared" ref="T50:T52" ca="1" si="54">RANDBETWEEN(1,10)</f>
        <v>5</v>
      </c>
      <c r="U50" s="9"/>
      <c r="V50" s="3"/>
      <c r="W50" s="3"/>
      <c r="X50" s="3"/>
      <c r="Y50" s="3"/>
      <c r="Z50" s="10" t="s">
        <v>219</v>
      </c>
      <c r="AA50" s="10" t="s">
        <v>220</v>
      </c>
      <c r="AB50" s="4"/>
      <c r="AC50" s="11"/>
    </row>
    <row r="51" spans="1:29" s="2" customFormat="1" ht="25.05" customHeight="1" x14ac:dyDescent="0.3">
      <c r="B51" s="1" t="s">
        <v>221</v>
      </c>
      <c r="C51" s="1" t="s">
        <v>23</v>
      </c>
      <c r="D51" s="3" t="s">
        <v>216</v>
      </c>
      <c r="E51" s="4" t="s">
        <v>335</v>
      </c>
      <c r="F51" s="4" t="s">
        <v>337</v>
      </c>
      <c r="G51" s="4" t="s">
        <v>336</v>
      </c>
      <c r="H51" s="4" t="s">
        <v>337</v>
      </c>
      <c r="I51" s="4"/>
      <c r="J51" s="4" t="s">
        <v>222</v>
      </c>
      <c r="K51" s="4" t="s">
        <v>223</v>
      </c>
      <c r="L51" s="3"/>
      <c r="M51" s="3">
        <f ca="1">RANDBETWEEN(2010,2026)</f>
        <v>2010</v>
      </c>
      <c r="N51" s="3">
        <f t="shared" ref="N51" ca="1" si="55">RANDBETWEEN(1,12)</f>
        <v>9</v>
      </c>
      <c r="O51" s="3">
        <f t="shared" ca="1" si="51"/>
        <v>2020</v>
      </c>
      <c r="P51" s="3">
        <f t="shared" ca="1" si="52"/>
        <v>9</v>
      </c>
      <c r="Q51" s="5">
        <f t="shared" ca="1" si="4"/>
        <v>426</v>
      </c>
      <c r="R51" s="6">
        <f t="shared" ca="1" si="53"/>
        <v>73</v>
      </c>
      <c r="S51" s="7">
        <f t="shared" ref="S51:S52" ca="1" si="56">RANDBETWEEN(50,1000)</f>
        <v>393</v>
      </c>
      <c r="T51" s="8">
        <f t="shared" ca="1" si="54"/>
        <v>5</v>
      </c>
      <c r="U51" s="9"/>
      <c r="V51" s="3">
        <f ca="1">RANDBETWEEN(1,5)</f>
        <v>5</v>
      </c>
      <c r="W51" s="3" t="s">
        <v>224</v>
      </c>
      <c r="X51" s="3">
        <f ca="1">RANDBETWEEN(1,5)</f>
        <v>3</v>
      </c>
      <c r="Y51" s="3"/>
      <c r="Z51" s="10" t="s">
        <v>225</v>
      </c>
      <c r="AA51" s="10" t="s">
        <v>226</v>
      </c>
      <c r="AB51" s="4" t="s">
        <v>227</v>
      </c>
      <c r="AC51" s="11"/>
    </row>
    <row r="52" spans="1:29" s="2" customFormat="1" ht="25.05" customHeight="1" x14ac:dyDescent="0.3">
      <c r="B52" s="1" t="s">
        <v>228</v>
      </c>
      <c r="C52" s="1" t="s">
        <v>23</v>
      </c>
      <c r="D52" s="3" t="s">
        <v>216</v>
      </c>
      <c r="E52" s="4" t="s">
        <v>335</v>
      </c>
      <c r="F52" s="4" t="s">
        <v>337</v>
      </c>
      <c r="G52" s="4" t="s">
        <v>336</v>
      </c>
      <c r="H52" s="4" t="s">
        <v>337</v>
      </c>
      <c r="I52" s="4"/>
      <c r="J52" s="4" t="s">
        <v>229</v>
      </c>
      <c r="K52" s="4" t="s">
        <v>230</v>
      </c>
      <c r="L52" s="3"/>
      <c r="M52" s="3"/>
      <c r="N52" s="3"/>
      <c r="O52" s="3">
        <f t="shared" ca="1" si="51"/>
        <v>2026</v>
      </c>
      <c r="P52" s="3">
        <f t="shared" ca="1" si="52"/>
        <v>12</v>
      </c>
      <c r="Q52" s="5">
        <f t="shared" ca="1" si="4"/>
        <v>740</v>
      </c>
      <c r="R52" s="6">
        <f t="shared" ca="1" si="53"/>
        <v>79</v>
      </c>
      <c r="S52" s="7">
        <f t="shared" ca="1" si="56"/>
        <v>688</v>
      </c>
      <c r="T52" s="8">
        <f t="shared" ca="1" si="54"/>
        <v>8</v>
      </c>
      <c r="U52" s="9" t="s">
        <v>152</v>
      </c>
      <c r="V52" s="3"/>
      <c r="W52" s="3"/>
      <c r="X52" s="3"/>
      <c r="Y52" s="3"/>
      <c r="Z52" s="10"/>
      <c r="AA52" s="10"/>
      <c r="AB52" s="4" t="s">
        <v>231</v>
      </c>
      <c r="AC52" s="11"/>
    </row>
    <row r="53" spans="1:29" s="2" customFormat="1" ht="25.05" customHeight="1" x14ac:dyDescent="0.3">
      <c r="B53" s="1" t="s">
        <v>232</v>
      </c>
      <c r="C53" s="1" t="s">
        <v>23</v>
      </c>
      <c r="D53" s="3" t="s">
        <v>95</v>
      </c>
      <c r="E53" s="4" t="s">
        <v>335</v>
      </c>
      <c r="F53" s="4" t="s">
        <v>337</v>
      </c>
      <c r="G53" s="4" t="s">
        <v>336</v>
      </c>
      <c r="H53" s="4" t="s">
        <v>337</v>
      </c>
      <c r="I53" s="4"/>
      <c r="J53" s="4" t="s">
        <v>233</v>
      </c>
      <c r="K53" s="4" t="s">
        <v>234</v>
      </c>
      <c r="L53" s="3"/>
      <c r="M53" s="3">
        <f ca="1">RANDBETWEEN(2010,2026)</f>
        <v>2013</v>
      </c>
      <c r="N53" s="3">
        <f t="shared" ref="N53" ca="1" si="57">RANDBETWEEN(1,12)</f>
        <v>6</v>
      </c>
      <c r="O53" s="3"/>
      <c r="P53" s="3"/>
      <c r="Q53" s="5">
        <f t="shared" ca="1" si="4"/>
        <v>382</v>
      </c>
      <c r="R53" s="6"/>
      <c r="S53" s="7"/>
      <c r="T53" s="8"/>
      <c r="U53" s="9"/>
      <c r="V53" s="3"/>
      <c r="W53" s="3"/>
      <c r="X53" s="3"/>
      <c r="Y53" s="3"/>
      <c r="Z53" s="10"/>
      <c r="AA53" s="10" t="s">
        <v>235</v>
      </c>
      <c r="AB53" s="4" t="s">
        <v>236</v>
      </c>
      <c r="AC53" s="11"/>
    </row>
    <row r="54" spans="1:29" s="2" customFormat="1" ht="25.05" customHeight="1" x14ac:dyDescent="0.3">
      <c r="B54" s="1" t="s">
        <v>237</v>
      </c>
      <c r="C54" s="1" t="s">
        <v>23</v>
      </c>
      <c r="D54" s="3" t="s">
        <v>66</v>
      </c>
      <c r="E54" s="4" t="s">
        <v>335</v>
      </c>
      <c r="F54" s="4" t="s">
        <v>337</v>
      </c>
      <c r="G54" s="4" t="s">
        <v>336</v>
      </c>
      <c r="H54" s="4" t="s">
        <v>337</v>
      </c>
      <c r="I54" s="4"/>
      <c r="J54" s="4"/>
      <c r="K54" s="4"/>
      <c r="L54" s="3"/>
      <c r="M54" s="3"/>
      <c r="N54" s="3"/>
      <c r="O54" s="3"/>
      <c r="P54" s="3"/>
      <c r="Q54" s="5">
        <f t="shared" ca="1" si="4"/>
        <v>396</v>
      </c>
      <c r="R54" s="6"/>
      <c r="S54" s="7"/>
      <c r="T54" s="8"/>
      <c r="U54" s="9"/>
      <c r="V54" s="3"/>
      <c r="W54" s="3"/>
      <c r="X54" s="3"/>
      <c r="Y54" s="3"/>
      <c r="Z54" s="10"/>
      <c r="AA54" s="10" t="s">
        <v>238</v>
      </c>
      <c r="AB54" s="4"/>
      <c r="AC54" s="11"/>
    </row>
    <row r="55" spans="1:29" s="2" customFormat="1" ht="25.05" customHeight="1" x14ac:dyDescent="0.3">
      <c r="A55" s="33" t="s">
        <v>239</v>
      </c>
      <c r="B55" s="1" t="s">
        <v>240</v>
      </c>
      <c r="C55" s="1" t="s">
        <v>23</v>
      </c>
      <c r="D55" s="3" t="s">
        <v>66</v>
      </c>
      <c r="E55" s="4" t="s">
        <v>335</v>
      </c>
      <c r="F55" s="4" t="s">
        <v>337</v>
      </c>
      <c r="G55" s="4" t="s">
        <v>336</v>
      </c>
      <c r="H55" s="4" t="s">
        <v>337</v>
      </c>
      <c r="I55" s="4"/>
      <c r="J55" s="4"/>
      <c r="K55" s="4"/>
      <c r="L55" s="3"/>
      <c r="M55" s="3"/>
      <c r="N55" s="3"/>
      <c r="O55" s="3"/>
      <c r="P55" s="3"/>
      <c r="Q55" s="5">
        <f t="shared" ca="1" si="4"/>
        <v>210</v>
      </c>
      <c r="R55" s="6">
        <f t="shared" ref="R55:R62" ca="1" si="58">RANDBETWEEN(1,100)</f>
        <v>59</v>
      </c>
      <c r="S55" s="7">
        <f t="shared" ref="S55:S62" ca="1" si="59">RANDBETWEEN(50,1000)</f>
        <v>692</v>
      </c>
      <c r="T55" s="8">
        <f t="shared" ref="T55:T62" ca="1" si="60">RANDBETWEEN(1,10)</f>
        <v>1</v>
      </c>
      <c r="U55" s="9"/>
      <c r="V55" s="3">
        <f t="shared" ref="V55:V56" ca="1" si="61">RANDBETWEEN(1,5)</f>
        <v>3</v>
      </c>
      <c r="W55" s="3" t="s">
        <v>241</v>
      </c>
      <c r="X55" s="3">
        <f t="shared" ref="X55:X56" ca="1" si="62">RANDBETWEEN(1,5)</f>
        <v>2</v>
      </c>
      <c r="Y55" s="3" t="s">
        <v>242</v>
      </c>
      <c r="Z55" s="10"/>
      <c r="AA55" s="10"/>
      <c r="AB55" s="4"/>
      <c r="AC55" s="11"/>
    </row>
    <row r="56" spans="1:29" s="2" customFormat="1" ht="25.05" customHeight="1" x14ac:dyDescent="0.3">
      <c r="A56" s="33"/>
      <c r="B56" s="1" t="s">
        <v>243</v>
      </c>
      <c r="C56" s="1" t="s">
        <v>23</v>
      </c>
      <c r="D56" s="3" t="s">
        <v>66</v>
      </c>
      <c r="E56" s="4" t="s">
        <v>335</v>
      </c>
      <c r="F56" s="4" t="s">
        <v>337</v>
      </c>
      <c r="G56" s="4" t="s">
        <v>336</v>
      </c>
      <c r="H56" s="4" t="s">
        <v>337</v>
      </c>
      <c r="I56" s="4"/>
      <c r="J56" s="4"/>
      <c r="K56" s="4"/>
      <c r="L56" s="3"/>
      <c r="M56" s="3"/>
      <c r="N56" s="3"/>
      <c r="O56" s="3"/>
      <c r="P56" s="3"/>
      <c r="Q56" s="5">
        <f t="shared" ca="1" si="4"/>
        <v>964</v>
      </c>
      <c r="R56" s="6">
        <f t="shared" ca="1" si="58"/>
        <v>60</v>
      </c>
      <c r="S56" s="7">
        <f t="shared" ca="1" si="59"/>
        <v>768</v>
      </c>
      <c r="T56" s="8">
        <f t="shared" ca="1" si="60"/>
        <v>3</v>
      </c>
      <c r="U56" s="9"/>
      <c r="V56" s="3">
        <f t="shared" ca="1" si="61"/>
        <v>1</v>
      </c>
      <c r="W56" s="3" t="s">
        <v>244</v>
      </c>
      <c r="X56" s="3">
        <f t="shared" ca="1" si="62"/>
        <v>2</v>
      </c>
      <c r="Y56" s="3" t="s">
        <v>242</v>
      </c>
      <c r="Z56" s="10"/>
      <c r="AA56" s="10"/>
      <c r="AB56" s="4"/>
      <c r="AC56" s="11"/>
    </row>
    <row r="57" spans="1:29" s="2" customFormat="1" ht="25.05" customHeight="1" x14ac:dyDescent="0.3">
      <c r="A57" s="33"/>
      <c r="B57" s="1" t="s">
        <v>245</v>
      </c>
      <c r="C57" s="1"/>
      <c r="D57" s="3" t="s">
        <v>66</v>
      </c>
      <c r="E57" s="4" t="s">
        <v>335</v>
      </c>
      <c r="F57" s="4" t="s">
        <v>337</v>
      </c>
      <c r="G57" s="4" t="s">
        <v>336</v>
      </c>
      <c r="H57" s="4" t="s">
        <v>337</v>
      </c>
      <c r="I57" s="4"/>
      <c r="J57" s="4"/>
      <c r="K57" s="4"/>
      <c r="L57" s="3"/>
      <c r="M57" s="3"/>
      <c r="N57" s="3"/>
      <c r="O57" s="3"/>
      <c r="P57" s="3"/>
      <c r="Q57" s="5">
        <f t="shared" ca="1" si="4"/>
        <v>707</v>
      </c>
      <c r="R57" s="6">
        <f t="shared" ca="1" si="58"/>
        <v>41</v>
      </c>
      <c r="S57" s="7">
        <f t="shared" ca="1" si="59"/>
        <v>877</v>
      </c>
      <c r="T57" s="8">
        <f t="shared" ca="1" si="60"/>
        <v>10</v>
      </c>
      <c r="U57" s="9"/>
      <c r="V57" s="3" t="s">
        <v>146</v>
      </c>
      <c r="W57" s="3"/>
      <c r="X57" s="3" t="s">
        <v>146</v>
      </c>
      <c r="Y57" s="3"/>
      <c r="Z57" s="10"/>
      <c r="AA57" s="10"/>
      <c r="AB57" s="4"/>
      <c r="AC57" s="11"/>
    </row>
    <row r="58" spans="1:29" s="2" customFormat="1" ht="25.05" customHeight="1" x14ac:dyDescent="0.3">
      <c r="A58" s="14"/>
      <c r="B58" s="1" t="s">
        <v>246</v>
      </c>
      <c r="C58" s="1" t="s">
        <v>23</v>
      </c>
      <c r="D58" s="3" t="s">
        <v>66</v>
      </c>
      <c r="E58" s="4" t="s">
        <v>335</v>
      </c>
      <c r="F58" s="4" t="s">
        <v>337</v>
      </c>
      <c r="G58" s="4" t="s">
        <v>336</v>
      </c>
      <c r="H58" s="4" t="s">
        <v>337</v>
      </c>
      <c r="I58" s="4"/>
      <c r="J58" s="4"/>
      <c r="K58" s="4"/>
      <c r="L58" s="3"/>
      <c r="M58" s="3"/>
      <c r="N58" s="3"/>
      <c r="O58" s="3"/>
      <c r="P58" s="3"/>
      <c r="Q58" s="5">
        <f t="shared" ca="1" si="4"/>
        <v>571</v>
      </c>
      <c r="R58" s="6">
        <f t="shared" ca="1" si="58"/>
        <v>39</v>
      </c>
      <c r="S58" s="7">
        <f t="shared" ca="1" si="59"/>
        <v>409</v>
      </c>
      <c r="T58" s="8">
        <f t="shared" ca="1" si="60"/>
        <v>9</v>
      </c>
      <c r="U58" s="9"/>
      <c r="V58" s="3">
        <f t="shared" ref="V58:V62" ca="1" si="63">RANDBETWEEN(1,5)</f>
        <v>1</v>
      </c>
      <c r="W58" s="3" t="s">
        <v>247</v>
      </c>
      <c r="X58" s="3">
        <f t="shared" ref="X58:X60" ca="1" si="64">RANDBETWEEN(1,5)</f>
        <v>4</v>
      </c>
      <c r="Y58" s="3" t="s">
        <v>242</v>
      </c>
      <c r="Z58" s="10"/>
      <c r="AA58" s="10"/>
      <c r="AB58" s="4"/>
      <c r="AC58" s="11"/>
    </row>
    <row r="59" spans="1:29" s="2" customFormat="1" ht="25.05" customHeight="1" x14ac:dyDescent="0.3">
      <c r="A59" s="14"/>
      <c r="B59" s="1" t="s">
        <v>248</v>
      </c>
      <c r="C59" s="1" t="s">
        <v>23</v>
      </c>
      <c r="D59" s="3" t="s">
        <v>66</v>
      </c>
      <c r="E59" s="4" t="s">
        <v>335</v>
      </c>
      <c r="F59" s="4" t="s">
        <v>337</v>
      </c>
      <c r="G59" s="4" t="s">
        <v>336</v>
      </c>
      <c r="H59" s="4" t="s">
        <v>337</v>
      </c>
      <c r="I59" s="4"/>
      <c r="J59" s="4"/>
      <c r="K59" s="4"/>
      <c r="L59" s="3"/>
      <c r="M59" s="3"/>
      <c r="N59" s="3"/>
      <c r="O59" s="3"/>
      <c r="P59" s="3"/>
      <c r="Q59" s="5">
        <f t="shared" ca="1" si="4"/>
        <v>273</v>
      </c>
      <c r="R59" s="6">
        <f t="shared" ca="1" si="58"/>
        <v>59</v>
      </c>
      <c r="S59" s="7">
        <f t="shared" ca="1" si="59"/>
        <v>957</v>
      </c>
      <c r="T59" s="8">
        <f t="shared" ca="1" si="60"/>
        <v>10</v>
      </c>
      <c r="U59" s="9"/>
      <c r="V59" s="3">
        <f t="shared" ca="1" si="63"/>
        <v>4</v>
      </c>
      <c r="W59" s="3" t="s">
        <v>249</v>
      </c>
      <c r="X59" s="3">
        <f t="shared" ca="1" si="64"/>
        <v>5</v>
      </c>
      <c r="Y59" s="3" t="s">
        <v>242</v>
      </c>
      <c r="Z59" s="10"/>
      <c r="AA59" s="10"/>
      <c r="AB59" s="4"/>
      <c r="AC59" s="11"/>
    </row>
    <row r="60" spans="1:29" s="2" customFormat="1" ht="25.05" customHeight="1" x14ac:dyDescent="0.3">
      <c r="A60" s="33" t="s">
        <v>250</v>
      </c>
      <c r="B60" s="1" t="s">
        <v>251</v>
      </c>
      <c r="C60" s="1" t="s">
        <v>23</v>
      </c>
      <c r="D60" s="3" t="s">
        <v>66</v>
      </c>
      <c r="E60" s="4" t="s">
        <v>335</v>
      </c>
      <c r="F60" s="4" t="s">
        <v>337</v>
      </c>
      <c r="G60" s="4" t="s">
        <v>336</v>
      </c>
      <c r="H60" s="4" t="s">
        <v>337</v>
      </c>
      <c r="I60" s="4"/>
      <c r="J60" s="4"/>
      <c r="K60" s="4"/>
      <c r="L60" s="3"/>
      <c r="M60" s="3"/>
      <c r="N60" s="3"/>
      <c r="O60" s="3"/>
      <c r="P60" s="3"/>
      <c r="Q60" s="5">
        <f t="shared" ca="1" si="4"/>
        <v>547</v>
      </c>
      <c r="R60" s="6">
        <f t="shared" ca="1" si="58"/>
        <v>41</v>
      </c>
      <c r="S60" s="7">
        <f t="shared" ca="1" si="59"/>
        <v>702</v>
      </c>
      <c r="T60" s="8">
        <f t="shared" ca="1" si="60"/>
        <v>10</v>
      </c>
      <c r="U60" s="9"/>
      <c r="V60" s="3">
        <f t="shared" ca="1" si="63"/>
        <v>1</v>
      </c>
      <c r="W60" s="3" t="s">
        <v>252</v>
      </c>
      <c r="X60" s="3">
        <f t="shared" ca="1" si="64"/>
        <v>5</v>
      </c>
      <c r="Y60" s="3" t="s">
        <v>242</v>
      </c>
      <c r="Z60" s="10"/>
      <c r="AA60" s="10"/>
      <c r="AB60" s="4"/>
      <c r="AC60" s="11"/>
    </row>
    <row r="61" spans="1:29" s="2" customFormat="1" ht="25.05" customHeight="1" x14ac:dyDescent="0.3">
      <c r="A61" s="33"/>
      <c r="B61" s="1" t="s">
        <v>253</v>
      </c>
      <c r="C61" s="1" t="s">
        <v>23</v>
      </c>
      <c r="D61" s="3" t="s">
        <v>66</v>
      </c>
      <c r="E61" s="4" t="s">
        <v>335</v>
      </c>
      <c r="F61" s="4" t="s">
        <v>337</v>
      </c>
      <c r="G61" s="4" t="s">
        <v>336</v>
      </c>
      <c r="H61" s="4" t="s">
        <v>337</v>
      </c>
      <c r="I61" s="4"/>
      <c r="J61" s="4"/>
      <c r="K61" s="4"/>
      <c r="L61" s="3"/>
      <c r="M61" s="3"/>
      <c r="N61" s="3"/>
      <c r="O61" s="3"/>
      <c r="P61" s="3"/>
      <c r="Q61" s="5">
        <f t="shared" ca="1" si="4"/>
        <v>90</v>
      </c>
      <c r="R61" s="6">
        <f t="shared" ca="1" si="58"/>
        <v>2</v>
      </c>
      <c r="S61" s="7">
        <f t="shared" ca="1" si="59"/>
        <v>921</v>
      </c>
      <c r="T61" s="8">
        <f t="shared" ca="1" si="60"/>
        <v>4</v>
      </c>
      <c r="U61" s="9"/>
      <c r="V61" s="3">
        <f t="shared" ca="1" si="63"/>
        <v>2</v>
      </c>
      <c r="W61" s="3" t="s">
        <v>254</v>
      </c>
      <c r="X61" s="3" t="s">
        <v>146</v>
      </c>
      <c r="Y61" s="3"/>
      <c r="Z61" s="10"/>
      <c r="AA61" s="10"/>
      <c r="AB61" s="4"/>
      <c r="AC61" s="11"/>
    </row>
    <row r="62" spans="1:29" s="2" customFormat="1" ht="25.05" customHeight="1" x14ac:dyDescent="0.3">
      <c r="B62" s="1" t="s">
        <v>255</v>
      </c>
      <c r="C62" s="1" t="s">
        <v>23</v>
      </c>
      <c r="D62" s="3" t="s">
        <v>66</v>
      </c>
      <c r="E62" s="4" t="s">
        <v>335</v>
      </c>
      <c r="F62" s="4" t="s">
        <v>337</v>
      </c>
      <c r="G62" s="4" t="s">
        <v>336</v>
      </c>
      <c r="H62" s="4" t="s">
        <v>337</v>
      </c>
      <c r="I62" s="4"/>
      <c r="J62" s="4"/>
      <c r="K62" s="4"/>
      <c r="L62" s="3"/>
      <c r="M62" s="3"/>
      <c r="N62" s="3"/>
      <c r="O62" s="3"/>
      <c r="P62" s="3"/>
      <c r="Q62" s="5">
        <f t="shared" ca="1" si="4"/>
        <v>782</v>
      </c>
      <c r="R62" s="6">
        <f t="shared" ca="1" si="58"/>
        <v>30</v>
      </c>
      <c r="S62" s="7">
        <f t="shared" ca="1" si="59"/>
        <v>106</v>
      </c>
      <c r="T62" s="8">
        <f t="shared" ca="1" si="60"/>
        <v>10</v>
      </c>
      <c r="U62" s="9"/>
      <c r="V62" s="3">
        <f t="shared" ca="1" si="63"/>
        <v>4</v>
      </c>
      <c r="W62" s="3" t="s">
        <v>256</v>
      </c>
      <c r="X62" s="3">
        <f ca="1">RANDBETWEEN(1,5)</f>
        <v>3</v>
      </c>
      <c r="Y62" s="3" t="s">
        <v>242</v>
      </c>
      <c r="Z62" s="10"/>
      <c r="AA62" s="10"/>
      <c r="AB62" s="4"/>
      <c r="AC62" s="11"/>
    </row>
    <row r="63" spans="1:29" s="2" customFormat="1" ht="25.05" customHeight="1" x14ac:dyDescent="0.3">
      <c r="B63" s="1" t="s">
        <v>257</v>
      </c>
      <c r="C63" s="1" t="s">
        <v>23</v>
      </c>
      <c r="D63" s="3" t="s">
        <v>66</v>
      </c>
      <c r="E63" s="4" t="s">
        <v>335</v>
      </c>
      <c r="F63" s="4" t="s">
        <v>337</v>
      </c>
      <c r="G63" s="4" t="s">
        <v>336</v>
      </c>
      <c r="H63" s="4" t="s">
        <v>337</v>
      </c>
      <c r="I63" s="4"/>
      <c r="J63" s="4"/>
      <c r="K63" s="4"/>
      <c r="L63" s="3"/>
      <c r="M63" s="3"/>
      <c r="N63" s="3"/>
      <c r="O63" s="3"/>
      <c r="P63" s="3"/>
      <c r="Q63" s="5">
        <f t="shared" ca="1" si="4"/>
        <v>64</v>
      </c>
      <c r="R63" s="6"/>
      <c r="S63" s="7"/>
      <c r="T63" s="8"/>
      <c r="U63" s="9"/>
      <c r="V63" s="3"/>
      <c r="W63" s="3"/>
      <c r="X63" s="3"/>
      <c r="Y63" s="3"/>
      <c r="Z63" s="10"/>
      <c r="AA63" s="10"/>
      <c r="AB63" s="4"/>
      <c r="AC63" s="11"/>
    </row>
    <row r="64" spans="1:29" s="2" customFormat="1" ht="25.05" customHeight="1" x14ac:dyDescent="0.3">
      <c r="B64" s="1" t="s">
        <v>258</v>
      </c>
      <c r="C64" s="1" t="s">
        <v>23</v>
      </c>
      <c r="D64" s="3" t="s">
        <v>66</v>
      </c>
      <c r="E64" s="4" t="s">
        <v>335</v>
      </c>
      <c r="F64" s="4" t="s">
        <v>337</v>
      </c>
      <c r="G64" s="4" t="s">
        <v>336</v>
      </c>
      <c r="H64" s="4" t="s">
        <v>337</v>
      </c>
      <c r="I64" s="4"/>
      <c r="J64" s="4"/>
      <c r="K64" s="4"/>
      <c r="L64" s="3"/>
      <c r="M64" s="3"/>
      <c r="N64" s="3"/>
      <c r="O64" s="3"/>
      <c r="P64" s="3"/>
      <c r="Q64" s="5">
        <f t="shared" ca="1" si="4"/>
        <v>788</v>
      </c>
      <c r="R64" s="6"/>
      <c r="S64" s="7"/>
      <c r="T64" s="8"/>
      <c r="U64" s="9"/>
      <c r="V64" s="3"/>
      <c r="W64" s="3"/>
      <c r="X64" s="3"/>
      <c r="Y64" s="3"/>
      <c r="Z64" s="10"/>
      <c r="AA64" s="10"/>
      <c r="AB64" s="4"/>
      <c r="AC64" s="11"/>
    </row>
    <row r="65" spans="1:29" s="2" customFormat="1" ht="25.05" customHeight="1" x14ac:dyDescent="0.3">
      <c r="B65" s="1" t="s">
        <v>259</v>
      </c>
      <c r="C65" s="1" t="s">
        <v>23</v>
      </c>
      <c r="D65" s="3" t="s">
        <v>66</v>
      </c>
      <c r="E65" s="4" t="s">
        <v>335</v>
      </c>
      <c r="F65" s="4" t="s">
        <v>337</v>
      </c>
      <c r="G65" s="4" t="s">
        <v>336</v>
      </c>
      <c r="H65" s="4" t="s">
        <v>337</v>
      </c>
      <c r="I65" s="4"/>
      <c r="J65" s="4"/>
      <c r="K65" s="4"/>
      <c r="L65" s="3"/>
      <c r="M65" s="3"/>
      <c r="N65" s="3"/>
      <c r="O65" s="3"/>
      <c r="P65" s="3"/>
      <c r="Q65" s="5">
        <f t="shared" ca="1" si="4"/>
        <v>698</v>
      </c>
      <c r="R65" s="6"/>
      <c r="S65" s="7"/>
      <c r="T65" s="8"/>
      <c r="U65" s="9"/>
      <c r="V65" s="3"/>
      <c r="W65" s="3"/>
      <c r="X65" s="3"/>
      <c r="Y65" s="3"/>
      <c r="Z65" s="10"/>
      <c r="AA65" s="10"/>
      <c r="AB65" s="4"/>
      <c r="AC65" s="11"/>
    </row>
    <row r="66" spans="1:29" s="2" customFormat="1" ht="25.05" customHeight="1" x14ac:dyDescent="0.3">
      <c r="B66" s="1" t="s">
        <v>260</v>
      </c>
      <c r="C66" s="1" t="s">
        <v>23</v>
      </c>
      <c r="D66" s="3" t="s">
        <v>66</v>
      </c>
      <c r="E66" s="4" t="s">
        <v>335</v>
      </c>
      <c r="F66" s="4" t="s">
        <v>337</v>
      </c>
      <c r="G66" s="4" t="s">
        <v>336</v>
      </c>
      <c r="H66" s="4" t="s">
        <v>337</v>
      </c>
      <c r="I66" s="4"/>
      <c r="J66" s="4"/>
      <c r="K66" s="4"/>
      <c r="L66" s="3"/>
      <c r="M66" s="3"/>
      <c r="N66" s="3"/>
      <c r="O66" s="3"/>
      <c r="P66" s="3"/>
      <c r="Q66" s="5">
        <f t="shared" ca="1" si="4"/>
        <v>34</v>
      </c>
      <c r="R66" s="6"/>
      <c r="S66" s="7"/>
      <c r="T66" s="8"/>
      <c r="U66" s="9"/>
      <c r="V66" s="3"/>
      <c r="W66" s="3"/>
      <c r="X66" s="3"/>
      <c r="Y66" s="3"/>
      <c r="Z66" s="10"/>
      <c r="AA66" s="10"/>
      <c r="AB66" s="4"/>
      <c r="AC66" s="11"/>
    </row>
    <row r="67" spans="1:29" s="2" customFormat="1" ht="25.05" customHeight="1" x14ac:dyDescent="0.3">
      <c r="B67" s="1" t="s">
        <v>261</v>
      </c>
      <c r="C67" s="1" t="s">
        <v>23</v>
      </c>
      <c r="D67" s="3" t="s">
        <v>66</v>
      </c>
      <c r="E67" s="4" t="s">
        <v>335</v>
      </c>
      <c r="F67" s="4" t="s">
        <v>337</v>
      </c>
      <c r="G67" s="4" t="s">
        <v>336</v>
      </c>
      <c r="H67" s="4" t="s">
        <v>337</v>
      </c>
      <c r="I67" s="4"/>
      <c r="J67" s="4"/>
      <c r="K67" s="4"/>
      <c r="L67" s="3"/>
      <c r="M67" s="3"/>
      <c r="N67" s="3"/>
      <c r="O67" s="3"/>
      <c r="P67" s="3"/>
      <c r="Q67" s="5">
        <f t="shared" ref="Q67:Q71" ca="1" si="65">RANDBETWEEN(1,1000)</f>
        <v>445</v>
      </c>
      <c r="R67" s="6"/>
      <c r="S67" s="7"/>
      <c r="T67" s="8"/>
      <c r="U67" s="9"/>
      <c r="V67" s="3"/>
      <c r="W67" s="3"/>
      <c r="X67" s="3"/>
      <c r="Y67" s="3"/>
      <c r="Z67" s="10"/>
      <c r="AA67" s="10"/>
      <c r="AB67" s="4"/>
      <c r="AC67" s="11"/>
    </row>
    <row r="68" spans="1:29" s="2" customFormat="1" ht="25.05" customHeight="1" x14ac:dyDescent="0.3">
      <c r="B68" s="1" t="s">
        <v>262</v>
      </c>
      <c r="C68" s="1" t="s">
        <v>23</v>
      </c>
      <c r="D68" s="3" t="s">
        <v>66</v>
      </c>
      <c r="E68" s="4" t="s">
        <v>335</v>
      </c>
      <c r="F68" s="4" t="s">
        <v>337</v>
      </c>
      <c r="G68" s="4" t="s">
        <v>336</v>
      </c>
      <c r="H68" s="4" t="s">
        <v>337</v>
      </c>
      <c r="I68" s="4"/>
      <c r="J68" s="4" t="s">
        <v>263</v>
      </c>
      <c r="K68" s="4" t="s">
        <v>264</v>
      </c>
      <c r="L68" s="3">
        <v>4.3</v>
      </c>
      <c r="M68" s="3"/>
      <c r="N68" s="3"/>
      <c r="O68" s="3"/>
      <c r="P68" s="3"/>
      <c r="Q68" s="5">
        <f t="shared" ca="1" si="65"/>
        <v>567</v>
      </c>
      <c r="R68" s="6">
        <f t="shared" ref="R68" ca="1" si="66">RANDBETWEEN(1,100)</f>
        <v>34</v>
      </c>
      <c r="S68" s="7"/>
      <c r="T68" s="8"/>
      <c r="U68" s="9"/>
      <c r="V68" s="3"/>
      <c r="W68" s="3"/>
      <c r="X68" s="3"/>
      <c r="Y68" s="3"/>
      <c r="Z68" s="10" t="s">
        <v>265</v>
      </c>
      <c r="AA68" s="10"/>
      <c r="AB68" s="4" t="s">
        <v>266</v>
      </c>
      <c r="AC68" s="11"/>
    </row>
    <row r="69" spans="1:29" s="2" customFormat="1" ht="25.05" customHeight="1" x14ac:dyDescent="0.3">
      <c r="B69" s="1" t="s">
        <v>267</v>
      </c>
      <c r="C69" s="1" t="s">
        <v>23</v>
      </c>
      <c r="D69" s="3" t="s">
        <v>66</v>
      </c>
      <c r="E69" s="4" t="s">
        <v>335</v>
      </c>
      <c r="F69" s="4" t="s">
        <v>337</v>
      </c>
      <c r="G69" s="4" t="s">
        <v>336</v>
      </c>
      <c r="H69" s="4" t="s">
        <v>337</v>
      </c>
      <c r="I69" s="4"/>
      <c r="J69" s="4" t="s">
        <v>268</v>
      </c>
      <c r="K69" s="4" t="s">
        <v>269</v>
      </c>
      <c r="L69" s="3">
        <v>0.3</v>
      </c>
      <c r="M69" s="3"/>
      <c r="N69" s="3"/>
      <c r="O69" s="3"/>
      <c r="P69" s="3"/>
      <c r="Q69" s="5">
        <f t="shared" ca="1" si="65"/>
        <v>252</v>
      </c>
      <c r="R69" s="6"/>
      <c r="S69" s="7"/>
      <c r="T69" s="8"/>
      <c r="U69" s="9" t="s">
        <v>270</v>
      </c>
      <c r="V69" s="3"/>
      <c r="W69" s="3"/>
      <c r="X69" s="3"/>
      <c r="Y69" s="3"/>
      <c r="Z69" s="10" t="s">
        <v>271</v>
      </c>
      <c r="AA69" s="10"/>
      <c r="AB69" s="4" t="s">
        <v>268</v>
      </c>
      <c r="AC69" s="11"/>
    </row>
    <row r="70" spans="1:29" s="2" customFormat="1" ht="25.05" hidden="1" customHeight="1" x14ac:dyDescent="0.3">
      <c r="B70" s="1" t="s">
        <v>272</v>
      </c>
      <c r="C70" s="1" t="s">
        <v>23</v>
      </c>
      <c r="D70" s="3" t="s">
        <v>66</v>
      </c>
      <c r="E70" s="4"/>
      <c r="F70" s="4"/>
      <c r="G70" s="4"/>
      <c r="H70" s="4"/>
      <c r="I70" s="4"/>
      <c r="J70" s="4"/>
      <c r="K70" s="4"/>
      <c r="L70" s="3"/>
      <c r="M70" s="3"/>
      <c r="N70" s="3"/>
      <c r="O70" s="3"/>
      <c r="P70" s="3"/>
      <c r="Q70" s="5">
        <f t="shared" ca="1" si="65"/>
        <v>419</v>
      </c>
      <c r="R70" s="6">
        <f t="shared" ref="R70" ca="1" si="67">RANDBETWEEN(1,100)</f>
        <v>69</v>
      </c>
      <c r="S70" s="7"/>
      <c r="T70" s="8"/>
      <c r="U70" s="9"/>
      <c r="V70" s="3"/>
      <c r="W70" s="3"/>
      <c r="X70" s="3"/>
      <c r="Y70" s="3"/>
      <c r="Z70" s="10" t="s">
        <v>273</v>
      </c>
      <c r="AA70" s="10"/>
      <c r="AB70" s="4"/>
      <c r="AC70" s="11"/>
    </row>
    <row r="71" spans="1:29" s="2" customFormat="1" ht="25.05" customHeight="1" x14ac:dyDescent="0.3">
      <c r="A71" s="12" t="s">
        <v>274</v>
      </c>
      <c r="B71" s="1" t="s">
        <v>275</v>
      </c>
      <c r="C71" s="1" t="s">
        <v>23</v>
      </c>
      <c r="D71" s="3" t="s">
        <v>66</v>
      </c>
      <c r="E71" s="4" t="s">
        <v>335</v>
      </c>
      <c r="F71" s="4" t="s">
        <v>337</v>
      </c>
      <c r="G71" s="4" t="s">
        <v>336</v>
      </c>
      <c r="H71" s="4" t="s">
        <v>337</v>
      </c>
      <c r="I71" s="4"/>
      <c r="J71" s="4"/>
      <c r="K71" s="4"/>
      <c r="L71" s="3">
        <v>4.5</v>
      </c>
      <c r="M71" s="3">
        <f ca="1">RANDBETWEEN(2010,2026)</f>
        <v>2024</v>
      </c>
      <c r="N71" s="3"/>
      <c r="O71" s="3">
        <f t="shared" ref="O71" ca="1" si="68">RANDBETWEEN(2010,2026)</f>
        <v>2018</v>
      </c>
      <c r="P71" s="3"/>
      <c r="Q71" s="5">
        <f t="shared" ca="1" si="65"/>
        <v>289</v>
      </c>
      <c r="R71" s="6"/>
      <c r="S71" s="7">
        <f t="shared" ref="S71" ca="1" si="69">RANDBETWEEN(50,1000)</f>
        <v>303</v>
      </c>
      <c r="T71" s="8">
        <f t="shared" ref="T71" ca="1" si="70">RANDBETWEEN(1,10)</f>
        <v>8</v>
      </c>
      <c r="U71" s="9" t="s">
        <v>276</v>
      </c>
      <c r="V71" s="3"/>
      <c r="W71" s="3"/>
      <c r="X71" s="3"/>
      <c r="Y71" s="3"/>
      <c r="Z71" s="10"/>
      <c r="AA71" s="10"/>
      <c r="AB71" s="4"/>
      <c r="AC71" s="11"/>
    </row>
    <row r="72" spans="1:29" s="2" customFormat="1" ht="25.05" customHeight="1" x14ac:dyDescent="0.3">
      <c r="B72" s="1" t="s">
        <v>277</v>
      </c>
      <c r="C72" s="1" t="s">
        <v>23</v>
      </c>
      <c r="D72" s="3" t="s">
        <v>66</v>
      </c>
      <c r="E72" s="4" t="s">
        <v>335</v>
      </c>
      <c r="F72" s="4" t="s">
        <v>337</v>
      </c>
      <c r="G72" s="4" t="s">
        <v>336</v>
      </c>
      <c r="H72" s="4" t="s">
        <v>337</v>
      </c>
      <c r="I72" s="4"/>
      <c r="J72" s="4"/>
      <c r="K72" s="4"/>
      <c r="L72" s="3"/>
      <c r="M72" s="3"/>
      <c r="N72" s="3"/>
      <c r="O72" s="3"/>
      <c r="P72" s="3"/>
      <c r="Q72" s="5"/>
      <c r="R72" s="6"/>
      <c r="S72" s="7"/>
      <c r="T72" s="8"/>
      <c r="U72" s="9"/>
      <c r="V72" s="3"/>
      <c r="W72" s="3"/>
      <c r="X72" s="3"/>
      <c r="Y72" s="3"/>
      <c r="Z72" s="10"/>
      <c r="AA72" s="10"/>
      <c r="AB72" s="4" t="s">
        <v>278</v>
      </c>
      <c r="AC72" s="11"/>
    </row>
    <row r="73" spans="1:29" s="2" customFormat="1" ht="25.05" customHeight="1" x14ac:dyDescent="0.3">
      <c r="B73" s="1" t="s">
        <v>279</v>
      </c>
      <c r="C73" s="1" t="s">
        <v>23</v>
      </c>
      <c r="D73" s="3" t="s">
        <v>66</v>
      </c>
      <c r="E73" s="4" t="s">
        <v>335</v>
      </c>
      <c r="F73" s="4" t="s">
        <v>337</v>
      </c>
      <c r="G73" s="4" t="s">
        <v>336</v>
      </c>
      <c r="H73" s="4" t="s">
        <v>337</v>
      </c>
      <c r="I73" s="4"/>
      <c r="J73" s="4"/>
      <c r="K73" s="4"/>
      <c r="L73" s="3"/>
      <c r="M73" s="3"/>
      <c r="N73" s="3"/>
      <c r="O73" s="3"/>
      <c r="P73" s="3"/>
      <c r="Q73" s="5"/>
      <c r="R73" s="6"/>
      <c r="S73" s="7"/>
      <c r="T73" s="8"/>
      <c r="U73" s="9"/>
      <c r="V73" s="3"/>
      <c r="W73" s="3"/>
      <c r="X73" s="3"/>
      <c r="Y73" s="3"/>
      <c r="Z73" s="10"/>
      <c r="AA73" s="10"/>
      <c r="AB73" s="4" t="s">
        <v>278</v>
      </c>
      <c r="AC73" s="11"/>
    </row>
    <row r="74" spans="1:29" s="2" customFormat="1" ht="25.05" hidden="1" customHeight="1" x14ac:dyDescent="0.3">
      <c r="B74" s="1" t="s">
        <v>280</v>
      </c>
      <c r="C74" s="1" t="s">
        <v>23</v>
      </c>
      <c r="D74" s="3" t="s">
        <v>66</v>
      </c>
      <c r="E74" s="4" t="s">
        <v>335</v>
      </c>
      <c r="F74" s="4" t="s">
        <v>337</v>
      </c>
      <c r="G74" s="4" t="s">
        <v>336</v>
      </c>
      <c r="H74" s="4"/>
      <c r="I74" s="4"/>
      <c r="J74" s="4"/>
      <c r="K74" s="4"/>
      <c r="L74" s="3"/>
      <c r="M74" s="3"/>
      <c r="N74" s="3"/>
      <c r="O74" s="3"/>
      <c r="P74" s="3"/>
      <c r="Q74" s="5"/>
      <c r="R74" s="6"/>
      <c r="S74" s="7"/>
      <c r="T74" s="8"/>
      <c r="U74" s="9"/>
      <c r="V74" s="3"/>
      <c r="W74" s="3"/>
      <c r="X74" s="3"/>
      <c r="Y74" s="3"/>
      <c r="Z74" s="10"/>
      <c r="AA74" s="10"/>
      <c r="AB74" s="4" t="s">
        <v>278</v>
      </c>
      <c r="AC74" s="11"/>
    </row>
    <row r="75" spans="1:29" s="2" customFormat="1" ht="25.05" customHeight="1" x14ac:dyDescent="0.3">
      <c r="B75" s="1" t="s">
        <v>281</v>
      </c>
      <c r="C75" s="1" t="s">
        <v>23</v>
      </c>
      <c r="D75" s="3" t="s">
        <v>24</v>
      </c>
      <c r="E75" s="4" t="s">
        <v>335</v>
      </c>
      <c r="F75" s="4" t="s">
        <v>337</v>
      </c>
      <c r="G75" s="4" t="s">
        <v>336</v>
      </c>
      <c r="H75" s="4" t="s">
        <v>337</v>
      </c>
      <c r="I75" s="4"/>
      <c r="J75" s="4"/>
      <c r="K75" s="4"/>
      <c r="L75" s="3"/>
      <c r="M75" s="3"/>
      <c r="N75" s="3"/>
      <c r="O75" s="3"/>
      <c r="P75" s="3"/>
      <c r="Q75" s="5">
        <f t="shared" ref="Q75:Q76" ca="1" si="71">RANDBETWEEN(1,1000)</f>
        <v>325</v>
      </c>
      <c r="R75" s="6"/>
      <c r="S75" s="7">
        <f t="shared" ref="S75" ca="1" si="72">RANDBETWEEN(50,1000)</f>
        <v>742</v>
      </c>
      <c r="T75" s="8">
        <f t="shared" ref="T75:T76" ca="1" si="73">RANDBETWEEN(1,10)</f>
        <v>5</v>
      </c>
      <c r="U75" s="9"/>
      <c r="V75" s="3"/>
      <c r="W75" s="3"/>
      <c r="X75" s="3"/>
      <c r="Y75" s="3"/>
      <c r="Z75" s="10"/>
      <c r="AA75" s="10" t="s">
        <v>282</v>
      </c>
      <c r="AB75" s="4" t="s">
        <v>283</v>
      </c>
      <c r="AC75" s="11"/>
    </row>
    <row r="76" spans="1:29" s="15" customFormat="1" ht="25.05" customHeight="1" x14ac:dyDescent="0.3">
      <c r="A76" s="15" t="s">
        <v>284</v>
      </c>
      <c r="B76" s="16" t="s">
        <v>285</v>
      </c>
      <c r="C76" s="16" t="s">
        <v>23</v>
      </c>
      <c r="D76" s="9" t="s">
        <v>66</v>
      </c>
      <c r="E76" s="4" t="s">
        <v>335</v>
      </c>
      <c r="F76" s="4" t="s">
        <v>337</v>
      </c>
      <c r="G76" s="4" t="s">
        <v>336</v>
      </c>
      <c r="H76" s="4" t="s">
        <v>337</v>
      </c>
      <c r="I76" s="17"/>
      <c r="J76" s="17"/>
      <c r="K76" s="17"/>
      <c r="L76" s="9"/>
      <c r="M76" s="9"/>
      <c r="N76" s="9"/>
      <c r="O76" s="9"/>
      <c r="P76" s="9"/>
      <c r="Q76" s="5">
        <f t="shared" ca="1" si="71"/>
        <v>24</v>
      </c>
      <c r="R76" s="6">
        <f t="shared" ref="R76" ca="1" si="74">RANDBETWEEN(1,100)</f>
        <v>70</v>
      </c>
      <c r="S76" s="18"/>
      <c r="T76" s="8">
        <f t="shared" ca="1" si="73"/>
        <v>6</v>
      </c>
      <c r="U76" s="9"/>
      <c r="V76" s="9"/>
      <c r="W76" s="9"/>
      <c r="X76" s="9"/>
      <c r="Y76" s="9"/>
      <c r="Z76" s="19"/>
      <c r="AA76" s="19"/>
      <c r="AB76" s="17"/>
      <c r="AC76" s="9"/>
    </row>
    <row r="77" spans="1:29" s="2" customFormat="1" ht="25.05" hidden="1" customHeight="1" x14ac:dyDescent="0.3">
      <c r="B77" s="20"/>
      <c r="C77" s="20"/>
      <c r="D77" s="21"/>
      <c r="E77" s="22"/>
      <c r="F77" s="22"/>
      <c r="G77" s="22"/>
      <c r="H77" s="22"/>
      <c r="I77" s="22"/>
      <c r="J77" s="22"/>
      <c r="K77" s="22"/>
      <c r="L77" s="21"/>
      <c r="M77" s="21"/>
      <c r="N77" s="21"/>
      <c r="O77" s="21"/>
      <c r="P77" s="21"/>
      <c r="Q77" s="5"/>
      <c r="R77" s="6"/>
      <c r="S77" s="7"/>
      <c r="T77" s="8"/>
      <c r="U77" s="23"/>
      <c r="V77" s="21"/>
      <c r="W77" s="21"/>
      <c r="X77" s="21"/>
      <c r="Y77" s="21"/>
      <c r="Z77" s="24"/>
      <c r="AA77" s="24"/>
      <c r="AB77" s="22"/>
      <c r="AC77" s="25"/>
    </row>
    <row r="78" spans="1:29" s="2" customFormat="1" ht="25.05" hidden="1" customHeight="1" x14ac:dyDescent="0.3">
      <c r="B78" s="1"/>
      <c r="C78" s="1"/>
      <c r="D78" s="3"/>
      <c r="E78" s="4"/>
      <c r="F78" s="4"/>
      <c r="G78" s="4"/>
      <c r="H78" s="4"/>
      <c r="I78" s="4"/>
      <c r="J78" s="4"/>
      <c r="K78" s="4"/>
      <c r="L78" s="3"/>
      <c r="M78" s="3"/>
      <c r="N78" s="3"/>
      <c r="O78" s="3"/>
      <c r="P78" s="3"/>
      <c r="Q78" s="5"/>
      <c r="R78" s="6"/>
      <c r="S78" s="7"/>
      <c r="T78" s="8"/>
      <c r="U78" s="9"/>
      <c r="V78" s="3"/>
      <c r="W78" s="3"/>
      <c r="X78" s="3"/>
      <c r="Y78" s="3"/>
      <c r="Z78" s="10"/>
      <c r="AA78" s="10"/>
      <c r="AB78" s="4"/>
      <c r="AC78" s="11"/>
    </row>
    <row r="79" spans="1:29" s="2" customFormat="1" ht="25.05" hidden="1" customHeight="1" x14ac:dyDescent="0.3">
      <c r="B79" s="1" t="s">
        <v>286</v>
      </c>
      <c r="C79" s="1" t="s">
        <v>287</v>
      </c>
      <c r="D79" s="3" t="s">
        <v>24</v>
      </c>
      <c r="E79" s="4" t="s">
        <v>335</v>
      </c>
      <c r="F79" s="4"/>
      <c r="G79" s="4" t="s">
        <v>336</v>
      </c>
      <c r="H79" s="4"/>
      <c r="I79" s="4"/>
      <c r="J79" s="4"/>
      <c r="K79" s="4"/>
      <c r="L79" s="3"/>
      <c r="M79" s="3">
        <f ca="1">RANDBETWEEN(2010,2026)</f>
        <v>2011</v>
      </c>
      <c r="N79" s="3">
        <f t="shared" ref="N79" ca="1" si="75">RANDBETWEEN(1,12)</f>
        <v>2</v>
      </c>
      <c r="O79" s="3">
        <f t="shared" ref="O79" ca="1" si="76">RANDBETWEEN(2010,2026)</f>
        <v>2020</v>
      </c>
      <c r="P79" s="3">
        <f ca="1">RANDBETWEEN(1,12)</f>
        <v>4</v>
      </c>
      <c r="Q79" s="5">
        <f t="shared" ref="Q79:Q81" ca="1" si="77">RANDBETWEEN(1,1000)</f>
        <v>118</v>
      </c>
      <c r="R79" s="6">
        <f t="shared" ref="R79:R82" ca="1" si="78">RANDBETWEEN(1,100)</f>
        <v>15</v>
      </c>
      <c r="S79" s="7">
        <f t="shared" ref="S79:S80" ca="1" si="79">RANDBETWEEN(50,1000)</f>
        <v>50</v>
      </c>
      <c r="T79" s="8">
        <f t="shared" ref="T79:T80" ca="1" si="80">RANDBETWEEN(1,10)</f>
        <v>2</v>
      </c>
      <c r="U79" s="9"/>
      <c r="V79" s="3"/>
      <c r="W79" s="3"/>
      <c r="X79" s="3"/>
      <c r="Y79" s="3"/>
      <c r="Z79" s="10" t="s">
        <v>288</v>
      </c>
      <c r="AA79" s="10" t="s">
        <v>289</v>
      </c>
      <c r="AB79" s="4" t="s">
        <v>290</v>
      </c>
      <c r="AC79" s="11"/>
    </row>
    <row r="80" spans="1:29" s="2" customFormat="1" ht="25.05" customHeight="1" x14ac:dyDescent="0.3">
      <c r="B80" s="1" t="s">
        <v>291</v>
      </c>
      <c r="C80" s="1" t="s">
        <v>287</v>
      </c>
      <c r="D80" s="3" t="s">
        <v>66</v>
      </c>
      <c r="E80" s="4" t="s">
        <v>335</v>
      </c>
      <c r="F80" s="4" t="s">
        <v>337</v>
      </c>
      <c r="G80" s="4" t="s">
        <v>336</v>
      </c>
      <c r="H80" s="4" t="s">
        <v>337</v>
      </c>
      <c r="I80" s="4"/>
      <c r="J80" s="4"/>
      <c r="K80" s="4"/>
      <c r="L80" s="3"/>
      <c r="M80" s="3"/>
      <c r="N80" s="3"/>
      <c r="O80" s="3"/>
      <c r="P80" s="3"/>
      <c r="Q80" s="5">
        <f t="shared" ca="1" si="77"/>
        <v>491</v>
      </c>
      <c r="R80" s="6">
        <f t="shared" ca="1" si="78"/>
        <v>82</v>
      </c>
      <c r="S80" s="7">
        <f t="shared" ca="1" si="79"/>
        <v>542</v>
      </c>
      <c r="T80" s="8">
        <f t="shared" ca="1" si="80"/>
        <v>6</v>
      </c>
      <c r="U80" s="9" t="s">
        <v>292</v>
      </c>
      <c r="V80" s="3"/>
      <c r="W80" s="3"/>
      <c r="X80" s="3"/>
      <c r="Y80" s="3"/>
      <c r="Z80" s="10" t="s">
        <v>293</v>
      </c>
      <c r="AA80" s="10"/>
      <c r="AB80" s="4" t="s">
        <v>294</v>
      </c>
      <c r="AC80" s="11"/>
    </row>
    <row r="81" spans="2:29" s="2" customFormat="1" ht="25.05" customHeight="1" x14ac:dyDescent="0.3">
      <c r="B81" s="1" t="s">
        <v>295</v>
      </c>
      <c r="C81" s="1" t="s">
        <v>287</v>
      </c>
      <c r="D81" s="3" t="s">
        <v>24</v>
      </c>
      <c r="E81" s="4" t="s">
        <v>335</v>
      </c>
      <c r="F81" s="4" t="s">
        <v>337</v>
      </c>
      <c r="G81" s="4" t="s">
        <v>336</v>
      </c>
      <c r="H81" s="4" t="s">
        <v>337</v>
      </c>
      <c r="I81" s="4"/>
      <c r="J81" s="4"/>
      <c r="K81" s="4"/>
      <c r="L81" s="3"/>
      <c r="M81" s="3"/>
      <c r="N81" s="3"/>
      <c r="O81" s="3"/>
      <c r="P81" s="3"/>
      <c r="Q81" s="5">
        <f t="shared" ca="1" si="77"/>
        <v>670</v>
      </c>
      <c r="R81" s="6">
        <f t="shared" ca="1" si="78"/>
        <v>88</v>
      </c>
      <c r="S81" s="7"/>
      <c r="T81" s="8"/>
      <c r="U81" s="9"/>
      <c r="V81" s="3"/>
      <c r="W81" s="3"/>
      <c r="X81" s="3"/>
      <c r="Y81" s="3"/>
      <c r="Z81" s="10" t="s">
        <v>296</v>
      </c>
      <c r="AA81" s="10"/>
      <c r="AB81" s="4" t="s">
        <v>297</v>
      </c>
      <c r="AC81" s="11"/>
    </row>
    <row r="82" spans="2:29" s="2" customFormat="1" ht="25.05" customHeight="1" x14ac:dyDescent="0.3">
      <c r="B82" s="1" t="s">
        <v>298</v>
      </c>
      <c r="C82" s="1" t="s">
        <v>287</v>
      </c>
      <c r="D82" s="3" t="s">
        <v>66</v>
      </c>
      <c r="E82" s="4" t="s">
        <v>335</v>
      </c>
      <c r="F82" s="4" t="s">
        <v>337</v>
      </c>
      <c r="G82" s="4" t="s">
        <v>336</v>
      </c>
      <c r="H82" s="4" t="s">
        <v>337</v>
      </c>
      <c r="I82" s="4"/>
      <c r="J82" s="4"/>
      <c r="K82" s="4"/>
      <c r="L82" s="3"/>
      <c r="M82" s="3"/>
      <c r="N82" s="3"/>
      <c r="O82" s="3"/>
      <c r="P82" s="3"/>
      <c r="Q82" s="5"/>
      <c r="R82" s="6">
        <f t="shared" ca="1" si="78"/>
        <v>19</v>
      </c>
      <c r="S82" s="7"/>
      <c r="T82" s="8"/>
      <c r="U82" s="9"/>
      <c r="V82" s="3"/>
      <c r="W82" s="3"/>
      <c r="X82" s="3"/>
      <c r="Y82" s="3"/>
      <c r="Z82" s="10"/>
      <c r="AA82" s="10"/>
      <c r="AB82" s="4"/>
      <c r="AC82" s="11"/>
    </row>
    <row r="83" spans="2:29" s="2" customFormat="1" ht="25.05" customHeight="1" x14ac:dyDescent="0.3">
      <c r="B83" s="1" t="s">
        <v>299</v>
      </c>
      <c r="C83" s="1" t="s">
        <v>287</v>
      </c>
      <c r="D83" s="3" t="s">
        <v>66</v>
      </c>
      <c r="E83" s="4" t="s">
        <v>335</v>
      </c>
      <c r="F83" s="4" t="s">
        <v>337</v>
      </c>
      <c r="G83" s="4" t="s">
        <v>336</v>
      </c>
      <c r="H83" s="4" t="s">
        <v>337</v>
      </c>
      <c r="I83" s="4"/>
      <c r="J83" s="4"/>
      <c r="K83" s="4"/>
      <c r="L83" s="3"/>
      <c r="M83" s="3"/>
      <c r="N83" s="3"/>
      <c r="O83" s="3"/>
      <c r="P83" s="3"/>
      <c r="Q83" s="5"/>
      <c r="R83" s="6"/>
      <c r="S83" s="7"/>
      <c r="T83" s="8"/>
      <c r="U83" s="9"/>
      <c r="V83" s="3"/>
      <c r="W83" s="3"/>
      <c r="X83" s="3"/>
      <c r="Y83" s="3"/>
      <c r="Z83" s="10"/>
      <c r="AA83" s="10" t="s">
        <v>300</v>
      </c>
      <c r="AB83" s="4" t="s">
        <v>301</v>
      </c>
      <c r="AC83" s="11"/>
    </row>
    <row r="84" spans="2:29" s="2" customFormat="1" ht="25.05" hidden="1" customHeight="1" x14ac:dyDescent="0.3">
      <c r="B84" s="1" t="s">
        <v>302</v>
      </c>
      <c r="C84" s="1" t="s">
        <v>287</v>
      </c>
      <c r="D84" s="3" t="s">
        <v>66</v>
      </c>
      <c r="E84" s="4" t="s">
        <v>335</v>
      </c>
      <c r="F84" s="4"/>
      <c r="G84" s="4" t="s">
        <v>336</v>
      </c>
      <c r="H84" s="4"/>
      <c r="I84" s="4"/>
      <c r="J84" s="4"/>
      <c r="K84" s="4"/>
      <c r="L84" s="3"/>
      <c r="M84" s="3"/>
      <c r="N84" s="3"/>
      <c r="O84" s="3"/>
      <c r="P84" s="3"/>
      <c r="Q84" s="5"/>
      <c r="R84" s="6"/>
      <c r="S84" s="7"/>
      <c r="T84" s="8"/>
      <c r="U84" s="9"/>
      <c r="V84" s="3"/>
      <c r="W84" s="3"/>
      <c r="X84" s="3"/>
      <c r="Y84" s="3"/>
      <c r="Z84" s="10"/>
      <c r="AA84" s="10"/>
      <c r="AB84" s="4" t="s">
        <v>303</v>
      </c>
      <c r="AC84" s="11"/>
    </row>
    <row r="85" spans="2:29" s="2" customFormat="1" ht="25.05" customHeight="1" x14ac:dyDescent="0.3">
      <c r="B85" s="1" t="s">
        <v>304</v>
      </c>
      <c r="C85" s="1" t="s">
        <v>287</v>
      </c>
      <c r="D85" s="3" t="s">
        <v>66</v>
      </c>
      <c r="E85" s="4" t="s">
        <v>335</v>
      </c>
      <c r="F85" s="4" t="s">
        <v>337</v>
      </c>
      <c r="G85" s="4" t="s">
        <v>336</v>
      </c>
      <c r="H85" s="4" t="s">
        <v>337</v>
      </c>
      <c r="I85" s="4"/>
      <c r="J85" s="4"/>
      <c r="K85" s="4"/>
      <c r="L85" s="3"/>
      <c r="M85" s="3"/>
      <c r="N85" s="3"/>
      <c r="O85" s="3"/>
      <c r="P85" s="3"/>
      <c r="Q85" s="5"/>
      <c r="R85" s="6"/>
      <c r="S85" s="7"/>
      <c r="T85" s="8"/>
      <c r="U85" s="9"/>
      <c r="V85" s="3"/>
      <c r="W85" s="3"/>
      <c r="X85" s="3"/>
      <c r="Y85" s="3"/>
      <c r="Z85" s="10" t="s">
        <v>305</v>
      </c>
      <c r="AA85" s="10" t="s">
        <v>306</v>
      </c>
      <c r="AB85" s="4" t="s">
        <v>307</v>
      </c>
      <c r="AC85" s="11"/>
    </row>
    <row r="86" spans="2:29" s="2" customFormat="1" ht="25.05" hidden="1" customHeight="1" x14ac:dyDescent="0.3">
      <c r="B86" s="1" t="s">
        <v>308</v>
      </c>
      <c r="C86" s="1" t="s">
        <v>287</v>
      </c>
      <c r="D86" s="3" t="s">
        <v>66</v>
      </c>
      <c r="E86" s="4" t="s">
        <v>335</v>
      </c>
      <c r="F86" s="4"/>
      <c r="G86" s="4"/>
      <c r="H86" s="4"/>
      <c r="I86" s="4"/>
      <c r="J86" s="4"/>
      <c r="K86" s="4"/>
      <c r="L86" s="3"/>
      <c r="M86" s="3"/>
      <c r="N86" s="3"/>
      <c r="O86" s="3"/>
      <c r="P86" s="3"/>
      <c r="Q86" s="5">
        <f t="shared" ref="Q86:Q92" ca="1" si="81">RANDBETWEEN(1,1000)</f>
        <v>128</v>
      </c>
      <c r="R86" s="6">
        <f t="shared" ref="R86:R87" ca="1" si="82">RANDBETWEEN(1,100)</f>
        <v>63</v>
      </c>
      <c r="S86" s="7">
        <f t="shared" ref="S86:S88" ca="1" si="83">RANDBETWEEN(50,1000)</f>
        <v>175</v>
      </c>
      <c r="T86" s="8">
        <f t="shared" ref="T86:T88" ca="1" si="84">RANDBETWEEN(1,10)</f>
        <v>2</v>
      </c>
      <c r="U86" s="9" t="s">
        <v>309</v>
      </c>
      <c r="V86" s="3"/>
      <c r="W86" s="3"/>
      <c r="X86" s="3"/>
      <c r="Y86" s="3"/>
      <c r="Z86" s="10" t="s">
        <v>310</v>
      </c>
      <c r="AA86" s="10"/>
      <c r="AB86" s="4" t="s">
        <v>311</v>
      </c>
      <c r="AC86" s="11"/>
    </row>
    <row r="87" spans="2:29" s="2" customFormat="1" ht="25.05" customHeight="1" x14ac:dyDescent="0.3">
      <c r="B87" s="1" t="s">
        <v>312</v>
      </c>
      <c r="C87" s="1" t="s">
        <v>287</v>
      </c>
      <c r="D87" s="3" t="s">
        <v>24</v>
      </c>
      <c r="E87" s="4" t="s">
        <v>335</v>
      </c>
      <c r="F87" s="4" t="s">
        <v>337</v>
      </c>
      <c r="G87" s="4" t="s">
        <v>336</v>
      </c>
      <c r="H87" s="4" t="s">
        <v>337</v>
      </c>
      <c r="I87" s="4"/>
      <c r="J87" s="4"/>
      <c r="K87" s="4"/>
      <c r="L87" s="3">
        <v>9.1</v>
      </c>
      <c r="M87" s="3">
        <f t="shared" ref="M87:M88" ca="1" si="85">RANDBETWEEN(2010,2026)</f>
        <v>2023</v>
      </c>
      <c r="N87" s="3">
        <f t="shared" ref="N87:N88" ca="1" si="86">RANDBETWEEN(1,12)</f>
        <v>8</v>
      </c>
      <c r="O87" s="3">
        <f t="shared" ref="O87:O88" ca="1" si="87">RANDBETWEEN(2010,2026)</f>
        <v>2018</v>
      </c>
      <c r="P87" s="3">
        <f t="shared" ref="P87:P88" ca="1" si="88">RANDBETWEEN(1,12)</f>
        <v>10</v>
      </c>
      <c r="Q87" s="5">
        <f t="shared" ca="1" si="81"/>
        <v>753</v>
      </c>
      <c r="R87" s="6">
        <f t="shared" ca="1" si="82"/>
        <v>45</v>
      </c>
      <c r="S87" s="7">
        <f t="shared" ca="1" si="83"/>
        <v>53</v>
      </c>
      <c r="T87" s="8">
        <f t="shared" ca="1" si="84"/>
        <v>6</v>
      </c>
      <c r="U87" s="9"/>
      <c r="V87" s="3"/>
      <c r="W87" s="3"/>
      <c r="X87" s="3"/>
      <c r="Y87" s="3"/>
      <c r="Z87" s="10" t="s">
        <v>313</v>
      </c>
      <c r="AA87" s="10" t="s">
        <v>314</v>
      </c>
      <c r="AB87" s="4" t="s">
        <v>315</v>
      </c>
      <c r="AC87" s="11"/>
    </row>
    <row r="88" spans="2:29" s="2" customFormat="1" ht="25.05" customHeight="1" x14ac:dyDescent="0.3">
      <c r="B88" s="1" t="s">
        <v>316</v>
      </c>
      <c r="C88" s="1" t="s">
        <v>317</v>
      </c>
      <c r="D88" s="3" t="s">
        <v>24</v>
      </c>
      <c r="E88" s="4" t="s">
        <v>335</v>
      </c>
      <c r="F88" s="4" t="s">
        <v>337</v>
      </c>
      <c r="G88" s="4" t="s">
        <v>336</v>
      </c>
      <c r="H88" s="4" t="s">
        <v>337</v>
      </c>
      <c r="I88" s="4"/>
      <c r="J88" s="4" t="s">
        <v>318</v>
      </c>
      <c r="K88" s="4" t="s">
        <v>318</v>
      </c>
      <c r="L88" s="3"/>
      <c r="M88" s="3">
        <f t="shared" ca="1" si="85"/>
        <v>2020</v>
      </c>
      <c r="N88" s="3">
        <f t="shared" ca="1" si="86"/>
        <v>10</v>
      </c>
      <c r="O88" s="3">
        <f t="shared" ca="1" si="87"/>
        <v>2020</v>
      </c>
      <c r="P88" s="3">
        <f t="shared" ca="1" si="88"/>
        <v>11</v>
      </c>
      <c r="Q88" s="5">
        <f t="shared" ca="1" si="81"/>
        <v>589</v>
      </c>
      <c r="R88" s="6"/>
      <c r="S88" s="7">
        <f t="shared" ca="1" si="83"/>
        <v>301</v>
      </c>
      <c r="T88" s="8">
        <f t="shared" ca="1" si="84"/>
        <v>5</v>
      </c>
      <c r="U88" s="9"/>
      <c r="V88" s="3"/>
      <c r="W88" s="3"/>
      <c r="X88" s="3"/>
      <c r="Y88" s="3"/>
      <c r="Z88" s="10"/>
      <c r="AA88" s="10"/>
      <c r="AB88" s="4" t="s">
        <v>319</v>
      </c>
      <c r="AC88" s="11"/>
    </row>
    <row r="89" spans="2:29" s="2" customFormat="1" ht="25.05" hidden="1" customHeight="1" x14ac:dyDescent="0.3">
      <c r="B89" s="1" t="s">
        <v>320</v>
      </c>
      <c r="C89" s="1" t="s">
        <v>287</v>
      </c>
      <c r="D89" s="3" t="s">
        <v>66</v>
      </c>
      <c r="E89" s="4" t="s">
        <v>335</v>
      </c>
      <c r="F89" s="4"/>
      <c r="G89" s="4"/>
      <c r="H89" s="4"/>
      <c r="I89" s="4"/>
      <c r="J89" s="4"/>
      <c r="K89" s="4"/>
      <c r="L89" s="3"/>
      <c r="M89" s="3"/>
      <c r="N89" s="3"/>
      <c r="O89" s="3"/>
      <c r="P89" s="3"/>
      <c r="Q89" s="5"/>
      <c r="R89" s="6" t="s">
        <v>321</v>
      </c>
      <c r="S89" s="7"/>
      <c r="T89" s="8"/>
      <c r="U89" s="9"/>
      <c r="V89" s="3"/>
      <c r="W89" s="3"/>
      <c r="X89" s="3"/>
      <c r="Y89" s="3"/>
      <c r="Z89" s="10"/>
      <c r="AA89" s="10"/>
      <c r="AB89" s="4" t="s">
        <v>198</v>
      </c>
      <c r="AC89" s="11"/>
    </row>
    <row r="90" spans="2:29" s="2" customFormat="1" ht="25.05" customHeight="1" x14ac:dyDescent="0.3">
      <c r="B90" s="1" t="s">
        <v>322</v>
      </c>
      <c r="C90" s="1" t="s">
        <v>287</v>
      </c>
      <c r="D90" s="3" t="s">
        <v>95</v>
      </c>
      <c r="E90" s="4" t="s">
        <v>335</v>
      </c>
      <c r="F90" s="4" t="s">
        <v>337</v>
      </c>
      <c r="G90" s="4" t="s">
        <v>336</v>
      </c>
      <c r="H90" s="4" t="s">
        <v>337</v>
      </c>
      <c r="I90" s="4"/>
      <c r="J90" s="4" t="s">
        <v>323</v>
      </c>
      <c r="K90" s="4" t="s">
        <v>324</v>
      </c>
      <c r="L90" s="3">
        <v>4.9400000000000004</v>
      </c>
      <c r="M90" s="3">
        <f t="shared" ref="M90:M91" ca="1" si="89">RANDBETWEEN(2010,2026)</f>
        <v>2020</v>
      </c>
      <c r="N90" s="3">
        <f t="shared" ref="N90:N91" ca="1" si="90">RANDBETWEEN(1,12)</f>
        <v>7</v>
      </c>
      <c r="O90" s="3"/>
      <c r="P90" s="3"/>
      <c r="Q90" s="5">
        <f t="shared" ca="1" si="81"/>
        <v>717</v>
      </c>
      <c r="R90" s="6">
        <f t="shared" ref="R90:R91" ca="1" si="91">RANDBETWEEN(1,100)</f>
        <v>61</v>
      </c>
      <c r="S90" s="7">
        <f t="shared" ref="S90:S92" ca="1" si="92">RANDBETWEEN(50,1000)</f>
        <v>454</v>
      </c>
      <c r="T90" s="8">
        <f t="shared" ref="T90" ca="1" si="93">RANDBETWEEN(1,10)</f>
        <v>8</v>
      </c>
      <c r="U90" s="9" t="s">
        <v>325</v>
      </c>
      <c r="V90" s="3">
        <f ca="1">RANDBETWEEN(1,5)</f>
        <v>1</v>
      </c>
      <c r="W90" s="3"/>
      <c r="X90" s="3">
        <f ca="1">RANDBETWEEN(1,5)</f>
        <v>5</v>
      </c>
      <c r="Y90" s="3"/>
      <c r="Z90" s="10" t="s">
        <v>173</v>
      </c>
      <c r="AA90" s="10" t="s">
        <v>326</v>
      </c>
      <c r="AB90" s="4" t="s">
        <v>327</v>
      </c>
      <c r="AC90" s="11"/>
    </row>
    <row r="91" spans="2:29" s="2" customFormat="1" ht="25.05" customHeight="1" x14ac:dyDescent="0.3">
      <c r="B91" s="1" t="s">
        <v>328</v>
      </c>
      <c r="C91" s="1" t="s">
        <v>287</v>
      </c>
      <c r="D91" s="3" t="s">
        <v>24</v>
      </c>
      <c r="E91" s="4" t="s">
        <v>335</v>
      </c>
      <c r="F91" s="4" t="s">
        <v>337</v>
      </c>
      <c r="G91" s="4" t="s">
        <v>336</v>
      </c>
      <c r="H91" s="4" t="s">
        <v>337</v>
      </c>
      <c r="I91" s="4"/>
      <c r="J91" s="4" t="s">
        <v>329</v>
      </c>
      <c r="K91" s="4" t="s">
        <v>329</v>
      </c>
      <c r="L91" s="3"/>
      <c r="M91" s="3">
        <f t="shared" ca="1" si="89"/>
        <v>2017</v>
      </c>
      <c r="N91" s="3">
        <f t="shared" ca="1" si="90"/>
        <v>9</v>
      </c>
      <c r="O91" s="3">
        <f t="shared" ref="O91" ca="1" si="94">RANDBETWEEN(2010,2026)</f>
        <v>2022</v>
      </c>
      <c r="P91" s="3">
        <f ca="1">RANDBETWEEN(1,12)</f>
        <v>12</v>
      </c>
      <c r="Q91" s="5">
        <f t="shared" ca="1" si="81"/>
        <v>711</v>
      </c>
      <c r="R91" s="6">
        <f t="shared" ca="1" si="91"/>
        <v>27</v>
      </c>
      <c r="S91" s="7">
        <f t="shared" ca="1" si="92"/>
        <v>924</v>
      </c>
      <c r="T91" s="8"/>
      <c r="U91" s="9"/>
      <c r="V91" s="3"/>
      <c r="W91" s="3"/>
      <c r="X91" s="3"/>
      <c r="Y91" s="3"/>
      <c r="Z91" s="10" t="s">
        <v>330</v>
      </c>
      <c r="AA91" s="10" t="s">
        <v>331</v>
      </c>
      <c r="AB91" s="4" t="s">
        <v>105</v>
      </c>
      <c r="AC91" s="11"/>
    </row>
    <row r="92" spans="2:29" s="2" customFormat="1" ht="25.05" customHeight="1" x14ac:dyDescent="0.3">
      <c r="B92" s="1" t="s">
        <v>332</v>
      </c>
      <c r="C92" s="1" t="s">
        <v>287</v>
      </c>
      <c r="D92" s="3" t="s">
        <v>66</v>
      </c>
      <c r="E92" s="4" t="s">
        <v>335</v>
      </c>
      <c r="F92" s="4" t="s">
        <v>337</v>
      </c>
      <c r="G92" s="4" t="s">
        <v>336</v>
      </c>
      <c r="H92" s="4" t="s">
        <v>337</v>
      </c>
      <c r="I92" s="4"/>
      <c r="J92" s="4"/>
      <c r="K92" s="4"/>
      <c r="L92" s="3">
        <v>0.12</v>
      </c>
      <c r="M92" s="3"/>
      <c r="N92" s="3"/>
      <c r="O92" s="3"/>
      <c r="P92" s="3"/>
      <c r="Q92" s="5">
        <f t="shared" ca="1" si="81"/>
        <v>503</v>
      </c>
      <c r="R92" s="6"/>
      <c r="S92" s="7">
        <f t="shared" ca="1" si="92"/>
        <v>417</v>
      </c>
      <c r="T92" s="8">
        <f t="shared" ref="T92" ca="1" si="95">RANDBETWEEN(1,10)</f>
        <v>2</v>
      </c>
      <c r="U92" s="9"/>
      <c r="V92" s="3"/>
      <c r="W92" s="3"/>
      <c r="X92" s="3"/>
      <c r="Y92" s="3"/>
      <c r="Z92" s="10" t="s">
        <v>333</v>
      </c>
      <c r="AA92" s="10"/>
      <c r="AB92" s="4" t="s">
        <v>334</v>
      </c>
      <c r="AC92" s="11"/>
    </row>
    <row r="93" spans="2:29" s="2" customFormat="1" ht="25.05" customHeight="1" x14ac:dyDescent="0.3">
      <c r="B93" s="1"/>
      <c r="C93" s="1"/>
      <c r="D93" s="3"/>
      <c r="E93" s="4"/>
      <c r="F93" s="4"/>
      <c r="G93" s="4"/>
      <c r="H93" s="4"/>
      <c r="I93" s="4"/>
      <c r="J93" s="4"/>
      <c r="K93" s="4"/>
      <c r="L93" s="3"/>
      <c r="M93" s="3"/>
      <c r="N93" s="3"/>
      <c r="O93" s="3"/>
      <c r="P93" s="3"/>
      <c r="Q93" s="5"/>
      <c r="R93" s="6"/>
      <c r="S93" s="7"/>
      <c r="T93" s="8"/>
      <c r="U93" s="9"/>
      <c r="V93" s="3"/>
      <c r="W93" s="3"/>
      <c r="X93" s="3"/>
      <c r="Y93" s="3"/>
      <c r="Z93" s="10"/>
      <c r="AA93" s="10"/>
      <c r="AB93" s="4"/>
      <c r="AC93" s="11"/>
    </row>
  </sheetData>
  <autoFilter ref="B1:AC92" xr:uid="{00000000-0009-0000-0000-00002C000000}">
    <filterColumn colId="6">
      <customFilters>
        <customFilter operator="notEqual" val=" "/>
      </customFilters>
    </filterColumn>
  </autoFilter>
  <mergeCells count="3">
    <mergeCell ref="A29:A30"/>
    <mergeCell ref="A55:A57"/>
    <mergeCell ref="A60:A61"/>
  </mergeCells>
  <phoneticPr fontId="2" type="noConversion"/>
  <hyperlinks>
    <hyperlink ref="AA14" r:id="rId1" xr:uid="{971E62D3-3ED8-4C9E-8F81-807F873B13E3}"/>
    <hyperlink ref="AA22" r:id="rId2" xr:uid="{98C8FA2E-ACC4-412D-82CA-A68599566BE5}"/>
    <hyperlink ref="AA21" r:id="rId3" xr:uid="{E0340435-4E34-4F8F-BFC0-D6A7CAD04076}"/>
    <hyperlink ref="AA8" r:id="rId4" xr:uid="{4C2D6F8E-EBB4-4514-9688-341566E1982B}"/>
    <hyperlink ref="AA6" r:id="rId5" xr:uid="{9A9862D6-AFF2-4EE7-A321-4D5856222729}"/>
    <hyperlink ref="AA5" r:id="rId6" xr:uid="{D6DBC310-42C3-428D-B240-620CC932FC72}"/>
    <hyperlink ref="AA19" r:id="rId7" xr:uid="{0547D1E2-22CC-4046-B974-013518D35C58}"/>
    <hyperlink ref="AA83" r:id="rId8" xr:uid="{2BCE20A4-9F00-428A-9E64-E8A1923A8A5A}"/>
    <hyperlink ref="AA85" r:id="rId9" xr:uid="{22097E75-3941-4C7D-B9D0-A1CB7815C13F}"/>
    <hyperlink ref="AA79" r:id="rId10" xr:uid="{92E2158D-E4CB-4F5E-833C-EADECDC6881E}"/>
    <hyperlink ref="AA90" r:id="rId11" xr:uid="{4E515F4D-F2E7-4776-ACFA-A0016F96961F}"/>
    <hyperlink ref="AA28" r:id="rId12" xr:uid="{4DA6B368-95E9-4A57-B9A8-DFEBEFBFA9B8}"/>
    <hyperlink ref="AA46" r:id="rId13" xr:uid="{D0ED4052-347B-4E25-BFD1-9BFE571BD984}"/>
    <hyperlink ref="AA47" r:id="rId14" xr:uid="{794A4A5F-74E6-4CA5-A91E-977832B98128}"/>
    <hyperlink ref="AA48" r:id="rId15" xr:uid="{8965A180-8C5B-4644-AEA6-66E5507F2C48}"/>
    <hyperlink ref="AA29" r:id="rId16" tooltip="https://sthjj.wulanchabu.gov.cn/rmt/userfiles/ueditor/upload/file/20250729/1753784837821080359.pdf" xr:uid="{28FD5453-B32F-4E46-ADCA-2B3EFC68B194}"/>
    <hyperlink ref="AA30" r:id="rId17" tooltip="https://sthjj.wulanchabu.gov.cn/rmt/userfiles/ueditor/upload/file/20250729/1753784837821080359.pdf" xr:uid="{4BAF04BA-E73C-4AA0-B703-34D361519EEB}"/>
    <hyperlink ref="AA51" r:id="rId18" xr:uid="{8A737386-4BA9-4BA8-834D-F9FD70975406}"/>
    <hyperlink ref="AA34" r:id="rId19" xr:uid="{47ABC6DA-8E3B-42D9-AF57-688B491123F6}"/>
    <hyperlink ref="AA53" r:id="rId20" xr:uid="{75EAAA5D-A61D-4D5E-9CC5-E9FD9FC216AF}"/>
    <hyperlink ref="AA13" r:id="rId21" xr:uid="{3416ED2C-1366-499F-85E2-B7A41691EEFE}"/>
    <hyperlink ref="AA12" r:id="rId22" tooltip="https://www.doc88.com/p-17219710921493.html" xr:uid="{810BA27D-CB45-42C5-95D1-C9D2C0BFD94A}"/>
    <hyperlink ref="AA75" r:id="rId23" tooltip="https://max.book118.com/html/2024/0322/8127032022006050.shtm" xr:uid="{9E12C6EE-37C0-4A08-852F-BD0E7F3853E9}"/>
  </hyperlinks>
  <pageMargins left="0.75" right="0.75" top="1" bottom="1" header="0.5" footer="0.5"/>
  <legacyDrawing r:id="rId2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储运-氢气管道项目</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Xiao Liu [cn19xl]</dc:creator>
  <cp:lastModifiedBy>Xiao Liu [cn19xl]</cp:lastModifiedBy>
  <dcterms:created xsi:type="dcterms:W3CDTF">2026-05-25T07:30:18Z</dcterms:created>
  <dcterms:modified xsi:type="dcterms:W3CDTF">2026-05-26T09:19:21Z</dcterms:modified>
</cp:coreProperties>
</file>