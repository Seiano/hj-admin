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A 氢能研究院\数智化工作\企业库\数据表-给博英\1.项目数据表\1.制取环节\"/>
    </mc:Choice>
  </mc:AlternateContent>
  <xr:revisionPtr revIDLastSave="0" documentId="13_ncr:1_{03FAC962-15C6-4211-ADFA-A5CC355676A6}" xr6:coauthVersionLast="47" xr6:coauthVersionMax="47" xr10:uidLastSave="{00000000-0000-0000-0000-000000000000}"/>
  <bookViews>
    <workbookView xWindow="-98" yWindow="-98" windowWidth="22695" windowHeight="14476" xr2:uid="{00000000-000D-0000-FFFF-FFFF00000000}"/>
  </bookViews>
  <sheets>
    <sheet name="总表查询" sheetId="2" r:id="rId1"/>
  </sheets>
  <definedNames>
    <definedName name="_xlnm._FilterDatabase" localSheetId="0" hidden="1">总表查询!$A$1:$AC$95</definedName>
  </definedNames>
  <calcPr calcId="191029"/>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2" i="2"/>
  <c r="AC94" i="2"/>
  <c r="AC93" i="2"/>
  <c r="AC92" i="2"/>
  <c r="AC89" i="2"/>
  <c r="AC88" i="2"/>
  <c r="Z87" i="2"/>
  <c r="AB85" i="2"/>
  <c r="AC84" i="2"/>
  <c r="AC81" i="2"/>
  <c r="AC80" i="2"/>
  <c r="AC79" i="2"/>
  <c r="AC78" i="2"/>
  <c r="AC77" i="2"/>
  <c r="Y76" i="2"/>
  <c r="AC74" i="2"/>
  <c r="AC72" i="2"/>
  <c r="Y71" i="2"/>
  <c r="AC69" i="2"/>
  <c r="AA68" i="2"/>
  <c r="AC66" i="2"/>
  <c r="AC61" i="2"/>
  <c r="AC59" i="2"/>
  <c r="AC58" i="2"/>
  <c r="AC53" i="2"/>
  <c r="AC52" i="2"/>
  <c r="AA51" i="2"/>
  <c r="Y47" i="2"/>
  <c r="AA44" i="2"/>
  <c r="AC42" i="2"/>
  <c r="AC41" i="2"/>
  <c r="AC40" i="2"/>
  <c r="AC38" i="2"/>
  <c r="AC37" i="2"/>
  <c r="AC36" i="2"/>
  <c r="AC35" i="2"/>
  <c r="AA34" i="2"/>
  <c r="AC31" i="2"/>
  <c r="AC30" i="2"/>
  <c r="AC27" i="2"/>
  <c r="AC25" i="2"/>
  <c r="AC23" i="2"/>
  <c r="AC22" i="2"/>
  <c r="AC20" i="2"/>
  <c r="AC15" i="2"/>
  <c r="AC13" i="2"/>
  <c r="AC11" i="2"/>
  <c r="AC8" i="2"/>
  <c r="AC7" i="2"/>
  <c r="AC6" i="2"/>
  <c r="AC2" i="2"/>
  <c r="Z17" i="2"/>
  <c r="Z10" i="2"/>
  <c r="Z3" i="2"/>
  <c r="X95" i="2"/>
  <c r="X94" i="2"/>
  <c r="X91" i="2"/>
  <c r="X90" i="2"/>
  <c r="X89" i="2"/>
  <c r="X83" i="2"/>
  <c r="X82" i="2"/>
  <c r="X75" i="2"/>
  <c r="X73" i="2"/>
  <c r="X72" i="2"/>
  <c r="X70" i="2"/>
  <c r="X69" i="2"/>
  <c r="X67" i="2"/>
  <c r="X65" i="2"/>
  <c r="X64" i="2"/>
  <c r="X63" i="2"/>
  <c r="X62" i="2"/>
  <c r="X60" i="2"/>
  <c r="X58" i="2"/>
  <c r="X57" i="2"/>
  <c r="X56" i="2"/>
  <c r="X55" i="2"/>
  <c r="X54" i="2"/>
  <c r="X52" i="2"/>
  <c r="X50" i="2"/>
  <c r="X48" i="2"/>
  <c r="X46" i="2"/>
  <c r="X45" i="2"/>
  <c r="X40" i="2"/>
  <c r="X39" i="2"/>
  <c r="X38" i="2"/>
  <c r="X33" i="2"/>
  <c r="X32" i="2"/>
  <c r="X30" i="2"/>
  <c r="X29" i="2"/>
  <c r="X28" i="2"/>
  <c r="X26" i="2"/>
  <c r="X24" i="2"/>
  <c r="X19" i="2"/>
  <c r="X18" i="2"/>
  <c r="X16" i="2"/>
  <c r="X14" i="2"/>
  <c r="X12" i="2"/>
  <c r="X9" i="2"/>
  <c r="X5" i="2"/>
  <c r="X4" i="2"/>
  <c r="T7" i="2"/>
  <c r="T41" i="2"/>
  <c r="S89" i="2"/>
  <c r="S84" i="2"/>
  <c r="S83" i="2"/>
  <c r="S81" i="2"/>
  <c r="S71" i="2"/>
  <c r="S69" i="2"/>
  <c r="S68" i="2"/>
  <c r="S66" i="2"/>
  <c r="S57" i="2"/>
  <c r="S56" i="2"/>
  <c r="S54" i="2"/>
  <c r="S53" i="2"/>
  <c r="S52" i="2"/>
  <c r="S42" i="2"/>
  <c r="S41" i="2"/>
  <c r="S40" i="2"/>
  <c r="S39" i="2"/>
  <c r="S37" i="2"/>
  <c r="S36" i="2"/>
  <c r="S33" i="2"/>
  <c r="S28" i="2"/>
  <c r="S29" i="2"/>
  <c r="S30" i="2"/>
  <c r="S27" i="2"/>
  <c r="S20" i="2"/>
  <c r="S19" i="2"/>
  <c r="S16" i="2"/>
  <c r="S13" i="2"/>
  <c r="S6"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67" i="2"/>
  <c r="R59" i="2"/>
  <c r="R60" i="2"/>
  <c r="R61" i="2"/>
  <c r="R62" i="2"/>
  <c r="R63" i="2"/>
  <c r="R64" i="2"/>
  <c r="R65" i="2"/>
  <c r="R58" i="2"/>
  <c r="R55" i="2"/>
  <c r="R51" i="2"/>
  <c r="R50" i="2"/>
  <c r="R45" i="2"/>
  <c r="R46" i="2"/>
  <c r="R47" i="2"/>
  <c r="R48" i="2"/>
  <c r="R44" i="2"/>
  <c r="R40" i="2"/>
  <c r="R38" i="2"/>
  <c r="R35" i="2"/>
  <c r="R34" i="2"/>
  <c r="R32" i="2"/>
  <c r="R23" i="2"/>
  <c r="R24" i="2"/>
  <c r="R25" i="2"/>
  <c r="R26" i="2"/>
  <c r="R22" i="2"/>
  <c r="R18" i="2"/>
  <c r="R17" i="2"/>
  <c r="R15" i="2"/>
  <c r="R14" i="2"/>
  <c r="R9" i="2"/>
  <c r="R10" i="2"/>
  <c r="R11" i="2"/>
  <c r="R12" i="2"/>
  <c r="R8" i="2"/>
  <c r="Q3" i="2"/>
  <c r="R3" i="2"/>
  <c r="Q4" i="2"/>
  <c r="R4" i="2"/>
  <c r="Q5" i="2"/>
  <c r="R5" i="2"/>
  <c r="R2"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50" i="2"/>
  <c r="Q45" i="2"/>
  <c r="Q46" i="2"/>
  <c r="Q47" i="2"/>
  <c r="Q48" i="2"/>
  <c r="Q44" i="2"/>
  <c r="Q23" i="2"/>
  <c r="Q24" i="2"/>
  <c r="Q25" i="2"/>
  <c r="Q26" i="2"/>
  <c r="Q27" i="2"/>
  <c r="Q28" i="2"/>
  <c r="Q29" i="2"/>
  <c r="Q30" i="2"/>
  <c r="Q31" i="2"/>
  <c r="Q32" i="2"/>
  <c r="Q33" i="2"/>
  <c r="Q34" i="2"/>
  <c r="Q35" i="2"/>
  <c r="Q36" i="2"/>
  <c r="Q37" i="2"/>
  <c r="Q38" i="2"/>
  <c r="Q39" i="2"/>
  <c r="Q40" i="2"/>
  <c r="Q41" i="2"/>
  <c r="Q42" i="2"/>
  <c r="Q22" i="2"/>
  <c r="Q6" i="2"/>
  <c r="Q7" i="2"/>
  <c r="Q8" i="2"/>
  <c r="Q9" i="2"/>
  <c r="Q10" i="2"/>
  <c r="Q11" i="2"/>
  <c r="Q12" i="2"/>
  <c r="Q13" i="2"/>
  <c r="Q14" i="2"/>
  <c r="Q15" i="2"/>
  <c r="Q16" i="2"/>
  <c r="Q17" i="2"/>
  <c r="Q18" i="2"/>
  <c r="Q19" i="2"/>
  <c r="Q20" i="2"/>
  <c r="Q2"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65" i="2"/>
  <c r="N51" i="2"/>
  <c r="N52" i="2"/>
  <c r="N53" i="2"/>
  <c r="N54" i="2"/>
  <c r="N55" i="2"/>
  <c r="N56" i="2"/>
  <c r="N57" i="2"/>
  <c r="N58" i="2"/>
  <c r="N59" i="2"/>
  <c r="N60" i="2"/>
  <c r="N61" i="2"/>
  <c r="N62" i="2"/>
  <c r="N63" i="2"/>
  <c r="N50" i="2"/>
  <c r="N45" i="2"/>
  <c r="N46" i="2"/>
  <c r="N47" i="2"/>
  <c r="N48" i="2"/>
  <c r="N44" i="2"/>
  <c r="N23" i="2"/>
  <c r="N24" i="2"/>
  <c r="N25" i="2"/>
  <c r="N26" i="2"/>
  <c r="N27" i="2"/>
  <c r="N28" i="2"/>
  <c r="N29" i="2"/>
  <c r="N30" i="2"/>
  <c r="N31" i="2"/>
  <c r="N32" i="2"/>
  <c r="N33" i="2"/>
  <c r="N34" i="2"/>
  <c r="N35" i="2"/>
  <c r="N36" i="2"/>
  <c r="N37" i="2"/>
  <c r="N38" i="2"/>
  <c r="N39" i="2"/>
  <c r="N40" i="2"/>
  <c r="N41" i="2"/>
  <c r="N42" i="2"/>
  <c r="N22" i="2"/>
  <c r="N3" i="2"/>
  <c r="N4" i="2"/>
  <c r="N5" i="2"/>
  <c r="N6" i="2"/>
  <c r="N7" i="2"/>
  <c r="N8" i="2"/>
  <c r="N9" i="2"/>
  <c r="N10" i="2"/>
  <c r="N11" i="2"/>
  <c r="N12" i="2"/>
  <c r="N13" i="2"/>
  <c r="N14" i="2"/>
  <c r="N15" i="2"/>
  <c r="N16" i="2"/>
  <c r="N17" i="2"/>
  <c r="N18" i="2"/>
  <c r="N19" i="2"/>
  <c r="N20" i="2"/>
  <c r="N2" i="2"/>
  <c r="J16" i="2"/>
  <c r="J47" i="2"/>
  <c r="J51" i="2"/>
  <c r="J77" i="2"/>
  <c r="I92" i="2"/>
  <c r="I87" i="2"/>
  <c r="I86" i="2"/>
  <c r="I82" i="2"/>
  <c r="I80" i="2"/>
  <c r="I79" i="2"/>
  <c r="I73" i="2"/>
  <c r="I71" i="2"/>
  <c r="I69" i="2"/>
  <c r="I67" i="2"/>
  <c r="I61" i="2"/>
  <c r="I60" i="2"/>
  <c r="I56" i="2"/>
  <c r="I50" i="2"/>
  <c r="I48" i="2"/>
  <c r="I38" i="2"/>
  <c r="I37" i="2"/>
  <c r="I32" i="2"/>
  <c r="I30" i="2"/>
  <c r="I28" i="2"/>
  <c r="I25" i="2"/>
  <c r="I26" i="2"/>
  <c r="I24" i="2"/>
  <c r="I20" i="2"/>
  <c r="I18" i="2"/>
  <c r="I14" i="2"/>
  <c r="I9" i="2"/>
  <c r="I2" i="2"/>
  <c r="H90" i="2"/>
  <c r="H91" i="2"/>
  <c r="H92" i="2"/>
  <c r="H93" i="2"/>
  <c r="H94" i="2"/>
  <c r="H95" i="2"/>
  <c r="H89" i="2"/>
  <c r="H87" i="2"/>
  <c r="H86" i="2"/>
  <c r="H84" i="2"/>
  <c r="H81" i="2"/>
  <c r="H79" i="2"/>
  <c r="H78" i="2"/>
  <c r="H75" i="2"/>
  <c r="H76" i="2"/>
  <c r="H74" i="2"/>
  <c r="H65" i="2"/>
  <c r="H66" i="2"/>
  <c r="H67" i="2"/>
  <c r="H68" i="2"/>
  <c r="H69" i="2"/>
  <c r="H70" i="2"/>
  <c r="H71" i="2"/>
  <c r="H72" i="2"/>
  <c r="H64" i="2"/>
  <c r="H57" i="2"/>
  <c r="H58" i="2"/>
  <c r="H59" i="2"/>
  <c r="H60" i="2"/>
  <c r="H56" i="2"/>
  <c r="H53" i="2"/>
  <c r="H54" i="2"/>
  <c r="H52" i="2"/>
  <c r="H49" i="2"/>
  <c r="H48" i="2"/>
  <c r="H45" i="2"/>
  <c r="H46" i="2"/>
  <c r="H44" i="2"/>
  <c r="H41" i="2"/>
  <c r="H40" i="2"/>
  <c r="H38" i="2"/>
  <c r="H37" i="2"/>
  <c r="H34" i="2"/>
  <c r="H35" i="2"/>
  <c r="H33" i="2"/>
  <c r="H29" i="2"/>
  <c r="H30" i="2"/>
  <c r="H28" i="2"/>
  <c r="H26" i="2"/>
  <c r="H22" i="2"/>
  <c r="H23" i="2"/>
  <c r="H24" i="2"/>
  <c r="H21" i="2"/>
  <c r="H19" i="2"/>
  <c r="H17" i="2"/>
  <c r="H11" i="2"/>
  <c r="H12" i="2"/>
  <c r="H13" i="2"/>
  <c r="H14" i="2"/>
  <c r="H10" i="2"/>
  <c r="H7" i="2"/>
  <c r="H8" i="2"/>
  <c r="H6" i="2"/>
  <c r="H3" i="2"/>
  <c r="G90" i="2"/>
  <c r="G91" i="2"/>
  <c r="G92" i="2"/>
  <c r="G93" i="2"/>
  <c r="G94" i="2"/>
  <c r="G95" i="2"/>
  <c r="G89" i="2"/>
  <c r="G87" i="2"/>
  <c r="G86" i="2"/>
  <c r="G84" i="2"/>
  <c r="G65" i="2"/>
  <c r="G66" i="2"/>
  <c r="G67" i="2"/>
  <c r="G68" i="2"/>
  <c r="G69" i="2"/>
  <c r="G70" i="2"/>
  <c r="G71" i="2"/>
  <c r="G72" i="2"/>
  <c r="G73" i="2"/>
  <c r="G74" i="2"/>
  <c r="G75" i="2"/>
  <c r="G76" i="2"/>
  <c r="G77" i="2"/>
  <c r="G78" i="2"/>
  <c r="G79" i="2"/>
  <c r="G80" i="2"/>
  <c r="G81" i="2"/>
  <c r="G82" i="2"/>
  <c r="G64" i="2"/>
  <c r="G45" i="2"/>
  <c r="G46" i="2"/>
  <c r="G47" i="2"/>
  <c r="G48" i="2"/>
  <c r="G49" i="2"/>
  <c r="G50" i="2"/>
  <c r="G51" i="2"/>
  <c r="G52" i="2"/>
  <c r="G53" i="2"/>
  <c r="G54" i="2"/>
  <c r="G55" i="2"/>
  <c r="G56" i="2"/>
  <c r="G57" i="2"/>
  <c r="G58" i="2"/>
  <c r="G59" i="2"/>
  <c r="G60" i="2"/>
  <c r="G61" i="2"/>
  <c r="G44" i="2"/>
  <c r="G41" i="2"/>
  <c r="G40" i="2"/>
  <c r="G38" i="2"/>
  <c r="G37" i="2"/>
  <c r="G33" i="2"/>
  <c r="G34" i="2"/>
  <c r="G35" i="2"/>
  <c r="G32" i="2"/>
  <c r="G29" i="2"/>
  <c r="G30" i="2"/>
  <c r="G28" i="2"/>
  <c r="G23" i="2"/>
  <c r="G24" i="2"/>
  <c r="G25" i="2"/>
  <c r="G26" i="2"/>
  <c r="G22" i="2"/>
  <c r="G17" i="2"/>
  <c r="G18" i="2"/>
  <c r="G19" i="2"/>
  <c r="G20" i="2"/>
  <c r="G16" i="2"/>
  <c r="G7" i="2"/>
  <c r="G8" i="2"/>
  <c r="G9" i="2"/>
  <c r="G10" i="2"/>
  <c r="G11" i="2"/>
  <c r="G12" i="2"/>
  <c r="G13" i="2"/>
  <c r="G14" i="2"/>
  <c r="G6" i="2"/>
  <c r="G3" i="2"/>
  <c r="G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denni</author>
  </authors>
  <commentList>
    <comment ref="N94" authorId="0" shapeId="0" xr:uid="{00000000-0006-0000-0000-000001000000}">
      <text>
        <r>
          <rPr>
            <b/>
            <sz val="9"/>
            <rFont val="宋体"/>
            <family val="3"/>
            <charset val="134"/>
          </rPr>
          <t>denni:</t>
        </r>
        <r>
          <rPr>
            <sz val="9"/>
            <rFont val="宋体"/>
            <family val="3"/>
            <charset val="134"/>
          </rPr>
          <t xml:space="preserve">
按照充装能力≥5t/d，一年300天，则1500t/a</t>
        </r>
      </text>
    </comment>
  </commentList>
</comments>
</file>

<file path=xl/sharedStrings.xml><?xml version="1.0" encoding="utf-8"?>
<sst xmlns="http://schemas.openxmlformats.org/spreadsheetml/2006/main" count="728" uniqueCount="226">
  <si>
    <t>项目所在省</t>
  </si>
  <si>
    <t>项目所在市</t>
  </si>
  <si>
    <t>项目名称</t>
  </si>
  <si>
    <t>建设单位</t>
  </si>
  <si>
    <t>项目状态</t>
  </si>
  <si>
    <t>可再生能源来源</t>
  </si>
  <si>
    <t>可再生能源
总规模/MW</t>
  </si>
  <si>
    <t>光伏/MW</t>
  </si>
  <si>
    <t>风电/MW</t>
  </si>
  <si>
    <t>风光/MW</t>
  </si>
  <si>
    <t>水电/MW</t>
  </si>
  <si>
    <t>生物质/万吨</t>
  </si>
  <si>
    <t>其他</t>
  </si>
  <si>
    <t>绿氢产能/吨/年（部分为推算数据）</t>
  </si>
  <si>
    <t>建成（年）</t>
  </si>
  <si>
    <t>电解槽类型</t>
  </si>
  <si>
    <t>电解槽规模/MW</t>
  </si>
  <si>
    <t>AE</t>
  </si>
  <si>
    <t>PEME</t>
  </si>
  <si>
    <t>SOE</t>
  </si>
  <si>
    <t>AEME</t>
  </si>
  <si>
    <t>项目类型</t>
  </si>
  <si>
    <t>应用方向（交通）-产能（MW）</t>
  </si>
  <si>
    <t>应用方向（合成氨）-产能（MW）</t>
  </si>
  <si>
    <t>应用方向（合成甲醇）-产能（MW）</t>
  </si>
  <si>
    <t>应用方向（炼化）-产能（MW）</t>
  </si>
  <si>
    <t>应用方向（冶金）-产能（MW）</t>
  </si>
  <si>
    <t>应用方向（其他）-产能（MW）</t>
  </si>
  <si>
    <t>工业级风电动态制氢研究平台</t>
  </si>
  <si>
    <t>中国华能集团清洁能源技术研究院有限公司</t>
  </si>
  <si>
    <t>建成</t>
  </si>
  <si>
    <t>风电</t>
  </si>
  <si>
    <t>离网</t>
  </si>
  <si>
    <t>液态太阳燃料合成示范工程项目</t>
  </si>
  <si>
    <t>中科院大连化学物理研究所</t>
  </si>
  <si>
    <t>光伏</t>
  </si>
  <si>
    <t>海珀尔风电制氢工程项目</t>
  </si>
  <si>
    <t>张家口海珀尔新能源科技有限公司</t>
  </si>
  <si>
    <t>运行</t>
  </si>
  <si>
    <t>未知</t>
  </si>
  <si>
    <t>氢能产业化应用生产基地项目（一期）</t>
  </si>
  <si>
    <t>内蒙古宜和新能源科技有限公司</t>
  </si>
  <si>
    <t>多种类型</t>
  </si>
  <si>
    <t>阳光产业园国内首个光伏离网变功率制氢及氢储能发电实证平台</t>
  </si>
  <si>
    <t>阳光电源股份有限公司</t>
  </si>
  <si>
    <t>20kW级高温电解制氢加氢一体化装置（1）</t>
  </si>
  <si>
    <t>中国科学院上海应用物理研究所</t>
  </si>
  <si>
    <t>20kW级高温电解制氢加氢一体化装置（2）</t>
  </si>
  <si>
    <t>沽源风电制氢项目</t>
  </si>
  <si>
    <t>河北建设投资集团有限责任公司</t>
  </si>
  <si>
    <t>太阳能电解制氢储能项目（一、二期）</t>
  </si>
  <si>
    <t>宁夏宝丰能源集团股份有限公司</t>
  </si>
  <si>
    <t>滨湖综合能源站-氢电双向转换及储能一体化系统</t>
  </si>
  <si>
    <t>国网浙江省电力有限公司</t>
  </si>
  <si>
    <t>国电投铝电公司宁东可再生能源制氢示范项目</t>
  </si>
  <si>
    <t>国电投铝电（宁夏）氢能应用有限公司</t>
  </si>
  <si>
    <t>中国石化燕山石化</t>
  </si>
  <si>
    <t>中国石化集团北京燕山石油化工有限公司</t>
  </si>
  <si>
    <t>大规模风/光互补制氢关键技术研究及示范</t>
  </si>
  <si>
    <t>国家能源投资集团有限责任公司</t>
  </si>
  <si>
    <t>可再生能源制氢、大规模储能及氢能综合利用技术研究项目</t>
  </si>
  <si>
    <t>华电重工股份有限公司</t>
  </si>
  <si>
    <t>水电</t>
  </si>
  <si>
    <t>中国电力氢能创新产业园项目</t>
  </si>
  <si>
    <t>中国电力国际发展有限公司</t>
  </si>
  <si>
    <t>太阳能电解制氢储能项目（三期）</t>
  </si>
  <si>
    <t>河北省张家口绿色氢能一体化示范基地项目</t>
  </si>
  <si>
    <t>张家口市交投壳牌新能源有限公司</t>
  </si>
  <si>
    <t>分布式发电制氢加氢一体化示范工程（一期）</t>
  </si>
  <si>
    <t>国核电力规划设计研究院有限公司</t>
  </si>
  <si>
    <t>大陈岛氢能综合利用示范工程</t>
  </si>
  <si>
    <t>国网浙江省电力有限公司台州供电公司</t>
  </si>
  <si>
    <t>并/离网</t>
  </si>
  <si>
    <t>8.3MW纯氨燃烧器</t>
  </si>
  <si>
    <t>皖能股份铜陵发电有限公司</t>
  </si>
  <si>
    <t>榆林科创新城零碳分布式智慧能源中心示范项目</t>
  </si>
  <si>
    <t>榆林科创优能科技有限公司</t>
  </si>
  <si>
    <t>东方电气综合智慧能源实验示范基地项目-氢能源产业项目</t>
  </si>
  <si>
    <t>东方电气集团</t>
  </si>
  <si>
    <t>风光制氢加氢一体化示范项目（一期）</t>
  </si>
  <si>
    <t>中广核新能源吉林白城风电项目</t>
  </si>
  <si>
    <t>通榆中广核风力发电有限公司</t>
  </si>
  <si>
    <t>圣圆能源制氢加氢一体化项目</t>
  </si>
  <si>
    <t>内蒙古圣圆能源集团有限责任公司</t>
  </si>
  <si>
    <t>质子交换膜制氢及配套技术与装置研究</t>
  </si>
  <si>
    <t>中原石油工程设计有限公司</t>
  </si>
  <si>
    <t>中石化中原油田兆瓦级电解水制氢示范项目</t>
  </si>
  <si>
    <t>中国石油化工股份有限公司中原油田分公司</t>
  </si>
  <si>
    <t>国家电网浙江丽水缙云水光氢生物质近零碳示范工程</t>
  </si>
  <si>
    <t>国网浙江省电力有限公司丽水供电公司</t>
  </si>
  <si>
    <t>源网荷储一体化示范项目</t>
  </si>
  <si>
    <t>中国长江三峡集团有限公司</t>
  </si>
  <si>
    <t>1200标方风光PEM制氢项目</t>
  </si>
  <si>
    <t>内蒙古金麒麟新能源公司</t>
  </si>
  <si>
    <t>国华河北赤城风氢储多能互补示范项目</t>
  </si>
  <si>
    <t>国华（赤城）风电有限公司</t>
  </si>
  <si>
    <t>京能宁东发电200标方/小时PEM制氢项目</t>
  </si>
  <si>
    <t>宁夏京能宁东发电有限责任公司</t>
  </si>
  <si>
    <t>中国石化新疆库车绿氢示范项目</t>
  </si>
  <si>
    <t>中国石化集团新星石油有限责任公司</t>
  </si>
  <si>
    <t>光伏制氢项目</t>
  </si>
  <si>
    <t>威胜集团有限公司</t>
  </si>
  <si>
    <t>兆瓦级质子交换膜（PEM）电解水制氢装置</t>
  </si>
  <si>
    <t>氢电耦合直流微网示范工程</t>
  </si>
  <si>
    <t>国网浙江省电力有限公司宁波供电公司</t>
  </si>
  <si>
    <t>杭州亚运低碳氢电耦合应用示范项目</t>
  </si>
  <si>
    <t>国网浙江省电力有限公司杭州供电公司</t>
  </si>
  <si>
    <t>长江电力绿电绿氢示范项目</t>
  </si>
  <si>
    <t>中国长江电力股份有限公司</t>
  </si>
  <si>
    <t>离网光伏氢储能示范工程</t>
  </si>
  <si>
    <t>云南电网有限责任公司电力科学研究院</t>
  </si>
  <si>
    <t>广州供电局小虎岛电氢综合调峰站</t>
  </si>
  <si>
    <t>广东电网有限责任公司广州供电局</t>
  </si>
  <si>
    <t>PEME/SOE</t>
  </si>
  <si>
    <t>绿氢制-储用一体化示范项目</t>
  </si>
  <si>
    <t>上海氢器时代科技有限公司</t>
  </si>
  <si>
    <t>分布式光伏制储加氢及燃料电池热电联供示范系统</t>
  </si>
  <si>
    <t>深圳市凯豪达氢能源有限公司</t>
  </si>
  <si>
    <t>新能源开发中心石化总厂光伏发电电解水制氢示范工程</t>
  </si>
  <si>
    <t>中国石化胜利油田</t>
  </si>
  <si>
    <t>纳日松光伏制氢产业示范项目（一期）</t>
  </si>
  <si>
    <t>鄂尔多斯市瀚峡新能源有限公司</t>
  </si>
  <si>
    <t>中能绿电张掖氢能综合应用示范项目（一期）</t>
  </si>
  <si>
    <t>中能绿电（张掖）新能源有限公司</t>
  </si>
  <si>
    <t>年产360万标准立方米的电解水制氢装置</t>
  </si>
  <si>
    <t>河南心连心化学工业集团股份有限公司</t>
  </si>
  <si>
    <t>河北建投崇礼风光耦合制氢示范项目</t>
  </si>
  <si>
    <t>共青城光氢储产业园项目</t>
  </si>
  <si>
    <t>南昌大学</t>
  </si>
  <si>
    <t>京能查干淖尔风电制氢一体化项目（一期）</t>
  </si>
  <si>
    <t>京能锡林郭勒能源有限公司</t>
  </si>
  <si>
    <t>吐哈油田鄯善工业园区绿电制绿氢项目</t>
  </si>
  <si>
    <t>宝鸡石油机械有限责任公司</t>
  </si>
  <si>
    <t>德令哈西出口500万kW光储氢一体化示范基地（一期）</t>
  </si>
  <si>
    <t>华电（海西）新能源有限公司</t>
  </si>
  <si>
    <t>多能互补综合能源供应系统</t>
  </si>
  <si>
    <t>陕西燃气集团新能源发展股份有限公司</t>
  </si>
  <si>
    <t>分布式发电制氢加氢一体化示范工程（二期）</t>
  </si>
  <si>
    <t>华能彭州水电解制氢科技创新示范项目</t>
  </si>
  <si>
    <t>四川华能氢能科技有限公司</t>
  </si>
  <si>
    <t>风光制氢加氢一体化示范项目（二期）</t>
  </si>
  <si>
    <t>吉林电力股份有限公司</t>
  </si>
  <si>
    <t>山东东岳集团光电制氢项目</t>
  </si>
  <si>
    <t>山东东岳化工股份有限公司</t>
  </si>
  <si>
    <t>深能库尔勒绿氢制储加用一体化示范项目</t>
  </si>
  <si>
    <t>深圳能源集团国电库尔勒发电有限公司</t>
  </si>
  <si>
    <t>上海庙经济开发区光伏制氢项目（一期）</t>
  </si>
  <si>
    <t>深能北方（鄂托克前旗）能源开发有限公司</t>
  </si>
  <si>
    <t>风光氢制储用智能一体化示范项目</t>
  </si>
  <si>
    <t>陕西正太能源科技有限公司</t>
  </si>
  <si>
    <t>25MW风电离网制氢一体化项目（一期）</t>
  </si>
  <si>
    <t>辽宁华电铁岭氢能科技有限公司</t>
  </si>
  <si>
    <t>光伏绿电制加氢一体化（一期工程）项目</t>
  </si>
  <si>
    <t>天津荣程祥泰投资控股集团有限公司</t>
  </si>
  <si>
    <t>新疆兵团八师绿氢减碳创新应用示范项目</t>
  </si>
  <si>
    <t>石河子市氢联世纪科技有限公司</t>
  </si>
  <si>
    <t>纳日松光伏制氢产业示范项目（二期）</t>
  </si>
  <si>
    <t>金山区智慧绿氢示范工厂（一期）</t>
  </si>
  <si>
    <t>三峡云能投资（丽江）有限公司</t>
  </si>
  <si>
    <t>光伏制氢-发电一体化设备</t>
  </si>
  <si>
    <t>中海油（山西）贵金属公司</t>
  </si>
  <si>
    <t>绿电制氢及氢能一体化示范项目</t>
  </si>
  <si>
    <t>新疆汇申新能源科技有限公司</t>
  </si>
  <si>
    <t>玉门油田可再生能源制氢示范项目一期工程</t>
  </si>
  <si>
    <t>中国石油天然气股份有限公司玉门油田分公司</t>
  </si>
  <si>
    <t>华电达茂旗20万千瓦新能源制氢工程示范项目</t>
  </si>
  <si>
    <t>华电福新能源发展有限公司</t>
  </si>
  <si>
    <t>AE/PEME</t>
  </si>
  <si>
    <t>三一绿电制氢加氢站</t>
  </si>
  <si>
    <t>三一氢能有限公司</t>
  </si>
  <si>
    <t>风光制绿氢绿氨一体化示范项目（一期）</t>
  </si>
  <si>
    <t>远景零碳技术（赤峰）有限公司</t>
  </si>
  <si>
    <t>山东高速高密服务区电解水制氢</t>
  </si>
  <si>
    <t>山东高速服务开发集团有限公司</t>
  </si>
  <si>
    <t>勃利县20万千瓦风电制氢联合运行示范项目</t>
  </si>
  <si>
    <t>七台河润沐新能源有限公司</t>
  </si>
  <si>
    <t>离网光伏电解水制绿氢系统</t>
  </si>
  <si>
    <t>苏州希倍优氢能源科技有限公司</t>
  </si>
  <si>
    <t>国华投资宁夏公司永利制氢站</t>
  </si>
  <si>
    <t>国华（宁夏）新能源有限公司</t>
  </si>
  <si>
    <t>国华投资宁夏公司清水营制氢站</t>
  </si>
  <si>
    <t>国能榆林化工甲醇下游加工分布式光伏制氢与化工装置耦合示范项目</t>
  </si>
  <si>
    <t>国能榆林化工有限公司</t>
  </si>
  <si>
    <t>华能昌黎光伏发电项目</t>
  </si>
  <si>
    <t>华能新能源股份有限公司河北分公司</t>
  </si>
  <si>
    <t>中船敦煌风光氢储试验场项目</t>
  </si>
  <si>
    <t>中国船舶集团风电发展有限公司</t>
  </si>
  <si>
    <t>珠海工业级海上风电制氢示范项目</t>
  </si>
  <si>
    <t>清华大学深圳国际研究生院，捷方新能源科技（江苏）有限公司</t>
  </si>
  <si>
    <t>光伏离网制氢项目</t>
  </si>
  <si>
    <t>大兴国际氢能产业园智寰（北京）氢能科技有限公司</t>
  </si>
  <si>
    <t>山东港口渤海湾港潍坊港区制氢站</t>
  </si>
  <si>
    <t>山东港口潍坊港</t>
  </si>
  <si>
    <t>兰石氢能产业试验示范基地</t>
  </si>
  <si>
    <t>兰州兰石集团有限公司</t>
  </si>
  <si>
    <t>零碳氢储源网荷储一体化示范项目</t>
  </si>
  <si>
    <t>嘉定氢能港</t>
  </si>
  <si>
    <t>450m³高炉富氢冶炼工业化应用示范项目</t>
  </si>
  <si>
    <t>昌黎县兴国精密机件有限公司</t>
  </si>
  <si>
    <t>大丰“风-光-氢-储综合能源系统”示范项目</t>
  </si>
  <si>
    <t>江苏国信新丰海上风力发电有限公司</t>
  </si>
  <si>
    <t>海上风电</t>
  </si>
  <si>
    <t>多伦15万千瓦风光制氢一体化示范项目</t>
  </si>
  <si>
    <t>中国大唐集团新能源股份有限公司</t>
  </si>
  <si>
    <t>海水制氢装置</t>
  </si>
  <si>
    <t>深圳氢致能源有限公司</t>
  </si>
  <si>
    <t>海上光伏</t>
  </si>
  <si>
    <t>姜桥制氢工厂</t>
  </si>
  <si>
    <t>中科院武汉岩土力学研究所、中冶武勘工程技术有限公司</t>
  </si>
  <si>
    <t>东润清能察北光伏配套制氢示范项目</t>
  </si>
  <si>
    <t>张家口市察北区清润新能源有限公司</t>
  </si>
  <si>
    <t>工厂化海水制氢科研项目</t>
  </si>
  <si>
    <t>中国石化青岛炼化</t>
  </si>
  <si>
    <t>水上光伏</t>
  </si>
  <si>
    <t>中广核可再生能源孤网海水直接制氢系统海上试验</t>
  </si>
  <si>
    <t>中国广核红海湾实验室</t>
  </si>
  <si>
    <t>中国广核集团宁东制氢站</t>
  </si>
  <si>
    <t>中广核新能源宁东有限公司</t>
  </si>
  <si>
    <t>华电山东潍坊制氢加氢一体站试点项目（一期）</t>
  </si>
  <si>
    <t>华电潍坊发电有限公司</t>
  </si>
  <si>
    <t>华能东方氢能产业园绿电制氢示范项目</t>
  </si>
  <si>
    <t>华能张掖能源有限公司</t>
  </si>
  <si>
    <t>2024E</t>
  </si>
  <si>
    <t>十四五期间</t>
  </si>
  <si>
    <t>省A</t>
    <phoneticPr fontId="6" type="noConversion"/>
  </si>
  <si>
    <t>市A</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</si>
</sst>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sz val="11"/>
      <name val="宋体"/>
      <family val="3"/>
      <charset val="134"/>
      <scheme val="minor"/>
    </font>
    <font>
      <sz val="10"/>
      <color theme="2" tint="-0.749992370372631"/>
      <name val="微软雅黑"/>
      <family val="2"/>
      <charset val="134"/>
    </font>
    <font>
      <sz val="10"/>
      <color rgb="FFFF0000"/>
      <name val="微软雅黑"/>
      <family val="2"/>
      <charset val="134"/>
    </font>
    <font>
      <b/>
      <sz val="9"/>
      <name val="宋体"/>
      <family val="3"/>
      <charset val="134"/>
    </font>
    <font>
      <sz val="9"/>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339"/>
  <sheetViews>
    <sheetView tabSelected="1" zoomScale="55" zoomScaleNormal="55" workbookViewId="0">
      <selection activeCell="J18" sqref="J18"/>
    </sheetView>
  </sheetViews>
  <sheetFormatPr defaultColWidth="9" defaultRowHeight="25.05" customHeight="1" x14ac:dyDescent="0.3"/>
  <cols>
    <col min="1" max="2" width="15.59765625" customWidth="1"/>
    <col min="3" max="3" width="45.59765625" customWidth="1"/>
    <col min="4" max="4" width="35.59765625" customWidth="1"/>
    <col min="5" max="29" width="15.59765625" customWidth="1"/>
  </cols>
  <sheetData>
    <row r="1" spans="1:29" ht="25.0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v>
      </c>
      <c r="Q1" s="3" t="s">
        <v>16</v>
      </c>
      <c r="R1" s="3" t="s">
        <v>17</v>
      </c>
      <c r="S1" s="3" t="s">
        <v>18</v>
      </c>
      <c r="T1" s="3" t="s">
        <v>19</v>
      </c>
      <c r="U1" s="3" t="s">
        <v>20</v>
      </c>
      <c r="V1" s="3" t="s">
        <v>12</v>
      </c>
      <c r="W1" s="3" t="s">
        <v>21</v>
      </c>
      <c r="X1" s="4" t="s">
        <v>22</v>
      </c>
      <c r="Y1" s="4" t="s">
        <v>23</v>
      </c>
      <c r="Z1" s="4" t="s">
        <v>24</v>
      </c>
      <c r="AA1" s="4" t="s">
        <v>25</v>
      </c>
      <c r="AB1" s="4" t="s">
        <v>26</v>
      </c>
      <c r="AC1" s="4" t="s">
        <v>27</v>
      </c>
    </row>
    <row r="2" spans="1:29" s="1" customFormat="1" ht="25.05" customHeight="1" x14ac:dyDescent="0.3">
      <c r="A2" s="3" t="s">
        <v>224</v>
      </c>
      <c r="B2" s="3" t="s">
        <v>225</v>
      </c>
      <c r="C2" s="3" t="s">
        <v>28</v>
      </c>
      <c r="D2" s="3" t="s">
        <v>29</v>
      </c>
      <c r="E2" s="3" t="s">
        <v>30</v>
      </c>
      <c r="F2" s="3" t="s">
        <v>31</v>
      </c>
      <c r="G2" s="3">
        <f ca="1">RANDBETWEEN(0,1000)</f>
        <v>92</v>
      </c>
      <c r="H2" s="3"/>
      <c r="I2" s="3">
        <f ca="1">RANDBETWEEN(0,1000)</f>
        <v>116</v>
      </c>
      <c r="J2" s="3"/>
      <c r="K2" s="3"/>
      <c r="L2" s="3"/>
      <c r="M2" s="3"/>
      <c r="N2" s="3">
        <f ca="1">RANDBETWEEN(0,10000)</f>
        <v>8428</v>
      </c>
      <c r="O2" s="3">
        <f ca="1">RANDBETWEEN(2019,2024)</f>
        <v>2021</v>
      </c>
      <c r="P2" s="3" t="s">
        <v>17</v>
      </c>
      <c r="Q2" s="3">
        <f ca="1">RANDBETWEEN(0,100)</f>
        <v>43</v>
      </c>
      <c r="R2" s="3">
        <f ca="1">RANDBETWEEN(0,100)</f>
        <v>79</v>
      </c>
      <c r="S2" s="3"/>
      <c r="T2" s="3"/>
      <c r="U2" s="3"/>
      <c r="V2" s="3"/>
      <c r="W2" s="3" t="s">
        <v>32</v>
      </c>
      <c r="X2" s="3"/>
      <c r="Y2" s="3"/>
      <c r="Z2" s="3"/>
      <c r="AA2" s="3"/>
      <c r="AB2" s="3"/>
      <c r="AC2" s="3">
        <f t="shared" ref="AC2" ca="1" si="0">RANDBETWEEN(0,100)</f>
        <v>0</v>
      </c>
    </row>
    <row r="3" spans="1:29" s="1" customFormat="1" ht="25.05" customHeight="1" x14ac:dyDescent="0.3">
      <c r="A3" s="3" t="s">
        <v>224</v>
      </c>
      <c r="B3" s="3" t="s">
        <v>225</v>
      </c>
      <c r="C3" s="3" t="s">
        <v>33</v>
      </c>
      <c r="D3" s="3" t="s">
        <v>34</v>
      </c>
      <c r="E3" s="3" t="s">
        <v>30</v>
      </c>
      <c r="F3" s="3" t="s">
        <v>35</v>
      </c>
      <c r="G3" s="3">
        <f ca="1">RANDBETWEEN(0,1000)</f>
        <v>21</v>
      </c>
      <c r="H3" s="3">
        <f ca="1">RANDBETWEEN(0,1000)</f>
        <v>549</v>
      </c>
      <c r="I3" s="3"/>
      <c r="J3" s="3"/>
      <c r="K3" s="3"/>
      <c r="L3" s="3"/>
      <c r="M3" s="3"/>
      <c r="N3" s="3">
        <f t="shared" ref="N3:N66" ca="1" si="1">RANDBETWEEN(0,10000)</f>
        <v>3569</v>
      </c>
      <c r="O3" s="3">
        <f t="shared" ref="O3:O66" ca="1" si="2">RANDBETWEEN(2019,2024)</f>
        <v>2024</v>
      </c>
      <c r="P3" s="3" t="s">
        <v>17</v>
      </c>
      <c r="Q3" s="3">
        <f t="shared" ref="Q3:S6" ca="1" si="3">RANDBETWEEN(0,100)</f>
        <v>14</v>
      </c>
      <c r="R3" s="3">
        <f t="shared" ca="1" si="3"/>
        <v>27</v>
      </c>
      <c r="S3" s="3"/>
      <c r="T3" s="3"/>
      <c r="U3" s="3"/>
      <c r="V3" s="3"/>
      <c r="W3" s="3"/>
      <c r="X3" s="3"/>
      <c r="Y3" s="3"/>
      <c r="Z3" s="3">
        <f t="shared" ref="Z3" ca="1" si="4">RANDBETWEEN(0,100)</f>
        <v>20</v>
      </c>
      <c r="AA3" s="3"/>
      <c r="AB3" s="3"/>
      <c r="AC3" s="3"/>
    </row>
    <row r="4" spans="1:29" s="1" customFormat="1" ht="25.05" customHeight="1" x14ac:dyDescent="0.3">
      <c r="A4" s="3" t="s">
        <v>224</v>
      </c>
      <c r="B4" s="3" t="s">
        <v>225</v>
      </c>
      <c r="C4" s="3" t="s">
        <v>36</v>
      </c>
      <c r="D4" s="3" t="s">
        <v>37</v>
      </c>
      <c r="E4" s="3" t="s">
        <v>38</v>
      </c>
      <c r="F4" s="3" t="s">
        <v>31</v>
      </c>
      <c r="G4" s="3"/>
      <c r="H4" s="3"/>
      <c r="I4" s="3" t="s">
        <v>39</v>
      </c>
      <c r="J4" s="3"/>
      <c r="K4" s="3"/>
      <c r="L4" s="3"/>
      <c r="M4" s="3"/>
      <c r="N4" s="3">
        <f t="shared" ca="1" si="1"/>
        <v>5406</v>
      </c>
      <c r="O4" s="3">
        <f t="shared" ca="1" si="2"/>
        <v>2024</v>
      </c>
      <c r="P4" s="3" t="s">
        <v>17</v>
      </c>
      <c r="Q4" s="3">
        <f t="shared" ca="1" si="3"/>
        <v>26</v>
      </c>
      <c r="R4" s="3">
        <f t="shared" ca="1" si="3"/>
        <v>61</v>
      </c>
      <c r="S4" s="3"/>
      <c r="T4" s="3"/>
      <c r="U4" s="3"/>
      <c r="V4" s="3"/>
      <c r="W4" s="3"/>
      <c r="X4" s="3">
        <f t="shared" ref="X4:X5" ca="1" si="5">RANDBETWEEN(0,100)</f>
        <v>92</v>
      </c>
      <c r="Y4" s="3"/>
      <c r="Z4" s="3"/>
      <c r="AA4" s="3"/>
      <c r="AB4" s="3"/>
      <c r="AC4" s="3"/>
    </row>
    <row r="5" spans="1:29" s="1" customFormat="1" ht="25.05" customHeight="1" x14ac:dyDescent="0.3">
      <c r="A5" s="3" t="s">
        <v>224</v>
      </c>
      <c r="B5" s="3" t="s">
        <v>225</v>
      </c>
      <c r="C5" s="3" t="s">
        <v>40</v>
      </c>
      <c r="D5" s="3" t="s">
        <v>41</v>
      </c>
      <c r="E5" s="3" t="s">
        <v>38</v>
      </c>
      <c r="F5" s="3" t="s">
        <v>42</v>
      </c>
      <c r="G5" s="3"/>
      <c r="H5" s="3"/>
      <c r="I5" s="3"/>
      <c r="J5" s="3" t="s">
        <v>39</v>
      </c>
      <c r="K5" s="3"/>
      <c r="L5" s="3"/>
      <c r="M5" s="3"/>
      <c r="N5" s="3">
        <f t="shared" ca="1" si="1"/>
        <v>1057</v>
      </c>
      <c r="O5" s="3">
        <f t="shared" ca="1" si="2"/>
        <v>2024</v>
      </c>
      <c r="P5" s="3" t="s">
        <v>17</v>
      </c>
      <c r="Q5" s="3">
        <f t="shared" ca="1" si="3"/>
        <v>81</v>
      </c>
      <c r="R5" s="3">
        <f t="shared" ca="1" si="3"/>
        <v>95</v>
      </c>
      <c r="S5" s="3"/>
      <c r="T5" s="3"/>
      <c r="U5" s="3"/>
      <c r="V5" s="3"/>
      <c r="W5" s="3"/>
      <c r="X5" s="3">
        <f t="shared" ca="1" si="5"/>
        <v>5</v>
      </c>
      <c r="Y5" s="3"/>
      <c r="Z5" s="3"/>
      <c r="AA5" s="3"/>
      <c r="AB5" s="3"/>
      <c r="AC5" s="3"/>
    </row>
    <row r="6" spans="1:29" s="1" customFormat="1" ht="25.05" customHeight="1" x14ac:dyDescent="0.3">
      <c r="A6" s="3" t="s">
        <v>224</v>
      </c>
      <c r="B6" s="3" t="s">
        <v>225</v>
      </c>
      <c r="C6" s="3" t="s">
        <v>43</v>
      </c>
      <c r="D6" s="3" t="s">
        <v>44</v>
      </c>
      <c r="E6" s="3" t="s">
        <v>30</v>
      </c>
      <c r="F6" s="3" t="s">
        <v>35</v>
      </c>
      <c r="G6" s="3">
        <f ca="1">RANDBETWEEN(0,1000)</f>
        <v>587</v>
      </c>
      <c r="H6" s="3">
        <f ca="1">RANDBETWEEN(0,1000)</f>
        <v>813</v>
      </c>
      <c r="I6" s="3"/>
      <c r="J6" s="3"/>
      <c r="K6" s="3"/>
      <c r="L6" s="3"/>
      <c r="M6" s="3"/>
      <c r="N6" s="3">
        <f t="shared" ca="1" si="1"/>
        <v>1119</v>
      </c>
      <c r="O6" s="3">
        <f t="shared" ca="1" si="2"/>
        <v>2022</v>
      </c>
      <c r="P6" s="3" t="s">
        <v>18</v>
      </c>
      <c r="Q6" s="3">
        <f t="shared" ref="Q6:S68" ca="1" si="6">RANDBETWEEN(0,100)</f>
        <v>18</v>
      </c>
      <c r="R6" s="3"/>
      <c r="S6" s="3">
        <f t="shared" ca="1" si="3"/>
        <v>86</v>
      </c>
      <c r="T6" s="3"/>
      <c r="U6" s="3"/>
      <c r="V6" s="3"/>
      <c r="W6" s="3" t="s">
        <v>32</v>
      </c>
      <c r="X6" s="3"/>
      <c r="Y6" s="3"/>
      <c r="Z6" s="3"/>
      <c r="AA6" s="3"/>
      <c r="AB6" s="3"/>
      <c r="AC6" s="3">
        <f t="shared" ref="AC6:AC8" ca="1" si="7">RANDBETWEEN(0,100)</f>
        <v>85</v>
      </c>
    </row>
    <row r="7" spans="1:29" s="1" customFormat="1" ht="25.05" hidden="1" customHeight="1" x14ac:dyDescent="0.3">
      <c r="A7" s="3" t="s">
        <v>224</v>
      </c>
      <c r="B7" s="3"/>
      <c r="C7" s="3" t="s">
        <v>45</v>
      </c>
      <c r="D7" s="3" t="s">
        <v>46</v>
      </c>
      <c r="E7" s="3" t="s">
        <v>30</v>
      </c>
      <c r="F7" s="3" t="s">
        <v>35</v>
      </c>
      <c r="G7" s="3">
        <f t="shared" ref="G7:I41" ca="1" si="8">RANDBETWEEN(0,1000)</f>
        <v>415</v>
      </c>
      <c r="H7" s="3">
        <f t="shared" ca="1" si="8"/>
        <v>992</v>
      </c>
      <c r="I7" s="3"/>
      <c r="J7" s="3"/>
      <c r="K7" s="3"/>
      <c r="L7" s="3"/>
      <c r="M7" s="3"/>
      <c r="N7" s="3">
        <f t="shared" ca="1" si="1"/>
        <v>5572</v>
      </c>
      <c r="O7" s="3">
        <f t="shared" ca="1" si="2"/>
        <v>2024</v>
      </c>
      <c r="P7" s="3" t="s">
        <v>19</v>
      </c>
      <c r="Q7" s="3">
        <f t="shared" ca="1" si="6"/>
        <v>70</v>
      </c>
      <c r="R7" s="3"/>
      <c r="S7" s="3"/>
      <c r="T7" s="3">
        <f t="shared" ref="T7" ca="1" si="9">RANDBETWEEN(0,100)</f>
        <v>10</v>
      </c>
      <c r="U7" s="3"/>
      <c r="V7" s="3"/>
      <c r="W7" s="3"/>
      <c r="X7" s="3"/>
      <c r="Y7" s="3"/>
      <c r="Z7" s="3"/>
      <c r="AA7" s="3"/>
      <c r="AB7" s="3"/>
      <c r="AC7" s="3">
        <f t="shared" ca="1" si="7"/>
        <v>75</v>
      </c>
    </row>
    <row r="8" spans="1:29" s="1" customFormat="1" ht="25.05" hidden="1" customHeight="1" x14ac:dyDescent="0.3">
      <c r="A8" s="3" t="s">
        <v>224</v>
      </c>
      <c r="B8" s="3"/>
      <c r="C8" s="3" t="s">
        <v>47</v>
      </c>
      <c r="D8" s="3" t="s">
        <v>46</v>
      </c>
      <c r="E8" s="3" t="s">
        <v>30</v>
      </c>
      <c r="F8" s="3" t="s">
        <v>35</v>
      </c>
      <c r="G8" s="3">
        <f t="shared" ca="1" si="8"/>
        <v>107</v>
      </c>
      <c r="H8" s="3">
        <f t="shared" ca="1" si="8"/>
        <v>522</v>
      </c>
      <c r="I8" s="3"/>
      <c r="J8" s="3"/>
      <c r="K8" s="3"/>
      <c r="L8" s="3"/>
      <c r="M8" s="3"/>
      <c r="N8" s="3">
        <f t="shared" ca="1" si="1"/>
        <v>2150</v>
      </c>
      <c r="O8" s="3">
        <f t="shared" ca="1" si="2"/>
        <v>2021</v>
      </c>
      <c r="P8" s="3" t="s">
        <v>17</v>
      </c>
      <c r="Q8" s="3">
        <f t="shared" ca="1" si="6"/>
        <v>66</v>
      </c>
      <c r="R8" s="3">
        <f t="shared" ca="1" si="6"/>
        <v>24</v>
      </c>
      <c r="S8" s="3"/>
      <c r="T8" s="3"/>
      <c r="U8" s="3"/>
      <c r="V8" s="3"/>
      <c r="W8" s="3"/>
      <c r="X8" s="3"/>
      <c r="Y8" s="3"/>
      <c r="Z8" s="3"/>
      <c r="AA8" s="3"/>
      <c r="AB8" s="3"/>
      <c r="AC8" s="3">
        <f t="shared" ca="1" si="7"/>
        <v>34</v>
      </c>
    </row>
    <row r="9" spans="1:29" s="1" customFormat="1" ht="25.05" customHeight="1" x14ac:dyDescent="0.3">
      <c r="A9" s="3" t="s">
        <v>224</v>
      </c>
      <c r="B9" s="3" t="s">
        <v>225</v>
      </c>
      <c r="C9" s="3" t="s">
        <v>48</v>
      </c>
      <c r="D9" s="3" t="s">
        <v>49</v>
      </c>
      <c r="E9" s="3" t="s">
        <v>38</v>
      </c>
      <c r="F9" s="3" t="s">
        <v>31</v>
      </c>
      <c r="G9" s="3">
        <f t="shared" ca="1" si="8"/>
        <v>903</v>
      </c>
      <c r="H9" s="3"/>
      <c r="I9" s="3">
        <f ca="1">RANDBETWEEN(0,1000)</f>
        <v>729</v>
      </c>
      <c r="J9" s="3"/>
      <c r="K9" s="3"/>
      <c r="L9" s="3"/>
      <c r="M9" s="3"/>
      <c r="N9" s="3">
        <f t="shared" ca="1" si="1"/>
        <v>5667</v>
      </c>
      <c r="O9" s="3">
        <f t="shared" ca="1" si="2"/>
        <v>2021</v>
      </c>
      <c r="P9" s="3" t="s">
        <v>17</v>
      </c>
      <c r="Q9" s="3">
        <f t="shared" ca="1" si="6"/>
        <v>65</v>
      </c>
      <c r="R9" s="3">
        <f t="shared" ca="1" si="6"/>
        <v>14</v>
      </c>
      <c r="S9" s="3"/>
      <c r="T9" s="3"/>
      <c r="U9" s="3"/>
      <c r="V9" s="3"/>
      <c r="W9" s="3"/>
      <c r="X9" s="3">
        <f t="shared" ref="X9" ca="1" si="10">RANDBETWEEN(0,100)</f>
        <v>7</v>
      </c>
      <c r="Y9" s="3"/>
      <c r="Z9" s="3"/>
      <c r="AA9" s="3"/>
      <c r="AB9" s="3"/>
      <c r="AC9" s="3"/>
    </row>
    <row r="10" spans="1:29" s="1" customFormat="1" ht="25.05" customHeight="1" x14ac:dyDescent="0.3">
      <c r="A10" s="3" t="s">
        <v>224</v>
      </c>
      <c r="B10" s="3" t="s">
        <v>225</v>
      </c>
      <c r="C10" s="3" t="s">
        <v>50</v>
      </c>
      <c r="D10" s="3" t="s">
        <v>51</v>
      </c>
      <c r="E10" s="3" t="s">
        <v>38</v>
      </c>
      <c r="F10" s="3" t="s">
        <v>35</v>
      </c>
      <c r="G10" s="3">
        <f t="shared" ca="1" si="8"/>
        <v>65</v>
      </c>
      <c r="H10" s="3">
        <f t="shared" ca="1" si="8"/>
        <v>86</v>
      </c>
      <c r="I10" s="3"/>
      <c r="J10" s="3"/>
      <c r="K10" s="3"/>
      <c r="L10" s="3"/>
      <c r="M10" s="3"/>
      <c r="N10" s="3">
        <f t="shared" ca="1" si="1"/>
        <v>2304</v>
      </c>
      <c r="O10" s="3">
        <f t="shared" ca="1" si="2"/>
        <v>2024</v>
      </c>
      <c r="P10" s="3" t="s">
        <v>17</v>
      </c>
      <c r="Q10" s="3">
        <f t="shared" ca="1" si="6"/>
        <v>10</v>
      </c>
      <c r="R10" s="3">
        <f t="shared" ca="1" si="6"/>
        <v>37</v>
      </c>
      <c r="S10" s="3"/>
      <c r="T10" s="3"/>
      <c r="U10" s="3"/>
      <c r="V10" s="3"/>
      <c r="W10" s="3" t="s">
        <v>32</v>
      </c>
      <c r="X10" s="3"/>
      <c r="Y10" s="3"/>
      <c r="Z10" s="3">
        <f t="shared" ref="Z10" ca="1" si="11">RANDBETWEEN(0,100)</f>
        <v>68</v>
      </c>
      <c r="AA10" s="3"/>
      <c r="AB10" s="3"/>
      <c r="AC10" s="3"/>
    </row>
    <row r="11" spans="1:29" s="1" customFormat="1" ht="25.05" customHeight="1" x14ac:dyDescent="0.3">
      <c r="A11" s="3" t="s">
        <v>224</v>
      </c>
      <c r="B11" s="3" t="s">
        <v>225</v>
      </c>
      <c r="C11" s="3" t="s">
        <v>52</v>
      </c>
      <c r="D11" s="3" t="s">
        <v>53</v>
      </c>
      <c r="E11" s="3" t="s">
        <v>38</v>
      </c>
      <c r="F11" s="3" t="s">
        <v>35</v>
      </c>
      <c r="G11" s="3">
        <f t="shared" ca="1" si="8"/>
        <v>5</v>
      </c>
      <c r="H11" s="3">
        <f t="shared" ca="1" si="8"/>
        <v>851</v>
      </c>
      <c r="I11" s="3"/>
      <c r="J11" s="3"/>
      <c r="K11" s="3"/>
      <c r="L11" s="3"/>
      <c r="M11" s="3"/>
      <c r="N11" s="3">
        <f t="shared" ca="1" si="1"/>
        <v>602</v>
      </c>
      <c r="O11" s="3">
        <f t="shared" ca="1" si="2"/>
        <v>2022</v>
      </c>
      <c r="P11" s="3" t="s">
        <v>17</v>
      </c>
      <c r="Q11" s="3">
        <f t="shared" ca="1" si="6"/>
        <v>9</v>
      </c>
      <c r="R11" s="3">
        <f t="shared" ca="1" si="6"/>
        <v>59</v>
      </c>
      <c r="S11" s="3"/>
      <c r="T11" s="3"/>
      <c r="U11" s="3"/>
      <c r="V11" s="3"/>
      <c r="W11" s="3"/>
      <c r="X11" s="3"/>
      <c r="Y11" s="3"/>
      <c r="Z11" s="3"/>
      <c r="AA11" s="3"/>
      <c r="AB11" s="3"/>
      <c r="AC11" s="3">
        <f t="shared" ref="AC11" ca="1" si="12">RANDBETWEEN(0,100)</f>
        <v>98</v>
      </c>
    </row>
    <row r="12" spans="1:29" s="1" customFormat="1" ht="25.05" customHeight="1" x14ac:dyDescent="0.3">
      <c r="A12" s="3" t="s">
        <v>224</v>
      </c>
      <c r="B12" s="3" t="s">
        <v>225</v>
      </c>
      <c r="C12" s="3" t="s">
        <v>54</v>
      </c>
      <c r="D12" s="3" t="s">
        <v>55</v>
      </c>
      <c r="E12" s="3" t="s">
        <v>38</v>
      </c>
      <c r="F12" s="3" t="s">
        <v>35</v>
      </c>
      <c r="G12" s="3">
        <f t="shared" ca="1" si="8"/>
        <v>427</v>
      </c>
      <c r="H12" s="3">
        <f t="shared" ca="1" si="8"/>
        <v>421</v>
      </c>
      <c r="I12" s="3"/>
      <c r="J12" s="3"/>
      <c r="K12" s="3"/>
      <c r="L12" s="3"/>
      <c r="M12" s="3"/>
      <c r="N12" s="3">
        <f t="shared" ca="1" si="1"/>
        <v>1730</v>
      </c>
      <c r="O12" s="3">
        <f t="shared" ca="1" si="2"/>
        <v>2020</v>
      </c>
      <c r="P12" s="3" t="s">
        <v>17</v>
      </c>
      <c r="Q12" s="3">
        <f t="shared" ca="1" si="6"/>
        <v>55</v>
      </c>
      <c r="R12" s="3">
        <f t="shared" ca="1" si="6"/>
        <v>81</v>
      </c>
      <c r="S12" s="3"/>
      <c r="T12" s="3"/>
      <c r="U12" s="3"/>
      <c r="V12" s="3"/>
      <c r="W12" s="3" t="s">
        <v>32</v>
      </c>
      <c r="X12" s="3">
        <f t="shared" ref="X12" ca="1" si="13">RANDBETWEEN(0,100)</f>
        <v>42</v>
      </c>
      <c r="Y12" s="3"/>
      <c r="Z12" s="3"/>
      <c r="AA12" s="3"/>
      <c r="AB12" s="3"/>
      <c r="AC12" s="3"/>
    </row>
    <row r="13" spans="1:29" s="1" customFormat="1" ht="25.05" customHeight="1" x14ac:dyDescent="0.3">
      <c r="A13" s="3" t="s">
        <v>224</v>
      </c>
      <c r="B13" s="3" t="s">
        <v>225</v>
      </c>
      <c r="C13" s="3" t="s">
        <v>56</v>
      </c>
      <c r="D13" s="3" t="s">
        <v>57</v>
      </c>
      <c r="E13" s="3" t="s">
        <v>30</v>
      </c>
      <c r="F13" s="3" t="s">
        <v>35</v>
      </c>
      <c r="G13" s="3">
        <f t="shared" ca="1" si="8"/>
        <v>754</v>
      </c>
      <c r="H13" s="3">
        <f t="shared" ca="1" si="8"/>
        <v>760</v>
      </c>
      <c r="I13" s="3"/>
      <c r="J13" s="3"/>
      <c r="K13" s="3"/>
      <c r="L13" s="3"/>
      <c r="M13" s="3"/>
      <c r="N13" s="3">
        <f t="shared" ca="1" si="1"/>
        <v>6211</v>
      </c>
      <c r="O13" s="3">
        <f t="shared" ca="1" si="2"/>
        <v>2019</v>
      </c>
      <c r="P13" s="3" t="s">
        <v>18</v>
      </c>
      <c r="Q13" s="3">
        <f t="shared" ca="1" si="6"/>
        <v>81</v>
      </c>
      <c r="R13" s="3"/>
      <c r="S13" s="3">
        <f t="shared" ref="S13" ca="1" si="14">RANDBETWEEN(0,100)</f>
        <v>51</v>
      </c>
      <c r="T13" s="3"/>
      <c r="U13" s="3"/>
      <c r="V13" s="3"/>
      <c r="W13" s="3"/>
      <c r="X13" s="3"/>
      <c r="Y13" s="3"/>
      <c r="Z13" s="3"/>
      <c r="AA13" s="3"/>
      <c r="AB13" s="3"/>
      <c r="AC13" s="3">
        <f t="shared" ref="AC13" ca="1" si="15">RANDBETWEEN(0,100)</f>
        <v>90</v>
      </c>
    </row>
    <row r="14" spans="1:29" s="1" customFormat="1" ht="25.05" customHeight="1" x14ac:dyDescent="0.3">
      <c r="A14" s="3" t="s">
        <v>224</v>
      </c>
      <c r="B14" s="3" t="s">
        <v>225</v>
      </c>
      <c r="C14" s="3" t="s">
        <v>58</v>
      </c>
      <c r="D14" s="3" t="s">
        <v>59</v>
      </c>
      <c r="E14" s="3" t="s">
        <v>38</v>
      </c>
      <c r="F14" s="3" t="s">
        <v>42</v>
      </c>
      <c r="G14" s="3">
        <f t="shared" ca="1" si="8"/>
        <v>483</v>
      </c>
      <c r="H14" s="3">
        <f t="shared" ca="1" si="8"/>
        <v>942</v>
      </c>
      <c r="I14" s="3">
        <f ca="1">RANDBETWEEN(0,1000)</f>
        <v>40</v>
      </c>
      <c r="J14" s="3"/>
      <c r="K14" s="3"/>
      <c r="L14" s="3"/>
      <c r="M14" s="3"/>
      <c r="N14" s="3">
        <f t="shared" ca="1" si="1"/>
        <v>2630</v>
      </c>
      <c r="O14" s="3">
        <f t="shared" ca="1" si="2"/>
        <v>2024</v>
      </c>
      <c r="P14" s="3" t="s">
        <v>17</v>
      </c>
      <c r="Q14" s="3">
        <f t="shared" ca="1" si="6"/>
        <v>99</v>
      </c>
      <c r="R14" s="3">
        <f t="shared" ca="1" si="6"/>
        <v>81</v>
      </c>
      <c r="S14" s="3"/>
      <c r="T14" s="3"/>
      <c r="U14" s="3"/>
      <c r="V14" s="3"/>
      <c r="W14" s="3"/>
      <c r="X14" s="3">
        <f t="shared" ref="X14" ca="1" si="16">RANDBETWEEN(0,100)</f>
        <v>70</v>
      </c>
      <c r="Y14" s="3"/>
      <c r="Z14" s="3"/>
      <c r="AA14" s="3"/>
      <c r="AB14" s="3"/>
      <c r="AC14" s="3"/>
    </row>
    <row r="15" spans="1:29" s="1" customFormat="1" ht="25.05" customHeight="1" x14ac:dyDescent="0.3">
      <c r="A15" s="3" t="s">
        <v>224</v>
      </c>
      <c r="B15" s="3" t="s">
        <v>225</v>
      </c>
      <c r="C15" s="3" t="s">
        <v>60</v>
      </c>
      <c r="D15" s="3" t="s">
        <v>61</v>
      </c>
      <c r="E15" s="3" t="s">
        <v>38</v>
      </c>
      <c r="F15" s="3" t="s">
        <v>62</v>
      </c>
      <c r="G15" s="3"/>
      <c r="H15" s="3"/>
      <c r="I15" s="3"/>
      <c r="J15" s="3"/>
      <c r="K15" s="3" t="s">
        <v>39</v>
      </c>
      <c r="L15" s="3"/>
      <c r="M15" s="3"/>
      <c r="N15" s="3">
        <f t="shared" ca="1" si="1"/>
        <v>3584</v>
      </c>
      <c r="O15" s="3">
        <f t="shared" ca="1" si="2"/>
        <v>2023</v>
      </c>
      <c r="P15" s="3" t="s">
        <v>17</v>
      </c>
      <c r="Q15" s="3">
        <f t="shared" ca="1" si="6"/>
        <v>8</v>
      </c>
      <c r="R15" s="3">
        <f t="shared" ca="1" si="6"/>
        <v>92</v>
      </c>
      <c r="S15" s="3"/>
      <c r="T15" s="3"/>
      <c r="U15" s="3"/>
      <c r="V15" s="3"/>
      <c r="W15" s="3"/>
      <c r="X15" s="3"/>
      <c r="Y15" s="3"/>
      <c r="Z15" s="3"/>
      <c r="AA15" s="3"/>
      <c r="AB15" s="3"/>
      <c r="AC15" s="3">
        <f t="shared" ref="AC15" ca="1" si="17">RANDBETWEEN(0,100)</f>
        <v>57</v>
      </c>
    </row>
    <row r="16" spans="1:29" s="1" customFormat="1" ht="25.05" hidden="1" customHeight="1" x14ac:dyDescent="0.3">
      <c r="A16" s="3" t="s">
        <v>224</v>
      </c>
      <c r="B16" s="3"/>
      <c r="C16" s="3" t="s">
        <v>63</v>
      </c>
      <c r="D16" s="3" t="s">
        <v>64</v>
      </c>
      <c r="E16" s="3" t="s">
        <v>30</v>
      </c>
      <c r="F16" s="3" t="s">
        <v>42</v>
      </c>
      <c r="G16" s="3">
        <f t="shared" ca="1" si="8"/>
        <v>702</v>
      </c>
      <c r="H16" s="3"/>
      <c r="I16" s="3"/>
      <c r="J16" s="3">
        <f t="shared" ref="J16" ca="1" si="18">RANDBETWEEN(0,1000)</f>
        <v>978</v>
      </c>
      <c r="K16" s="3"/>
      <c r="L16" s="3"/>
      <c r="M16" s="3"/>
      <c r="N16" s="3">
        <f t="shared" ca="1" si="1"/>
        <v>3880</v>
      </c>
      <c r="O16" s="3">
        <f t="shared" ca="1" si="2"/>
        <v>2020</v>
      </c>
      <c r="P16" s="3" t="s">
        <v>18</v>
      </c>
      <c r="Q16" s="3">
        <f t="shared" ca="1" si="6"/>
        <v>82</v>
      </c>
      <c r="R16" s="3"/>
      <c r="S16" s="3">
        <f t="shared" ref="S16" ca="1" si="19">RANDBETWEEN(0,100)</f>
        <v>31</v>
      </c>
      <c r="T16" s="3"/>
      <c r="U16" s="3"/>
      <c r="V16" s="3"/>
      <c r="W16" s="3" t="s">
        <v>32</v>
      </c>
      <c r="X16" s="3">
        <f t="shared" ref="X16" ca="1" si="20">RANDBETWEEN(0,100)</f>
        <v>11</v>
      </c>
      <c r="Y16" s="3"/>
      <c r="Z16" s="3"/>
      <c r="AA16" s="3"/>
      <c r="AB16" s="3"/>
      <c r="AC16" s="3"/>
    </row>
    <row r="17" spans="1:29" s="1" customFormat="1" ht="25.05" customHeight="1" x14ac:dyDescent="0.3">
      <c r="A17" s="3" t="s">
        <v>224</v>
      </c>
      <c r="B17" s="3" t="s">
        <v>225</v>
      </c>
      <c r="C17" s="3" t="s">
        <v>65</v>
      </c>
      <c r="D17" s="3" t="s">
        <v>51</v>
      </c>
      <c r="E17" s="3" t="s">
        <v>38</v>
      </c>
      <c r="F17" s="3" t="s">
        <v>35</v>
      </c>
      <c r="G17" s="3">
        <f t="shared" ca="1" si="8"/>
        <v>975</v>
      </c>
      <c r="H17" s="3">
        <f t="shared" ca="1" si="8"/>
        <v>851</v>
      </c>
      <c r="I17" s="3"/>
      <c r="J17" s="3"/>
      <c r="K17" s="3"/>
      <c r="L17" s="3"/>
      <c r="M17" s="3"/>
      <c r="N17" s="3">
        <f t="shared" ca="1" si="1"/>
        <v>8304</v>
      </c>
      <c r="O17" s="3">
        <f t="shared" ca="1" si="2"/>
        <v>2020</v>
      </c>
      <c r="P17" s="3" t="s">
        <v>17</v>
      </c>
      <c r="Q17" s="3">
        <f t="shared" ca="1" si="6"/>
        <v>26</v>
      </c>
      <c r="R17" s="3">
        <f t="shared" ca="1" si="6"/>
        <v>56</v>
      </c>
      <c r="S17" s="3"/>
      <c r="T17" s="3"/>
      <c r="U17" s="3"/>
      <c r="V17" s="3"/>
      <c r="W17" s="3" t="s">
        <v>32</v>
      </c>
      <c r="X17" s="3"/>
      <c r="Y17" s="3"/>
      <c r="Z17" s="3">
        <f t="shared" ref="Z17" ca="1" si="21">RANDBETWEEN(0,100)</f>
        <v>34</v>
      </c>
      <c r="AA17" s="3"/>
      <c r="AB17" s="3"/>
      <c r="AC17" s="3"/>
    </row>
    <row r="18" spans="1:29" s="1" customFormat="1" ht="25.05" customHeight="1" x14ac:dyDescent="0.3">
      <c r="A18" s="3" t="s">
        <v>224</v>
      </c>
      <c r="B18" s="3" t="s">
        <v>225</v>
      </c>
      <c r="C18" s="3" t="s">
        <v>66</v>
      </c>
      <c r="D18" s="3" t="s">
        <v>67</v>
      </c>
      <c r="E18" s="3" t="s">
        <v>38</v>
      </c>
      <c r="F18" s="3" t="s">
        <v>31</v>
      </c>
      <c r="G18" s="3">
        <f t="shared" ca="1" si="8"/>
        <v>303</v>
      </c>
      <c r="H18" s="3"/>
      <c r="I18" s="3">
        <f ca="1">RANDBETWEEN(0,1000)</f>
        <v>451</v>
      </c>
      <c r="J18" s="3"/>
      <c r="K18" s="3"/>
      <c r="L18" s="3"/>
      <c r="M18" s="3"/>
      <c r="N18" s="3">
        <f t="shared" ca="1" si="1"/>
        <v>3159</v>
      </c>
      <c r="O18" s="3">
        <f t="shared" ca="1" si="2"/>
        <v>2021</v>
      </c>
      <c r="P18" s="3" t="s">
        <v>17</v>
      </c>
      <c r="Q18" s="3">
        <f t="shared" ca="1" si="6"/>
        <v>1</v>
      </c>
      <c r="R18" s="3">
        <f t="shared" ca="1" si="6"/>
        <v>36</v>
      </c>
      <c r="S18" s="3"/>
      <c r="T18" s="3"/>
      <c r="U18" s="3"/>
      <c r="V18" s="3"/>
      <c r="W18" s="3"/>
      <c r="X18" s="3">
        <f t="shared" ref="X18:X19" ca="1" si="22">RANDBETWEEN(0,100)</f>
        <v>96</v>
      </c>
      <c r="Y18" s="3"/>
      <c r="Z18" s="3"/>
      <c r="AA18" s="3"/>
      <c r="AB18" s="3"/>
      <c r="AC18" s="3"/>
    </row>
    <row r="19" spans="1:29" s="1" customFormat="1" ht="25.05" customHeight="1" x14ac:dyDescent="0.3">
      <c r="A19" s="3" t="s">
        <v>224</v>
      </c>
      <c r="B19" s="3" t="s">
        <v>225</v>
      </c>
      <c r="C19" s="3" t="s">
        <v>68</v>
      </c>
      <c r="D19" s="3" t="s">
        <v>69</v>
      </c>
      <c r="E19" s="3" t="s">
        <v>38</v>
      </c>
      <c r="F19" s="3" t="s">
        <v>35</v>
      </c>
      <c r="G19" s="3">
        <f t="shared" ca="1" si="8"/>
        <v>468</v>
      </c>
      <c r="H19" s="3">
        <f t="shared" ca="1" si="8"/>
        <v>380</v>
      </c>
      <c r="I19" s="3"/>
      <c r="J19" s="3"/>
      <c r="K19" s="3"/>
      <c r="L19" s="3"/>
      <c r="M19" s="3"/>
      <c r="N19" s="3">
        <f t="shared" ca="1" si="1"/>
        <v>1038</v>
      </c>
      <c r="O19" s="3">
        <f t="shared" ca="1" si="2"/>
        <v>2023</v>
      </c>
      <c r="P19" s="3" t="s">
        <v>18</v>
      </c>
      <c r="Q19" s="3">
        <f t="shared" ca="1" si="6"/>
        <v>74</v>
      </c>
      <c r="R19" s="3"/>
      <c r="S19" s="3">
        <f t="shared" ref="S19:S20" ca="1" si="23">RANDBETWEEN(0,100)</f>
        <v>35</v>
      </c>
      <c r="T19" s="3"/>
      <c r="U19" s="3"/>
      <c r="V19" s="3"/>
      <c r="W19" s="3"/>
      <c r="X19" s="3">
        <f t="shared" ca="1" si="22"/>
        <v>89</v>
      </c>
      <c r="Y19" s="3"/>
      <c r="Z19" s="3"/>
      <c r="AA19" s="3"/>
      <c r="AB19" s="3"/>
      <c r="AC19" s="3"/>
    </row>
    <row r="20" spans="1:29" s="1" customFormat="1" ht="25.05" customHeight="1" x14ac:dyDescent="0.3">
      <c r="A20" s="3" t="s">
        <v>224</v>
      </c>
      <c r="B20" s="3" t="s">
        <v>225</v>
      </c>
      <c r="C20" s="3" t="s">
        <v>70</v>
      </c>
      <c r="D20" s="3" t="s">
        <v>71</v>
      </c>
      <c r="E20" s="3" t="s">
        <v>38</v>
      </c>
      <c r="F20" s="3" t="s">
        <v>31</v>
      </c>
      <c r="G20" s="3">
        <f t="shared" ca="1" si="8"/>
        <v>797</v>
      </c>
      <c r="H20" s="3"/>
      <c r="I20" s="3">
        <f ca="1">RANDBETWEEN(0,1000)</f>
        <v>410</v>
      </c>
      <c r="J20" s="3"/>
      <c r="K20" s="3"/>
      <c r="L20" s="3"/>
      <c r="M20" s="3"/>
      <c r="N20" s="3">
        <f t="shared" ca="1" si="1"/>
        <v>5693</v>
      </c>
      <c r="O20" s="3">
        <f t="shared" ca="1" si="2"/>
        <v>2021</v>
      </c>
      <c r="P20" s="3" t="s">
        <v>18</v>
      </c>
      <c r="Q20" s="3">
        <f t="shared" ca="1" si="6"/>
        <v>96</v>
      </c>
      <c r="R20" s="3"/>
      <c r="S20" s="3">
        <f t="shared" ca="1" si="23"/>
        <v>80</v>
      </c>
      <c r="T20" s="3"/>
      <c r="U20" s="3"/>
      <c r="V20" s="3"/>
      <c r="W20" s="3" t="s">
        <v>72</v>
      </c>
      <c r="X20" s="3"/>
      <c r="Y20" s="3"/>
      <c r="Z20" s="3"/>
      <c r="AA20" s="3"/>
      <c r="AB20" s="3"/>
      <c r="AC20" s="3">
        <f t="shared" ref="AC20" ca="1" si="24">RANDBETWEEN(0,100)</f>
        <v>58</v>
      </c>
    </row>
    <row r="21" spans="1:29" s="1" customFormat="1" ht="25.05" customHeight="1" x14ac:dyDescent="0.3">
      <c r="A21" s="3" t="s">
        <v>224</v>
      </c>
      <c r="B21" s="3" t="s">
        <v>225</v>
      </c>
      <c r="C21" s="3" t="s">
        <v>73</v>
      </c>
      <c r="D21" s="3" t="s">
        <v>74</v>
      </c>
      <c r="E21" s="3" t="s">
        <v>38</v>
      </c>
      <c r="F21" s="3" t="s">
        <v>35</v>
      </c>
      <c r="G21" s="3"/>
      <c r="H21" s="3">
        <f t="shared" ca="1" si="8"/>
        <v>305</v>
      </c>
      <c r="I21" s="3"/>
      <c r="J21" s="3"/>
      <c r="K21" s="3"/>
      <c r="L21" s="3"/>
      <c r="M21" s="3"/>
      <c r="N21" s="3"/>
      <c r="O21" s="3">
        <f t="shared" ca="1" si="2"/>
        <v>2021</v>
      </c>
      <c r="P21" s="3" t="s">
        <v>17</v>
      </c>
      <c r="Q21" s="3"/>
      <c r="R21" s="3" t="s">
        <v>39</v>
      </c>
      <c r="S21" s="3"/>
      <c r="T21" s="3"/>
      <c r="U21" s="3"/>
      <c r="V21" s="3"/>
      <c r="W21" s="3"/>
      <c r="X21" s="3"/>
      <c r="Y21" s="3"/>
      <c r="Z21" s="3"/>
      <c r="AA21" s="3"/>
      <c r="AB21" s="3"/>
      <c r="AC21" s="3" t="s">
        <v>39</v>
      </c>
    </row>
    <row r="22" spans="1:29" s="1" customFormat="1" ht="25.05" customHeight="1" x14ac:dyDescent="0.3">
      <c r="A22" s="3" t="s">
        <v>224</v>
      </c>
      <c r="B22" s="3" t="s">
        <v>225</v>
      </c>
      <c r="C22" s="3" t="s">
        <v>75</v>
      </c>
      <c r="D22" s="3" t="s">
        <v>76</v>
      </c>
      <c r="E22" s="3" t="s">
        <v>38</v>
      </c>
      <c r="F22" s="3" t="s">
        <v>35</v>
      </c>
      <c r="G22" s="3">
        <f t="shared" ca="1" si="8"/>
        <v>157</v>
      </c>
      <c r="H22" s="3">
        <f t="shared" ca="1" si="8"/>
        <v>650</v>
      </c>
      <c r="I22" s="3"/>
      <c r="J22" s="3"/>
      <c r="K22" s="3"/>
      <c r="L22" s="3"/>
      <c r="M22" s="3"/>
      <c r="N22" s="3">
        <f t="shared" ca="1" si="1"/>
        <v>8740</v>
      </c>
      <c r="O22" s="3">
        <f t="shared" ca="1" si="2"/>
        <v>2023</v>
      </c>
      <c r="P22" s="3" t="s">
        <v>17</v>
      </c>
      <c r="Q22" s="3">
        <f t="shared" ca="1" si="6"/>
        <v>76</v>
      </c>
      <c r="R22" s="3">
        <f t="shared" ca="1" si="6"/>
        <v>67</v>
      </c>
      <c r="S22" s="3"/>
      <c r="T22" s="3"/>
      <c r="U22" s="3"/>
      <c r="V22" s="3"/>
      <c r="W22" s="3" t="s">
        <v>32</v>
      </c>
      <c r="X22" s="3"/>
      <c r="Y22" s="3"/>
      <c r="Z22" s="3"/>
      <c r="AA22" s="3"/>
      <c r="AB22" s="3"/>
      <c r="AC22" s="3">
        <f t="shared" ref="AC22:AC23" ca="1" si="25">RANDBETWEEN(0,100)</f>
        <v>49</v>
      </c>
    </row>
    <row r="23" spans="1:29" s="1" customFormat="1" ht="25.05" customHeight="1" x14ac:dyDescent="0.3">
      <c r="A23" s="3" t="s">
        <v>224</v>
      </c>
      <c r="B23" s="3" t="s">
        <v>225</v>
      </c>
      <c r="C23" s="3" t="s">
        <v>77</v>
      </c>
      <c r="D23" s="3" t="s">
        <v>78</v>
      </c>
      <c r="E23" s="3" t="s">
        <v>38</v>
      </c>
      <c r="F23" s="3" t="s">
        <v>35</v>
      </c>
      <c r="G23" s="3">
        <f t="shared" ca="1" si="8"/>
        <v>556</v>
      </c>
      <c r="H23" s="3">
        <f t="shared" ca="1" si="8"/>
        <v>683</v>
      </c>
      <c r="I23" s="3"/>
      <c r="J23" s="3"/>
      <c r="K23" s="3"/>
      <c r="L23" s="3"/>
      <c r="M23" s="3"/>
      <c r="N23" s="3">
        <f t="shared" ca="1" si="1"/>
        <v>6881</v>
      </c>
      <c r="O23" s="3">
        <f t="shared" ca="1" si="2"/>
        <v>2020</v>
      </c>
      <c r="P23" s="3" t="s">
        <v>17</v>
      </c>
      <c r="Q23" s="3">
        <f t="shared" ca="1" si="6"/>
        <v>41</v>
      </c>
      <c r="R23" s="3">
        <f t="shared" ca="1" si="6"/>
        <v>21</v>
      </c>
      <c r="S23" s="3"/>
      <c r="T23" s="3"/>
      <c r="U23" s="3"/>
      <c r="V23" s="3"/>
      <c r="W23" s="3"/>
      <c r="X23" s="3"/>
      <c r="Y23" s="3"/>
      <c r="Z23" s="3"/>
      <c r="AA23" s="3"/>
      <c r="AB23" s="3"/>
      <c r="AC23" s="3">
        <f t="shared" ca="1" si="25"/>
        <v>60</v>
      </c>
    </row>
    <row r="24" spans="1:29" s="1" customFormat="1" ht="25.05" customHeight="1" x14ac:dyDescent="0.3">
      <c r="A24" s="3" t="s">
        <v>224</v>
      </c>
      <c r="B24" s="3" t="s">
        <v>225</v>
      </c>
      <c r="C24" s="3" t="s">
        <v>79</v>
      </c>
      <c r="D24" s="3" t="s">
        <v>44</v>
      </c>
      <c r="E24" s="3" t="s">
        <v>38</v>
      </c>
      <c r="F24" s="3" t="s">
        <v>42</v>
      </c>
      <c r="G24" s="3">
        <f t="shared" ca="1" si="8"/>
        <v>327</v>
      </c>
      <c r="H24" s="3">
        <f t="shared" ca="1" si="8"/>
        <v>397</v>
      </c>
      <c r="I24" s="3">
        <f ca="1">RANDBETWEEN(0,1000)</f>
        <v>648</v>
      </c>
      <c r="J24" s="3"/>
      <c r="K24" s="3"/>
      <c r="L24" s="3"/>
      <c r="M24" s="3"/>
      <c r="N24" s="3">
        <f t="shared" ca="1" si="1"/>
        <v>4713</v>
      </c>
      <c r="O24" s="3">
        <f t="shared" ca="1" si="2"/>
        <v>2021</v>
      </c>
      <c r="P24" s="3" t="s">
        <v>17</v>
      </c>
      <c r="Q24" s="3">
        <f t="shared" ca="1" si="6"/>
        <v>58</v>
      </c>
      <c r="R24" s="3">
        <f t="shared" ca="1" si="6"/>
        <v>51</v>
      </c>
      <c r="S24" s="3"/>
      <c r="T24" s="3"/>
      <c r="U24" s="3"/>
      <c r="V24" s="3"/>
      <c r="W24" s="3"/>
      <c r="X24" s="3">
        <f t="shared" ref="X24" ca="1" si="26">RANDBETWEEN(0,100)</f>
        <v>49</v>
      </c>
      <c r="Y24" s="3"/>
      <c r="Z24" s="3"/>
      <c r="AA24" s="3"/>
      <c r="AB24" s="3"/>
      <c r="AC24" s="3"/>
    </row>
    <row r="25" spans="1:29" s="1" customFormat="1" ht="25.05" customHeight="1" x14ac:dyDescent="0.3">
      <c r="A25" s="3" t="s">
        <v>224</v>
      </c>
      <c r="B25" s="3" t="s">
        <v>225</v>
      </c>
      <c r="C25" s="3" t="s">
        <v>80</v>
      </c>
      <c r="D25" s="3" t="s">
        <v>81</v>
      </c>
      <c r="E25" s="3" t="s">
        <v>30</v>
      </c>
      <c r="F25" s="3" t="s">
        <v>31</v>
      </c>
      <c r="G25" s="3">
        <f t="shared" ca="1" si="8"/>
        <v>971</v>
      </c>
      <c r="H25" s="3"/>
      <c r="I25" s="3">
        <f t="shared" ref="I25:I32" ca="1" si="27">RANDBETWEEN(0,1000)</f>
        <v>533</v>
      </c>
      <c r="J25" s="3"/>
      <c r="K25" s="3"/>
      <c r="L25" s="3"/>
      <c r="M25" s="3"/>
      <c r="N25" s="3">
        <f t="shared" ca="1" si="1"/>
        <v>1510</v>
      </c>
      <c r="O25" s="3">
        <f t="shared" ca="1" si="2"/>
        <v>2019</v>
      </c>
      <c r="P25" s="3" t="s">
        <v>17</v>
      </c>
      <c r="Q25" s="3">
        <f t="shared" ca="1" si="6"/>
        <v>48</v>
      </c>
      <c r="R25" s="3">
        <f t="shared" ca="1" si="6"/>
        <v>76</v>
      </c>
      <c r="S25" s="3"/>
      <c r="T25" s="3"/>
      <c r="U25" s="3"/>
      <c r="V25" s="3"/>
      <c r="W25" s="3"/>
      <c r="X25" s="3"/>
      <c r="Y25" s="3"/>
      <c r="Z25" s="3"/>
      <c r="AA25" s="3"/>
      <c r="AB25" s="3"/>
      <c r="AC25" s="3">
        <f t="shared" ref="AC25" ca="1" si="28">RANDBETWEEN(0,100)</f>
        <v>28</v>
      </c>
    </row>
    <row r="26" spans="1:29" s="1" customFormat="1" ht="25.05" customHeight="1" x14ac:dyDescent="0.3">
      <c r="A26" s="3" t="s">
        <v>224</v>
      </c>
      <c r="B26" s="3" t="s">
        <v>225</v>
      </c>
      <c r="C26" s="3" t="s">
        <v>82</v>
      </c>
      <c r="D26" s="3" t="s">
        <v>83</v>
      </c>
      <c r="E26" s="3" t="s">
        <v>38</v>
      </c>
      <c r="F26" s="3" t="s">
        <v>42</v>
      </c>
      <c r="G26" s="3">
        <f t="shared" ca="1" si="8"/>
        <v>398</v>
      </c>
      <c r="H26" s="3">
        <f t="shared" ca="1" si="8"/>
        <v>987</v>
      </c>
      <c r="I26" s="3">
        <f t="shared" ca="1" si="27"/>
        <v>848</v>
      </c>
      <c r="J26" s="3"/>
      <c r="K26" s="3"/>
      <c r="L26" s="3"/>
      <c r="M26" s="3"/>
      <c r="N26" s="3">
        <f t="shared" ca="1" si="1"/>
        <v>6944</v>
      </c>
      <c r="O26" s="3">
        <f t="shared" ca="1" si="2"/>
        <v>2021</v>
      </c>
      <c r="P26" s="3" t="s">
        <v>17</v>
      </c>
      <c r="Q26" s="3">
        <f t="shared" ca="1" si="6"/>
        <v>55</v>
      </c>
      <c r="R26" s="3">
        <f t="shared" ca="1" si="6"/>
        <v>96</v>
      </c>
      <c r="S26" s="3"/>
      <c r="T26" s="3"/>
      <c r="U26" s="3"/>
      <c r="V26" s="3"/>
      <c r="W26" s="3"/>
      <c r="X26" s="3">
        <f t="shared" ref="X26" ca="1" si="29">RANDBETWEEN(0,100)</f>
        <v>81</v>
      </c>
      <c r="Y26" s="3"/>
      <c r="Z26" s="3"/>
      <c r="AA26" s="3"/>
      <c r="AB26" s="3"/>
      <c r="AC26" s="3"/>
    </row>
    <row r="27" spans="1:29" s="1" customFormat="1" ht="25.05" customHeight="1" x14ac:dyDescent="0.3">
      <c r="A27" s="3" t="s">
        <v>224</v>
      </c>
      <c r="B27" s="3" t="s">
        <v>225</v>
      </c>
      <c r="C27" s="3" t="s">
        <v>84</v>
      </c>
      <c r="D27" s="3" t="s">
        <v>85</v>
      </c>
      <c r="E27" s="3" t="s">
        <v>38</v>
      </c>
      <c r="F27" s="3" t="s">
        <v>35</v>
      </c>
      <c r="G27" s="3"/>
      <c r="H27" s="3" t="s">
        <v>39</v>
      </c>
      <c r="I27" s="3"/>
      <c r="J27" s="3"/>
      <c r="K27" s="3"/>
      <c r="L27" s="3"/>
      <c r="M27" s="3"/>
      <c r="N27" s="3">
        <f t="shared" ca="1" si="1"/>
        <v>6072</v>
      </c>
      <c r="O27" s="3">
        <f t="shared" ca="1" si="2"/>
        <v>2019</v>
      </c>
      <c r="P27" s="3" t="s">
        <v>18</v>
      </c>
      <c r="Q27" s="3">
        <f t="shared" ca="1" si="6"/>
        <v>19</v>
      </c>
      <c r="R27" s="3"/>
      <c r="S27" s="3">
        <f t="shared" ref="S27:S30" ca="1" si="30">RANDBETWEEN(0,100)</f>
        <v>5</v>
      </c>
      <c r="T27" s="3"/>
      <c r="U27" s="3"/>
      <c r="V27" s="3"/>
      <c r="W27" s="3"/>
      <c r="X27" s="3"/>
      <c r="Y27" s="3"/>
      <c r="Z27" s="3"/>
      <c r="AA27" s="3"/>
      <c r="AB27" s="3"/>
      <c r="AC27" s="3">
        <f t="shared" ref="AC27" ca="1" si="31">RANDBETWEEN(0,100)</f>
        <v>72</v>
      </c>
    </row>
    <row r="28" spans="1:29" s="1" customFormat="1" ht="25.05" customHeight="1" x14ac:dyDescent="0.3">
      <c r="A28" s="3" t="s">
        <v>224</v>
      </c>
      <c r="B28" s="3" t="s">
        <v>225</v>
      </c>
      <c r="C28" s="3" t="s">
        <v>86</v>
      </c>
      <c r="D28" s="3" t="s">
        <v>87</v>
      </c>
      <c r="E28" s="3" t="s">
        <v>38</v>
      </c>
      <c r="F28" s="3" t="s">
        <v>42</v>
      </c>
      <c r="G28" s="3">
        <f t="shared" ca="1" si="8"/>
        <v>405</v>
      </c>
      <c r="H28" s="3">
        <f t="shared" ca="1" si="8"/>
        <v>3</v>
      </c>
      <c r="I28" s="3">
        <f t="shared" ca="1" si="27"/>
        <v>453</v>
      </c>
      <c r="J28" s="3"/>
      <c r="K28" s="3"/>
      <c r="L28" s="3"/>
      <c r="M28" s="3"/>
      <c r="N28" s="3">
        <f t="shared" ca="1" si="1"/>
        <v>6999</v>
      </c>
      <c r="O28" s="3">
        <f t="shared" ca="1" si="2"/>
        <v>2019</v>
      </c>
      <c r="P28" s="3" t="s">
        <v>18</v>
      </c>
      <c r="Q28" s="3">
        <f t="shared" ca="1" si="6"/>
        <v>77</v>
      </c>
      <c r="R28" s="3"/>
      <c r="S28" s="3">
        <f t="shared" ca="1" si="30"/>
        <v>5</v>
      </c>
      <c r="T28" s="3"/>
      <c r="U28" s="3"/>
      <c r="V28" s="3"/>
      <c r="W28" s="3"/>
      <c r="X28" s="3">
        <f t="shared" ref="X28:X30" ca="1" si="32">RANDBETWEEN(0,100)</f>
        <v>74</v>
      </c>
      <c r="Y28" s="3"/>
      <c r="Z28" s="3"/>
      <c r="AA28" s="3"/>
      <c r="AB28" s="3"/>
      <c r="AC28" s="3"/>
    </row>
    <row r="29" spans="1:29" s="1" customFormat="1" ht="25.05" customHeight="1" x14ac:dyDescent="0.3">
      <c r="A29" s="3" t="s">
        <v>224</v>
      </c>
      <c r="B29" s="3" t="s">
        <v>225</v>
      </c>
      <c r="C29" s="3" t="s">
        <v>88</v>
      </c>
      <c r="D29" s="3" t="s">
        <v>89</v>
      </c>
      <c r="E29" s="3" t="s">
        <v>38</v>
      </c>
      <c r="F29" s="3" t="s">
        <v>35</v>
      </c>
      <c r="G29" s="3">
        <f t="shared" ca="1" si="8"/>
        <v>125</v>
      </c>
      <c r="H29" s="3">
        <f t="shared" ca="1" si="8"/>
        <v>215</v>
      </c>
      <c r="I29" s="3"/>
      <c r="J29" s="3"/>
      <c r="K29" s="3"/>
      <c r="L29" s="3"/>
      <c r="M29" s="3"/>
      <c r="N29" s="3">
        <f t="shared" ca="1" si="1"/>
        <v>4607</v>
      </c>
      <c r="O29" s="3">
        <f t="shared" ca="1" si="2"/>
        <v>2021</v>
      </c>
      <c r="P29" s="3" t="s">
        <v>18</v>
      </c>
      <c r="Q29" s="3">
        <f t="shared" ca="1" si="6"/>
        <v>83</v>
      </c>
      <c r="R29" s="3"/>
      <c r="S29" s="3">
        <f t="shared" ca="1" si="30"/>
        <v>72</v>
      </c>
      <c r="T29" s="3"/>
      <c r="U29" s="3"/>
      <c r="V29" s="3"/>
      <c r="W29" s="3" t="s">
        <v>32</v>
      </c>
      <c r="X29" s="3">
        <f t="shared" ca="1" si="32"/>
        <v>15</v>
      </c>
      <c r="Y29" s="3"/>
      <c r="Z29" s="3"/>
      <c r="AA29" s="3"/>
      <c r="AB29" s="3"/>
      <c r="AC29" s="3"/>
    </row>
    <row r="30" spans="1:29" s="1" customFormat="1" ht="25.05" customHeight="1" x14ac:dyDescent="0.3">
      <c r="A30" s="3" t="s">
        <v>224</v>
      </c>
      <c r="B30" s="3" t="s">
        <v>225</v>
      </c>
      <c r="C30" s="3" t="s">
        <v>90</v>
      </c>
      <c r="D30" s="3" t="s">
        <v>91</v>
      </c>
      <c r="E30" s="3" t="s">
        <v>30</v>
      </c>
      <c r="F30" s="3" t="s">
        <v>42</v>
      </c>
      <c r="G30" s="3">
        <f t="shared" ca="1" si="8"/>
        <v>943</v>
      </c>
      <c r="H30" s="3">
        <f t="shared" ca="1" si="8"/>
        <v>605</v>
      </c>
      <c r="I30" s="3">
        <f t="shared" ca="1" si="27"/>
        <v>693</v>
      </c>
      <c r="J30" s="3"/>
      <c r="K30" s="3"/>
      <c r="L30" s="3"/>
      <c r="M30" s="3"/>
      <c r="N30" s="3">
        <f t="shared" ca="1" si="1"/>
        <v>4265</v>
      </c>
      <c r="O30" s="3">
        <f t="shared" ca="1" si="2"/>
        <v>2024</v>
      </c>
      <c r="P30" s="3" t="s">
        <v>18</v>
      </c>
      <c r="Q30" s="3">
        <f t="shared" ca="1" si="6"/>
        <v>80</v>
      </c>
      <c r="R30" s="3"/>
      <c r="S30" s="3">
        <f t="shared" ca="1" si="30"/>
        <v>37</v>
      </c>
      <c r="T30" s="3"/>
      <c r="U30" s="3"/>
      <c r="V30" s="3"/>
      <c r="W30" s="3"/>
      <c r="X30" s="3">
        <f t="shared" ca="1" si="32"/>
        <v>87</v>
      </c>
      <c r="Y30" s="3"/>
      <c r="Z30" s="3"/>
      <c r="AA30" s="3"/>
      <c r="AB30" s="3"/>
      <c r="AC30" s="3">
        <f t="shared" ref="AC30:AC31" ca="1" si="33">RANDBETWEEN(0,100)</f>
        <v>96</v>
      </c>
    </row>
    <row r="31" spans="1:29" s="1" customFormat="1" ht="25.05" customHeight="1" x14ac:dyDescent="0.3">
      <c r="A31" s="3" t="s">
        <v>224</v>
      </c>
      <c r="B31" s="3" t="s">
        <v>225</v>
      </c>
      <c r="C31" s="3" t="s">
        <v>92</v>
      </c>
      <c r="D31" s="3" t="s">
        <v>93</v>
      </c>
      <c r="E31" s="3" t="s">
        <v>30</v>
      </c>
      <c r="F31" s="3" t="s">
        <v>42</v>
      </c>
      <c r="G31" s="3"/>
      <c r="H31" s="3"/>
      <c r="I31" s="3"/>
      <c r="J31" s="3" t="s">
        <v>39</v>
      </c>
      <c r="K31" s="3"/>
      <c r="L31" s="3"/>
      <c r="M31" s="3"/>
      <c r="N31" s="3">
        <f t="shared" ca="1" si="1"/>
        <v>5366</v>
      </c>
      <c r="O31" s="3">
        <f t="shared" ca="1" si="2"/>
        <v>2024</v>
      </c>
      <c r="P31" s="3" t="s">
        <v>18</v>
      </c>
      <c r="Q31" s="3">
        <f t="shared" ca="1" si="6"/>
        <v>12</v>
      </c>
      <c r="R31" s="3"/>
      <c r="S31" s="3"/>
      <c r="T31" s="3"/>
      <c r="U31" s="3"/>
      <c r="V31" s="3"/>
      <c r="W31" s="3"/>
      <c r="X31" s="3"/>
      <c r="Y31" s="3"/>
      <c r="Z31" s="3"/>
      <c r="AA31" s="3"/>
      <c r="AB31" s="3"/>
      <c r="AC31" s="3">
        <f t="shared" ca="1" si="33"/>
        <v>15</v>
      </c>
    </row>
    <row r="32" spans="1:29" s="1" customFormat="1" ht="25.05" customHeight="1" x14ac:dyDescent="0.3">
      <c r="A32" s="3" t="s">
        <v>224</v>
      </c>
      <c r="B32" s="3" t="s">
        <v>225</v>
      </c>
      <c r="C32" s="3" t="s">
        <v>94</v>
      </c>
      <c r="D32" s="3" t="s">
        <v>95</v>
      </c>
      <c r="E32" s="3" t="s">
        <v>38</v>
      </c>
      <c r="F32" s="3" t="s">
        <v>31</v>
      </c>
      <c r="G32" s="3">
        <f t="shared" ca="1" si="8"/>
        <v>657</v>
      </c>
      <c r="H32" s="3"/>
      <c r="I32" s="3">
        <f t="shared" ca="1" si="27"/>
        <v>547</v>
      </c>
      <c r="J32" s="3"/>
      <c r="K32" s="3"/>
      <c r="L32" s="3"/>
      <c r="M32" s="3"/>
      <c r="N32" s="3">
        <f t="shared" ca="1" si="1"/>
        <v>9037</v>
      </c>
      <c r="O32" s="3">
        <f t="shared" ca="1" si="2"/>
        <v>2019</v>
      </c>
      <c r="P32" s="3" t="s">
        <v>17</v>
      </c>
      <c r="Q32" s="3">
        <f t="shared" ca="1" si="6"/>
        <v>5</v>
      </c>
      <c r="R32" s="3">
        <f t="shared" ca="1" si="6"/>
        <v>41</v>
      </c>
      <c r="S32" s="3"/>
      <c r="T32" s="3"/>
      <c r="U32" s="3"/>
      <c r="V32" s="3"/>
      <c r="W32" s="3"/>
      <c r="X32" s="3">
        <f t="shared" ref="X32:X33" ca="1" si="34">RANDBETWEEN(0,100)</f>
        <v>91</v>
      </c>
      <c r="Y32" s="3"/>
      <c r="Z32" s="3"/>
      <c r="AA32" s="3"/>
      <c r="AB32" s="3"/>
      <c r="AC32" s="3"/>
    </row>
    <row r="33" spans="1:29" s="1" customFormat="1" ht="25.05" customHeight="1" x14ac:dyDescent="0.3">
      <c r="A33" s="3" t="s">
        <v>224</v>
      </c>
      <c r="B33" s="3" t="s">
        <v>225</v>
      </c>
      <c r="C33" s="3" t="s">
        <v>96</v>
      </c>
      <c r="D33" s="3" t="s">
        <v>97</v>
      </c>
      <c r="E33" s="3" t="s">
        <v>30</v>
      </c>
      <c r="F33" s="3" t="s">
        <v>35</v>
      </c>
      <c r="G33" s="3">
        <f t="shared" ca="1" si="8"/>
        <v>440</v>
      </c>
      <c r="H33" s="3">
        <f t="shared" ca="1" si="8"/>
        <v>642</v>
      </c>
      <c r="I33" s="3"/>
      <c r="J33" s="3"/>
      <c r="K33" s="3"/>
      <c r="L33" s="3"/>
      <c r="M33" s="3"/>
      <c r="N33" s="3">
        <f t="shared" ca="1" si="1"/>
        <v>5192</v>
      </c>
      <c r="O33" s="3">
        <f t="shared" ca="1" si="2"/>
        <v>2020</v>
      </c>
      <c r="P33" s="3" t="s">
        <v>18</v>
      </c>
      <c r="Q33" s="3">
        <f t="shared" ca="1" si="6"/>
        <v>95</v>
      </c>
      <c r="R33" s="3"/>
      <c r="S33" s="3">
        <f t="shared" ref="S33" ca="1" si="35">RANDBETWEEN(0,100)</f>
        <v>28</v>
      </c>
      <c r="T33" s="3"/>
      <c r="U33" s="3"/>
      <c r="V33" s="3"/>
      <c r="W33" s="3" t="s">
        <v>32</v>
      </c>
      <c r="X33" s="3">
        <f t="shared" ca="1" si="34"/>
        <v>6</v>
      </c>
      <c r="Y33" s="3"/>
      <c r="Z33" s="3"/>
      <c r="AA33" s="3"/>
      <c r="AB33" s="3"/>
      <c r="AC33" s="3"/>
    </row>
    <row r="34" spans="1:29" s="1" customFormat="1" ht="25.05" customHeight="1" x14ac:dyDescent="0.3">
      <c r="A34" s="3" t="s">
        <v>224</v>
      </c>
      <c r="B34" s="3" t="s">
        <v>225</v>
      </c>
      <c r="C34" s="3" t="s">
        <v>98</v>
      </c>
      <c r="D34" s="3" t="s">
        <v>99</v>
      </c>
      <c r="E34" s="3" t="s">
        <v>38</v>
      </c>
      <c r="F34" s="3" t="s">
        <v>35</v>
      </c>
      <c r="G34" s="3">
        <f t="shared" ca="1" si="8"/>
        <v>733</v>
      </c>
      <c r="H34" s="3">
        <f t="shared" ca="1" si="8"/>
        <v>253</v>
      </c>
      <c r="I34" s="3"/>
      <c r="J34" s="3"/>
      <c r="K34" s="3"/>
      <c r="L34" s="3"/>
      <c r="M34" s="3"/>
      <c r="N34" s="3">
        <f t="shared" ca="1" si="1"/>
        <v>6253</v>
      </c>
      <c r="O34" s="3">
        <f t="shared" ca="1" si="2"/>
        <v>2019</v>
      </c>
      <c r="P34" s="3" t="s">
        <v>17</v>
      </c>
      <c r="Q34" s="3">
        <f t="shared" ca="1" si="6"/>
        <v>67</v>
      </c>
      <c r="R34" s="3">
        <f t="shared" ca="1" si="6"/>
        <v>55</v>
      </c>
      <c r="S34" s="3"/>
      <c r="T34" s="3"/>
      <c r="U34" s="3"/>
      <c r="V34" s="3"/>
      <c r="W34" s="3"/>
      <c r="X34" s="3"/>
      <c r="Y34" s="3"/>
      <c r="Z34" s="3"/>
      <c r="AA34" s="3">
        <f t="shared" ref="AA34" ca="1" si="36">RANDBETWEEN(0,100)</f>
        <v>73</v>
      </c>
      <c r="AB34" s="3"/>
      <c r="AC34" s="3"/>
    </row>
    <row r="35" spans="1:29" s="1" customFormat="1" ht="25.05" customHeight="1" x14ac:dyDescent="0.3">
      <c r="A35" s="3" t="s">
        <v>224</v>
      </c>
      <c r="B35" s="3" t="s">
        <v>225</v>
      </c>
      <c r="C35" s="3" t="s">
        <v>100</v>
      </c>
      <c r="D35" s="3" t="s">
        <v>101</v>
      </c>
      <c r="E35" s="3" t="s">
        <v>38</v>
      </c>
      <c r="F35" s="3" t="s">
        <v>35</v>
      </c>
      <c r="G35" s="3">
        <f t="shared" ca="1" si="8"/>
        <v>205</v>
      </c>
      <c r="H35" s="3">
        <f t="shared" ca="1" si="8"/>
        <v>710</v>
      </c>
      <c r="I35" s="3"/>
      <c r="J35" s="3"/>
      <c r="K35" s="3"/>
      <c r="L35" s="3"/>
      <c r="M35" s="3"/>
      <c r="N35" s="3">
        <f t="shared" ca="1" si="1"/>
        <v>844</v>
      </c>
      <c r="O35" s="3">
        <f t="shared" ca="1" si="2"/>
        <v>2019</v>
      </c>
      <c r="P35" s="3" t="s">
        <v>17</v>
      </c>
      <c r="Q35" s="3">
        <f t="shared" ca="1" si="6"/>
        <v>72</v>
      </c>
      <c r="R35" s="3">
        <f t="shared" ca="1" si="6"/>
        <v>45</v>
      </c>
      <c r="S35" s="3"/>
      <c r="T35" s="3"/>
      <c r="U35" s="3"/>
      <c r="V35" s="3"/>
      <c r="W35" s="3" t="s">
        <v>32</v>
      </c>
      <c r="X35" s="3"/>
      <c r="Y35" s="3"/>
      <c r="Z35" s="3"/>
      <c r="AA35" s="3"/>
      <c r="AB35" s="3"/>
      <c r="AC35" s="3">
        <f t="shared" ref="AC35:AC38" ca="1" si="37">RANDBETWEEN(0,100)</f>
        <v>66</v>
      </c>
    </row>
    <row r="36" spans="1:29" s="1" customFormat="1" ht="25.05" hidden="1" customHeight="1" x14ac:dyDescent="0.3">
      <c r="A36" s="3" t="s">
        <v>224</v>
      </c>
      <c r="B36" s="3"/>
      <c r="C36" s="3" t="s">
        <v>102</v>
      </c>
      <c r="D36" s="3" t="s">
        <v>57</v>
      </c>
      <c r="E36" s="3" t="s">
        <v>38</v>
      </c>
      <c r="F36" s="3" t="s">
        <v>42</v>
      </c>
      <c r="G36" s="3"/>
      <c r="H36" s="3"/>
      <c r="I36" s="3"/>
      <c r="J36" s="3" t="s">
        <v>39</v>
      </c>
      <c r="K36" s="3"/>
      <c r="L36" s="3"/>
      <c r="M36" s="3"/>
      <c r="N36" s="3">
        <f t="shared" ca="1" si="1"/>
        <v>6593</v>
      </c>
      <c r="O36" s="3">
        <f t="shared" ca="1" si="2"/>
        <v>2019</v>
      </c>
      <c r="P36" s="3" t="s">
        <v>18</v>
      </c>
      <c r="Q36" s="3">
        <f t="shared" ca="1" si="6"/>
        <v>28</v>
      </c>
      <c r="R36" s="3"/>
      <c r="S36" s="3">
        <f t="shared" ref="S36:S37" ca="1" si="38">RANDBETWEEN(0,100)</f>
        <v>43</v>
      </c>
      <c r="T36" s="3"/>
      <c r="U36" s="3"/>
      <c r="V36" s="3"/>
      <c r="W36" s="3" t="s">
        <v>32</v>
      </c>
      <c r="X36" s="3"/>
      <c r="Y36" s="3"/>
      <c r="Z36" s="3"/>
      <c r="AA36" s="3"/>
      <c r="AB36" s="3"/>
      <c r="AC36" s="3">
        <f t="shared" ca="1" si="37"/>
        <v>14</v>
      </c>
    </row>
    <row r="37" spans="1:29" s="1" customFormat="1" ht="25.05" customHeight="1" x14ac:dyDescent="0.3">
      <c r="A37" s="3" t="s">
        <v>224</v>
      </c>
      <c r="B37" s="3" t="s">
        <v>225</v>
      </c>
      <c r="C37" s="3" t="s">
        <v>103</v>
      </c>
      <c r="D37" s="3" t="s">
        <v>104</v>
      </c>
      <c r="E37" s="3" t="s">
        <v>38</v>
      </c>
      <c r="F37" s="3" t="s">
        <v>42</v>
      </c>
      <c r="G37" s="3">
        <f t="shared" ca="1" si="8"/>
        <v>94</v>
      </c>
      <c r="H37" s="3">
        <f t="shared" ca="1" si="8"/>
        <v>763</v>
      </c>
      <c r="I37" s="3">
        <f t="shared" ca="1" si="8"/>
        <v>677</v>
      </c>
      <c r="J37" s="3"/>
      <c r="K37" s="3"/>
      <c r="L37" s="3"/>
      <c r="M37" s="3"/>
      <c r="N37" s="3">
        <f t="shared" ca="1" si="1"/>
        <v>8039</v>
      </c>
      <c r="O37" s="3">
        <f t="shared" ca="1" si="2"/>
        <v>2019</v>
      </c>
      <c r="P37" s="3" t="s">
        <v>18</v>
      </c>
      <c r="Q37" s="3">
        <f t="shared" ca="1" si="6"/>
        <v>59</v>
      </c>
      <c r="R37" s="3"/>
      <c r="S37" s="3">
        <f t="shared" ca="1" si="38"/>
        <v>8</v>
      </c>
      <c r="T37" s="3"/>
      <c r="U37" s="3"/>
      <c r="V37" s="3"/>
      <c r="W37" s="3" t="s">
        <v>72</v>
      </c>
      <c r="X37" s="3"/>
      <c r="Y37" s="3"/>
      <c r="Z37" s="3"/>
      <c r="AA37" s="3"/>
      <c r="AB37" s="3"/>
      <c r="AC37" s="3">
        <f t="shared" ca="1" si="37"/>
        <v>55</v>
      </c>
    </row>
    <row r="38" spans="1:29" s="1" customFormat="1" ht="25.05" customHeight="1" x14ac:dyDescent="0.3">
      <c r="A38" s="3" t="s">
        <v>224</v>
      </c>
      <c r="B38" s="3" t="s">
        <v>225</v>
      </c>
      <c r="C38" s="3" t="s">
        <v>105</v>
      </c>
      <c r="D38" s="3" t="s">
        <v>106</v>
      </c>
      <c r="E38" s="3" t="s">
        <v>38</v>
      </c>
      <c r="F38" s="3" t="s">
        <v>35</v>
      </c>
      <c r="G38" s="3">
        <f t="shared" ca="1" si="8"/>
        <v>766</v>
      </c>
      <c r="H38" s="3">
        <f t="shared" ca="1" si="8"/>
        <v>532</v>
      </c>
      <c r="I38" s="3">
        <f t="shared" ca="1" si="8"/>
        <v>12</v>
      </c>
      <c r="J38" s="3"/>
      <c r="K38" s="3"/>
      <c r="L38" s="3"/>
      <c r="M38" s="3"/>
      <c r="N38" s="3">
        <f t="shared" ca="1" si="1"/>
        <v>835</v>
      </c>
      <c r="O38" s="3">
        <f t="shared" ca="1" si="2"/>
        <v>2022</v>
      </c>
      <c r="P38" s="3" t="s">
        <v>17</v>
      </c>
      <c r="Q38" s="3">
        <f t="shared" ca="1" si="6"/>
        <v>85</v>
      </c>
      <c r="R38" s="3">
        <f t="shared" ca="1" si="6"/>
        <v>50</v>
      </c>
      <c r="S38" s="3"/>
      <c r="T38" s="3"/>
      <c r="U38" s="3"/>
      <c r="V38" s="3"/>
      <c r="W38" s="3"/>
      <c r="X38" s="3">
        <f t="shared" ref="X38:X40" ca="1" si="39">RANDBETWEEN(0,100)</f>
        <v>16</v>
      </c>
      <c r="Y38" s="3"/>
      <c r="Z38" s="3"/>
      <c r="AA38" s="3"/>
      <c r="AB38" s="3"/>
      <c r="AC38" s="3">
        <f t="shared" ca="1" si="37"/>
        <v>67</v>
      </c>
    </row>
    <row r="39" spans="1:29" s="1" customFormat="1" ht="25.05" customHeight="1" x14ac:dyDescent="0.3">
      <c r="A39" s="3" t="s">
        <v>224</v>
      </c>
      <c r="B39" s="3" t="s">
        <v>225</v>
      </c>
      <c r="C39" s="3" t="s">
        <v>107</v>
      </c>
      <c r="D39" s="3" t="s">
        <v>108</v>
      </c>
      <c r="E39" s="3" t="s">
        <v>38</v>
      </c>
      <c r="F39" s="3" t="s">
        <v>62</v>
      </c>
      <c r="G39" s="3"/>
      <c r="H39" s="3"/>
      <c r="I39" s="3"/>
      <c r="J39" s="3" t="s">
        <v>39</v>
      </c>
      <c r="K39" s="3"/>
      <c r="L39" s="3"/>
      <c r="M39" s="3"/>
      <c r="N39" s="3">
        <f t="shared" ca="1" si="1"/>
        <v>9811</v>
      </c>
      <c r="O39" s="3">
        <f t="shared" ca="1" si="2"/>
        <v>2023</v>
      </c>
      <c r="P39" s="3" t="s">
        <v>18</v>
      </c>
      <c r="Q39" s="3">
        <f t="shared" ca="1" si="6"/>
        <v>46</v>
      </c>
      <c r="R39" s="3"/>
      <c r="S39" s="3">
        <f t="shared" ref="S39:T42" ca="1" si="40">RANDBETWEEN(0,100)</f>
        <v>55</v>
      </c>
      <c r="T39" s="3"/>
      <c r="U39" s="3"/>
      <c r="V39" s="3"/>
      <c r="W39" s="3"/>
      <c r="X39" s="3">
        <f t="shared" ca="1" si="39"/>
        <v>35</v>
      </c>
      <c r="Y39" s="3"/>
      <c r="Z39" s="3"/>
      <c r="AA39" s="3"/>
      <c r="AB39" s="3"/>
      <c r="AC39" s="3"/>
    </row>
    <row r="40" spans="1:29" s="1" customFormat="1" ht="25.05" customHeight="1" x14ac:dyDescent="0.3">
      <c r="A40" s="3" t="s">
        <v>224</v>
      </c>
      <c r="B40" s="3" t="s">
        <v>225</v>
      </c>
      <c r="C40" s="3" t="s">
        <v>109</v>
      </c>
      <c r="D40" s="3" t="s">
        <v>110</v>
      </c>
      <c r="E40" s="3" t="s">
        <v>38</v>
      </c>
      <c r="F40" s="3" t="s">
        <v>35</v>
      </c>
      <c r="G40" s="3">
        <f t="shared" ca="1" si="8"/>
        <v>382</v>
      </c>
      <c r="H40" s="3">
        <f t="shared" ca="1" si="8"/>
        <v>863</v>
      </c>
      <c r="I40" s="3"/>
      <c r="J40" s="3"/>
      <c r="K40" s="3"/>
      <c r="L40" s="3"/>
      <c r="M40" s="3"/>
      <c r="N40" s="3">
        <f t="shared" ca="1" si="1"/>
        <v>7916</v>
      </c>
      <c r="O40" s="3">
        <f t="shared" ca="1" si="2"/>
        <v>2022</v>
      </c>
      <c r="P40" s="3" t="s">
        <v>18</v>
      </c>
      <c r="Q40" s="3">
        <f t="shared" ca="1" si="6"/>
        <v>53</v>
      </c>
      <c r="R40" s="3">
        <f t="shared" ca="1" si="6"/>
        <v>68</v>
      </c>
      <c r="S40" s="3">
        <f t="shared" ca="1" si="40"/>
        <v>36</v>
      </c>
      <c r="T40" s="3"/>
      <c r="U40" s="3"/>
      <c r="V40" s="3"/>
      <c r="W40" s="3" t="s">
        <v>72</v>
      </c>
      <c r="X40" s="3">
        <f t="shared" ca="1" si="39"/>
        <v>79</v>
      </c>
      <c r="Y40" s="3"/>
      <c r="Z40" s="3"/>
      <c r="AA40" s="3"/>
      <c r="AB40" s="3"/>
      <c r="AC40" s="3">
        <f t="shared" ref="AC40:AC42" ca="1" si="41">RANDBETWEEN(0,100)</f>
        <v>90</v>
      </c>
    </row>
    <row r="41" spans="1:29" s="1" customFormat="1" ht="25.05" customHeight="1" x14ac:dyDescent="0.3">
      <c r="A41" s="3" t="s">
        <v>224</v>
      </c>
      <c r="B41" s="3" t="s">
        <v>225</v>
      </c>
      <c r="C41" s="3" t="s">
        <v>111</v>
      </c>
      <c r="D41" s="3" t="s">
        <v>112</v>
      </c>
      <c r="E41" s="3" t="s">
        <v>38</v>
      </c>
      <c r="F41" s="3" t="s">
        <v>35</v>
      </c>
      <c r="G41" s="3">
        <f t="shared" ca="1" si="8"/>
        <v>389</v>
      </c>
      <c r="H41" s="3">
        <f t="shared" ca="1" si="8"/>
        <v>741</v>
      </c>
      <c r="I41" s="3"/>
      <c r="J41" s="3"/>
      <c r="K41" s="3"/>
      <c r="L41" s="3"/>
      <c r="M41" s="3"/>
      <c r="N41" s="3">
        <f t="shared" ca="1" si="1"/>
        <v>9115</v>
      </c>
      <c r="O41" s="3">
        <f t="shared" ca="1" si="2"/>
        <v>2023</v>
      </c>
      <c r="P41" s="3" t="s">
        <v>113</v>
      </c>
      <c r="Q41" s="3">
        <f t="shared" ca="1" si="6"/>
        <v>82</v>
      </c>
      <c r="R41" s="3"/>
      <c r="S41" s="3">
        <f t="shared" ca="1" si="40"/>
        <v>46</v>
      </c>
      <c r="T41" s="3">
        <f t="shared" ca="1" si="40"/>
        <v>8</v>
      </c>
      <c r="U41" s="3"/>
      <c r="V41" s="3"/>
      <c r="W41" s="3"/>
      <c r="X41" s="3"/>
      <c r="Y41" s="3"/>
      <c r="Z41" s="3"/>
      <c r="AA41" s="3"/>
      <c r="AB41" s="3"/>
      <c r="AC41" s="3">
        <f t="shared" ca="1" si="41"/>
        <v>57</v>
      </c>
    </row>
    <row r="42" spans="1:29" s="1" customFormat="1" ht="25.05" hidden="1" customHeight="1" x14ac:dyDescent="0.3">
      <c r="A42" s="3" t="s">
        <v>224</v>
      </c>
      <c r="B42" s="3"/>
      <c r="C42" s="3" t="s">
        <v>114</v>
      </c>
      <c r="D42" s="3" t="s">
        <v>115</v>
      </c>
      <c r="E42" s="3" t="s">
        <v>38</v>
      </c>
      <c r="F42" s="3" t="s">
        <v>42</v>
      </c>
      <c r="G42" s="3"/>
      <c r="H42" s="3"/>
      <c r="I42" s="3"/>
      <c r="J42" s="3" t="s">
        <v>39</v>
      </c>
      <c r="K42" s="3"/>
      <c r="L42" s="3"/>
      <c r="M42" s="3"/>
      <c r="N42" s="3">
        <f t="shared" ca="1" si="1"/>
        <v>6723</v>
      </c>
      <c r="O42" s="3">
        <f t="shared" ca="1" si="2"/>
        <v>2019</v>
      </c>
      <c r="P42" s="3" t="s">
        <v>18</v>
      </c>
      <c r="Q42" s="3">
        <f t="shared" ca="1" si="6"/>
        <v>70</v>
      </c>
      <c r="R42" s="3"/>
      <c r="S42" s="3">
        <f t="shared" ca="1" si="40"/>
        <v>74</v>
      </c>
      <c r="T42" s="3"/>
      <c r="U42" s="3"/>
      <c r="V42" s="3"/>
      <c r="W42" s="3"/>
      <c r="X42" s="3"/>
      <c r="Y42" s="3"/>
      <c r="Z42" s="3"/>
      <c r="AA42" s="3"/>
      <c r="AB42" s="3"/>
      <c r="AC42" s="3">
        <f t="shared" ca="1" si="41"/>
        <v>41</v>
      </c>
    </row>
    <row r="43" spans="1:29" s="1" customFormat="1" ht="25.05" hidden="1" customHeight="1" x14ac:dyDescent="0.3">
      <c r="A43" s="3" t="s">
        <v>224</v>
      </c>
      <c r="B43" s="3"/>
      <c r="C43" s="3" t="s">
        <v>116</v>
      </c>
      <c r="D43" s="3" t="s">
        <v>117</v>
      </c>
      <c r="E43" s="3" t="s">
        <v>30</v>
      </c>
      <c r="F43" s="3" t="s">
        <v>35</v>
      </c>
      <c r="G43" s="3"/>
      <c r="H43" s="3" t="s">
        <v>39</v>
      </c>
      <c r="I43" s="3"/>
      <c r="J43" s="3"/>
      <c r="K43" s="3"/>
      <c r="L43" s="3"/>
      <c r="M43" s="3"/>
      <c r="N43" s="3"/>
      <c r="O43" s="3">
        <f t="shared" ca="1" si="2"/>
        <v>2019</v>
      </c>
      <c r="P43" s="3" t="s">
        <v>17</v>
      </c>
      <c r="Q43" s="3"/>
      <c r="R43" s="3" t="s">
        <v>39</v>
      </c>
      <c r="S43" s="3"/>
      <c r="T43" s="3"/>
      <c r="U43" s="3"/>
      <c r="V43" s="3"/>
      <c r="W43" s="3"/>
      <c r="X43" s="3"/>
      <c r="Y43" s="3"/>
      <c r="Z43" s="3"/>
      <c r="AA43" s="3"/>
      <c r="AB43" s="3"/>
      <c r="AC43" s="3" t="s">
        <v>39</v>
      </c>
    </row>
    <row r="44" spans="1:29" s="1" customFormat="1" ht="25.05" customHeight="1" x14ac:dyDescent="0.3">
      <c r="A44" s="3" t="s">
        <v>224</v>
      </c>
      <c r="B44" s="3" t="s">
        <v>225</v>
      </c>
      <c r="C44" s="3" t="s">
        <v>118</v>
      </c>
      <c r="D44" s="3" t="s">
        <v>119</v>
      </c>
      <c r="E44" s="3" t="s">
        <v>38</v>
      </c>
      <c r="F44" s="3" t="s">
        <v>35</v>
      </c>
      <c r="G44" s="3">
        <f t="shared" ref="G44:I61" ca="1" si="42">RANDBETWEEN(0,1000)</f>
        <v>49</v>
      </c>
      <c r="H44" s="3">
        <f t="shared" ca="1" si="42"/>
        <v>591</v>
      </c>
      <c r="I44" s="3"/>
      <c r="J44" s="3"/>
      <c r="K44" s="3"/>
      <c r="L44" s="3"/>
      <c r="M44" s="3"/>
      <c r="N44" s="3">
        <f t="shared" ca="1" si="1"/>
        <v>5824</v>
      </c>
      <c r="O44" s="3">
        <f t="shared" ca="1" si="2"/>
        <v>2021</v>
      </c>
      <c r="P44" s="3" t="s">
        <v>17</v>
      </c>
      <c r="Q44" s="3">
        <f t="shared" ca="1" si="6"/>
        <v>66</v>
      </c>
      <c r="R44" s="3">
        <f t="shared" ca="1" si="6"/>
        <v>76</v>
      </c>
      <c r="S44" s="3"/>
      <c r="T44" s="3"/>
      <c r="U44" s="3"/>
      <c r="V44" s="3"/>
      <c r="W44" s="3"/>
      <c r="X44" s="3"/>
      <c r="Y44" s="3"/>
      <c r="Z44" s="3"/>
      <c r="AA44" s="3">
        <f t="shared" ref="AA44" ca="1" si="43">RANDBETWEEN(0,100)</f>
        <v>48</v>
      </c>
      <c r="AB44" s="3"/>
      <c r="AC44" s="3"/>
    </row>
    <row r="45" spans="1:29" s="1" customFormat="1" ht="25.05" customHeight="1" x14ac:dyDescent="0.3">
      <c r="A45" s="3" t="s">
        <v>224</v>
      </c>
      <c r="B45" s="3" t="s">
        <v>225</v>
      </c>
      <c r="C45" s="3" t="s">
        <v>120</v>
      </c>
      <c r="D45" s="3" t="s">
        <v>121</v>
      </c>
      <c r="E45" s="3" t="s">
        <v>30</v>
      </c>
      <c r="F45" s="3" t="s">
        <v>35</v>
      </c>
      <c r="G45" s="3">
        <f t="shared" ca="1" si="42"/>
        <v>106</v>
      </c>
      <c r="H45" s="3">
        <f t="shared" ca="1" si="42"/>
        <v>834</v>
      </c>
      <c r="I45" s="3"/>
      <c r="J45" s="3"/>
      <c r="K45" s="3"/>
      <c r="L45" s="3"/>
      <c r="M45" s="3"/>
      <c r="N45" s="3">
        <f t="shared" ca="1" si="1"/>
        <v>6069</v>
      </c>
      <c r="O45" s="3">
        <f t="shared" ca="1" si="2"/>
        <v>2019</v>
      </c>
      <c r="P45" s="3" t="s">
        <v>17</v>
      </c>
      <c r="Q45" s="3">
        <f t="shared" ca="1" si="6"/>
        <v>25</v>
      </c>
      <c r="R45" s="3">
        <f t="shared" ca="1" si="6"/>
        <v>84</v>
      </c>
      <c r="S45" s="3"/>
      <c r="T45" s="3"/>
      <c r="U45" s="3"/>
      <c r="V45" s="3"/>
      <c r="W45" s="3"/>
      <c r="X45" s="3">
        <f t="shared" ref="X45:X46" ca="1" si="44">RANDBETWEEN(0,100)</f>
        <v>50</v>
      </c>
      <c r="Y45" s="3"/>
      <c r="Z45" s="3"/>
      <c r="AA45" s="3"/>
      <c r="AB45" s="3"/>
      <c r="AC45" s="3"/>
    </row>
    <row r="46" spans="1:29" s="1" customFormat="1" ht="25.05" customHeight="1" x14ac:dyDescent="0.3">
      <c r="A46" s="3" t="s">
        <v>224</v>
      </c>
      <c r="B46" s="3" t="s">
        <v>225</v>
      </c>
      <c r="C46" s="3" t="s">
        <v>122</v>
      </c>
      <c r="D46" s="3" t="s">
        <v>123</v>
      </c>
      <c r="E46" s="3" t="s">
        <v>38</v>
      </c>
      <c r="F46" s="3" t="s">
        <v>35</v>
      </c>
      <c r="G46" s="3">
        <f t="shared" ca="1" si="42"/>
        <v>803</v>
      </c>
      <c r="H46" s="3">
        <f t="shared" ca="1" si="42"/>
        <v>861</v>
      </c>
      <c r="I46" s="3"/>
      <c r="J46" s="3"/>
      <c r="K46" s="3"/>
      <c r="L46" s="3"/>
      <c r="M46" s="3"/>
      <c r="N46" s="3">
        <f t="shared" ca="1" si="1"/>
        <v>2775</v>
      </c>
      <c r="O46" s="3">
        <f t="shared" ca="1" si="2"/>
        <v>2024</v>
      </c>
      <c r="P46" s="3" t="s">
        <v>17</v>
      </c>
      <c r="Q46" s="3">
        <f t="shared" ca="1" si="6"/>
        <v>79</v>
      </c>
      <c r="R46" s="3">
        <f t="shared" ca="1" si="6"/>
        <v>91</v>
      </c>
      <c r="S46" s="3"/>
      <c r="T46" s="3"/>
      <c r="U46" s="3"/>
      <c r="V46" s="3"/>
      <c r="W46" s="3" t="s">
        <v>32</v>
      </c>
      <c r="X46" s="3">
        <f t="shared" ca="1" si="44"/>
        <v>75</v>
      </c>
      <c r="Y46" s="3"/>
      <c r="Z46" s="3"/>
      <c r="AA46" s="3"/>
      <c r="AB46" s="3"/>
      <c r="AC46" s="3"/>
    </row>
    <row r="47" spans="1:29" s="1" customFormat="1" ht="25.05" customHeight="1" x14ac:dyDescent="0.3">
      <c r="A47" s="3" t="s">
        <v>224</v>
      </c>
      <c r="B47" s="3" t="s">
        <v>225</v>
      </c>
      <c r="C47" s="3" t="s">
        <v>124</v>
      </c>
      <c r="D47" s="3" t="s">
        <v>125</v>
      </c>
      <c r="E47" s="3" t="s">
        <v>38</v>
      </c>
      <c r="F47" s="3" t="s">
        <v>42</v>
      </c>
      <c r="G47" s="3">
        <f t="shared" ca="1" si="42"/>
        <v>998</v>
      </c>
      <c r="H47" s="3"/>
      <c r="I47" s="3"/>
      <c r="J47" s="3">
        <f t="shared" ref="J47" ca="1" si="45">RANDBETWEEN(0,1000)</f>
        <v>590</v>
      </c>
      <c r="K47" s="3"/>
      <c r="L47" s="3"/>
      <c r="M47" s="3"/>
      <c r="N47" s="3">
        <f t="shared" ca="1" si="1"/>
        <v>1734</v>
      </c>
      <c r="O47" s="3">
        <f t="shared" ca="1" si="2"/>
        <v>2019</v>
      </c>
      <c r="P47" s="3" t="s">
        <v>17</v>
      </c>
      <c r="Q47" s="3">
        <f t="shared" ca="1" si="6"/>
        <v>40</v>
      </c>
      <c r="R47" s="3">
        <f t="shared" ca="1" si="6"/>
        <v>53</v>
      </c>
      <c r="S47" s="3"/>
      <c r="T47" s="3"/>
      <c r="U47" s="3"/>
      <c r="V47" s="3"/>
      <c r="W47" s="3"/>
      <c r="X47" s="3"/>
      <c r="Y47" s="3">
        <f t="shared" ref="Y47" ca="1" si="46">RANDBETWEEN(0,100)</f>
        <v>42</v>
      </c>
      <c r="Z47" s="3"/>
      <c r="AA47" s="3"/>
      <c r="AB47" s="3"/>
      <c r="AC47" s="3"/>
    </row>
    <row r="48" spans="1:29" s="1" customFormat="1" ht="25.05" customHeight="1" x14ac:dyDescent="0.3">
      <c r="A48" s="3" t="s">
        <v>224</v>
      </c>
      <c r="B48" s="3" t="s">
        <v>225</v>
      </c>
      <c r="C48" s="3" t="s">
        <v>126</v>
      </c>
      <c r="D48" s="3" t="s">
        <v>49</v>
      </c>
      <c r="E48" s="3" t="s">
        <v>38</v>
      </c>
      <c r="F48" s="3" t="s">
        <v>42</v>
      </c>
      <c r="G48" s="3">
        <f t="shared" ca="1" si="42"/>
        <v>978</v>
      </c>
      <c r="H48" s="3">
        <f t="shared" ca="1" si="42"/>
        <v>819</v>
      </c>
      <c r="I48" s="3">
        <f t="shared" ca="1" si="42"/>
        <v>923</v>
      </c>
      <c r="J48" s="3"/>
      <c r="K48" s="3"/>
      <c r="L48" s="3"/>
      <c r="M48" s="3"/>
      <c r="N48" s="3">
        <f t="shared" ca="1" si="1"/>
        <v>965</v>
      </c>
      <c r="O48" s="3">
        <f t="shared" ca="1" si="2"/>
        <v>2022</v>
      </c>
      <c r="P48" s="3" t="s">
        <v>17</v>
      </c>
      <c r="Q48" s="3">
        <f t="shared" ca="1" si="6"/>
        <v>54</v>
      </c>
      <c r="R48" s="3">
        <f t="shared" ca="1" si="6"/>
        <v>74</v>
      </c>
      <c r="S48" s="3"/>
      <c r="T48" s="3"/>
      <c r="U48" s="3"/>
      <c r="V48" s="3"/>
      <c r="W48" s="3"/>
      <c r="X48" s="3">
        <f t="shared" ref="X48" ca="1" si="47">RANDBETWEEN(0,100)</f>
        <v>3</v>
      </c>
      <c r="Y48" s="3"/>
      <c r="Z48" s="3"/>
      <c r="AA48" s="3"/>
      <c r="AB48" s="3"/>
      <c r="AC48" s="3"/>
    </row>
    <row r="49" spans="1:29" s="1" customFormat="1" ht="25.05" customHeight="1" x14ac:dyDescent="0.3">
      <c r="A49" s="3" t="s">
        <v>224</v>
      </c>
      <c r="B49" s="3" t="s">
        <v>225</v>
      </c>
      <c r="C49" s="3" t="s">
        <v>127</v>
      </c>
      <c r="D49" s="3" t="s">
        <v>128</v>
      </c>
      <c r="E49" s="3" t="s">
        <v>38</v>
      </c>
      <c r="F49" s="3" t="s">
        <v>35</v>
      </c>
      <c r="G49" s="3">
        <f t="shared" ca="1" si="42"/>
        <v>440</v>
      </c>
      <c r="H49" s="3">
        <f t="shared" ca="1" si="42"/>
        <v>237</v>
      </c>
      <c r="I49" s="3"/>
      <c r="J49" s="3"/>
      <c r="K49" s="3"/>
      <c r="L49" s="3"/>
      <c r="M49" s="3"/>
      <c r="N49" s="3"/>
      <c r="O49" s="3">
        <f t="shared" ca="1" si="2"/>
        <v>2024</v>
      </c>
      <c r="P49" s="3" t="s">
        <v>17</v>
      </c>
      <c r="Q49" s="3"/>
      <c r="R49" s="3" t="s">
        <v>39</v>
      </c>
      <c r="S49" s="3"/>
      <c r="T49" s="3"/>
      <c r="U49" s="3"/>
      <c r="V49" s="3"/>
      <c r="W49" s="3"/>
      <c r="X49" s="3"/>
      <c r="Y49" s="3"/>
      <c r="Z49" s="3"/>
      <c r="AA49" s="3"/>
      <c r="AB49" s="3"/>
      <c r="AC49" s="3" t="s">
        <v>39</v>
      </c>
    </row>
    <row r="50" spans="1:29" s="1" customFormat="1" ht="25.05" customHeight="1" x14ac:dyDescent="0.3">
      <c r="A50" s="3" t="s">
        <v>224</v>
      </c>
      <c r="B50" s="3" t="s">
        <v>225</v>
      </c>
      <c r="C50" s="3" t="s">
        <v>129</v>
      </c>
      <c r="D50" s="3" t="s">
        <v>130</v>
      </c>
      <c r="E50" s="3" t="s">
        <v>38</v>
      </c>
      <c r="F50" s="3" t="s">
        <v>31</v>
      </c>
      <c r="G50" s="3">
        <f t="shared" ca="1" si="42"/>
        <v>640</v>
      </c>
      <c r="H50" s="3"/>
      <c r="I50" s="3">
        <f t="shared" ref="I50" ca="1" si="48">RANDBETWEEN(0,1000)</f>
        <v>96</v>
      </c>
      <c r="J50" s="3"/>
      <c r="K50" s="3"/>
      <c r="L50" s="3"/>
      <c r="M50" s="3"/>
      <c r="N50" s="3">
        <f t="shared" ca="1" si="1"/>
        <v>7532</v>
      </c>
      <c r="O50" s="3">
        <f t="shared" ca="1" si="2"/>
        <v>2022</v>
      </c>
      <c r="P50" s="3" t="s">
        <v>17</v>
      </c>
      <c r="Q50" s="3">
        <f t="shared" ca="1" si="6"/>
        <v>59</v>
      </c>
      <c r="R50" s="3">
        <f t="shared" ca="1" si="6"/>
        <v>19</v>
      </c>
      <c r="S50" s="3"/>
      <c r="T50" s="3"/>
      <c r="U50" s="3"/>
      <c r="V50" s="3"/>
      <c r="W50" s="3"/>
      <c r="X50" s="3">
        <f t="shared" ref="X50" ca="1" si="49">RANDBETWEEN(0,100)</f>
        <v>0</v>
      </c>
      <c r="Y50" s="3"/>
      <c r="Z50" s="3"/>
      <c r="AA50" s="3"/>
      <c r="AB50" s="3"/>
      <c r="AC50" s="3"/>
    </row>
    <row r="51" spans="1:29" s="1" customFormat="1" ht="25.05" customHeight="1" x14ac:dyDescent="0.3">
      <c r="A51" s="3" t="s">
        <v>224</v>
      </c>
      <c r="B51" s="3" t="s">
        <v>225</v>
      </c>
      <c r="C51" s="3" t="s">
        <v>131</v>
      </c>
      <c r="D51" s="3" t="s">
        <v>132</v>
      </c>
      <c r="E51" s="3" t="s">
        <v>38</v>
      </c>
      <c r="F51" s="3" t="s">
        <v>42</v>
      </c>
      <c r="G51" s="3">
        <f t="shared" ca="1" si="42"/>
        <v>827</v>
      </c>
      <c r="H51" s="3"/>
      <c r="I51" s="3"/>
      <c r="J51" s="3">
        <f t="shared" ref="J51" ca="1" si="50">RANDBETWEEN(0,1000)</f>
        <v>560</v>
      </c>
      <c r="K51" s="3"/>
      <c r="L51" s="3"/>
      <c r="M51" s="3"/>
      <c r="N51" s="3">
        <f t="shared" ca="1" si="1"/>
        <v>8233</v>
      </c>
      <c r="O51" s="3">
        <f t="shared" ca="1" si="2"/>
        <v>2024</v>
      </c>
      <c r="P51" s="3" t="s">
        <v>17</v>
      </c>
      <c r="Q51" s="3">
        <f t="shared" ca="1" si="6"/>
        <v>63</v>
      </c>
      <c r="R51" s="3">
        <f t="shared" ca="1" si="6"/>
        <v>83</v>
      </c>
      <c r="S51" s="3"/>
      <c r="T51" s="3"/>
      <c r="U51" s="3"/>
      <c r="V51" s="3"/>
      <c r="W51" s="3"/>
      <c r="X51" s="3"/>
      <c r="Y51" s="3"/>
      <c r="Z51" s="3"/>
      <c r="AA51" s="3">
        <f t="shared" ref="AA51" ca="1" si="51">RANDBETWEEN(0,100)</f>
        <v>23</v>
      </c>
      <c r="AB51" s="3"/>
      <c r="AC51" s="3"/>
    </row>
    <row r="52" spans="1:29" s="1" customFormat="1" ht="25.05" customHeight="1" x14ac:dyDescent="0.3">
      <c r="A52" s="3" t="s">
        <v>224</v>
      </c>
      <c r="B52" s="3" t="s">
        <v>225</v>
      </c>
      <c r="C52" s="3" t="s">
        <v>133</v>
      </c>
      <c r="D52" s="3" t="s">
        <v>134</v>
      </c>
      <c r="E52" s="3" t="s">
        <v>38</v>
      </c>
      <c r="F52" s="3" t="s">
        <v>35</v>
      </c>
      <c r="G52" s="3">
        <f t="shared" ca="1" si="42"/>
        <v>725</v>
      </c>
      <c r="H52" s="3">
        <f t="shared" ca="1" si="42"/>
        <v>850</v>
      </c>
      <c r="I52" s="3"/>
      <c r="J52" s="3"/>
      <c r="K52" s="3"/>
      <c r="L52" s="3"/>
      <c r="M52" s="3"/>
      <c r="N52" s="3">
        <f t="shared" ca="1" si="1"/>
        <v>7180</v>
      </c>
      <c r="O52" s="3">
        <f t="shared" ca="1" si="2"/>
        <v>2020</v>
      </c>
      <c r="P52" s="3" t="s">
        <v>18</v>
      </c>
      <c r="Q52" s="3">
        <f t="shared" ca="1" si="6"/>
        <v>100</v>
      </c>
      <c r="R52" s="3"/>
      <c r="S52" s="3">
        <f t="shared" ref="S52:S54" ca="1" si="52">RANDBETWEEN(0,100)</f>
        <v>63</v>
      </c>
      <c r="T52" s="3"/>
      <c r="U52" s="3"/>
      <c r="V52" s="3"/>
      <c r="W52" s="3"/>
      <c r="X52" s="3">
        <f t="shared" ref="X52" ca="1" si="53">RANDBETWEEN(0,100)</f>
        <v>10</v>
      </c>
      <c r="Y52" s="3"/>
      <c r="Z52" s="3"/>
      <c r="AA52" s="3"/>
      <c r="AB52" s="3"/>
      <c r="AC52" s="3">
        <f t="shared" ref="AC52:AC53" ca="1" si="54">RANDBETWEEN(0,100)</f>
        <v>47</v>
      </c>
    </row>
    <row r="53" spans="1:29" s="1" customFormat="1" ht="25.05" customHeight="1" x14ac:dyDescent="0.3">
      <c r="A53" s="3" t="s">
        <v>224</v>
      </c>
      <c r="B53" s="3" t="s">
        <v>225</v>
      </c>
      <c r="C53" s="3" t="s">
        <v>135</v>
      </c>
      <c r="D53" s="3" t="s">
        <v>136</v>
      </c>
      <c r="E53" s="3" t="s">
        <v>30</v>
      </c>
      <c r="F53" s="3" t="s">
        <v>35</v>
      </c>
      <c r="G53" s="3">
        <f t="shared" ca="1" si="42"/>
        <v>368</v>
      </c>
      <c r="H53" s="3">
        <f t="shared" ca="1" si="42"/>
        <v>89</v>
      </c>
      <c r="I53" s="3"/>
      <c r="J53" s="3"/>
      <c r="K53" s="3"/>
      <c r="L53" s="3"/>
      <c r="M53" s="3"/>
      <c r="N53" s="3">
        <f t="shared" ca="1" si="1"/>
        <v>9905</v>
      </c>
      <c r="O53" s="3">
        <f t="shared" ca="1" si="2"/>
        <v>2023</v>
      </c>
      <c r="P53" s="3" t="s">
        <v>18</v>
      </c>
      <c r="Q53" s="3">
        <f t="shared" ca="1" si="6"/>
        <v>47</v>
      </c>
      <c r="R53" s="3"/>
      <c r="S53" s="3">
        <f t="shared" ca="1" si="52"/>
        <v>48</v>
      </c>
      <c r="T53" s="3"/>
      <c r="U53" s="3"/>
      <c r="V53" s="3"/>
      <c r="W53" s="3" t="s">
        <v>32</v>
      </c>
      <c r="X53" s="3"/>
      <c r="Y53" s="3"/>
      <c r="Z53" s="3"/>
      <c r="AA53" s="3"/>
      <c r="AB53" s="3"/>
      <c r="AC53" s="3">
        <f t="shared" ca="1" si="54"/>
        <v>51</v>
      </c>
    </row>
    <row r="54" spans="1:29" s="1" customFormat="1" ht="25.05" customHeight="1" x14ac:dyDescent="0.3">
      <c r="A54" s="3" t="s">
        <v>224</v>
      </c>
      <c r="B54" s="3" t="s">
        <v>225</v>
      </c>
      <c r="C54" s="3" t="s">
        <v>137</v>
      </c>
      <c r="D54" s="3" t="s">
        <v>69</v>
      </c>
      <c r="E54" s="3" t="s">
        <v>38</v>
      </c>
      <c r="F54" s="3" t="s">
        <v>35</v>
      </c>
      <c r="G54" s="3">
        <f t="shared" ca="1" si="42"/>
        <v>577</v>
      </c>
      <c r="H54" s="3">
        <f t="shared" ca="1" si="42"/>
        <v>111</v>
      </c>
      <c r="I54" s="3"/>
      <c r="J54" s="3"/>
      <c r="K54" s="3"/>
      <c r="L54" s="3"/>
      <c r="M54" s="3"/>
      <c r="N54" s="3">
        <f t="shared" ca="1" si="1"/>
        <v>5069</v>
      </c>
      <c r="O54" s="3">
        <f t="shared" ca="1" si="2"/>
        <v>2022</v>
      </c>
      <c r="P54" s="3" t="s">
        <v>18</v>
      </c>
      <c r="Q54" s="3">
        <f t="shared" ca="1" si="6"/>
        <v>85</v>
      </c>
      <c r="R54" s="3"/>
      <c r="S54" s="3">
        <f t="shared" ca="1" si="52"/>
        <v>2</v>
      </c>
      <c r="T54" s="3"/>
      <c r="U54" s="3"/>
      <c r="V54" s="3"/>
      <c r="W54" s="3"/>
      <c r="X54" s="3">
        <f t="shared" ref="X54:X58" ca="1" si="55">RANDBETWEEN(0,100)</f>
        <v>2</v>
      </c>
      <c r="Y54" s="3"/>
      <c r="Z54" s="3"/>
      <c r="AA54" s="3"/>
      <c r="AB54" s="3"/>
      <c r="AC54" s="3"/>
    </row>
    <row r="55" spans="1:29" s="1" customFormat="1" ht="25.05" customHeight="1" x14ac:dyDescent="0.3">
      <c r="A55" s="3" t="s">
        <v>224</v>
      </c>
      <c r="B55" s="3" t="s">
        <v>225</v>
      </c>
      <c r="C55" s="3" t="s">
        <v>138</v>
      </c>
      <c r="D55" s="3" t="s">
        <v>139</v>
      </c>
      <c r="E55" s="3" t="s">
        <v>38</v>
      </c>
      <c r="F55" s="3" t="s">
        <v>62</v>
      </c>
      <c r="G55" s="3">
        <f t="shared" ca="1" si="42"/>
        <v>532</v>
      </c>
      <c r="H55" s="3"/>
      <c r="I55" s="3"/>
      <c r="J55" s="3"/>
      <c r="K55" s="3">
        <v>13</v>
      </c>
      <c r="L55" s="3"/>
      <c r="M55" s="3"/>
      <c r="N55" s="3">
        <f t="shared" ca="1" si="1"/>
        <v>3321</v>
      </c>
      <c r="O55" s="3">
        <f t="shared" ca="1" si="2"/>
        <v>2020</v>
      </c>
      <c r="P55" s="3" t="s">
        <v>17</v>
      </c>
      <c r="Q55" s="3">
        <f t="shared" ca="1" si="6"/>
        <v>72</v>
      </c>
      <c r="R55" s="3">
        <f t="shared" ca="1" si="6"/>
        <v>52</v>
      </c>
      <c r="S55" s="3"/>
      <c r="T55" s="3"/>
      <c r="U55" s="3"/>
      <c r="V55" s="3"/>
      <c r="W55" s="3"/>
      <c r="X55" s="3">
        <f t="shared" ca="1" si="55"/>
        <v>49</v>
      </c>
      <c r="Y55" s="3"/>
      <c r="Z55" s="3"/>
      <c r="AA55" s="3"/>
      <c r="AB55" s="3"/>
      <c r="AC55" s="3"/>
    </row>
    <row r="56" spans="1:29" s="1" customFormat="1" ht="25.05" customHeight="1" x14ac:dyDescent="0.3">
      <c r="A56" s="3" t="s">
        <v>224</v>
      </c>
      <c r="B56" s="3" t="s">
        <v>225</v>
      </c>
      <c r="C56" s="3" t="s">
        <v>140</v>
      </c>
      <c r="D56" s="3" t="s">
        <v>141</v>
      </c>
      <c r="E56" s="3" t="s">
        <v>30</v>
      </c>
      <c r="F56" s="3" t="s">
        <v>42</v>
      </c>
      <c r="G56" s="3">
        <f t="shared" ca="1" si="42"/>
        <v>371</v>
      </c>
      <c r="H56" s="3">
        <f t="shared" ca="1" si="42"/>
        <v>191</v>
      </c>
      <c r="I56" s="3">
        <f t="shared" ca="1" si="42"/>
        <v>560</v>
      </c>
      <c r="J56" s="3"/>
      <c r="K56" s="3"/>
      <c r="L56" s="3"/>
      <c r="M56" s="3"/>
      <c r="N56" s="3">
        <f t="shared" ca="1" si="1"/>
        <v>3749</v>
      </c>
      <c r="O56" s="3">
        <f t="shared" ca="1" si="2"/>
        <v>2023</v>
      </c>
      <c r="P56" s="3" t="s">
        <v>18</v>
      </c>
      <c r="Q56" s="3">
        <f t="shared" ca="1" si="6"/>
        <v>88</v>
      </c>
      <c r="R56" s="3"/>
      <c r="S56" s="3">
        <f t="shared" ref="S56:S57" ca="1" si="56">RANDBETWEEN(0,100)</f>
        <v>59</v>
      </c>
      <c r="T56" s="3"/>
      <c r="U56" s="3"/>
      <c r="V56" s="3"/>
      <c r="W56" s="3"/>
      <c r="X56" s="3">
        <f t="shared" ca="1" si="55"/>
        <v>46</v>
      </c>
      <c r="Y56" s="3"/>
      <c r="Z56" s="3"/>
      <c r="AA56" s="3"/>
      <c r="AB56" s="3"/>
      <c r="AC56" s="3"/>
    </row>
    <row r="57" spans="1:29" s="1" customFormat="1" ht="25.05" customHeight="1" x14ac:dyDescent="0.3">
      <c r="A57" s="3" t="s">
        <v>224</v>
      </c>
      <c r="B57" s="3" t="s">
        <v>225</v>
      </c>
      <c r="C57" s="3" t="s">
        <v>142</v>
      </c>
      <c r="D57" s="3" t="s">
        <v>143</v>
      </c>
      <c r="E57" s="3" t="s">
        <v>38</v>
      </c>
      <c r="F57" s="3" t="s">
        <v>35</v>
      </c>
      <c r="G57" s="3">
        <f t="shared" ca="1" si="42"/>
        <v>643</v>
      </c>
      <c r="H57" s="3">
        <f t="shared" ca="1" si="42"/>
        <v>865</v>
      </c>
      <c r="I57" s="3"/>
      <c r="J57" s="3"/>
      <c r="K57" s="3"/>
      <c r="L57" s="3"/>
      <c r="M57" s="3"/>
      <c r="N57" s="3">
        <f t="shared" ca="1" si="1"/>
        <v>8153</v>
      </c>
      <c r="O57" s="3">
        <f t="shared" ca="1" si="2"/>
        <v>2019</v>
      </c>
      <c r="P57" s="3" t="s">
        <v>18</v>
      </c>
      <c r="Q57" s="3">
        <f t="shared" ca="1" si="6"/>
        <v>33</v>
      </c>
      <c r="R57" s="3"/>
      <c r="S57" s="3">
        <f t="shared" ca="1" si="56"/>
        <v>13</v>
      </c>
      <c r="T57" s="3"/>
      <c r="U57" s="3"/>
      <c r="V57" s="3"/>
      <c r="W57" s="3"/>
      <c r="X57" s="3">
        <f t="shared" ca="1" si="55"/>
        <v>73</v>
      </c>
      <c r="Y57" s="3"/>
      <c r="Z57" s="3"/>
      <c r="AA57" s="3"/>
      <c r="AB57" s="3"/>
      <c r="AC57" s="3"/>
    </row>
    <row r="58" spans="1:29" s="1" customFormat="1" ht="25.05" customHeight="1" x14ac:dyDescent="0.3">
      <c r="A58" s="3" t="s">
        <v>224</v>
      </c>
      <c r="B58" s="3" t="s">
        <v>225</v>
      </c>
      <c r="C58" s="3" t="s">
        <v>144</v>
      </c>
      <c r="D58" s="3" t="s">
        <v>145</v>
      </c>
      <c r="E58" s="3" t="s">
        <v>38</v>
      </c>
      <c r="F58" s="3" t="s">
        <v>35</v>
      </c>
      <c r="G58" s="3">
        <f t="shared" ca="1" si="42"/>
        <v>894</v>
      </c>
      <c r="H58" s="3">
        <f t="shared" ca="1" si="42"/>
        <v>81</v>
      </c>
      <c r="I58" s="3"/>
      <c r="J58" s="3"/>
      <c r="K58" s="3"/>
      <c r="L58" s="3"/>
      <c r="M58" s="3"/>
      <c r="N58" s="3">
        <f t="shared" ca="1" si="1"/>
        <v>3006</v>
      </c>
      <c r="O58" s="3">
        <f t="shared" ca="1" si="2"/>
        <v>2022</v>
      </c>
      <c r="P58" s="3" t="s">
        <v>17</v>
      </c>
      <c r="Q58" s="3">
        <f t="shared" ca="1" si="6"/>
        <v>26</v>
      </c>
      <c r="R58" s="3">
        <f t="shared" ca="1" si="6"/>
        <v>38</v>
      </c>
      <c r="S58" s="3"/>
      <c r="T58" s="3"/>
      <c r="U58" s="3"/>
      <c r="V58" s="3"/>
      <c r="W58" s="3" t="s">
        <v>32</v>
      </c>
      <c r="X58" s="3">
        <f t="shared" ca="1" si="55"/>
        <v>33</v>
      </c>
      <c r="Y58" s="3"/>
      <c r="Z58" s="3"/>
      <c r="AA58" s="3"/>
      <c r="AB58" s="3"/>
      <c r="AC58" s="3">
        <f t="shared" ref="AC58:AC59" ca="1" si="57">RANDBETWEEN(0,100)</f>
        <v>17</v>
      </c>
    </row>
    <row r="59" spans="1:29" s="1" customFormat="1" ht="25.05" customHeight="1" x14ac:dyDescent="0.3">
      <c r="A59" s="3" t="s">
        <v>224</v>
      </c>
      <c r="B59" s="3" t="s">
        <v>225</v>
      </c>
      <c r="C59" s="3" t="s">
        <v>146</v>
      </c>
      <c r="D59" s="3" t="s">
        <v>147</v>
      </c>
      <c r="E59" s="3" t="s">
        <v>38</v>
      </c>
      <c r="F59" s="3" t="s">
        <v>35</v>
      </c>
      <c r="G59" s="3">
        <f t="shared" ca="1" si="42"/>
        <v>989</v>
      </c>
      <c r="H59" s="3">
        <f t="shared" ca="1" si="42"/>
        <v>687</v>
      </c>
      <c r="I59" s="3"/>
      <c r="J59" s="3"/>
      <c r="K59" s="3"/>
      <c r="L59" s="3"/>
      <c r="M59" s="3"/>
      <c r="N59" s="3">
        <f t="shared" ca="1" si="1"/>
        <v>6935</v>
      </c>
      <c r="O59" s="3">
        <f t="shared" ca="1" si="2"/>
        <v>2021</v>
      </c>
      <c r="P59" s="3" t="s">
        <v>17</v>
      </c>
      <c r="Q59" s="3">
        <f t="shared" ca="1" si="6"/>
        <v>2</v>
      </c>
      <c r="R59" s="3">
        <f t="shared" ca="1" si="6"/>
        <v>42</v>
      </c>
      <c r="S59" s="3"/>
      <c r="T59" s="3"/>
      <c r="U59" s="3"/>
      <c r="V59" s="3"/>
      <c r="W59" s="3"/>
      <c r="X59" s="3"/>
      <c r="Y59" s="3"/>
      <c r="Z59" s="3"/>
      <c r="AA59" s="3"/>
      <c r="AB59" s="3"/>
      <c r="AC59" s="3">
        <f t="shared" ca="1" si="57"/>
        <v>13</v>
      </c>
    </row>
    <row r="60" spans="1:29" s="1" customFormat="1" ht="25.05" customHeight="1" x14ac:dyDescent="0.3">
      <c r="A60" s="3" t="s">
        <v>224</v>
      </c>
      <c r="B60" s="3" t="s">
        <v>225</v>
      </c>
      <c r="C60" s="3" t="s">
        <v>148</v>
      </c>
      <c r="D60" s="3" t="s">
        <v>149</v>
      </c>
      <c r="E60" s="3" t="s">
        <v>38</v>
      </c>
      <c r="F60" s="3" t="s">
        <v>42</v>
      </c>
      <c r="G60" s="3">
        <f t="shared" ca="1" si="42"/>
        <v>72</v>
      </c>
      <c r="H60" s="3">
        <f t="shared" ca="1" si="42"/>
        <v>663</v>
      </c>
      <c r="I60" s="3">
        <f t="shared" ca="1" si="42"/>
        <v>690</v>
      </c>
      <c r="J60" s="3"/>
      <c r="K60" s="3"/>
      <c r="L60" s="3"/>
      <c r="M60" s="3"/>
      <c r="N60" s="3">
        <f t="shared" ca="1" si="1"/>
        <v>1117</v>
      </c>
      <c r="O60" s="3">
        <f t="shared" ca="1" si="2"/>
        <v>2022</v>
      </c>
      <c r="P60" s="3" t="s">
        <v>17</v>
      </c>
      <c r="Q60" s="3">
        <f t="shared" ca="1" si="6"/>
        <v>73</v>
      </c>
      <c r="R60" s="3">
        <f t="shared" ca="1" si="6"/>
        <v>21</v>
      </c>
      <c r="S60" s="3"/>
      <c r="T60" s="3"/>
      <c r="U60" s="3"/>
      <c r="V60" s="3"/>
      <c r="W60" s="3"/>
      <c r="X60" s="3">
        <f t="shared" ref="X60" ca="1" si="58">RANDBETWEEN(0,100)</f>
        <v>12</v>
      </c>
      <c r="Y60" s="3"/>
      <c r="Z60" s="3"/>
      <c r="AA60" s="3"/>
      <c r="AB60" s="3"/>
      <c r="AC60" s="3"/>
    </row>
    <row r="61" spans="1:29" s="1" customFormat="1" ht="25.05" customHeight="1" x14ac:dyDescent="0.3">
      <c r="A61" s="3" t="s">
        <v>224</v>
      </c>
      <c r="B61" s="3" t="s">
        <v>225</v>
      </c>
      <c r="C61" s="3" t="s">
        <v>150</v>
      </c>
      <c r="D61" s="3" t="s">
        <v>151</v>
      </c>
      <c r="E61" s="3" t="s">
        <v>38</v>
      </c>
      <c r="F61" s="3" t="s">
        <v>31</v>
      </c>
      <c r="G61" s="3">
        <f t="shared" ca="1" si="42"/>
        <v>930</v>
      </c>
      <c r="H61" s="3"/>
      <c r="I61" s="3">
        <f t="shared" ca="1" si="42"/>
        <v>524</v>
      </c>
      <c r="J61" s="3"/>
      <c r="K61" s="3"/>
      <c r="L61" s="3"/>
      <c r="M61" s="3"/>
      <c r="N61" s="3">
        <f t="shared" ca="1" si="1"/>
        <v>2826</v>
      </c>
      <c r="O61" s="3">
        <f t="shared" ca="1" si="2"/>
        <v>2020</v>
      </c>
      <c r="P61" s="3" t="s">
        <v>17</v>
      </c>
      <c r="Q61" s="3">
        <f t="shared" ca="1" si="6"/>
        <v>87</v>
      </c>
      <c r="R61" s="3">
        <f t="shared" ca="1" si="6"/>
        <v>34</v>
      </c>
      <c r="S61" s="3"/>
      <c r="T61" s="3"/>
      <c r="U61" s="3"/>
      <c r="V61" s="3"/>
      <c r="W61" s="3" t="s">
        <v>32</v>
      </c>
      <c r="X61" s="3"/>
      <c r="Y61" s="3"/>
      <c r="Z61" s="3"/>
      <c r="AA61" s="3"/>
      <c r="AB61" s="3"/>
      <c r="AC61" s="3">
        <f t="shared" ref="AC61" ca="1" si="59">RANDBETWEEN(0,100)</f>
        <v>81</v>
      </c>
    </row>
    <row r="62" spans="1:29" s="1" customFormat="1" ht="25.05" hidden="1" customHeight="1" x14ac:dyDescent="0.3">
      <c r="A62" s="3" t="s">
        <v>224</v>
      </c>
      <c r="B62" s="3"/>
      <c r="C62" s="3" t="s">
        <v>152</v>
      </c>
      <c r="D62" s="3" t="s">
        <v>153</v>
      </c>
      <c r="E62" s="3" t="s">
        <v>38</v>
      </c>
      <c r="F62" s="3" t="s">
        <v>35</v>
      </c>
      <c r="G62" s="3"/>
      <c r="H62" s="3" t="s">
        <v>39</v>
      </c>
      <c r="I62" s="3"/>
      <c r="J62" s="3"/>
      <c r="K62" s="3"/>
      <c r="L62" s="3"/>
      <c r="M62" s="3"/>
      <c r="N62" s="3">
        <f t="shared" ca="1" si="1"/>
        <v>5680</v>
      </c>
      <c r="O62" s="3">
        <f t="shared" ca="1" si="2"/>
        <v>2021</v>
      </c>
      <c r="P62" s="3" t="s">
        <v>17</v>
      </c>
      <c r="Q62" s="3">
        <f t="shared" ca="1" si="6"/>
        <v>49</v>
      </c>
      <c r="R62" s="3">
        <f t="shared" ca="1" si="6"/>
        <v>83</v>
      </c>
      <c r="S62" s="3"/>
      <c r="T62" s="3"/>
      <c r="U62" s="3"/>
      <c r="V62" s="3"/>
      <c r="W62" s="3"/>
      <c r="X62" s="3">
        <f t="shared" ref="X62:X65" ca="1" si="60">RANDBETWEEN(0,100)</f>
        <v>49</v>
      </c>
      <c r="Y62" s="3"/>
      <c r="Z62" s="3"/>
      <c r="AA62" s="3"/>
      <c r="AB62" s="3"/>
      <c r="AC62" s="3"/>
    </row>
    <row r="63" spans="1:29" s="1" customFormat="1" ht="25.05" customHeight="1" x14ac:dyDescent="0.3">
      <c r="A63" s="3" t="s">
        <v>224</v>
      </c>
      <c r="B63" s="3" t="s">
        <v>225</v>
      </c>
      <c r="C63" s="3" t="s">
        <v>154</v>
      </c>
      <c r="D63" s="3" t="s">
        <v>155</v>
      </c>
      <c r="E63" s="3" t="s">
        <v>38</v>
      </c>
      <c r="F63" s="3" t="s">
        <v>42</v>
      </c>
      <c r="G63" s="3"/>
      <c r="H63" s="3"/>
      <c r="I63" s="3"/>
      <c r="J63" s="3" t="s">
        <v>39</v>
      </c>
      <c r="K63" s="3"/>
      <c r="L63" s="3"/>
      <c r="M63" s="3"/>
      <c r="N63" s="3">
        <f t="shared" ca="1" si="1"/>
        <v>726</v>
      </c>
      <c r="O63" s="3">
        <f t="shared" ca="1" si="2"/>
        <v>2020</v>
      </c>
      <c r="P63" s="3" t="s">
        <v>17</v>
      </c>
      <c r="Q63" s="3">
        <f t="shared" ca="1" si="6"/>
        <v>36</v>
      </c>
      <c r="R63" s="3">
        <f t="shared" ca="1" si="6"/>
        <v>81</v>
      </c>
      <c r="S63" s="3"/>
      <c r="T63" s="3"/>
      <c r="U63" s="3"/>
      <c r="V63" s="3"/>
      <c r="W63" s="3"/>
      <c r="X63" s="3">
        <f t="shared" ca="1" si="60"/>
        <v>84</v>
      </c>
      <c r="Y63" s="3"/>
      <c r="Z63" s="3"/>
      <c r="AA63" s="3"/>
      <c r="AB63" s="3"/>
      <c r="AC63" s="3"/>
    </row>
    <row r="64" spans="1:29" s="1" customFormat="1" ht="25.05" customHeight="1" x14ac:dyDescent="0.3">
      <c r="A64" s="3" t="s">
        <v>224</v>
      </c>
      <c r="B64" s="3" t="s">
        <v>225</v>
      </c>
      <c r="C64" s="3" t="s">
        <v>156</v>
      </c>
      <c r="D64" s="3" t="s">
        <v>121</v>
      </c>
      <c r="E64" s="3" t="s">
        <v>30</v>
      </c>
      <c r="F64" s="3" t="s">
        <v>35</v>
      </c>
      <c r="G64" s="3">
        <f t="shared" ref="G64:I95" ca="1" si="61">RANDBETWEEN(0,1000)</f>
        <v>511</v>
      </c>
      <c r="H64" s="3">
        <f t="shared" ca="1" si="61"/>
        <v>25</v>
      </c>
      <c r="I64" s="3"/>
      <c r="J64" s="3"/>
      <c r="K64" s="3"/>
      <c r="L64" s="3"/>
      <c r="M64" s="3"/>
      <c r="N64" s="3"/>
      <c r="O64" s="3">
        <f t="shared" ca="1" si="2"/>
        <v>2023</v>
      </c>
      <c r="P64" s="3" t="s">
        <v>17</v>
      </c>
      <c r="Q64" s="3">
        <f t="shared" ca="1" si="6"/>
        <v>75</v>
      </c>
      <c r="R64" s="3">
        <f t="shared" ca="1" si="6"/>
        <v>45</v>
      </c>
      <c r="S64" s="3"/>
      <c r="T64" s="3"/>
      <c r="U64" s="3"/>
      <c r="V64" s="3"/>
      <c r="W64" s="3"/>
      <c r="X64" s="3">
        <f t="shared" ca="1" si="60"/>
        <v>22</v>
      </c>
      <c r="Y64" s="3"/>
      <c r="Z64" s="3"/>
      <c r="AA64" s="3"/>
      <c r="AB64" s="3"/>
      <c r="AC64" s="3"/>
    </row>
    <row r="65" spans="1:29" s="1" customFormat="1" ht="25.05" customHeight="1" x14ac:dyDescent="0.3">
      <c r="A65" s="3" t="s">
        <v>224</v>
      </c>
      <c r="B65" s="3" t="s">
        <v>225</v>
      </c>
      <c r="C65" s="3" t="s">
        <v>157</v>
      </c>
      <c r="D65" s="3" t="s">
        <v>158</v>
      </c>
      <c r="E65" s="3" t="s">
        <v>38</v>
      </c>
      <c r="F65" s="3" t="s">
        <v>35</v>
      </c>
      <c r="G65" s="3">
        <f t="shared" ca="1" si="61"/>
        <v>854</v>
      </c>
      <c r="H65" s="3">
        <f t="shared" ca="1" si="61"/>
        <v>544</v>
      </c>
      <c r="I65" s="3"/>
      <c r="J65" s="3"/>
      <c r="K65" s="3"/>
      <c r="L65" s="3"/>
      <c r="M65" s="3"/>
      <c r="N65" s="3">
        <f t="shared" ca="1" si="1"/>
        <v>4089</v>
      </c>
      <c r="O65" s="3">
        <f t="shared" ca="1" si="2"/>
        <v>2024</v>
      </c>
      <c r="P65" s="3" t="s">
        <v>17</v>
      </c>
      <c r="Q65" s="3">
        <f t="shared" ca="1" si="6"/>
        <v>42</v>
      </c>
      <c r="R65" s="3">
        <f t="shared" ca="1" si="6"/>
        <v>71</v>
      </c>
      <c r="S65" s="3"/>
      <c r="T65" s="3"/>
      <c r="U65" s="3"/>
      <c r="V65" s="3"/>
      <c r="W65" s="3"/>
      <c r="X65" s="3">
        <f t="shared" ca="1" si="60"/>
        <v>5</v>
      </c>
      <c r="Y65" s="3"/>
      <c r="Z65" s="3"/>
      <c r="AA65" s="3"/>
      <c r="AB65" s="3"/>
      <c r="AC65" s="3"/>
    </row>
    <row r="66" spans="1:29" s="1" customFormat="1" ht="25.05" customHeight="1" x14ac:dyDescent="0.3">
      <c r="A66" s="3" t="s">
        <v>224</v>
      </c>
      <c r="B66" s="3" t="s">
        <v>225</v>
      </c>
      <c r="C66" s="3" t="s">
        <v>159</v>
      </c>
      <c r="D66" s="3" t="s">
        <v>160</v>
      </c>
      <c r="E66" s="3" t="s">
        <v>38</v>
      </c>
      <c r="F66" s="3" t="s">
        <v>35</v>
      </c>
      <c r="G66" s="3">
        <f t="shared" ca="1" si="61"/>
        <v>761</v>
      </c>
      <c r="H66" s="3">
        <f t="shared" ca="1" si="61"/>
        <v>695</v>
      </c>
      <c r="I66" s="3"/>
      <c r="J66" s="3"/>
      <c r="K66" s="3"/>
      <c r="L66" s="3"/>
      <c r="M66" s="3"/>
      <c r="N66" s="3">
        <f t="shared" ca="1" si="1"/>
        <v>1524</v>
      </c>
      <c r="O66" s="3">
        <f t="shared" ca="1" si="2"/>
        <v>2021</v>
      </c>
      <c r="P66" s="3" t="s">
        <v>18</v>
      </c>
      <c r="Q66" s="3">
        <f t="shared" ca="1" si="6"/>
        <v>58</v>
      </c>
      <c r="R66" s="3"/>
      <c r="S66" s="3">
        <f t="shared" ref="S66" ca="1" si="62">RANDBETWEEN(0,100)</f>
        <v>86</v>
      </c>
      <c r="T66" s="3"/>
      <c r="U66" s="3"/>
      <c r="V66" s="3"/>
      <c r="W66" s="3" t="s">
        <v>32</v>
      </c>
      <c r="X66" s="3"/>
      <c r="Y66" s="3"/>
      <c r="Z66" s="3"/>
      <c r="AA66" s="3"/>
      <c r="AB66" s="3"/>
      <c r="AC66" s="3">
        <f t="shared" ref="AC66" ca="1" si="63">RANDBETWEEN(0,100)</f>
        <v>10</v>
      </c>
    </row>
    <row r="67" spans="1:29" s="1" customFormat="1" ht="25.05" customHeight="1" x14ac:dyDescent="0.3">
      <c r="A67" s="3" t="s">
        <v>224</v>
      </c>
      <c r="B67" s="3" t="s">
        <v>225</v>
      </c>
      <c r="C67" s="3" t="s">
        <v>161</v>
      </c>
      <c r="D67" s="3" t="s">
        <v>162</v>
      </c>
      <c r="E67" s="3" t="s">
        <v>30</v>
      </c>
      <c r="F67" s="3" t="s">
        <v>42</v>
      </c>
      <c r="G67" s="3">
        <f t="shared" ca="1" si="61"/>
        <v>448</v>
      </c>
      <c r="H67" s="3">
        <f t="shared" ca="1" si="61"/>
        <v>612</v>
      </c>
      <c r="I67" s="3">
        <f t="shared" ca="1" si="61"/>
        <v>925</v>
      </c>
      <c r="J67" s="3"/>
      <c r="K67" s="3"/>
      <c r="L67" s="3"/>
      <c r="M67" s="3"/>
      <c r="N67" s="3">
        <f t="shared" ref="N67:N95" ca="1" si="64">RANDBETWEEN(0,10000)</f>
        <v>1592</v>
      </c>
      <c r="O67" s="3">
        <f t="shared" ref="O67:O95" ca="1" si="65">RANDBETWEEN(2019,2024)</f>
        <v>2019</v>
      </c>
      <c r="P67" s="3" t="s">
        <v>17</v>
      </c>
      <c r="Q67" s="3">
        <f t="shared" ref="Q67:S95" ca="1" si="66">RANDBETWEEN(0,100)</f>
        <v>91</v>
      </c>
      <c r="R67" s="3">
        <f t="shared" ca="1" si="6"/>
        <v>39</v>
      </c>
      <c r="S67" s="3"/>
      <c r="T67" s="3"/>
      <c r="U67" s="3"/>
      <c r="V67" s="3"/>
      <c r="W67" s="3"/>
      <c r="X67" s="3">
        <f t="shared" ref="X67" ca="1" si="67">RANDBETWEEN(0,100)</f>
        <v>50</v>
      </c>
      <c r="Y67" s="3"/>
      <c r="Z67" s="3"/>
      <c r="AA67" s="3"/>
      <c r="AB67" s="3"/>
      <c r="AC67" s="3"/>
    </row>
    <row r="68" spans="1:29" s="1" customFormat="1" ht="25.05" customHeight="1" x14ac:dyDescent="0.3">
      <c r="A68" s="3" t="s">
        <v>224</v>
      </c>
      <c r="B68" s="3" t="s">
        <v>225</v>
      </c>
      <c r="C68" s="3" t="s">
        <v>163</v>
      </c>
      <c r="D68" s="3" t="s">
        <v>164</v>
      </c>
      <c r="E68" s="3" t="s">
        <v>38</v>
      </c>
      <c r="F68" s="3" t="s">
        <v>35</v>
      </c>
      <c r="G68" s="3">
        <f t="shared" ca="1" si="61"/>
        <v>85</v>
      </c>
      <c r="H68" s="3">
        <f t="shared" ca="1" si="61"/>
        <v>174</v>
      </c>
      <c r="I68" s="3"/>
      <c r="J68" s="3"/>
      <c r="K68" s="3"/>
      <c r="L68" s="3"/>
      <c r="M68" s="3"/>
      <c r="N68" s="3">
        <f t="shared" ca="1" si="64"/>
        <v>8262</v>
      </c>
      <c r="O68" s="3">
        <f t="shared" ca="1" si="65"/>
        <v>2020</v>
      </c>
      <c r="P68" s="3" t="s">
        <v>17</v>
      </c>
      <c r="Q68" s="3">
        <f t="shared" ca="1" si="66"/>
        <v>29</v>
      </c>
      <c r="R68" s="3">
        <f t="shared" ca="1" si="6"/>
        <v>86</v>
      </c>
      <c r="S68" s="3">
        <f t="shared" ca="1" si="6"/>
        <v>93</v>
      </c>
      <c r="T68" s="3"/>
      <c r="U68" s="3"/>
      <c r="V68" s="3"/>
      <c r="W68" s="3"/>
      <c r="X68" s="3"/>
      <c r="Y68" s="3"/>
      <c r="Z68" s="3"/>
      <c r="AA68" s="3">
        <f t="shared" ref="AA68" ca="1" si="68">RANDBETWEEN(0,100)</f>
        <v>55</v>
      </c>
      <c r="AB68" s="3"/>
      <c r="AC68" s="3"/>
    </row>
    <row r="69" spans="1:29" s="1" customFormat="1" ht="25.05" customHeight="1" x14ac:dyDescent="0.3">
      <c r="A69" s="3" t="s">
        <v>224</v>
      </c>
      <c r="B69" s="3" t="s">
        <v>225</v>
      </c>
      <c r="C69" s="3" t="s">
        <v>165</v>
      </c>
      <c r="D69" s="3" t="s">
        <v>166</v>
      </c>
      <c r="E69" s="3" t="s">
        <v>38</v>
      </c>
      <c r="F69" s="3" t="s">
        <v>42</v>
      </c>
      <c r="G69" s="3">
        <f t="shared" ca="1" si="61"/>
        <v>522</v>
      </c>
      <c r="H69" s="3">
        <f t="shared" ca="1" si="61"/>
        <v>489</v>
      </c>
      <c r="I69" s="3">
        <f t="shared" ca="1" si="61"/>
        <v>834</v>
      </c>
      <c r="J69" s="3"/>
      <c r="K69" s="3"/>
      <c r="L69" s="3"/>
      <c r="M69" s="3"/>
      <c r="N69" s="3">
        <f t="shared" ca="1" si="64"/>
        <v>9686</v>
      </c>
      <c r="O69" s="3">
        <f t="shared" ca="1" si="65"/>
        <v>2021</v>
      </c>
      <c r="P69" s="3" t="s">
        <v>167</v>
      </c>
      <c r="Q69" s="3">
        <f t="shared" ca="1" si="66"/>
        <v>6</v>
      </c>
      <c r="R69" s="3">
        <f t="shared" ca="1" si="66"/>
        <v>61</v>
      </c>
      <c r="S69" s="3">
        <f t="shared" ca="1" si="66"/>
        <v>74</v>
      </c>
      <c r="T69" s="3"/>
      <c r="U69" s="3"/>
      <c r="V69" s="3"/>
      <c r="W69" s="3"/>
      <c r="X69" s="3">
        <f t="shared" ref="X69:X70" ca="1" si="69">RANDBETWEEN(0,100)</f>
        <v>50</v>
      </c>
      <c r="Y69" s="3"/>
      <c r="Z69" s="3"/>
      <c r="AA69" s="3"/>
      <c r="AB69" s="3"/>
      <c r="AC69" s="3">
        <f t="shared" ref="AC69" ca="1" si="70">RANDBETWEEN(0,100)</f>
        <v>16</v>
      </c>
    </row>
    <row r="70" spans="1:29" s="1" customFormat="1" ht="25.05" customHeight="1" x14ac:dyDescent="0.3">
      <c r="A70" s="3" t="s">
        <v>224</v>
      </c>
      <c r="B70" s="3" t="s">
        <v>225</v>
      </c>
      <c r="C70" s="3" t="s">
        <v>168</v>
      </c>
      <c r="D70" s="3" t="s">
        <v>169</v>
      </c>
      <c r="E70" s="3" t="s">
        <v>30</v>
      </c>
      <c r="F70" s="3" t="s">
        <v>42</v>
      </c>
      <c r="G70" s="3">
        <f t="shared" ca="1" si="61"/>
        <v>535</v>
      </c>
      <c r="H70" s="3">
        <f t="shared" ca="1" si="61"/>
        <v>613</v>
      </c>
      <c r="I70" s="3"/>
      <c r="J70" s="3"/>
      <c r="K70" s="3"/>
      <c r="L70" s="3"/>
      <c r="M70" s="3"/>
      <c r="N70" s="3">
        <f t="shared" ca="1" si="64"/>
        <v>4243</v>
      </c>
      <c r="O70" s="3">
        <f t="shared" ca="1" si="65"/>
        <v>2024</v>
      </c>
      <c r="P70" s="3" t="s">
        <v>17</v>
      </c>
      <c r="Q70" s="3">
        <f t="shared" ca="1" si="66"/>
        <v>18</v>
      </c>
      <c r="R70" s="3">
        <f t="shared" ca="1" si="66"/>
        <v>34</v>
      </c>
      <c r="S70" s="3"/>
      <c r="T70" s="3"/>
      <c r="U70" s="3"/>
      <c r="V70" s="3"/>
      <c r="W70" s="3"/>
      <c r="X70" s="3">
        <f t="shared" ca="1" si="69"/>
        <v>82</v>
      </c>
      <c r="Y70" s="3"/>
      <c r="Z70" s="3"/>
      <c r="AA70" s="3"/>
      <c r="AB70" s="3"/>
      <c r="AC70" s="3"/>
    </row>
    <row r="71" spans="1:29" s="1" customFormat="1" ht="25.05" customHeight="1" x14ac:dyDescent="0.3">
      <c r="A71" s="3" t="s">
        <v>224</v>
      </c>
      <c r="B71" s="3" t="s">
        <v>225</v>
      </c>
      <c r="C71" s="3" t="s">
        <v>170</v>
      </c>
      <c r="D71" s="3" t="s">
        <v>171</v>
      </c>
      <c r="E71" s="3" t="s">
        <v>38</v>
      </c>
      <c r="F71" s="3" t="s">
        <v>42</v>
      </c>
      <c r="G71" s="3">
        <f t="shared" ca="1" si="61"/>
        <v>359</v>
      </c>
      <c r="H71" s="3">
        <f t="shared" ca="1" si="61"/>
        <v>992</v>
      </c>
      <c r="I71" s="3">
        <f t="shared" ca="1" si="61"/>
        <v>550</v>
      </c>
      <c r="J71" s="3"/>
      <c r="K71" s="3"/>
      <c r="L71" s="3"/>
      <c r="M71" s="3"/>
      <c r="N71" s="3">
        <f t="shared" ca="1" si="64"/>
        <v>8588</v>
      </c>
      <c r="O71" s="3">
        <f t="shared" ca="1" si="65"/>
        <v>2020</v>
      </c>
      <c r="P71" s="3" t="s">
        <v>167</v>
      </c>
      <c r="Q71" s="3">
        <f t="shared" ca="1" si="66"/>
        <v>85</v>
      </c>
      <c r="R71" s="3">
        <f t="shared" ca="1" si="66"/>
        <v>66</v>
      </c>
      <c r="S71" s="3">
        <f t="shared" ca="1" si="66"/>
        <v>91</v>
      </c>
      <c r="T71" s="3"/>
      <c r="U71" s="3"/>
      <c r="V71" s="3"/>
      <c r="W71" s="3"/>
      <c r="X71" s="3"/>
      <c r="Y71" s="3">
        <f t="shared" ref="Y71" ca="1" si="71">RANDBETWEEN(0,100)</f>
        <v>73</v>
      </c>
      <c r="Z71" s="3"/>
      <c r="AA71" s="3"/>
      <c r="AB71" s="3"/>
      <c r="AC71" s="3"/>
    </row>
    <row r="72" spans="1:29" s="1" customFormat="1" ht="25.05" customHeight="1" x14ac:dyDescent="0.3">
      <c r="A72" s="3" t="s">
        <v>224</v>
      </c>
      <c r="B72" s="3" t="s">
        <v>225</v>
      </c>
      <c r="C72" s="3" t="s">
        <v>172</v>
      </c>
      <c r="D72" s="3" t="s">
        <v>173</v>
      </c>
      <c r="E72" s="3" t="s">
        <v>30</v>
      </c>
      <c r="F72" s="3" t="s">
        <v>35</v>
      </c>
      <c r="G72" s="3">
        <f t="shared" ca="1" si="61"/>
        <v>339</v>
      </c>
      <c r="H72" s="3">
        <f t="shared" ca="1" si="61"/>
        <v>926</v>
      </c>
      <c r="I72" s="3"/>
      <c r="J72" s="3"/>
      <c r="K72" s="3"/>
      <c r="L72" s="3"/>
      <c r="M72" s="3"/>
      <c r="N72" s="3">
        <f t="shared" ca="1" si="64"/>
        <v>7315</v>
      </c>
      <c r="O72" s="3">
        <f t="shared" ca="1" si="65"/>
        <v>2023</v>
      </c>
      <c r="P72" s="3" t="s">
        <v>17</v>
      </c>
      <c r="Q72" s="3">
        <f t="shared" ca="1" si="66"/>
        <v>63</v>
      </c>
      <c r="R72" s="3">
        <f t="shared" ca="1" si="66"/>
        <v>74</v>
      </c>
      <c r="S72" s="3"/>
      <c r="T72" s="3"/>
      <c r="U72" s="3"/>
      <c r="V72" s="3"/>
      <c r="W72" s="3"/>
      <c r="X72" s="3">
        <f t="shared" ref="X72:X73" ca="1" si="72">RANDBETWEEN(0,100)</f>
        <v>89</v>
      </c>
      <c r="Y72" s="3"/>
      <c r="Z72" s="3"/>
      <c r="AA72" s="3"/>
      <c r="AB72" s="3"/>
      <c r="AC72" s="3">
        <f t="shared" ref="AC72" ca="1" si="73">RANDBETWEEN(0,100)</f>
        <v>21</v>
      </c>
    </row>
    <row r="73" spans="1:29" s="1" customFormat="1" ht="25.05" customHeight="1" x14ac:dyDescent="0.3">
      <c r="A73" s="3" t="s">
        <v>224</v>
      </c>
      <c r="B73" s="3" t="s">
        <v>225</v>
      </c>
      <c r="C73" s="3" t="s">
        <v>174</v>
      </c>
      <c r="D73" s="3" t="s">
        <v>175</v>
      </c>
      <c r="E73" s="3" t="s">
        <v>38</v>
      </c>
      <c r="F73" s="3" t="s">
        <v>31</v>
      </c>
      <c r="G73" s="3">
        <f t="shared" ca="1" si="61"/>
        <v>52</v>
      </c>
      <c r="H73" s="3"/>
      <c r="I73" s="3">
        <f t="shared" ref="I73" ca="1" si="74">RANDBETWEEN(0,1000)</f>
        <v>38</v>
      </c>
      <c r="J73" s="3"/>
      <c r="K73" s="3"/>
      <c r="L73" s="3"/>
      <c r="M73" s="3"/>
      <c r="N73" s="3">
        <f t="shared" ca="1" si="64"/>
        <v>4014</v>
      </c>
      <c r="O73" s="3">
        <f t="shared" ca="1" si="65"/>
        <v>2019</v>
      </c>
      <c r="P73" s="3" t="s">
        <v>17</v>
      </c>
      <c r="Q73" s="3">
        <f t="shared" ca="1" si="66"/>
        <v>12</v>
      </c>
      <c r="R73" s="3">
        <f t="shared" ca="1" si="66"/>
        <v>41</v>
      </c>
      <c r="S73" s="3"/>
      <c r="T73" s="3"/>
      <c r="U73" s="3"/>
      <c r="V73" s="3"/>
      <c r="W73" s="3"/>
      <c r="X73" s="3">
        <f t="shared" ca="1" si="72"/>
        <v>91</v>
      </c>
      <c r="Y73" s="3"/>
      <c r="Z73" s="3"/>
      <c r="AA73" s="3"/>
      <c r="AB73" s="3"/>
      <c r="AC73" s="3"/>
    </row>
    <row r="74" spans="1:29" s="1" customFormat="1" ht="25.05" customHeight="1" x14ac:dyDescent="0.3">
      <c r="A74" s="3" t="s">
        <v>224</v>
      </c>
      <c r="B74" s="3" t="s">
        <v>225</v>
      </c>
      <c r="C74" s="3" t="s">
        <v>176</v>
      </c>
      <c r="D74" s="3" t="s">
        <v>177</v>
      </c>
      <c r="E74" s="3" t="s">
        <v>30</v>
      </c>
      <c r="F74" s="3" t="s">
        <v>35</v>
      </c>
      <c r="G74" s="3">
        <f t="shared" ca="1" si="61"/>
        <v>470</v>
      </c>
      <c r="H74" s="3">
        <f t="shared" ca="1" si="61"/>
        <v>52</v>
      </c>
      <c r="I74" s="3"/>
      <c r="J74" s="3"/>
      <c r="K74" s="3"/>
      <c r="L74" s="3"/>
      <c r="M74" s="3"/>
      <c r="N74" s="3">
        <f t="shared" ca="1" si="64"/>
        <v>6824</v>
      </c>
      <c r="O74" s="3">
        <f t="shared" ca="1" si="65"/>
        <v>2019</v>
      </c>
      <c r="P74" s="3" t="s">
        <v>17</v>
      </c>
      <c r="Q74" s="3">
        <f t="shared" ca="1" si="66"/>
        <v>54</v>
      </c>
      <c r="R74" s="3">
        <f t="shared" ca="1" si="66"/>
        <v>48</v>
      </c>
      <c r="S74" s="3"/>
      <c r="T74" s="3"/>
      <c r="U74" s="3"/>
      <c r="V74" s="3"/>
      <c r="W74" s="3" t="s">
        <v>32</v>
      </c>
      <c r="X74" s="3"/>
      <c r="Y74" s="3"/>
      <c r="Z74" s="3"/>
      <c r="AA74" s="3"/>
      <c r="AB74" s="3"/>
      <c r="AC74" s="3">
        <f t="shared" ref="AC74" ca="1" si="75">RANDBETWEEN(0,100)</f>
        <v>42</v>
      </c>
    </row>
    <row r="75" spans="1:29" s="1" customFormat="1" ht="25.05" customHeight="1" x14ac:dyDescent="0.3">
      <c r="A75" s="3" t="s">
        <v>224</v>
      </c>
      <c r="B75" s="3" t="s">
        <v>225</v>
      </c>
      <c r="C75" s="3" t="s">
        <v>178</v>
      </c>
      <c r="D75" s="3" t="s">
        <v>179</v>
      </c>
      <c r="E75" s="3" t="s">
        <v>38</v>
      </c>
      <c r="F75" s="3" t="s">
        <v>35</v>
      </c>
      <c r="G75" s="3">
        <f t="shared" ca="1" si="61"/>
        <v>591</v>
      </c>
      <c r="H75" s="3">
        <f t="shared" ca="1" si="61"/>
        <v>768</v>
      </c>
      <c r="I75" s="3"/>
      <c r="J75" s="3"/>
      <c r="K75" s="3"/>
      <c r="L75" s="3"/>
      <c r="M75" s="3"/>
      <c r="N75" s="3">
        <f t="shared" ca="1" si="64"/>
        <v>7349</v>
      </c>
      <c r="O75" s="3">
        <f t="shared" ca="1" si="65"/>
        <v>2023</v>
      </c>
      <c r="P75" s="3" t="s">
        <v>17</v>
      </c>
      <c r="Q75" s="3">
        <f t="shared" ca="1" si="66"/>
        <v>71</v>
      </c>
      <c r="R75" s="3">
        <f t="shared" ca="1" si="66"/>
        <v>27</v>
      </c>
      <c r="S75" s="3"/>
      <c r="T75" s="3"/>
      <c r="U75" s="3"/>
      <c r="V75" s="3"/>
      <c r="W75" s="3" t="s">
        <v>32</v>
      </c>
      <c r="X75" s="3">
        <f t="shared" ref="X75" ca="1" si="76">RANDBETWEEN(0,100)</f>
        <v>5</v>
      </c>
      <c r="Y75" s="3"/>
      <c r="Z75" s="3"/>
      <c r="AA75" s="3"/>
      <c r="AB75" s="3"/>
      <c r="AC75" s="3"/>
    </row>
    <row r="76" spans="1:29" s="1" customFormat="1" ht="25.05" customHeight="1" x14ac:dyDescent="0.3">
      <c r="A76" s="3" t="s">
        <v>224</v>
      </c>
      <c r="B76" s="3" t="s">
        <v>225</v>
      </c>
      <c r="C76" s="3" t="s">
        <v>180</v>
      </c>
      <c r="D76" s="3" t="s">
        <v>179</v>
      </c>
      <c r="E76" s="3" t="s">
        <v>38</v>
      </c>
      <c r="F76" s="3" t="s">
        <v>35</v>
      </c>
      <c r="G76" s="3">
        <f t="shared" ca="1" si="61"/>
        <v>983</v>
      </c>
      <c r="H76" s="3">
        <f t="shared" ca="1" si="61"/>
        <v>643</v>
      </c>
      <c r="I76" s="3"/>
      <c r="J76" s="3"/>
      <c r="K76" s="3"/>
      <c r="L76" s="3"/>
      <c r="M76" s="3"/>
      <c r="N76" s="3">
        <f t="shared" ca="1" si="64"/>
        <v>9161</v>
      </c>
      <c r="O76" s="3">
        <f t="shared" ca="1" si="65"/>
        <v>2020</v>
      </c>
      <c r="P76" s="3" t="s">
        <v>17</v>
      </c>
      <c r="Q76" s="3">
        <f t="shared" ca="1" si="66"/>
        <v>25</v>
      </c>
      <c r="R76" s="3">
        <f t="shared" ca="1" si="66"/>
        <v>71</v>
      </c>
      <c r="S76" s="3"/>
      <c r="T76" s="3"/>
      <c r="U76" s="3"/>
      <c r="V76" s="3"/>
      <c r="W76" s="3" t="s">
        <v>32</v>
      </c>
      <c r="X76" s="3"/>
      <c r="Y76" s="3">
        <f t="shared" ref="Y76" ca="1" si="77">RANDBETWEEN(0,100)</f>
        <v>89</v>
      </c>
      <c r="Z76" s="3"/>
      <c r="AA76" s="3"/>
      <c r="AB76" s="3"/>
      <c r="AC76" s="3"/>
    </row>
    <row r="77" spans="1:29" s="1" customFormat="1" ht="25.05" customHeight="1" x14ac:dyDescent="0.3">
      <c r="A77" s="3" t="s">
        <v>224</v>
      </c>
      <c r="B77" s="3" t="s">
        <v>225</v>
      </c>
      <c r="C77" s="3" t="s">
        <v>181</v>
      </c>
      <c r="D77" s="3" t="s">
        <v>182</v>
      </c>
      <c r="E77" s="3" t="s">
        <v>30</v>
      </c>
      <c r="F77" s="3" t="s">
        <v>42</v>
      </c>
      <c r="G77" s="3">
        <f t="shared" ca="1" si="61"/>
        <v>181</v>
      </c>
      <c r="H77" s="3"/>
      <c r="I77" s="3"/>
      <c r="J77" s="3">
        <f t="shared" ref="J77" ca="1" si="78">RANDBETWEEN(0,1000)</f>
        <v>945</v>
      </c>
      <c r="K77" s="3"/>
      <c r="L77" s="3"/>
      <c r="M77" s="3"/>
      <c r="N77" s="3">
        <f t="shared" ca="1" si="64"/>
        <v>2558</v>
      </c>
      <c r="O77" s="3">
        <f t="shared" ca="1" si="65"/>
        <v>2022</v>
      </c>
      <c r="P77" s="3" t="s">
        <v>17</v>
      </c>
      <c r="Q77" s="3">
        <f t="shared" ca="1" si="66"/>
        <v>73</v>
      </c>
      <c r="R77" s="3">
        <f t="shared" ca="1" si="66"/>
        <v>7</v>
      </c>
      <c r="S77" s="3"/>
      <c r="T77" s="3"/>
      <c r="U77" s="3"/>
      <c r="V77" s="3"/>
      <c r="W77" s="3"/>
      <c r="X77" s="3"/>
      <c r="Y77" s="3"/>
      <c r="Z77" s="3"/>
      <c r="AA77" s="3"/>
      <c r="AB77" s="3"/>
      <c r="AC77" s="3">
        <f t="shared" ref="AC77:AC81" ca="1" si="79">RANDBETWEEN(0,100)</f>
        <v>92</v>
      </c>
    </row>
    <row r="78" spans="1:29" s="1" customFormat="1" ht="25.05" customHeight="1" x14ac:dyDescent="0.3">
      <c r="A78" s="3" t="s">
        <v>224</v>
      </c>
      <c r="B78" s="3" t="s">
        <v>225</v>
      </c>
      <c r="C78" s="3" t="s">
        <v>183</v>
      </c>
      <c r="D78" s="3" t="s">
        <v>184</v>
      </c>
      <c r="E78" s="3" t="s">
        <v>38</v>
      </c>
      <c r="F78" s="3" t="s">
        <v>35</v>
      </c>
      <c r="G78" s="3">
        <f t="shared" ca="1" si="61"/>
        <v>174</v>
      </c>
      <c r="H78" s="3">
        <f t="shared" ca="1" si="61"/>
        <v>291</v>
      </c>
      <c r="I78" s="3"/>
      <c r="J78" s="3"/>
      <c r="K78" s="3"/>
      <c r="L78" s="3"/>
      <c r="M78" s="3"/>
      <c r="N78" s="3">
        <f t="shared" ca="1" si="64"/>
        <v>578</v>
      </c>
      <c r="O78" s="3">
        <f t="shared" ca="1" si="65"/>
        <v>2021</v>
      </c>
      <c r="P78" s="3" t="s">
        <v>17</v>
      </c>
      <c r="Q78" s="3">
        <f t="shared" ca="1" si="66"/>
        <v>76</v>
      </c>
      <c r="R78" s="3">
        <f t="shared" ca="1" si="66"/>
        <v>2</v>
      </c>
      <c r="S78" s="3"/>
      <c r="T78" s="3"/>
      <c r="U78" s="3"/>
      <c r="V78" s="3"/>
      <c r="W78" s="3"/>
      <c r="X78" s="3"/>
      <c r="Y78" s="3"/>
      <c r="Z78" s="3"/>
      <c r="AA78" s="3"/>
      <c r="AB78" s="3"/>
      <c r="AC78" s="3">
        <f t="shared" ca="1" si="79"/>
        <v>74</v>
      </c>
    </row>
    <row r="79" spans="1:29" s="1" customFormat="1" ht="25.05" customHeight="1" x14ac:dyDescent="0.3">
      <c r="A79" s="3" t="s">
        <v>224</v>
      </c>
      <c r="B79" s="3" t="s">
        <v>225</v>
      </c>
      <c r="C79" s="3" t="s">
        <v>185</v>
      </c>
      <c r="D79" s="3" t="s">
        <v>186</v>
      </c>
      <c r="E79" s="3" t="s">
        <v>38</v>
      </c>
      <c r="F79" s="3" t="s">
        <v>42</v>
      </c>
      <c r="G79" s="3">
        <f t="shared" ca="1" si="61"/>
        <v>502</v>
      </c>
      <c r="H79" s="3">
        <f t="shared" ca="1" si="61"/>
        <v>918</v>
      </c>
      <c r="I79" s="3">
        <f t="shared" ca="1" si="61"/>
        <v>634</v>
      </c>
      <c r="J79" s="3"/>
      <c r="K79" s="3"/>
      <c r="L79" s="3"/>
      <c r="M79" s="3"/>
      <c r="N79" s="3">
        <f t="shared" ca="1" si="64"/>
        <v>7724</v>
      </c>
      <c r="O79" s="3">
        <f t="shared" ca="1" si="65"/>
        <v>2024</v>
      </c>
      <c r="P79" s="3" t="s">
        <v>17</v>
      </c>
      <c r="Q79" s="3">
        <f t="shared" ca="1" si="66"/>
        <v>59</v>
      </c>
      <c r="R79" s="3">
        <f t="shared" ca="1" si="66"/>
        <v>29</v>
      </c>
      <c r="S79" s="3"/>
      <c r="T79" s="3"/>
      <c r="U79" s="3"/>
      <c r="V79" s="3"/>
      <c r="W79" s="3" t="s">
        <v>32</v>
      </c>
      <c r="X79" s="3"/>
      <c r="Y79" s="3"/>
      <c r="Z79" s="3"/>
      <c r="AA79" s="3"/>
      <c r="AB79" s="3"/>
      <c r="AC79" s="3">
        <f t="shared" ca="1" si="79"/>
        <v>43</v>
      </c>
    </row>
    <row r="80" spans="1:29" s="1" customFormat="1" ht="25.05" customHeight="1" x14ac:dyDescent="0.3">
      <c r="A80" s="3" t="s">
        <v>224</v>
      </c>
      <c r="B80" s="3" t="s">
        <v>225</v>
      </c>
      <c r="C80" s="3" t="s">
        <v>187</v>
      </c>
      <c r="D80" s="3" t="s">
        <v>188</v>
      </c>
      <c r="E80" s="3" t="s">
        <v>38</v>
      </c>
      <c r="F80" s="3" t="s">
        <v>31</v>
      </c>
      <c r="G80" s="3">
        <f t="shared" ca="1" si="61"/>
        <v>681</v>
      </c>
      <c r="H80" s="3"/>
      <c r="I80" s="3">
        <f t="shared" ca="1" si="61"/>
        <v>468</v>
      </c>
      <c r="J80" s="3"/>
      <c r="K80" s="3"/>
      <c r="L80" s="3"/>
      <c r="M80" s="3"/>
      <c r="N80" s="3">
        <f t="shared" ca="1" si="64"/>
        <v>7919</v>
      </c>
      <c r="O80" s="3">
        <f t="shared" ca="1" si="65"/>
        <v>2024</v>
      </c>
      <c r="P80" s="3" t="s">
        <v>17</v>
      </c>
      <c r="Q80" s="3">
        <f t="shared" ca="1" si="66"/>
        <v>17</v>
      </c>
      <c r="R80" s="3">
        <f t="shared" ca="1" si="66"/>
        <v>51</v>
      </c>
      <c r="S80" s="3"/>
      <c r="T80" s="3"/>
      <c r="U80" s="3"/>
      <c r="V80" s="3"/>
      <c r="W80" s="3"/>
      <c r="X80" s="3"/>
      <c r="Y80" s="3"/>
      <c r="Z80" s="3"/>
      <c r="AA80" s="3"/>
      <c r="AB80" s="3"/>
      <c r="AC80" s="3">
        <f t="shared" ca="1" si="79"/>
        <v>12</v>
      </c>
    </row>
    <row r="81" spans="1:29" s="1" customFormat="1" ht="25.05" hidden="1" customHeight="1" x14ac:dyDescent="0.3">
      <c r="A81" s="3" t="s">
        <v>224</v>
      </c>
      <c r="B81" s="3"/>
      <c r="C81" s="3" t="s">
        <v>189</v>
      </c>
      <c r="D81" s="3" t="s">
        <v>190</v>
      </c>
      <c r="E81" s="3" t="s">
        <v>30</v>
      </c>
      <c r="F81" s="3" t="s">
        <v>35</v>
      </c>
      <c r="G81" s="3">
        <f t="shared" ca="1" si="61"/>
        <v>970</v>
      </c>
      <c r="H81" s="3">
        <f t="shared" ca="1" si="61"/>
        <v>808</v>
      </c>
      <c r="I81" s="3"/>
      <c r="J81" s="3"/>
      <c r="K81" s="3"/>
      <c r="L81" s="3"/>
      <c r="M81" s="3"/>
      <c r="N81" s="3">
        <f t="shared" ca="1" si="64"/>
        <v>5503</v>
      </c>
      <c r="O81" s="3">
        <f t="shared" ca="1" si="65"/>
        <v>2020</v>
      </c>
      <c r="P81" s="3" t="s">
        <v>167</v>
      </c>
      <c r="Q81" s="3">
        <f t="shared" ca="1" si="66"/>
        <v>73</v>
      </c>
      <c r="R81" s="3">
        <f t="shared" ca="1" si="66"/>
        <v>37</v>
      </c>
      <c r="S81" s="3">
        <f t="shared" ca="1" si="66"/>
        <v>63</v>
      </c>
      <c r="T81" s="3"/>
      <c r="U81" s="3"/>
      <c r="V81" s="3"/>
      <c r="W81" s="3" t="s">
        <v>32</v>
      </c>
      <c r="X81" s="3"/>
      <c r="Y81" s="3"/>
      <c r="Z81" s="3"/>
      <c r="AA81" s="3"/>
      <c r="AB81" s="3"/>
      <c r="AC81" s="3">
        <f t="shared" ca="1" si="79"/>
        <v>63</v>
      </c>
    </row>
    <row r="82" spans="1:29" s="1" customFormat="1" ht="25.05" customHeight="1" x14ac:dyDescent="0.3">
      <c r="A82" s="3" t="s">
        <v>224</v>
      </c>
      <c r="B82" s="3" t="s">
        <v>225</v>
      </c>
      <c r="C82" s="3" t="s">
        <v>191</v>
      </c>
      <c r="D82" s="3" t="s">
        <v>192</v>
      </c>
      <c r="E82" s="3" t="s">
        <v>38</v>
      </c>
      <c r="F82" s="3" t="s">
        <v>31</v>
      </c>
      <c r="G82" s="3">
        <f t="shared" ca="1" si="61"/>
        <v>316</v>
      </c>
      <c r="H82" s="3"/>
      <c r="I82" s="3">
        <f t="shared" ref="I82" ca="1" si="80">RANDBETWEEN(0,1000)</f>
        <v>142</v>
      </c>
      <c r="J82" s="3"/>
      <c r="K82" s="3"/>
      <c r="L82" s="3"/>
      <c r="M82" s="3"/>
      <c r="N82" s="3">
        <f t="shared" ca="1" si="64"/>
        <v>8421</v>
      </c>
      <c r="O82" s="3">
        <f t="shared" ca="1" si="65"/>
        <v>2022</v>
      </c>
      <c r="P82" s="3" t="s">
        <v>17</v>
      </c>
      <c r="Q82" s="3">
        <f t="shared" ca="1" si="66"/>
        <v>78</v>
      </c>
      <c r="R82" s="3">
        <f t="shared" ca="1" si="66"/>
        <v>1</v>
      </c>
      <c r="S82" s="3"/>
      <c r="T82" s="3"/>
      <c r="U82" s="3"/>
      <c r="V82" s="3"/>
      <c r="W82" s="3"/>
      <c r="X82" s="3">
        <f t="shared" ref="X82:X83" ca="1" si="81">RANDBETWEEN(0,100)</f>
        <v>78</v>
      </c>
      <c r="Y82" s="3"/>
      <c r="Z82" s="3"/>
      <c r="AA82" s="3"/>
      <c r="AB82" s="3"/>
      <c r="AC82" s="3"/>
    </row>
    <row r="83" spans="1:29" s="1" customFormat="1" ht="25.05" customHeight="1" x14ac:dyDescent="0.3">
      <c r="A83" s="3" t="s">
        <v>224</v>
      </c>
      <c r="B83" s="3" t="s">
        <v>225</v>
      </c>
      <c r="C83" s="3" t="s">
        <v>193</v>
      </c>
      <c r="D83" s="3" t="s">
        <v>194</v>
      </c>
      <c r="E83" s="3" t="s">
        <v>38</v>
      </c>
      <c r="F83" s="3" t="s">
        <v>42</v>
      </c>
      <c r="G83" s="3"/>
      <c r="H83" s="3"/>
      <c r="I83" s="3"/>
      <c r="J83" s="3" t="s">
        <v>39</v>
      </c>
      <c r="K83" s="3"/>
      <c r="L83" s="3"/>
      <c r="M83" s="3"/>
      <c r="N83" s="3">
        <f t="shared" ca="1" si="64"/>
        <v>6541</v>
      </c>
      <c r="O83" s="3">
        <f t="shared" ca="1" si="65"/>
        <v>2020</v>
      </c>
      <c r="P83" s="3" t="s">
        <v>167</v>
      </c>
      <c r="Q83" s="3">
        <f t="shared" ca="1" si="66"/>
        <v>47</v>
      </c>
      <c r="R83" s="3">
        <f t="shared" ca="1" si="66"/>
        <v>65</v>
      </c>
      <c r="S83" s="3">
        <f t="shared" ca="1" si="66"/>
        <v>45</v>
      </c>
      <c r="T83" s="3"/>
      <c r="U83" s="3"/>
      <c r="V83" s="3"/>
      <c r="W83" s="3"/>
      <c r="X83" s="3">
        <f t="shared" ca="1" si="81"/>
        <v>55</v>
      </c>
      <c r="Y83" s="3"/>
      <c r="Z83" s="3"/>
      <c r="AA83" s="3"/>
      <c r="AB83" s="3"/>
      <c r="AC83" s="3"/>
    </row>
    <row r="84" spans="1:29" s="1" customFormat="1" ht="25.05" hidden="1" customHeight="1" x14ac:dyDescent="0.3">
      <c r="A84" s="3" t="s">
        <v>224</v>
      </c>
      <c r="B84" s="3"/>
      <c r="C84" s="3" t="s">
        <v>195</v>
      </c>
      <c r="D84" s="3" t="s">
        <v>196</v>
      </c>
      <c r="E84" s="3" t="s">
        <v>38</v>
      </c>
      <c r="F84" s="3" t="s">
        <v>35</v>
      </c>
      <c r="G84" s="3">
        <f t="shared" ca="1" si="61"/>
        <v>81</v>
      </c>
      <c r="H84" s="3">
        <f t="shared" ca="1" si="61"/>
        <v>478</v>
      </c>
      <c r="I84" s="3"/>
      <c r="J84" s="3"/>
      <c r="K84" s="3"/>
      <c r="L84" s="3"/>
      <c r="M84" s="3"/>
      <c r="N84" s="3">
        <f t="shared" ca="1" si="64"/>
        <v>4209</v>
      </c>
      <c r="O84" s="3">
        <f t="shared" ca="1" si="65"/>
        <v>2021</v>
      </c>
      <c r="P84" s="3" t="s">
        <v>167</v>
      </c>
      <c r="Q84" s="3">
        <f t="shared" ca="1" si="66"/>
        <v>49</v>
      </c>
      <c r="R84" s="3">
        <f t="shared" ca="1" si="66"/>
        <v>35</v>
      </c>
      <c r="S84" s="3">
        <f t="shared" ca="1" si="66"/>
        <v>98</v>
      </c>
      <c r="T84" s="3"/>
      <c r="U84" s="3"/>
      <c r="V84" s="3"/>
      <c r="W84" s="3"/>
      <c r="X84" s="3"/>
      <c r="Y84" s="3"/>
      <c r="Z84" s="3"/>
      <c r="AA84" s="3"/>
      <c r="AB84" s="3"/>
      <c r="AC84" s="3">
        <f t="shared" ref="AC84" ca="1" si="82">RANDBETWEEN(0,100)</f>
        <v>86</v>
      </c>
    </row>
    <row r="85" spans="1:29" s="1" customFormat="1" ht="25.05" customHeight="1" x14ac:dyDescent="0.3">
      <c r="A85" s="3" t="s">
        <v>224</v>
      </c>
      <c r="B85" s="3" t="s">
        <v>225</v>
      </c>
      <c r="C85" s="3" t="s">
        <v>197</v>
      </c>
      <c r="D85" s="3" t="s">
        <v>198</v>
      </c>
      <c r="E85" s="3" t="s">
        <v>38</v>
      </c>
      <c r="F85" s="3" t="s">
        <v>35</v>
      </c>
      <c r="G85" s="3"/>
      <c r="H85" s="3"/>
      <c r="I85" s="3"/>
      <c r="J85" s="3" t="s">
        <v>39</v>
      </c>
      <c r="K85" s="3"/>
      <c r="L85" s="3"/>
      <c r="M85" s="3"/>
      <c r="N85" s="3">
        <f t="shared" ca="1" si="64"/>
        <v>3833</v>
      </c>
      <c r="O85" s="3">
        <f t="shared" ca="1" si="65"/>
        <v>2024</v>
      </c>
      <c r="P85" s="3" t="s">
        <v>167</v>
      </c>
      <c r="Q85" s="3">
        <f t="shared" ca="1" si="66"/>
        <v>56</v>
      </c>
      <c r="R85" s="3">
        <f t="shared" ca="1" si="66"/>
        <v>74</v>
      </c>
      <c r="S85" s="3"/>
      <c r="T85" s="3"/>
      <c r="U85" s="3"/>
      <c r="V85" s="3"/>
      <c r="W85" s="3"/>
      <c r="X85" s="3"/>
      <c r="Y85" s="3"/>
      <c r="Z85" s="3"/>
      <c r="AA85" s="3"/>
      <c r="AB85" s="3">
        <f t="shared" ref="AB85" ca="1" si="83">RANDBETWEEN(0,100)</f>
        <v>42</v>
      </c>
      <c r="AC85" s="3"/>
    </row>
    <row r="86" spans="1:29" s="1" customFormat="1" ht="25.05" customHeight="1" x14ac:dyDescent="0.3">
      <c r="A86" s="3" t="s">
        <v>224</v>
      </c>
      <c r="B86" s="3" t="s">
        <v>225</v>
      </c>
      <c r="C86" s="3" t="s">
        <v>199</v>
      </c>
      <c r="D86" s="3" t="s">
        <v>200</v>
      </c>
      <c r="E86" s="3" t="s">
        <v>30</v>
      </c>
      <c r="F86" s="3" t="s">
        <v>201</v>
      </c>
      <c r="G86" s="3">
        <f t="shared" ca="1" si="61"/>
        <v>57</v>
      </c>
      <c r="H86" s="3">
        <f t="shared" ca="1" si="61"/>
        <v>605</v>
      </c>
      <c r="I86" s="3">
        <f t="shared" ca="1" si="61"/>
        <v>630</v>
      </c>
      <c r="J86" s="3"/>
      <c r="K86" s="3"/>
      <c r="L86" s="3"/>
      <c r="M86" s="3"/>
      <c r="N86" s="3">
        <f t="shared" ca="1" si="64"/>
        <v>4105</v>
      </c>
      <c r="O86" s="3">
        <f t="shared" ca="1" si="65"/>
        <v>2020</v>
      </c>
      <c r="P86" s="3" t="s">
        <v>17</v>
      </c>
      <c r="Q86" s="3">
        <f t="shared" ca="1" si="66"/>
        <v>81</v>
      </c>
      <c r="R86" s="3">
        <f t="shared" ca="1" si="66"/>
        <v>39</v>
      </c>
      <c r="S86" s="3"/>
      <c r="T86" s="3"/>
      <c r="U86" s="3"/>
      <c r="V86" s="3"/>
      <c r="W86" s="3"/>
      <c r="X86" s="3"/>
      <c r="Y86" s="3"/>
      <c r="Z86" s="3"/>
      <c r="AA86" s="3"/>
      <c r="AB86" s="3"/>
      <c r="AC86" s="3">
        <v>0.5</v>
      </c>
    </row>
    <row r="87" spans="1:29" s="1" customFormat="1" ht="25.05" customHeight="1" x14ac:dyDescent="0.3">
      <c r="A87" s="3" t="s">
        <v>224</v>
      </c>
      <c r="B87" s="3" t="s">
        <v>225</v>
      </c>
      <c r="C87" s="3" t="s">
        <v>202</v>
      </c>
      <c r="D87" s="3" t="s">
        <v>203</v>
      </c>
      <c r="E87" s="3" t="s">
        <v>38</v>
      </c>
      <c r="F87" s="3" t="s">
        <v>42</v>
      </c>
      <c r="G87" s="3">
        <f t="shared" ca="1" si="61"/>
        <v>479</v>
      </c>
      <c r="H87" s="3">
        <f t="shared" ca="1" si="61"/>
        <v>603</v>
      </c>
      <c r="I87" s="3">
        <f t="shared" ca="1" si="61"/>
        <v>513</v>
      </c>
      <c r="J87" s="3"/>
      <c r="K87" s="3"/>
      <c r="L87" s="3"/>
      <c r="M87" s="3"/>
      <c r="N87" s="3">
        <f t="shared" ca="1" si="64"/>
        <v>4648</v>
      </c>
      <c r="O87" s="3">
        <f t="shared" ca="1" si="65"/>
        <v>2019</v>
      </c>
      <c r="P87" s="3" t="s">
        <v>17</v>
      </c>
      <c r="Q87" s="3">
        <f t="shared" ca="1" si="66"/>
        <v>21</v>
      </c>
      <c r="R87" s="3">
        <f t="shared" ca="1" si="66"/>
        <v>49</v>
      </c>
      <c r="S87" s="3"/>
      <c r="T87" s="3"/>
      <c r="U87" s="3"/>
      <c r="V87" s="3"/>
      <c r="W87" s="3"/>
      <c r="X87" s="3"/>
      <c r="Y87" s="3"/>
      <c r="Z87" s="3">
        <f t="shared" ref="Z87" ca="1" si="84">RANDBETWEEN(0,100)</f>
        <v>64</v>
      </c>
      <c r="AA87" s="3"/>
      <c r="AB87" s="3"/>
      <c r="AC87" s="3"/>
    </row>
    <row r="88" spans="1:29" s="1" customFormat="1" ht="25.05" customHeight="1" x14ac:dyDescent="0.3">
      <c r="A88" s="3" t="s">
        <v>224</v>
      </c>
      <c r="B88" s="3" t="s">
        <v>225</v>
      </c>
      <c r="C88" s="3" t="s">
        <v>204</v>
      </c>
      <c r="D88" s="3" t="s">
        <v>205</v>
      </c>
      <c r="E88" s="3" t="s">
        <v>38</v>
      </c>
      <c r="F88" s="3" t="s">
        <v>206</v>
      </c>
      <c r="G88" s="3"/>
      <c r="H88" s="3" t="s">
        <v>39</v>
      </c>
      <c r="I88" s="3"/>
      <c r="J88" s="3"/>
      <c r="K88" s="3"/>
      <c r="L88" s="3"/>
      <c r="M88" s="3"/>
      <c r="N88" s="3">
        <f t="shared" ca="1" si="64"/>
        <v>7266</v>
      </c>
      <c r="O88" s="3">
        <f t="shared" ca="1" si="65"/>
        <v>2024</v>
      </c>
      <c r="P88" s="3" t="s">
        <v>17</v>
      </c>
      <c r="Q88" s="3">
        <f t="shared" ca="1" si="66"/>
        <v>12</v>
      </c>
      <c r="R88" s="3">
        <f t="shared" ca="1" si="66"/>
        <v>92</v>
      </c>
      <c r="S88" s="3"/>
      <c r="T88" s="3"/>
      <c r="U88" s="3"/>
      <c r="V88" s="3"/>
      <c r="W88" s="3"/>
      <c r="X88" s="3"/>
      <c r="Y88" s="3"/>
      <c r="Z88" s="3"/>
      <c r="AA88" s="3"/>
      <c r="AB88" s="3"/>
      <c r="AC88" s="3">
        <f t="shared" ref="AC88:AC89" ca="1" si="85">RANDBETWEEN(0,100)</f>
        <v>86</v>
      </c>
    </row>
    <row r="89" spans="1:29" s="1" customFormat="1" ht="25.05" customHeight="1" x14ac:dyDescent="0.3">
      <c r="A89" s="3" t="s">
        <v>224</v>
      </c>
      <c r="B89" s="3" t="s">
        <v>225</v>
      </c>
      <c r="C89" s="3" t="s">
        <v>207</v>
      </c>
      <c r="D89" s="3" t="s">
        <v>208</v>
      </c>
      <c r="E89" s="3" t="s">
        <v>38</v>
      </c>
      <c r="F89" s="3" t="s">
        <v>35</v>
      </c>
      <c r="G89" s="3">
        <f t="shared" ca="1" si="61"/>
        <v>289</v>
      </c>
      <c r="H89" s="3">
        <f t="shared" ca="1" si="61"/>
        <v>808</v>
      </c>
      <c r="I89" s="3"/>
      <c r="J89" s="3"/>
      <c r="K89" s="3"/>
      <c r="L89" s="3"/>
      <c r="M89" s="3"/>
      <c r="N89" s="3">
        <f t="shared" ca="1" si="64"/>
        <v>8079</v>
      </c>
      <c r="O89" s="3">
        <f t="shared" ca="1" si="65"/>
        <v>2019</v>
      </c>
      <c r="P89" s="3" t="s">
        <v>167</v>
      </c>
      <c r="Q89" s="3">
        <f t="shared" ca="1" si="66"/>
        <v>52</v>
      </c>
      <c r="R89" s="3">
        <f t="shared" ca="1" si="66"/>
        <v>58</v>
      </c>
      <c r="S89" s="3">
        <f t="shared" ca="1" si="66"/>
        <v>2</v>
      </c>
      <c r="T89" s="3"/>
      <c r="U89" s="3"/>
      <c r="V89" s="3"/>
      <c r="W89" s="3"/>
      <c r="X89" s="3">
        <f t="shared" ref="X89:X91" ca="1" si="86">RANDBETWEEN(0,100)</f>
        <v>52</v>
      </c>
      <c r="Y89" s="3"/>
      <c r="Z89" s="3"/>
      <c r="AA89" s="3"/>
      <c r="AB89" s="3"/>
      <c r="AC89" s="3">
        <f t="shared" ca="1" si="85"/>
        <v>43</v>
      </c>
    </row>
    <row r="90" spans="1:29" s="1" customFormat="1" ht="25.05" customHeight="1" x14ac:dyDescent="0.3">
      <c r="A90" s="3" t="s">
        <v>224</v>
      </c>
      <c r="B90" s="3" t="s">
        <v>225</v>
      </c>
      <c r="C90" s="3" t="s">
        <v>209</v>
      </c>
      <c r="D90" s="3" t="s">
        <v>210</v>
      </c>
      <c r="E90" s="3" t="s">
        <v>30</v>
      </c>
      <c r="F90" s="3" t="s">
        <v>35</v>
      </c>
      <c r="G90" s="3">
        <f t="shared" ca="1" si="61"/>
        <v>680</v>
      </c>
      <c r="H90" s="3">
        <f t="shared" ca="1" si="61"/>
        <v>610</v>
      </c>
      <c r="I90" s="3"/>
      <c r="J90" s="3"/>
      <c r="K90" s="3"/>
      <c r="L90" s="3"/>
      <c r="M90" s="3"/>
      <c r="N90" s="3">
        <f t="shared" ca="1" si="64"/>
        <v>8054</v>
      </c>
      <c r="O90" s="3">
        <f t="shared" ca="1" si="65"/>
        <v>2023</v>
      </c>
      <c r="P90" s="3" t="s">
        <v>17</v>
      </c>
      <c r="Q90" s="3">
        <f t="shared" ca="1" si="66"/>
        <v>17</v>
      </c>
      <c r="R90" s="3">
        <f t="shared" ca="1" si="66"/>
        <v>59</v>
      </c>
      <c r="S90" s="3"/>
      <c r="T90" s="3"/>
      <c r="U90" s="3"/>
      <c r="V90" s="3"/>
      <c r="W90" s="3"/>
      <c r="X90" s="3">
        <f t="shared" ca="1" si="86"/>
        <v>51</v>
      </c>
      <c r="Y90" s="3"/>
      <c r="Z90" s="3"/>
      <c r="AA90" s="3"/>
      <c r="AB90" s="3"/>
      <c r="AC90" s="3"/>
    </row>
    <row r="91" spans="1:29" s="1" customFormat="1" ht="25.05" customHeight="1" x14ac:dyDescent="0.3">
      <c r="A91" s="3" t="s">
        <v>224</v>
      </c>
      <c r="B91" s="3" t="s">
        <v>225</v>
      </c>
      <c r="C91" s="3" t="s">
        <v>211</v>
      </c>
      <c r="D91" s="3" t="s">
        <v>212</v>
      </c>
      <c r="E91" s="3" t="s">
        <v>38</v>
      </c>
      <c r="F91" s="3" t="s">
        <v>213</v>
      </c>
      <c r="G91" s="3">
        <f t="shared" ca="1" si="61"/>
        <v>491</v>
      </c>
      <c r="H91" s="3">
        <f t="shared" ca="1" si="61"/>
        <v>9</v>
      </c>
      <c r="I91" s="3"/>
      <c r="J91" s="3"/>
      <c r="K91" s="3"/>
      <c r="L91" s="3"/>
      <c r="M91" s="3"/>
      <c r="N91" s="3">
        <f t="shared" ca="1" si="64"/>
        <v>6878</v>
      </c>
      <c r="O91" s="3">
        <f t="shared" ca="1" si="65"/>
        <v>2020</v>
      </c>
      <c r="P91" s="3" t="s">
        <v>17</v>
      </c>
      <c r="Q91" s="3">
        <f t="shared" ca="1" si="66"/>
        <v>31</v>
      </c>
      <c r="R91" s="3">
        <f t="shared" ca="1" si="66"/>
        <v>87</v>
      </c>
      <c r="S91" s="3"/>
      <c r="T91" s="3"/>
      <c r="U91" s="3"/>
      <c r="V91" s="3"/>
      <c r="W91" s="3"/>
      <c r="X91" s="3">
        <f t="shared" ca="1" si="86"/>
        <v>67</v>
      </c>
      <c r="Y91" s="3"/>
      <c r="Z91" s="3"/>
      <c r="AA91" s="3"/>
      <c r="AB91" s="3"/>
      <c r="AC91" s="3"/>
    </row>
    <row r="92" spans="1:29" s="1" customFormat="1" ht="25.05" customHeight="1" x14ac:dyDescent="0.3">
      <c r="A92" s="3" t="s">
        <v>224</v>
      </c>
      <c r="B92" s="3" t="s">
        <v>225</v>
      </c>
      <c r="C92" s="3" t="s">
        <v>214</v>
      </c>
      <c r="D92" s="3" t="s">
        <v>215</v>
      </c>
      <c r="E92" s="3" t="s">
        <v>30</v>
      </c>
      <c r="F92" s="3" t="s">
        <v>42</v>
      </c>
      <c r="G92" s="3">
        <f t="shared" ca="1" si="61"/>
        <v>673</v>
      </c>
      <c r="H92" s="3">
        <f t="shared" ca="1" si="61"/>
        <v>503</v>
      </c>
      <c r="I92" s="3">
        <f t="shared" ca="1" si="61"/>
        <v>589</v>
      </c>
      <c r="J92" s="3"/>
      <c r="K92" s="3"/>
      <c r="L92" s="3"/>
      <c r="M92" s="3"/>
      <c r="N92" s="3">
        <f t="shared" ca="1" si="64"/>
        <v>1826</v>
      </c>
      <c r="O92" s="3">
        <f t="shared" ca="1" si="65"/>
        <v>2019</v>
      </c>
      <c r="P92" s="3" t="s">
        <v>17</v>
      </c>
      <c r="Q92" s="3">
        <f t="shared" ca="1" si="66"/>
        <v>53</v>
      </c>
      <c r="R92" s="3">
        <f t="shared" ca="1" si="66"/>
        <v>68</v>
      </c>
      <c r="S92" s="3"/>
      <c r="T92" s="3"/>
      <c r="U92" s="3"/>
      <c r="V92" s="3"/>
      <c r="W92" s="3"/>
      <c r="X92" s="3"/>
      <c r="Y92" s="3"/>
      <c r="Z92" s="3"/>
      <c r="AA92" s="3"/>
      <c r="AB92" s="3"/>
      <c r="AC92" s="3">
        <f t="shared" ref="AC92:AC94" ca="1" si="87">RANDBETWEEN(0,100)</f>
        <v>86</v>
      </c>
    </row>
    <row r="93" spans="1:29" s="1" customFormat="1" ht="25.05" customHeight="1" x14ac:dyDescent="0.3">
      <c r="A93" s="3" t="s">
        <v>224</v>
      </c>
      <c r="B93" s="3" t="s">
        <v>225</v>
      </c>
      <c r="C93" s="3" t="s">
        <v>216</v>
      </c>
      <c r="D93" s="3" t="s">
        <v>217</v>
      </c>
      <c r="E93" s="3" t="s">
        <v>38</v>
      </c>
      <c r="F93" s="3" t="s">
        <v>35</v>
      </c>
      <c r="G93" s="3">
        <f t="shared" ca="1" si="61"/>
        <v>147</v>
      </c>
      <c r="H93" s="3">
        <f t="shared" ca="1" si="61"/>
        <v>44</v>
      </c>
      <c r="I93" s="3"/>
      <c r="J93" s="3"/>
      <c r="K93" s="3"/>
      <c r="L93" s="3"/>
      <c r="M93" s="3"/>
      <c r="N93" s="3">
        <f t="shared" ca="1" si="64"/>
        <v>141</v>
      </c>
      <c r="O93" s="3">
        <f t="shared" ca="1" si="65"/>
        <v>2019</v>
      </c>
      <c r="P93" s="3" t="s">
        <v>17</v>
      </c>
      <c r="Q93" s="3">
        <f t="shared" ca="1" si="66"/>
        <v>10</v>
      </c>
      <c r="R93" s="3">
        <f t="shared" ca="1" si="66"/>
        <v>76</v>
      </c>
      <c r="S93" s="3"/>
      <c r="T93" s="3"/>
      <c r="U93" s="3"/>
      <c r="V93" s="3"/>
      <c r="W93" s="3"/>
      <c r="X93" s="3"/>
      <c r="Y93" s="3"/>
      <c r="Z93" s="3"/>
      <c r="AA93" s="3"/>
      <c r="AB93" s="3"/>
      <c r="AC93" s="3">
        <f t="shared" ca="1" si="87"/>
        <v>41</v>
      </c>
    </row>
    <row r="94" spans="1:29" s="1" customFormat="1" ht="25.05" customHeight="1" x14ac:dyDescent="0.3">
      <c r="A94" s="3" t="s">
        <v>224</v>
      </c>
      <c r="B94" s="3" t="s">
        <v>225</v>
      </c>
      <c r="C94" s="3" t="s">
        <v>218</v>
      </c>
      <c r="D94" s="3" t="s">
        <v>219</v>
      </c>
      <c r="E94" s="3" t="s">
        <v>38</v>
      </c>
      <c r="F94" s="3" t="s">
        <v>35</v>
      </c>
      <c r="G94" s="3">
        <f t="shared" ca="1" si="61"/>
        <v>951</v>
      </c>
      <c r="H94" s="3">
        <f t="shared" ca="1" si="61"/>
        <v>157</v>
      </c>
      <c r="I94" s="3"/>
      <c r="J94" s="3"/>
      <c r="K94" s="3"/>
      <c r="L94" s="3"/>
      <c r="M94" s="3"/>
      <c r="N94" s="3">
        <f t="shared" ca="1" si="64"/>
        <v>67</v>
      </c>
      <c r="O94" s="3">
        <f t="shared" ca="1" si="65"/>
        <v>2021</v>
      </c>
      <c r="P94" s="3" t="s">
        <v>17</v>
      </c>
      <c r="Q94" s="3">
        <f t="shared" ca="1" si="66"/>
        <v>71</v>
      </c>
      <c r="R94" s="3">
        <f t="shared" ca="1" si="66"/>
        <v>53</v>
      </c>
      <c r="S94" s="3"/>
      <c r="T94" s="3"/>
      <c r="U94" s="3"/>
      <c r="V94" s="3"/>
      <c r="W94" s="3" t="s">
        <v>32</v>
      </c>
      <c r="X94" s="3">
        <f t="shared" ref="X94:X95" ca="1" si="88">RANDBETWEEN(0,100)</f>
        <v>75</v>
      </c>
      <c r="Y94" s="3"/>
      <c r="Z94" s="3"/>
      <c r="AA94" s="3"/>
      <c r="AB94" s="3"/>
      <c r="AC94" s="3">
        <f t="shared" ca="1" si="87"/>
        <v>54</v>
      </c>
    </row>
    <row r="95" spans="1:29" s="1" customFormat="1" ht="25.05" customHeight="1" x14ac:dyDescent="0.3">
      <c r="A95" s="3" t="s">
        <v>224</v>
      </c>
      <c r="B95" s="3" t="s">
        <v>225</v>
      </c>
      <c r="C95" s="3" t="s">
        <v>220</v>
      </c>
      <c r="D95" s="3" t="s">
        <v>221</v>
      </c>
      <c r="E95" s="3" t="s">
        <v>38</v>
      </c>
      <c r="F95" s="3" t="s">
        <v>35</v>
      </c>
      <c r="G95" s="3">
        <f t="shared" ca="1" si="61"/>
        <v>234</v>
      </c>
      <c r="H95" s="3">
        <f t="shared" ca="1" si="61"/>
        <v>557</v>
      </c>
      <c r="I95" s="3"/>
      <c r="J95" s="3"/>
      <c r="K95" s="3"/>
      <c r="L95" s="3"/>
      <c r="M95" s="3"/>
      <c r="N95" s="3">
        <f t="shared" ca="1" si="64"/>
        <v>4104</v>
      </c>
      <c r="O95" s="3">
        <f t="shared" ca="1" si="65"/>
        <v>2024</v>
      </c>
      <c r="P95" s="3" t="s">
        <v>17</v>
      </c>
      <c r="Q95" s="3">
        <f t="shared" ca="1" si="66"/>
        <v>15</v>
      </c>
      <c r="R95" s="3">
        <f t="shared" ca="1" si="66"/>
        <v>99</v>
      </c>
      <c r="S95" s="3"/>
      <c r="T95" s="3"/>
      <c r="U95" s="3"/>
      <c r="V95" s="3"/>
      <c r="W95" s="3" t="s">
        <v>32</v>
      </c>
      <c r="X95" s="3">
        <f t="shared" ca="1" si="88"/>
        <v>69</v>
      </c>
      <c r="Y95" s="3"/>
      <c r="Z95" s="3"/>
      <c r="AA95" s="3"/>
      <c r="AB95" s="3"/>
      <c r="AC95" s="3"/>
    </row>
    <row r="226" spans="15:15" ht="25.05" customHeight="1" x14ac:dyDescent="0.3">
      <c r="O226" t="s">
        <v>222</v>
      </c>
    </row>
    <row r="227" spans="15:15" ht="25.05" customHeight="1" x14ac:dyDescent="0.3">
      <c r="O227" t="s">
        <v>222</v>
      </c>
    </row>
    <row r="242" spans="15:15" ht="25.05" customHeight="1" x14ac:dyDescent="0.3">
      <c r="O242" t="s">
        <v>223</v>
      </c>
    </row>
    <row r="243" spans="15:15" ht="25.05" customHeight="1" x14ac:dyDescent="0.3">
      <c r="O243">
        <v>2023</v>
      </c>
    </row>
    <row r="244" spans="15:15" ht="25.05" customHeight="1" x14ac:dyDescent="0.3">
      <c r="O244">
        <v>2025</v>
      </c>
    </row>
    <row r="245" spans="15:15" ht="25.05" customHeight="1" x14ac:dyDescent="0.3">
      <c r="O245" t="s">
        <v>223</v>
      </c>
    </row>
    <row r="246" spans="15:15" ht="25.05" customHeight="1" x14ac:dyDescent="0.3">
      <c r="O246">
        <v>2025</v>
      </c>
    </row>
    <row r="247" spans="15:15" ht="25.05" customHeight="1" x14ac:dyDescent="0.3">
      <c r="O247">
        <v>2024</v>
      </c>
    </row>
    <row r="248" spans="15:15" ht="25.05" customHeight="1" x14ac:dyDescent="0.3">
      <c r="O248">
        <v>2025</v>
      </c>
    </row>
    <row r="249" spans="15:15" ht="25.05" customHeight="1" x14ac:dyDescent="0.3">
      <c r="O249">
        <v>2025</v>
      </c>
    </row>
    <row r="250" spans="15:15" ht="25.05" customHeight="1" x14ac:dyDescent="0.3">
      <c r="O250">
        <v>2023</v>
      </c>
    </row>
    <row r="332" spans="15:15" ht="25.05" customHeight="1" x14ac:dyDescent="0.3">
      <c r="O332">
        <v>2014</v>
      </c>
    </row>
    <row r="333" spans="15:15" ht="25.05" customHeight="1" x14ac:dyDescent="0.3">
      <c r="O333">
        <v>2021</v>
      </c>
    </row>
    <row r="334" spans="15:15" ht="25.05" customHeight="1" x14ac:dyDescent="0.3">
      <c r="O334">
        <v>2021</v>
      </c>
    </row>
    <row r="335" spans="15:15" ht="25.05" customHeight="1" x14ac:dyDescent="0.3">
      <c r="O335">
        <v>2022</v>
      </c>
    </row>
    <row r="336" spans="15:15" ht="25.05" customHeight="1" x14ac:dyDescent="0.3">
      <c r="O336">
        <v>2022</v>
      </c>
    </row>
    <row r="337" spans="15:15" ht="25.05" customHeight="1" x14ac:dyDescent="0.3">
      <c r="O337">
        <v>2023</v>
      </c>
    </row>
    <row r="338" spans="15:15" ht="25.05" customHeight="1" x14ac:dyDescent="0.3">
      <c r="O338">
        <v>2023</v>
      </c>
    </row>
    <row r="339" spans="15:15" ht="25.05" customHeight="1" x14ac:dyDescent="0.3">
      <c r="O339">
        <v>2023</v>
      </c>
    </row>
  </sheetData>
  <autoFilter ref="A1:AC95" xr:uid="{00000000-0001-0000-0000-000000000000}">
    <filterColumn colId="1">
      <customFilters>
        <customFilter operator="notEqual" val=" "/>
      </customFilters>
    </filterColumn>
  </autoFilter>
  <phoneticPr fontId="6" type="noConversion"/>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总表查询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dc:creator>
  <cp:lastModifiedBy>Xiao Liu [cn19xl]</cp:lastModifiedBy>
  <dcterms:created xsi:type="dcterms:W3CDTF">2025-01-20T10:45:00Z</dcterms:created>
  <dcterms:modified xsi:type="dcterms:W3CDTF">2026-05-26T09:14:47Z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E7F7549B0F034ADCA5B740430991A36A</vt:lpwstr>
  </property>
</Properties>
</file>