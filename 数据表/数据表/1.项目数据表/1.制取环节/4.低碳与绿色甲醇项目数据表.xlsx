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 氢能研究院\数智化工作\企业库\数据表-给博英\1.项目数据表\1.制取环节\"/>
    </mc:Choice>
  </mc:AlternateContent>
  <xr:revisionPtr revIDLastSave="0" documentId="13_ncr:1_{51FB4ED2-4F2B-498D-80EB-2B992C003959}" xr6:coauthVersionLast="47" xr6:coauthVersionMax="47" xr10:uidLastSave="{00000000-0000-0000-0000-000000000000}"/>
  <bookViews>
    <workbookView xWindow="-98" yWindow="-98" windowWidth="22695" windowHeight="14476" xr2:uid="{AD55F4A4-34B0-47EA-A680-287004F1AE1E}"/>
  </bookViews>
  <sheets>
    <sheet name="低碳与绿色甲醇项目" sheetId="1" r:id="rId1"/>
  </sheets>
  <definedNames>
    <definedName name="_xlnm._FilterDatabase" localSheetId="0" hidden="1">低碳与绿色甲醇项目!$A$1:$Q$47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 i="1" l="1"/>
  <c r="J44" i="1"/>
  <c r="J43" i="1"/>
  <c r="J42" i="1"/>
  <c r="J40" i="1"/>
  <c r="J39" i="1"/>
  <c r="J38" i="1"/>
  <c r="J37" i="1"/>
  <c r="J36" i="1"/>
  <c r="J35" i="1"/>
  <c r="J34" i="1"/>
  <c r="J33" i="1"/>
  <c r="J32" i="1"/>
  <c r="J31" i="1"/>
  <c r="J30" i="1"/>
  <c r="J29" i="1"/>
  <c r="J28" i="1"/>
  <c r="J27" i="1"/>
  <c r="J26" i="1"/>
  <c r="J25" i="1"/>
  <c r="J24" i="1"/>
  <c r="J23" i="1"/>
  <c r="J22" i="1"/>
  <c r="J21" i="1"/>
  <c r="J20" i="1"/>
  <c r="J19" i="1"/>
  <c r="J18" i="1"/>
  <c r="J17" i="1"/>
  <c r="J16" i="1"/>
  <c r="J15" i="1"/>
  <c r="J13" i="1"/>
  <c r="J12" i="1"/>
  <c r="J10" i="1"/>
  <c r="J9" i="1"/>
  <c r="J7" i="1"/>
  <c r="J6" i="1"/>
  <c r="J5" i="1"/>
  <c r="J4" i="1"/>
  <c r="J3"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denni</author>
  </authors>
  <commentList>
    <comment ref="J5" authorId="0" shapeId="0" xr:uid="{4D56A3F4-25CE-40C1-A941-CD0DFB59EBD6}">
      <text>
        <r>
          <rPr>
            <b/>
            <sz val="9"/>
            <rFont val="宋体"/>
            <family val="3"/>
            <charset val="134"/>
          </rPr>
          <t>denni:</t>
        </r>
        <r>
          <rPr>
            <sz val="9"/>
            <rFont val="宋体"/>
            <family val="3"/>
            <charset val="134"/>
          </rPr>
          <t xml:space="preserve">
2023年5，2025年完成5扩建，预计2026年、2027年再扩建5、15</t>
        </r>
      </text>
    </comment>
    <comment ref="J6" authorId="0" shapeId="0" xr:uid="{7E2F3B22-F718-4C30-829E-5A698A8585F7}">
      <text>
        <r>
          <rPr>
            <b/>
            <sz val="9"/>
            <rFont val="宋体"/>
            <family val="3"/>
            <charset val="134"/>
          </rPr>
          <t>denni:</t>
        </r>
        <r>
          <rPr>
            <sz val="9"/>
            <rFont val="宋体"/>
            <family val="3"/>
            <charset val="134"/>
          </rPr>
          <t xml:space="preserve">
预计2030年扩产30</t>
        </r>
      </text>
    </comment>
    <comment ref="J18" authorId="0" shapeId="0" xr:uid="{650C44BC-EADC-49C5-811C-F2C6DDFECE17}">
      <text>
        <r>
          <rPr>
            <b/>
            <sz val="9"/>
            <rFont val="宋体"/>
            <family val="3"/>
            <charset val="134"/>
          </rPr>
          <t>denni:</t>
        </r>
        <r>
          <rPr>
            <sz val="9"/>
            <rFont val="宋体"/>
            <family val="3"/>
            <charset val="134"/>
          </rPr>
          <t xml:space="preserve">
一说5.6，即将扩产20</t>
        </r>
      </text>
    </comment>
    <comment ref="J19" authorId="0" shapeId="0" xr:uid="{46F138AC-38B7-4482-9406-D572DB4FE575}">
      <text>
        <r>
          <rPr>
            <b/>
            <sz val="9"/>
            <rFont val="宋体"/>
            <family val="3"/>
            <charset val="134"/>
          </rPr>
          <t>denni:</t>
        </r>
        <r>
          <rPr>
            <sz val="9"/>
            <rFont val="宋体"/>
            <family val="3"/>
            <charset val="134"/>
          </rPr>
          <t xml:space="preserve">
一期可能只有0.1</t>
        </r>
      </text>
    </comment>
  </commentList>
</comments>
</file>

<file path=xl/sharedStrings.xml><?xml version="1.0" encoding="utf-8"?>
<sst xmlns="http://schemas.openxmlformats.org/spreadsheetml/2006/main" count="438" uniqueCount="173">
  <si>
    <t>序号</t>
  </si>
  <si>
    <t>省份</t>
  </si>
  <si>
    <t>城市</t>
  </si>
  <si>
    <t>大区</t>
  </si>
  <si>
    <t>项目名称</t>
  </si>
  <si>
    <t>公司名称</t>
  </si>
  <si>
    <t>进展</t>
  </si>
  <si>
    <t>说明</t>
  </si>
  <si>
    <t>建成时间</t>
  </si>
  <si>
    <t>产能</t>
  </si>
  <si>
    <t>碳源</t>
  </si>
  <si>
    <t>氢源</t>
  </si>
  <si>
    <t>生物质气化炉（如有）</t>
  </si>
  <si>
    <t>技术来源</t>
  </si>
  <si>
    <t>ISCC</t>
  </si>
  <si>
    <t>项目性质</t>
  </si>
  <si>
    <t>链接</t>
  </si>
  <si>
    <t>二氧化碳加氢制甲醇中试放大试验</t>
  </si>
  <si>
    <t>中科院大连化学物理研究所，中国石油天然气股份有限公司大庆化工研究中心</t>
  </si>
  <si>
    <t>NA</t>
  </si>
  <si>
    <t>试验装置</t>
  </si>
  <si>
    <t>/</t>
  </si>
  <si>
    <t>中科院大连化学物理研究所</t>
  </si>
  <si>
    <t>低碳甲醇</t>
  </si>
  <si>
    <t>https://www.cas.cn/syky/201907/t20190702_4697734.shtml</t>
  </si>
  <si>
    <t>液态太阳燃料合成示范工程项目</t>
  </si>
  <si>
    <t>中科院大连化学物理研究所，兰州新区石化产业投资有限公司</t>
  </si>
  <si>
    <t>暂停</t>
  </si>
  <si>
    <t>外购</t>
  </si>
  <si>
    <t>可再生氢（光伏）</t>
  </si>
  <si>
    <t>https://news.lzu.edu.cn/info/1370/395075.htm</t>
  </si>
  <si>
    <t>二氧化碳加氢制甲醇项目</t>
  </si>
  <si>
    <t>海洋石油富岛有限公司</t>
  </si>
  <si>
    <t>富二氧化碳天然气</t>
  </si>
  <si>
    <t>网电</t>
  </si>
  <si>
    <t>中国科学院上海高等研究院</t>
  </si>
  <si>
    <t>http://www.bingqichem.com/Product/Detail/b2e7c49a-388b-4309-8010-565d62efd872.html</t>
  </si>
  <si>
    <t>绿色甲醇</t>
  </si>
  <si>
    <t>内蒙古易高煤化科技有限公司</t>
  </si>
  <si>
    <t>投产</t>
  </si>
  <si>
    <t>废弃物（轮胎）</t>
  </si>
  <si>
    <t>自有技术</t>
  </si>
  <si>
    <t>√</t>
  </si>
  <si>
    <t>可再生甲醇</t>
  </si>
  <si>
    <t>https://mp.weixin.qq.com/s/tToue3TuXslYC-dw5AAAFw</t>
  </si>
  <si>
    <t>十万吨级绿色低碳甲醇项目</t>
  </si>
  <si>
    <t>浙江吉利控股集团有限公司，河南省顺成集团能源科技有限公司（河南顺利醇氢能源科技有限公司）</t>
  </si>
  <si>
    <t>捕集</t>
  </si>
  <si>
    <t>副产氢（焦炉煤气）</t>
  </si>
  <si>
    <t>冰岛CRI-ETL技术</t>
  </si>
  <si>
    <t>https://news.qq.com/rain/a/20230222A05INE00</t>
  </si>
  <si>
    <t>5000吨/年两段式低能耗二氧化碳制甲醇中试装置</t>
  </si>
  <si>
    <t>西南化工研究设计院有限公司，鲁西化工集团股份有限公司</t>
  </si>
  <si>
    <t>化石能源制（煤）</t>
  </si>
  <si>
    <t>西南化工研究设计院有限公司</t>
  </si>
  <si>
    <t>http://www.hhxny.chemchina.com/s/25280-70462-288676.html</t>
  </si>
  <si>
    <t>生物质制绿色甲醇</t>
  </si>
  <si>
    <t>国家能源集团宁夏煤业有限责任公司烯烃一分公司，宁夏神耀科技有限责任公司</t>
  </si>
  <si>
    <t>废弃物（玉米秸、高粱秸）</t>
  </si>
  <si>
    <t>气流床</t>
  </si>
  <si>
    <t>https://mp.weixin.qq.com/s/evssiYdZ5EZAgPSNfFB39g</t>
  </si>
  <si>
    <t>CO₂制绿色甲醇项目</t>
  </si>
  <si>
    <t>江苏斯尔邦石化有限公司</t>
  </si>
  <si>
    <t>副产氢（丙烷脱氢）</t>
  </si>
  <si>
    <t>https://h2.in-en.com/html/h2-2434354.shtml</t>
  </si>
  <si>
    <t>CO2加氢制甲醇中试装置</t>
  </si>
  <si>
    <t>国家电投集团远达环保股份有限公司</t>
  </si>
  <si>
    <t>https://news.bjx.com.cn/html/20241115/1411097.shtml</t>
  </si>
  <si>
    <t>生物质天然气制绿色甲醇项目</t>
  </si>
  <si>
    <t>中国石油大庆炼化大庆油田化工有限公司，黑龙江博能绿色能源科技股份有限公司</t>
  </si>
  <si>
    <t>废弃物（秸秆、粪污）</t>
  </si>
  <si>
    <t>https://mp.weixin.qq.com/s?__biz=MzU4ODY0NzkyNw==&amp;mid=2247626136&amp;idx=3&amp;sn=4bf3e25ac0d464bdb86042d3648f80bc&amp;chksm=fc48ef248f1b1308ab46b489820ad35ef71accc933fe0f8e3d9292a90a20778e89e836073434&amp;scene=27</t>
  </si>
  <si>
    <t>多伦15万千瓦风光制氢一体化示范项目</t>
  </si>
  <si>
    <t>中国大唐集团新能源股份有限公司</t>
  </si>
  <si>
    <t>工业二氧化碳</t>
  </si>
  <si>
    <t>可再生氢（风电/光伏）</t>
  </si>
  <si>
    <t>https://mp.weixin.qq.com/s/6n_UdE02YzowFVbTItzghQ</t>
  </si>
  <si>
    <t>燃煤电厂烟气二氧化碳捕集制甲醇万吨级项目（CCUS项目）</t>
  </si>
  <si>
    <t>华东理工大学，上海外高桥第三发电有限责任公司</t>
  </si>
  <si>
    <t>https://news.qq.com/rain/a/20250117A035XS00</t>
  </si>
  <si>
    <t>中海化学生物天然气制绿色甲醇示范项目</t>
  </si>
  <si>
    <t>废弃物（厨余垃圾、粪污）</t>
  </si>
  <si>
    <t>https://finance.sina.com.cn/tech/discovery/2025-05-15/doc-inewruvx9445265.shtml</t>
  </si>
  <si>
    <t>综合海上能源岛中试项目</t>
  </si>
  <si>
    <t>国家能源集团氢能科技有限责任公司，烟台中集来福士海洋工程有限公司</t>
  </si>
  <si>
    <t>可再生氢（风电/光伏/海水）</t>
  </si>
  <si>
    <t>https://article.xuexi.cn/articles/index.html?art_id=4717862431259734537&amp;item_id=4717862431259734537&amp;study_style_id=feeds_opaque&amp;ptype=-1&amp;source=share&amp;share_to=wx_single</t>
  </si>
  <si>
    <t>洮南市风电耦合生物质绿色甲醇一体化示范项目</t>
  </si>
  <si>
    <t>上海电气新能源发展有限公司</t>
  </si>
  <si>
    <t>废弃物（秸秆）</t>
  </si>
  <si>
    <t>可再生氢（风电）</t>
  </si>
  <si>
    <t>流化床</t>
  </si>
  <si>
    <t>https://www.jl.gov.cn/yaowen/202507/t20250716_3482272.html</t>
  </si>
  <si>
    <t>吉利创新中心CO₂加氢制甲醇千吨级中试项目</t>
  </si>
  <si>
    <t>吉利创新中心</t>
  </si>
  <si>
    <t>https://finance.sina.com.cn/jjxw/2025-08-22/doc-infmvkhp7203901.shtml</t>
  </si>
  <si>
    <t>5万吨/年生物质液体燃料项目</t>
  </si>
  <si>
    <t>中集绿能低碳科技（湛江）有限公司</t>
  </si>
  <si>
    <t>废弃物（木薯）</t>
  </si>
  <si>
    <t>中国科学院工程热物理研究所</t>
  </si>
  <si>
    <t>https://mp.weixin.qq.com/s/xODGgu5AEHULGIaaV-XKQA</t>
  </si>
  <si>
    <t>上海华谊10万吨/年绿色甲醇项目</t>
  </si>
  <si>
    <t>申能（集团）有限公司，上海城投（集团）有限公司，上海华谊控股集团有限公司，上海国际港务（集团）股份有限公司</t>
  </si>
  <si>
    <t>废弃物（城市垃圾、粪污）</t>
  </si>
  <si>
    <t>https://www.toutiao.com/article/7589571197633921555/</t>
  </si>
  <si>
    <t>金风绿能化工（兴安盟）有限公司绿氢制50万吨绿色甲醇项目（一期25万吨）</t>
  </si>
  <si>
    <t>金风绿能化工（兴安盟）有限公司</t>
  </si>
  <si>
    <t>建设</t>
  </si>
  <si>
    <t>固定床/气流床</t>
  </si>
  <si>
    <t>岚泽能源年产30万吨绿色甲醇项目</t>
  </si>
  <si>
    <t>江苏岚泽能源科技有限公司</t>
  </si>
  <si>
    <t>https://www.gict-developer.com/news_view.aspx?ID=1046</t>
  </si>
  <si>
    <t>金风绿能化工（兴安盟）有限公司绿氢制50万吨绿色甲醇项目（二期60万吨）</t>
  </si>
  <si>
    <t>金风兴安盟绿氢制绿色甲醇（三期）项目</t>
  </si>
  <si>
    <t>https://mp.weixin.qq.com/s/DIvHtmhvdQmIfHQHNbWrUQ</t>
  </si>
  <si>
    <t>年产10万吨绿色生物甲醇项目</t>
  </si>
  <si>
    <t>海槿（张掖）生物燃料有限公司</t>
  </si>
  <si>
    <t>废弃物</t>
  </si>
  <si>
    <t>可再生氢（外购）</t>
  </si>
  <si>
    <t>https://www.zhangye.gov.cn/jjkfq/gzdt/tzgg/202508/t20250818_1440380_ghb.html</t>
  </si>
  <si>
    <t>华电辽宁调兵山风电离网制氢耦合绿色氨醇一体化示范项目</t>
  </si>
  <si>
    <t>华电辽宁能源有限公司</t>
  </si>
  <si>
    <t>燃料乙醇排放尾气</t>
  </si>
  <si>
    <t>https://mp.weixin.qq.com/s/0o5HqBRMPniUUsIfohuhiw</t>
  </si>
  <si>
    <t>生物质气化耦合绿氢制绿色燃料关键技术开发与应用项目</t>
  </si>
  <si>
    <t>龙源（环县）新能源有限公司</t>
  </si>
  <si>
    <t>10万吨/年液态阳光—二氧化碳加绿氢制甲醇技术示范项目</t>
  </si>
  <si>
    <t>中煤鄂尔多斯能源化工有限公司</t>
  </si>
  <si>
    <t>明阳海上风电制氢和氢能综合利用示范暨百万吨级绿色电氢氨醇实证项目（一期）</t>
  </si>
  <si>
    <t>明阳智慧能源集团北京科技有限公司</t>
  </si>
  <si>
    <t>云南绿色氢能源与液态阳光甲醇示范项目</t>
  </si>
  <si>
    <t>国电电力发展股份有限公司</t>
  </si>
  <si>
    <t>绿色甲醇工厂</t>
  </si>
  <si>
    <t>华商能源科技股份有限公司</t>
  </si>
  <si>
    <t>煤基工艺掺烧生物质</t>
  </si>
  <si>
    <t>https://mp.weixin.qq.com/s/v_jC2zazaqXexzI5ysekdQ</t>
  </si>
  <si>
    <t>生物质能源一体化多联产10万吨/年绿色甲醇工程</t>
  </si>
  <si>
    <t>天津市赛泓环境工程有限公司</t>
  </si>
  <si>
    <t>芦竹</t>
  </si>
  <si>
    <t>中煤林西风光制氢耦合生物质绿色甲醇示范项目</t>
  </si>
  <si>
    <t>中煤（林西）生物能源有限公司</t>
  </si>
  <si>
    <t>废弃物（粪污）</t>
  </si>
  <si>
    <t>可再生氢</t>
  </si>
  <si>
    <t>https://mp.weixin.qq.com/s/YT6cwfxOOpsrlQPqZBhGPQ</t>
  </si>
  <si>
    <t>规划</t>
  </si>
  <si>
    <t>废弃物（蔗渣、木材加工废料）</t>
  </si>
  <si>
    <t>山西宏源集团CO2捕集制甲醇联产LNG项目</t>
  </si>
  <si>
    <t>山西宏源集团有限公司</t>
  </si>
  <si>
    <t>副产</t>
  </si>
  <si>
    <t>襄城12万吨/年绿色甲醇项目</t>
  </si>
  <si>
    <t>许昌隆基生物能源有限公司</t>
  </si>
  <si>
    <t>农业废弃物</t>
  </si>
  <si>
    <t>绿电E</t>
  </si>
  <si>
    <t>隆基绿能科技股份有限公司乌拉特后旗绿色甲醇项目</t>
  </si>
  <si>
    <t>乌拉特后旗隆富旗新能源科技有限公司</t>
  </si>
  <si>
    <t>中广核科尔沁右翼前旗风光制氢一体化项目</t>
  </si>
  <si>
    <t>中广核风电有限公司、中化学建设投资集团有限公司</t>
  </si>
  <si>
    <t>国华投资河北沧州“氢联万象”工程</t>
  </si>
  <si>
    <t>国华（沧州）综合能源有限公司</t>
  </si>
  <si>
    <t>中船集贤风储氢氨醇一体化项目</t>
  </si>
  <si>
    <t>双鸭山鸿展生物科技有限责任公司</t>
  </si>
  <si>
    <t>阿勒泰福海县光储氢氨醇一体化项目</t>
  </si>
  <si>
    <t>闳扬氢润能源科技（福海）有限公司</t>
  </si>
  <si>
    <t>煤基工艺掺烧生物质耦合绿电生产绿色甲醇项目</t>
  </si>
  <si>
    <t>大唐内蒙古多伦煤化工有限责任公司</t>
  </si>
  <si>
    <t>https://mp.weixin.qq.com/s/25Aw5hisloVA9LZ4dq9NiQ?scene=1</t>
  </si>
  <si>
    <t>瓜州县风光制氢耦合生物质制备25万吨/年绿色甲醇一体化示范项目</t>
  </si>
  <si>
    <t>甘肃润陇泓能能源管理有限公司</t>
  </si>
  <si>
    <t>年产20万吨绿电制氢制绿色甲醇一体化项目（一期）</t>
  </si>
  <si>
    <t>昕岛氢能源科技（包头）有限公司</t>
  </si>
  <si>
    <t>地区Ａ</t>
    <phoneticPr fontId="2" type="noConversion"/>
  </si>
  <si>
    <t>省A</t>
    <phoneticPr fontId="2" type="noConversion"/>
  </si>
  <si>
    <t>市A</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</si>
</sst>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宋体"/>
      <family val="3"/>
      <charset val="134"/>
      <scheme val="minor"/>
    </font>
    <font>
      <b/>
      <sz val="9"/>
      <color theme="0"/>
      <name val="微软雅黑"/>
      <family val="2"/>
      <charset val="134"/>
    </font>
    <font>
      <sz val="9"/>
      <name val="宋体"/>
      <family val="3"/>
      <charset val="134"/>
      <scheme val="minor"/>
    </font>
    <font>
      <b/>
      <sz val="9"/>
      <name val="微软雅黑"/>
      <family val="2"/>
      <charset val="134"/>
    </font>
    <font>
      <sz val="11"/>
      <name val="宋体"/>
      <family val="3"/>
      <charset val="134"/>
      <scheme val="minor"/>
    </font>
    <font>
      <sz val="11"/>
      <color rgb="FF7030A0"/>
      <name val="宋体"/>
      <family val="3"/>
      <charset val="134"/>
      <scheme val="minor"/>
    </font>
    <font>
      <b/>
      <sz val="9"/>
      <name val="宋体"/>
      <family val="3"/>
      <charset val="134"/>
    </font>
    <font>
      <sz val="9"/>
      <name val="宋体"/>
      <family val="3"/>
      <charset val="134"/>
    </font>
  </fonts>
  <fills count="4">
    <fill>
      <patternFill patternType="none"/>
    </fill>
    <fill>
      <patternFill patternType="gray125"/>
    </fill>
    <fill>
      <patternFill patternType="solid">
        <fgColor rgb="FF0070C0"/>
        <bgColor indexed="64"/>
      </patternFill>
    </fill>
    <fill>
      <patternFill patternType="solid">
        <fgColor theme="4" tint="0.79995117038483843"/>
        <bgColor indexed="64"/>
      </patternFill>
    </fill>
  </fills>
  <borders count="3">
    <border>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6">
    <xf numFmtId="0" fontId="0" fillId="0" borderId="0" xfId="0">
      <alignment vertical="center"/>
    </xf>
    <xf numFmtId="0" fontId="1" fillId="2"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3" borderId="2" xfId="0" applyFont="1" applyFill="1" applyBorder="1" applyAlignment="1">
      <alignment horizontal="center" vertical="center" wrapText="1"/>
    </xf>
    <xf numFmtId="0" fontId="4" fillId="0" borderId="0" xfId="0" applyFont="1">
      <alignment vertical="center"/>
    </xf>
    <xf numFmtId="0" fontId="5"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ews.qq.com/rain/a/20230222A05INE00" TargetMode="External"/><Relationship Id="rId13" Type="http://schemas.openxmlformats.org/officeDocument/2006/relationships/hyperlink" Target="https://mp.weixin.qq.com/s/xODGgu5AEHULGIaaV-XKQA" TargetMode="External"/><Relationship Id="rId18" Type="http://schemas.openxmlformats.org/officeDocument/2006/relationships/hyperlink" Target="https://www.toutiao.com/article/7589571197633921555/" TargetMode="External"/><Relationship Id="rId3" Type="http://schemas.openxmlformats.org/officeDocument/2006/relationships/hyperlink" Target="https://mp.weixin.qq.com/s/tToue3TuXslYC-dw5AAAFw" TargetMode="External"/><Relationship Id="rId7" Type="http://schemas.openxmlformats.org/officeDocument/2006/relationships/hyperlink" Target="https://h2.in-en.com/html/h2-2434354.shtml" TargetMode="External"/><Relationship Id="rId12" Type="http://schemas.openxmlformats.org/officeDocument/2006/relationships/hyperlink" Target="https://finance.sina.com.cn/jjxw/2025-08-22/doc-infmvkhp7203901.shtml" TargetMode="External"/><Relationship Id="rId17" Type="http://schemas.openxmlformats.org/officeDocument/2006/relationships/hyperlink" Target="https://article.xuexi.cn/articles/index.html?art_id=4717862431259734537&amp;item_id=4717862431259734537&amp;study_style_id=feeds_opaque&amp;ptype=-1&amp;source=share&amp;share_to=wx_single" TargetMode="External"/><Relationship Id="rId2" Type="http://schemas.openxmlformats.org/officeDocument/2006/relationships/hyperlink" Target="http://www.bingqichem.com/Product/Detail/b2e7c49a-388b-4309-8010-565d62efd872.html" TargetMode="External"/><Relationship Id="rId16" Type="http://schemas.openxmlformats.org/officeDocument/2006/relationships/hyperlink" Target="https://news.lzu.edu.cn/info/1370/395075.htm" TargetMode="External"/><Relationship Id="rId20" Type="http://schemas.openxmlformats.org/officeDocument/2006/relationships/comments" Target="../comments1.xml"/><Relationship Id="rId1" Type="http://schemas.openxmlformats.org/officeDocument/2006/relationships/hyperlink" Target="https://www.cas.cn/syky/201907/t20190702_4697734.shtml" TargetMode="External"/><Relationship Id="rId6" Type="http://schemas.openxmlformats.org/officeDocument/2006/relationships/hyperlink" Target="https://news.bjx.com.cn/html/20241115/1411097.shtml" TargetMode="External"/><Relationship Id="rId11" Type="http://schemas.openxmlformats.org/officeDocument/2006/relationships/hyperlink" Target="https://www.jl.gov.cn/yaowen/202507/t20250716_3482272.html" TargetMode="External"/><Relationship Id="rId5" Type="http://schemas.openxmlformats.org/officeDocument/2006/relationships/hyperlink" Target="https://mp.weixin.qq.com/s/evssiYdZ5EZAgPSNfFB39g" TargetMode="External"/><Relationship Id="rId15" Type="http://schemas.openxmlformats.org/officeDocument/2006/relationships/hyperlink" Target="https://www.zhangye.gov.cn/jjkfq/gzdt/tzgg/202508/t20250818_1440380_ghb.html" TargetMode="External"/><Relationship Id="rId10" Type="http://schemas.openxmlformats.org/officeDocument/2006/relationships/hyperlink" Target="https://finance.sina.com.cn/tech/discovery/2025-05-15/doc-inewruvx9445265.shtml" TargetMode="External"/><Relationship Id="rId19" Type="http://schemas.openxmlformats.org/officeDocument/2006/relationships/vmlDrawing" Target="../drawings/vmlDrawing1.vml"/><Relationship Id="rId4" Type="http://schemas.openxmlformats.org/officeDocument/2006/relationships/hyperlink" Target="http://www.hhxny.chemchina.com/s/25280-70462-288676.html" TargetMode="External"/><Relationship Id="rId9" Type="http://schemas.openxmlformats.org/officeDocument/2006/relationships/hyperlink" Target="https://news.qq.com/rain/a/20250117A035XS00" TargetMode="External"/><Relationship Id="rId14" Type="http://schemas.openxmlformats.org/officeDocument/2006/relationships/hyperlink" Target="https://www.gict-developer.com/news_view.aspx?ID=104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B8726-8850-4786-A38C-339A9FF26DCC}">
  <sheetPr filterMode="1"/>
  <dimension ref="A1:Q47"/>
  <sheetViews>
    <sheetView tabSelected="1" zoomScale="85" zoomScaleNormal="85" workbookViewId="0">
      <pane ySplit="1" topLeftCell="A2" activePane="bottomLeft" state="frozen"/>
      <selection pane="bottomLeft" activeCell="E6" sqref="E6"/>
    </sheetView>
  </sheetViews>
  <sheetFormatPr defaultColWidth="9" defaultRowHeight="25.05" customHeight="1" x14ac:dyDescent="0.3"/>
  <cols>
    <col min="1" max="1" width="5.59765625" customWidth="1"/>
    <col min="2" max="4" width="10.59765625" customWidth="1"/>
    <col min="5" max="5" width="25.59765625" customWidth="1"/>
    <col min="6" max="6" width="45.59765625" customWidth="1"/>
    <col min="7" max="10" width="10.59765625" customWidth="1"/>
    <col min="11" max="17" width="15.59765625" customWidth="1"/>
  </cols>
  <sheetData>
    <row r="1" spans="1:17" ht="25.0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s="5" customFormat="1" ht="35.1" customHeight="1" x14ac:dyDescent="0.3">
      <c r="A2" s="2">
        <f t="shared" ref="A2:A44" si="0">ROW()-1</f>
        <v>1</v>
      </c>
      <c r="B2" s="2" t="s">
        <v>171</v>
      </c>
      <c r="C2" s="2" t="s">
        <v>172</v>
      </c>
      <c r="D2" s="3" t="s">
        <v>170</v>
      </c>
      <c r="E2" s="2" t="s">
        <v>17</v>
      </c>
      <c r="F2" s="2" t="s">
        <v>18</v>
      </c>
      <c r="G2" s="2" t="s">
        <v>19</v>
      </c>
      <c r="H2" s="2" t="s">
        <v>20</v>
      </c>
      <c r="I2" s="2">
        <f ca="1">RANDBETWEEN(2019,2030)</f>
        <v>2027</v>
      </c>
      <c r="J2" s="2" t="s">
        <v>19</v>
      </c>
      <c r="K2" s="2" t="s">
        <v>19</v>
      </c>
      <c r="L2" s="2" t="s">
        <v>19</v>
      </c>
      <c r="M2" s="2" t="s">
        <v>21</v>
      </c>
      <c r="N2" s="2" t="s">
        <v>22</v>
      </c>
      <c r="O2" s="2"/>
      <c r="P2" s="2" t="s">
        <v>23</v>
      </c>
      <c r="Q2" s="4" t="s">
        <v>24</v>
      </c>
    </row>
    <row r="3" spans="1:17" s="5" customFormat="1" ht="35.1" customHeight="1" x14ac:dyDescent="0.3">
      <c r="A3" s="2">
        <f t="shared" si="0"/>
        <v>2</v>
      </c>
      <c r="B3" s="2" t="s">
        <v>171</v>
      </c>
      <c r="C3" s="2" t="s">
        <v>172</v>
      </c>
      <c r="D3" s="3" t="s">
        <v>170</v>
      </c>
      <c r="E3" s="2" t="s">
        <v>25</v>
      </c>
      <c r="F3" s="2" t="s">
        <v>26</v>
      </c>
      <c r="G3" s="2" t="s">
        <v>27</v>
      </c>
      <c r="H3" s="2" t="s">
        <v>20</v>
      </c>
      <c r="I3" s="2">
        <v>2020</v>
      </c>
      <c r="J3" s="2">
        <f ca="1">RANDBETWEEN(0,50)</f>
        <v>27</v>
      </c>
      <c r="K3" s="2" t="s">
        <v>28</v>
      </c>
      <c r="L3" s="2" t="s">
        <v>29</v>
      </c>
      <c r="M3" s="2" t="s">
        <v>21</v>
      </c>
      <c r="N3" s="2" t="s">
        <v>22</v>
      </c>
      <c r="O3" s="2"/>
      <c r="P3" s="2" t="s">
        <v>23</v>
      </c>
      <c r="Q3" t="s">
        <v>30</v>
      </c>
    </row>
    <row r="4" spans="1:17" s="5" customFormat="1" ht="35.1" customHeight="1" x14ac:dyDescent="0.3">
      <c r="A4" s="2">
        <f t="shared" si="0"/>
        <v>3</v>
      </c>
      <c r="B4" s="2" t="s">
        <v>171</v>
      </c>
      <c r="C4" s="2" t="s">
        <v>172</v>
      </c>
      <c r="D4" s="3" t="s">
        <v>170</v>
      </c>
      <c r="E4" s="2" t="s">
        <v>31</v>
      </c>
      <c r="F4" s="2" t="s">
        <v>32</v>
      </c>
      <c r="G4" s="2" t="s">
        <v>19</v>
      </c>
      <c r="H4" s="2" t="s">
        <v>20</v>
      </c>
      <c r="I4" s="2">
        <v>2020</v>
      </c>
      <c r="J4" s="2">
        <f ca="1">RANDBETWEEN(0,50)</f>
        <v>23</v>
      </c>
      <c r="K4" s="2" t="s">
        <v>33</v>
      </c>
      <c r="L4" s="2" t="s">
        <v>34</v>
      </c>
      <c r="M4" s="2" t="s">
        <v>21</v>
      </c>
      <c r="N4" s="2" t="s">
        <v>35</v>
      </c>
      <c r="O4" s="2"/>
      <c r="P4" s="2" t="s">
        <v>23</v>
      </c>
      <c r="Q4" s="4" t="s">
        <v>36</v>
      </c>
    </row>
    <row r="5" spans="1:17" s="5" customFormat="1" ht="35.1" customHeight="1" x14ac:dyDescent="0.3">
      <c r="A5" s="2">
        <f t="shared" si="0"/>
        <v>4</v>
      </c>
      <c r="B5" s="2" t="s">
        <v>171</v>
      </c>
      <c r="C5" s="2" t="s">
        <v>172</v>
      </c>
      <c r="D5" s="3" t="s">
        <v>170</v>
      </c>
      <c r="E5" s="2" t="s">
        <v>37</v>
      </c>
      <c r="F5" s="2" t="s">
        <v>38</v>
      </c>
      <c r="G5" s="2" t="s">
        <v>39</v>
      </c>
      <c r="H5" s="2"/>
      <c r="I5" s="2">
        <v>2020</v>
      </c>
      <c r="J5" s="2">
        <f t="shared" ref="J5:J44" ca="1" si="1">RANDBETWEEN(0,50)</f>
        <v>37</v>
      </c>
      <c r="K5" s="2" t="s">
        <v>40</v>
      </c>
      <c r="L5" s="2" t="s">
        <v>19</v>
      </c>
      <c r="M5" s="2" t="s">
        <v>21</v>
      </c>
      <c r="N5" s="2" t="s">
        <v>41</v>
      </c>
      <c r="O5" s="2" t="s">
        <v>42</v>
      </c>
      <c r="P5" s="2" t="s">
        <v>43</v>
      </c>
      <c r="Q5" s="4" t="s">
        <v>44</v>
      </c>
    </row>
    <row r="6" spans="1:17" s="5" customFormat="1" ht="35.1" customHeight="1" x14ac:dyDescent="0.3">
      <c r="A6" s="2">
        <f t="shared" si="0"/>
        <v>5</v>
      </c>
      <c r="B6" s="2" t="s">
        <v>171</v>
      </c>
      <c r="C6" s="2" t="s">
        <v>172</v>
      </c>
      <c r="D6" s="3" t="s">
        <v>170</v>
      </c>
      <c r="E6" s="2" t="s">
        <v>45</v>
      </c>
      <c r="F6" s="2" t="s">
        <v>46</v>
      </c>
      <c r="G6" s="2" t="s">
        <v>39</v>
      </c>
      <c r="H6" s="2"/>
      <c r="I6" s="2">
        <v>2020</v>
      </c>
      <c r="J6" s="2">
        <f t="shared" ca="1" si="1"/>
        <v>41</v>
      </c>
      <c r="K6" s="2" t="s">
        <v>47</v>
      </c>
      <c r="L6" s="2" t="s">
        <v>48</v>
      </c>
      <c r="M6" s="2" t="s">
        <v>21</v>
      </c>
      <c r="N6" s="2" t="s">
        <v>49</v>
      </c>
      <c r="O6" s="2"/>
      <c r="P6" s="2" t="s">
        <v>23</v>
      </c>
      <c r="Q6" s="4" t="s">
        <v>50</v>
      </c>
    </row>
    <row r="7" spans="1:17" s="5" customFormat="1" ht="35.1" customHeight="1" x14ac:dyDescent="0.3">
      <c r="A7" s="2">
        <f t="shared" si="0"/>
        <v>6</v>
      </c>
      <c r="B7" s="2" t="s">
        <v>171</v>
      </c>
      <c r="C7" s="2" t="s">
        <v>172</v>
      </c>
      <c r="D7" s="3" t="s">
        <v>170</v>
      </c>
      <c r="E7" s="2" t="s">
        <v>51</v>
      </c>
      <c r="F7" s="2" t="s">
        <v>52</v>
      </c>
      <c r="G7" s="2" t="s">
        <v>19</v>
      </c>
      <c r="H7" s="2" t="s">
        <v>20</v>
      </c>
      <c r="I7" s="2">
        <v>2020</v>
      </c>
      <c r="J7" s="2">
        <f t="shared" ca="1" si="1"/>
        <v>4</v>
      </c>
      <c r="K7" s="2" t="s">
        <v>47</v>
      </c>
      <c r="L7" s="2" t="s">
        <v>53</v>
      </c>
      <c r="M7" s="2" t="s">
        <v>21</v>
      </c>
      <c r="N7" s="2" t="s">
        <v>54</v>
      </c>
      <c r="O7" s="2"/>
      <c r="P7" s="2" t="s">
        <v>23</v>
      </c>
      <c r="Q7" s="4" t="s">
        <v>55</v>
      </c>
    </row>
    <row r="8" spans="1:17" s="5" customFormat="1" ht="35.1" customHeight="1" x14ac:dyDescent="0.3">
      <c r="A8" s="2">
        <f t="shared" si="0"/>
        <v>7</v>
      </c>
      <c r="B8" s="2" t="s">
        <v>171</v>
      </c>
      <c r="C8" s="2" t="s">
        <v>172</v>
      </c>
      <c r="D8" s="3" t="s">
        <v>170</v>
      </c>
      <c r="E8" s="2" t="s">
        <v>56</v>
      </c>
      <c r="F8" s="2" t="s">
        <v>57</v>
      </c>
      <c r="G8" s="2" t="s">
        <v>27</v>
      </c>
      <c r="H8" s="2" t="s">
        <v>20</v>
      </c>
      <c r="I8" s="2">
        <v>2020</v>
      </c>
      <c r="J8" s="2" t="s">
        <v>19</v>
      </c>
      <c r="K8" s="2" t="s">
        <v>58</v>
      </c>
      <c r="L8" s="2" t="s">
        <v>19</v>
      </c>
      <c r="M8" s="2" t="s">
        <v>59</v>
      </c>
      <c r="N8" s="2" t="s">
        <v>41</v>
      </c>
      <c r="O8" s="2"/>
      <c r="P8" s="2" t="s">
        <v>23</v>
      </c>
      <c r="Q8" s="4" t="s">
        <v>60</v>
      </c>
    </row>
    <row r="9" spans="1:17" s="5" customFormat="1" ht="35.1" customHeight="1" x14ac:dyDescent="0.3">
      <c r="A9" s="2">
        <f t="shared" si="0"/>
        <v>8</v>
      </c>
      <c r="B9" s="2" t="s">
        <v>171</v>
      </c>
      <c r="C9" s="2" t="s">
        <v>172</v>
      </c>
      <c r="D9" s="3" t="s">
        <v>170</v>
      </c>
      <c r="E9" s="2" t="s">
        <v>61</v>
      </c>
      <c r="F9" s="2" t="s">
        <v>62</v>
      </c>
      <c r="G9" s="2" t="s">
        <v>39</v>
      </c>
      <c r="H9" s="2"/>
      <c r="I9" s="2">
        <v>2020</v>
      </c>
      <c r="J9" s="2">
        <f t="shared" ca="1" si="1"/>
        <v>10</v>
      </c>
      <c r="K9" s="2" t="s">
        <v>47</v>
      </c>
      <c r="L9" s="2" t="s">
        <v>63</v>
      </c>
      <c r="M9" s="2" t="s">
        <v>21</v>
      </c>
      <c r="N9" s="2" t="s">
        <v>49</v>
      </c>
      <c r="O9" s="2"/>
      <c r="P9" s="2" t="s">
        <v>23</v>
      </c>
      <c r="Q9" t="s">
        <v>64</v>
      </c>
    </row>
    <row r="10" spans="1:17" s="5" customFormat="1" ht="35.1" hidden="1" customHeight="1" x14ac:dyDescent="0.3">
      <c r="A10" s="2">
        <f t="shared" si="0"/>
        <v>9</v>
      </c>
      <c r="B10" s="2"/>
      <c r="C10" s="2"/>
      <c r="D10" s="3"/>
      <c r="E10" s="2" t="s">
        <v>65</v>
      </c>
      <c r="F10" s="2" t="s">
        <v>66</v>
      </c>
      <c r="G10" s="2" t="s">
        <v>19</v>
      </c>
      <c r="H10" s="2" t="s">
        <v>20</v>
      </c>
      <c r="I10" s="2">
        <v>2020</v>
      </c>
      <c r="J10" s="2">
        <f t="shared" ca="1" si="1"/>
        <v>13</v>
      </c>
      <c r="K10" s="2" t="s">
        <v>19</v>
      </c>
      <c r="L10" s="2" t="s">
        <v>19</v>
      </c>
      <c r="M10" s="2" t="s">
        <v>21</v>
      </c>
      <c r="N10" s="2" t="s">
        <v>41</v>
      </c>
      <c r="O10" s="2"/>
      <c r="P10" s="2" t="s">
        <v>23</v>
      </c>
      <c r="Q10" t="s">
        <v>67</v>
      </c>
    </row>
    <row r="11" spans="1:17" s="5" customFormat="1" ht="35.1" customHeight="1" x14ac:dyDescent="0.3">
      <c r="A11" s="2">
        <f t="shared" si="0"/>
        <v>10</v>
      </c>
      <c r="B11" s="2" t="s">
        <v>171</v>
      </c>
      <c r="C11" s="2" t="s">
        <v>172</v>
      </c>
      <c r="D11" s="3" t="s">
        <v>170</v>
      </c>
      <c r="E11" s="2" t="s">
        <v>68</v>
      </c>
      <c r="F11" s="2" t="s">
        <v>69</v>
      </c>
      <c r="G11" s="2" t="s">
        <v>39</v>
      </c>
      <c r="H11" s="2"/>
      <c r="I11" s="2">
        <v>2020</v>
      </c>
      <c r="J11" s="2" t="s">
        <v>19</v>
      </c>
      <c r="K11" s="2" t="s">
        <v>70</v>
      </c>
      <c r="L11" s="2" t="s">
        <v>21</v>
      </c>
      <c r="M11" s="2" t="s">
        <v>19</v>
      </c>
      <c r="N11" s="2" t="s">
        <v>19</v>
      </c>
      <c r="O11" s="2" t="s">
        <v>42</v>
      </c>
      <c r="P11" s="2" t="s">
        <v>43</v>
      </c>
      <c r="Q11" t="s">
        <v>71</v>
      </c>
    </row>
    <row r="12" spans="1:17" s="5" customFormat="1" ht="35.1" customHeight="1" x14ac:dyDescent="0.3">
      <c r="A12" s="2">
        <f t="shared" si="0"/>
        <v>11</v>
      </c>
      <c r="B12" s="2" t="s">
        <v>171</v>
      </c>
      <c r="C12" s="2" t="s">
        <v>172</v>
      </c>
      <c r="D12" s="3" t="s">
        <v>170</v>
      </c>
      <c r="E12" s="2" t="s">
        <v>72</v>
      </c>
      <c r="F12" s="2" t="s">
        <v>73</v>
      </c>
      <c r="G12" s="2" t="s">
        <v>39</v>
      </c>
      <c r="H12" s="2"/>
      <c r="I12" s="2">
        <v>2020</v>
      </c>
      <c r="J12" s="2">
        <f t="shared" ca="1" si="1"/>
        <v>27</v>
      </c>
      <c r="K12" s="2" t="s">
        <v>74</v>
      </c>
      <c r="L12" s="2" t="s">
        <v>75</v>
      </c>
      <c r="M12" s="2" t="s">
        <v>21</v>
      </c>
      <c r="N12" s="2" t="s">
        <v>19</v>
      </c>
      <c r="O12" s="2"/>
      <c r="P12" s="2" t="s">
        <v>23</v>
      </c>
      <c r="Q12" t="s">
        <v>76</v>
      </c>
    </row>
    <row r="13" spans="1:17" s="5" customFormat="1" ht="35.1" hidden="1" customHeight="1" x14ac:dyDescent="0.3">
      <c r="A13" s="2">
        <f t="shared" si="0"/>
        <v>12</v>
      </c>
      <c r="B13" s="2" t="s">
        <v>171</v>
      </c>
      <c r="C13" s="2"/>
      <c r="D13" s="3" t="s">
        <v>170</v>
      </c>
      <c r="E13" s="2" t="s">
        <v>77</v>
      </c>
      <c r="F13" s="2" t="s">
        <v>78</v>
      </c>
      <c r="G13" s="2" t="s">
        <v>19</v>
      </c>
      <c r="H13" s="2" t="s">
        <v>20</v>
      </c>
      <c r="I13" s="2">
        <v>2020</v>
      </c>
      <c r="J13" s="2">
        <f t="shared" ca="1" si="1"/>
        <v>20</v>
      </c>
      <c r="K13" s="2" t="s">
        <v>47</v>
      </c>
      <c r="L13" s="2" t="s">
        <v>19</v>
      </c>
      <c r="M13" s="2" t="s">
        <v>21</v>
      </c>
      <c r="N13" s="2" t="s">
        <v>19</v>
      </c>
      <c r="O13" s="2"/>
      <c r="P13" s="2" t="s">
        <v>23</v>
      </c>
      <c r="Q13" t="s">
        <v>79</v>
      </c>
    </row>
    <row r="14" spans="1:17" s="5" customFormat="1" ht="35.1" customHeight="1" x14ac:dyDescent="0.3">
      <c r="A14" s="2">
        <f t="shared" si="0"/>
        <v>13</v>
      </c>
      <c r="B14" s="2" t="s">
        <v>171</v>
      </c>
      <c r="C14" s="2" t="s">
        <v>172</v>
      </c>
      <c r="D14" s="3" t="s">
        <v>170</v>
      </c>
      <c r="E14" s="2" t="s">
        <v>80</v>
      </c>
      <c r="F14" s="2" t="s">
        <v>32</v>
      </c>
      <c r="G14" s="2" t="s">
        <v>39</v>
      </c>
      <c r="H14" s="2"/>
      <c r="I14" s="2">
        <v>2020</v>
      </c>
      <c r="J14" s="2" t="s">
        <v>19</v>
      </c>
      <c r="K14" s="2" t="s">
        <v>81</v>
      </c>
      <c r="L14" s="2" t="s">
        <v>21</v>
      </c>
      <c r="M14" s="2" t="s">
        <v>21</v>
      </c>
      <c r="N14" s="2" t="s">
        <v>41</v>
      </c>
      <c r="O14" s="2" t="s">
        <v>42</v>
      </c>
      <c r="P14" s="2" t="s">
        <v>43</v>
      </c>
      <c r="Q14" t="s">
        <v>82</v>
      </c>
    </row>
    <row r="15" spans="1:17" s="5" customFormat="1" ht="35.1" customHeight="1" x14ac:dyDescent="0.3">
      <c r="A15" s="2">
        <f t="shared" si="0"/>
        <v>14</v>
      </c>
      <c r="B15" s="2" t="s">
        <v>171</v>
      </c>
      <c r="C15" s="2" t="s">
        <v>172</v>
      </c>
      <c r="D15" s="3" t="s">
        <v>170</v>
      </c>
      <c r="E15" s="2" t="s">
        <v>83</v>
      </c>
      <c r="F15" s="2" t="s">
        <v>84</v>
      </c>
      <c r="G15" s="2" t="s">
        <v>27</v>
      </c>
      <c r="H15" s="2" t="s">
        <v>20</v>
      </c>
      <c r="I15" s="2">
        <v>2020</v>
      </c>
      <c r="J15" s="2">
        <f t="shared" ca="1" si="1"/>
        <v>23</v>
      </c>
      <c r="K15" s="2" t="s">
        <v>19</v>
      </c>
      <c r="L15" s="2" t="s">
        <v>85</v>
      </c>
      <c r="M15" s="2" t="s">
        <v>21</v>
      </c>
      <c r="N15" s="2" t="s">
        <v>41</v>
      </c>
      <c r="O15" s="2"/>
      <c r="P15" s="2" t="s">
        <v>43</v>
      </c>
      <c r="Q15" t="s">
        <v>86</v>
      </c>
    </row>
    <row r="16" spans="1:17" s="5" customFormat="1" ht="35.1" customHeight="1" x14ac:dyDescent="0.3">
      <c r="A16" s="2">
        <f t="shared" si="0"/>
        <v>15</v>
      </c>
      <c r="B16" s="2" t="s">
        <v>171</v>
      </c>
      <c r="C16" s="2" t="s">
        <v>172</v>
      </c>
      <c r="D16" s="3" t="s">
        <v>170</v>
      </c>
      <c r="E16" s="2" t="s">
        <v>87</v>
      </c>
      <c r="F16" s="2" t="s">
        <v>88</v>
      </c>
      <c r="G16" s="2" t="s">
        <v>39</v>
      </c>
      <c r="H16" s="2"/>
      <c r="I16" s="2">
        <v>2020</v>
      </c>
      <c r="J16" s="2">
        <f t="shared" ca="1" si="1"/>
        <v>18</v>
      </c>
      <c r="K16" s="2" t="s">
        <v>89</v>
      </c>
      <c r="L16" s="2" t="s">
        <v>90</v>
      </c>
      <c r="M16" s="2" t="s">
        <v>91</v>
      </c>
      <c r="N16" s="2" t="s">
        <v>41</v>
      </c>
      <c r="O16" s="2" t="s">
        <v>42</v>
      </c>
      <c r="P16" s="2" t="s">
        <v>43</v>
      </c>
      <c r="Q16" t="s">
        <v>92</v>
      </c>
    </row>
    <row r="17" spans="1:17" s="5" customFormat="1" ht="35.1" customHeight="1" x14ac:dyDescent="0.3">
      <c r="A17" s="2">
        <f t="shared" si="0"/>
        <v>16</v>
      </c>
      <c r="B17" s="2" t="s">
        <v>171</v>
      </c>
      <c r="C17" s="2" t="s">
        <v>172</v>
      </c>
      <c r="D17" s="3" t="s">
        <v>170</v>
      </c>
      <c r="E17" s="2" t="s">
        <v>93</v>
      </c>
      <c r="F17" s="2" t="s">
        <v>94</v>
      </c>
      <c r="G17" s="2" t="s">
        <v>39</v>
      </c>
      <c r="H17" s="2"/>
      <c r="I17" s="2">
        <v>2020</v>
      </c>
      <c r="J17" s="2">
        <f t="shared" ca="1" si="1"/>
        <v>9</v>
      </c>
      <c r="K17" s="2" t="s">
        <v>19</v>
      </c>
      <c r="L17" s="2" t="s">
        <v>19</v>
      </c>
      <c r="M17" s="2" t="s">
        <v>21</v>
      </c>
      <c r="N17" s="2" t="s">
        <v>41</v>
      </c>
      <c r="O17" s="2"/>
      <c r="P17" s="2" t="s">
        <v>23</v>
      </c>
      <c r="Q17" t="s">
        <v>95</v>
      </c>
    </row>
    <row r="18" spans="1:17" s="5" customFormat="1" ht="35.1" customHeight="1" x14ac:dyDescent="0.3">
      <c r="A18" s="2">
        <f t="shared" si="0"/>
        <v>17</v>
      </c>
      <c r="B18" s="2" t="s">
        <v>171</v>
      </c>
      <c r="C18" s="2" t="s">
        <v>172</v>
      </c>
      <c r="D18" s="3" t="s">
        <v>170</v>
      </c>
      <c r="E18" s="2" t="s">
        <v>96</v>
      </c>
      <c r="F18" s="2" t="s">
        <v>97</v>
      </c>
      <c r="G18" s="2" t="s">
        <v>39</v>
      </c>
      <c r="H18" s="2"/>
      <c r="I18" s="2">
        <v>2020</v>
      </c>
      <c r="J18" s="2">
        <f t="shared" ca="1" si="1"/>
        <v>15</v>
      </c>
      <c r="K18" s="2" t="s">
        <v>98</v>
      </c>
      <c r="L18" s="2" t="s">
        <v>21</v>
      </c>
      <c r="M18" s="2"/>
      <c r="N18" s="2" t="s">
        <v>99</v>
      </c>
      <c r="O18" s="2" t="s">
        <v>42</v>
      </c>
      <c r="P18" s="2" t="s">
        <v>43</v>
      </c>
      <c r="Q18" t="s">
        <v>100</v>
      </c>
    </row>
    <row r="19" spans="1:17" s="5" customFormat="1" ht="35.1" hidden="1" customHeight="1" x14ac:dyDescent="0.3">
      <c r="A19" s="2">
        <f t="shared" si="0"/>
        <v>18</v>
      </c>
      <c r="B19" s="2" t="s">
        <v>171</v>
      </c>
      <c r="C19" s="2"/>
      <c r="D19" s="3" t="s">
        <v>170</v>
      </c>
      <c r="E19" s="2" t="s">
        <v>101</v>
      </c>
      <c r="F19" s="2" t="s">
        <v>102</v>
      </c>
      <c r="G19" s="2" t="s">
        <v>39</v>
      </c>
      <c r="H19" s="2"/>
      <c r="I19" s="2">
        <v>2020</v>
      </c>
      <c r="J19" s="2">
        <f t="shared" ca="1" si="1"/>
        <v>25</v>
      </c>
      <c r="K19" s="2" t="s">
        <v>103</v>
      </c>
      <c r="L19" s="2" t="s">
        <v>21</v>
      </c>
      <c r="M19" s="2" t="s">
        <v>19</v>
      </c>
      <c r="N19" s="2" t="s">
        <v>19</v>
      </c>
      <c r="O19" s="2" t="s">
        <v>42</v>
      </c>
      <c r="P19" s="2" t="s">
        <v>43</v>
      </c>
      <c r="Q19" t="s">
        <v>104</v>
      </c>
    </row>
    <row r="20" spans="1:17" s="5" customFormat="1" ht="35.1" customHeight="1" x14ac:dyDescent="0.3">
      <c r="A20" s="2">
        <f t="shared" si="0"/>
        <v>19</v>
      </c>
      <c r="B20" s="2" t="s">
        <v>171</v>
      </c>
      <c r="C20" s="2" t="s">
        <v>172</v>
      </c>
      <c r="D20" s="3" t="s">
        <v>170</v>
      </c>
      <c r="E20" s="2" t="s">
        <v>105</v>
      </c>
      <c r="F20" s="2" t="s">
        <v>106</v>
      </c>
      <c r="G20" s="2" t="s">
        <v>107</v>
      </c>
      <c r="H20" s="2"/>
      <c r="I20" s="2">
        <v>2020</v>
      </c>
      <c r="J20" s="2">
        <f t="shared" ca="1" si="1"/>
        <v>37</v>
      </c>
      <c r="K20" s="2" t="s">
        <v>89</v>
      </c>
      <c r="L20" s="2" t="s">
        <v>90</v>
      </c>
      <c r="M20" s="2" t="s">
        <v>108</v>
      </c>
      <c r="N20" s="2" t="s">
        <v>19</v>
      </c>
      <c r="O20" s="2"/>
      <c r="P20" s="2" t="s">
        <v>43</v>
      </c>
      <c r="Q20"/>
    </row>
    <row r="21" spans="1:17" s="5" customFormat="1" ht="35.1" customHeight="1" x14ac:dyDescent="0.3">
      <c r="A21" s="2">
        <f t="shared" si="0"/>
        <v>20</v>
      </c>
      <c r="B21" s="2" t="s">
        <v>171</v>
      </c>
      <c r="C21" s="2" t="s">
        <v>172</v>
      </c>
      <c r="D21" s="3" t="s">
        <v>170</v>
      </c>
      <c r="E21" s="2" t="s">
        <v>109</v>
      </c>
      <c r="F21" s="2" t="s">
        <v>110</v>
      </c>
      <c r="G21" s="2" t="s">
        <v>107</v>
      </c>
      <c r="H21" s="2"/>
      <c r="I21" s="2">
        <v>2020</v>
      </c>
      <c r="J21" s="2">
        <f t="shared" ca="1" si="1"/>
        <v>3</v>
      </c>
      <c r="K21" s="2" t="s">
        <v>89</v>
      </c>
      <c r="L21" s="2" t="s">
        <v>21</v>
      </c>
      <c r="M21" s="2"/>
      <c r="N21" s="2"/>
      <c r="O21" s="2"/>
      <c r="P21" s="2" t="s">
        <v>43</v>
      </c>
      <c r="Q21" t="s">
        <v>111</v>
      </c>
    </row>
    <row r="22" spans="1:17" s="5" customFormat="1" ht="35.1" customHeight="1" x14ac:dyDescent="0.3">
      <c r="A22" s="2">
        <f t="shared" si="0"/>
        <v>21</v>
      </c>
      <c r="B22" s="2" t="s">
        <v>171</v>
      </c>
      <c r="C22" s="2" t="s">
        <v>172</v>
      </c>
      <c r="D22" s="3" t="s">
        <v>170</v>
      </c>
      <c r="E22" s="2" t="s">
        <v>112</v>
      </c>
      <c r="F22" s="2" t="s">
        <v>106</v>
      </c>
      <c r="G22" s="2" t="s">
        <v>107</v>
      </c>
      <c r="H22" s="2"/>
      <c r="I22" s="2">
        <v>2020</v>
      </c>
      <c r="J22" s="2">
        <f t="shared" ca="1" si="1"/>
        <v>33</v>
      </c>
      <c r="K22" s="2" t="s">
        <v>89</v>
      </c>
      <c r="L22" s="2" t="s">
        <v>90</v>
      </c>
      <c r="M22" s="2"/>
      <c r="N22" s="2"/>
      <c r="O22" s="2"/>
      <c r="P22" s="2" t="s">
        <v>43</v>
      </c>
      <c r="Q22"/>
    </row>
    <row r="23" spans="1:17" s="5" customFormat="1" ht="35.1" customHeight="1" x14ac:dyDescent="0.3">
      <c r="A23" s="2">
        <f t="shared" si="0"/>
        <v>22</v>
      </c>
      <c r="B23" s="2" t="s">
        <v>171</v>
      </c>
      <c r="C23" s="2" t="s">
        <v>172</v>
      </c>
      <c r="D23" s="3" t="s">
        <v>170</v>
      </c>
      <c r="E23" s="2" t="s">
        <v>113</v>
      </c>
      <c r="F23" s="2" t="s">
        <v>106</v>
      </c>
      <c r="G23" s="2" t="s">
        <v>107</v>
      </c>
      <c r="H23" s="2"/>
      <c r="I23" s="2">
        <v>2020</v>
      </c>
      <c r="J23" s="2">
        <f t="shared" ca="1" si="1"/>
        <v>0</v>
      </c>
      <c r="K23" s="2" t="s">
        <v>19</v>
      </c>
      <c r="L23" s="2" t="s">
        <v>90</v>
      </c>
      <c r="M23" s="2"/>
      <c r="N23" s="2"/>
      <c r="O23" s="2"/>
      <c r="P23" s="2" t="s">
        <v>43</v>
      </c>
      <c r="Q23" t="s">
        <v>114</v>
      </c>
    </row>
    <row r="24" spans="1:17" s="5" customFormat="1" ht="35.1" customHeight="1" x14ac:dyDescent="0.3">
      <c r="A24" s="2">
        <f t="shared" si="0"/>
        <v>23</v>
      </c>
      <c r="B24" s="2" t="s">
        <v>171</v>
      </c>
      <c r="C24" s="2" t="s">
        <v>172</v>
      </c>
      <c r="D24" s="3" t="s">
        <v>170</v>
      </c>
      <c r="E24" s="2" t="s">
        <v>115</v>
      </c>
      <c r="F24" s="2" t="s">
        <v>116</v>
      </c>
      <c r="G24" s="2" t="s">
        <v>107</v>
      </c>
      <c r="H24" s="2"/>
      <c r="I24" s="2">
        <v>2020</v>
      </c>
      <c r="J24" s="2">
        <f t="shared" ca="1" si="1"/>
        <v>48</v>
      </c>
      <c r="K24" s="2" t="s">
        <v>117</v>
      </c>
      <c r="L24" s="2" t="s">
        <v>118</v>
      </c>
      <c r="M24" s="2"/>
      <c r="N24" s="2"/>
      <c r="O24" s="2"/>
      <c r="P24" s="2"/>
      <c r="Q24" t="s">
        <v>119</v>
      </c>
    </row>
    <row r="25" spans="1:17" s="5" customFormat="1" ht="35.1" customHeight="1" x14ac:dyDescent="0.3">
      <c r="A25" s="2">
        <f t="shared" si="0"/>
        <v>24</v>
      </c>
      <c r="B25" s="2" t="s">
        <v>171</v>
      </c>
      <c r="C25" s="2" t="s">
        <v>172</v>
      </c>
      <c r="D25" s="3" t="s">
        <v>170</v>
      </c>
      <c r="E25" s="2" t="s">
        <v>120</v>
      </c>
      <c r="F25" s="2" t="s">
        <v>121</v>
      </c>
      <c r="G25" s="2" t="s">
        <v>107</v>
      </c>
      <c r="H25" s="2"/>
      <c r="I25" s="2">
        <v>2020</v>
      </c>
      <c r="J25" s="2">
        <f t="shared" ca="1" si="1"/>
        <v>37</v>
      </c>
      <c r="K25" s="2" t="s">
        <v>122</v>
      </c>
      <c r="L25" s="2" t="s">
        <v>90</v>
      </c>
      <c r="M25" s="2"/>
      <c r="N25" s="2"/>
      <c r="O25" s="2"/>
      <c r="P25" s="2"/>
      <c r="Q25" t="s">
        <v>123</v>
      </c>
    </row>
    <row r="26" spans="1:17" s="5" customFormat="1" ht="35.1" customHeight="1" x14ac:dyDescent="0.3">
      <c r="A26" s="2">
        <f t="shared" si="0"/>
        <v>25</v>
      </c>
      <c r="B26" s="2" t="s">
        <v>171</v>
      </c>
      <c r="C26" s="2" t="s">
        <v>172</v>
      </c>
      <c r="D26" s="3" t="s">
        <v>170</v>
      </c>
      <c r="E26" s="2" t="s">
        <v>124</v>
      </c>
      <c r="F26" s="2" t="s">
        <v>125</v>
      </c>
      <c r="G26" s="2" t="s">
        <v>107</v>
      </c>
      <c r="H26" s="2"/>
      <c r="I26" s="2">
        <v>2020</v>
      </c>
      <c r="J26" s="2">
        <f t="shared" ca="1" si="1"/>
        <v>18</v>
      </c>
      <c r="K26" s="2"/>
      <c r="L26" s="2"/>
      <c r="M26" s="2"/>
      <c r="N26" s="2"/>
      <c r="O26" s="2"/>
      <c r="P26" s="2"/>
      <c r="Q26"/>
    </row>
    <row r="27" spans="1:17" s="5" customFormat="1" ht="35.1" customHeight="1" x14ac:dyDescent="0.3">
      <c r="A27" s="2">
        <f t="shared" si="0"/>
        <v>26</v>
      </c>
      <c r="B27" s="2" t="s">
        <v>171</v>
      </c>
      <c r="C27" s="2" t="s">
        <v>172</v>
      </c>
      <c r="D27" s="3" t="s">
        <v>170</v>
      </c>
      <c r="E27" s="2" t="s">
        <v>126</v>
      </c>
      <c r="F27" s="2" t="s">
        <v>127</v>
      </c>
      <c r="G27" s="2" t="s">
        <v>107</v>
      </c>
      <c r="H27" s="2"/>
      <c r="I27" s="2">
        <v>2020</v>
      </c>
      <c r="J27" s="2">
        <f t="shared" ca="1" si="1"/>
        <v>13</v>
      </c>
      <c r="K27" s="2"/>
      <c r="L27" s="2"/>
      <c r="M27" s="2"/>
      <c r="N27" s="2"/>
      <c r="O27" s="2"/>
      <c r="P27" s="2"/>
      <c r="Q27"/>
    </row>
    <row r="28" spans="1:17" s="5" customFormat="1" ht="35.1" customHeight="1" x14ac:dyDescent="0.3">
      <c r="A28" s="2">
        <f t="shared" si="0"/>
        <v>27</v>
      </c>
      <c r="B28" s="2" t="s">
        <v>171</v>
      </c>
      <c r="C28" s="2" t="s">
        <v>172</v>
      </c>
      <c r="D28" s="3" t="s">
        <v>170</v>
      </c>
      <c r="E28" s="2" t="s">
        <v>128</v>
      </c>
      <c r="F28" s="2" t="s">
        <v>129</v>
      </c>
      <c r="G28" s="2" t="s">
        <v>107</v>
      </c>
      <c r="H28" s="2"/>
      <c r="I28" s="2">
        <v>2020</v>
      </c>
      <c r="J28" s="2">
        <f t="shared" ca="1" si="1"/>
        <v>0</v>
      </c>
      <c r="K28" s="2"/>
      <c r="L28" s="2"/>
      <c r="M28" s="2"/>
      <c r="N28" s="2"/>
      <c r="O28" s="2"/>
      <c r="P28" s="2"/>
      <c r="Q28"/>
    </row>
    <row r="29" spans="1:17" s="5" customFormat="1" ht="35.1" customHeight="1" x14ac:dyDescent="0.3">
      <c r="A29" s="2">
        <f t="shared" si="0"/>
        <v>28</v>
      </c>
      <c r="B29" s="2" t="s">
        <v>171</v>
      </c>
      <c r="C29" s="2" t="s">
        <v>172</v>
      </c>
      <c r="D29" s="3" t="s">
        <v>170</v>
      </c>
      <c r="E29" s="2" t="s">
        <v>130</v>
      </c>
      <c r="F29" s="2" t="s">
        <v>131</v>
      </c>
      <c r="G29" s="2" t="s">
        <v>107</v>
      </c>
      <c r="H29" s="2"/>
      <c r="I29" s="2">
        <v>2020</v>
      </c>
      <c r="J29" s="2">
        <f t="shared" ca="1" si="1"/>
        <v>12</v>
      </c>
      <c r="K29" s="2"/>
      <c r="L29" s="2"/>
      <c r="M29" s="2"/>
      <c r="N29" s="2"/>
      <c r="O29" s="2"/>
      <c r="P29" s="2"/>
      <c r="Q29"/>
    </row>
    <row r="30" spans="1:17" s="5" customFormat="1" ht="35.1" customHeight="1" x14ac:dyDescent="0.3">
      <c r="A30" s="2">
        <f t="shared" si="0"/>
        <v>29</v>
      </c>
      <c r="B30" s="2" t="s">
        <v>171</v>
      </c>
      <c r="C30" s="2" t="s">
        <v>172</v>
      </c>
      <c r="D30" s="3" t="s">
        <v>170</v>
      </c>
      <c r="E30" s="2" t="s">
        <v>132</v>
      </c>
      <c r="F30" s="2" t="s">
        <v>133</v>
      </c>
      <c r="G30" s="2" t="s">
        <v>107</v>
      </c>
      <c r="H30" s="2"/>
      <c r="I30" s="2">
        <v>2020</v>
      </c>
      <c r="J30" s="2">
        <f t="shared" ca="1" si="1"/>
        <v>4</v>
      </c>
      <c r="K30" s="2" t="s">
        <v>134</v>
      </c>
      <c r="L30" s="2"/>
      <c r="M30" s="2"/>
      <c r="N30" s="2"/>
      <c r="O30" s="2" t="s">
        <v>42</v>
      </c>
      <c r="P30" s="2" t="s">
        <v>43</v>
      </c>
      <c r="Q30" t="s">
        <v>135</v>
      </c>
    </row>
    <row r="31" spans="1:17" s="5" customFormat="1" ht="35.1" hidden="1" customHeight="1" x14ac:dyDescent="0.3">
      <c r="A31" s="2">
        <f t="shared" si="0"/>
        <v>30</v>
      </c>
      <c r="B31" s="2" t="s">
        <v>171</v>
      </c>
      <c r="C31" s="2"/>
      <c r="D31" s="3" t="s">
        <v>170</v>
      </c>
      <c r="E31" s="2" t="s">
        <v>136</v>
      </c>
      <c r="F31" s="2" t="s">
        <v>137</v>
      </c>
      <c r="G31" s="2" t="s">
        <v>107</v>
      </c>
      <c r="H31" s="2"/>
      <c r="I31" s="2">
        <v>2020</v>
      </c>
      <c r="J31" s="2">
        <f t="shared" ca="1" si="1"/>
        <v>3</v>
      </c>
      <c r="K31" s="2" t="s">
        <v>138</v>
      </c>
      <c r="L31" s="2"/>
      <c r="M31" s="2"/>
      <c r="N31" s="2"/>
      <c r="O31" s="2"/>
      <c r="P31" s="2"/>
      <c r="Q31"/>
    </row>
    <row r="32" spans="1:17" s="5" customFormat="1" ht="35.1" customHeight="1" x14ac:dyDescent="0.3">
      <c r="A32" s="2">
        <f t="shared" si="0"/>
        <v>31</v>
      </c>
      <c r="B32" s="2" t="s">
        <v>171</v>
      </c>
      <c r="C32" s="2" t="s">
        <v>172</v>
      </c>
      <c r="D32" s="3" t="s">
        <v>170</v>
      </c>
      <c r="E32" s="2" t="s">
        <v>139</v>
      </c>
      <c r="F32" s="2" t="s">
        <v>140</v>
      </c>
      <c r="G32" s="2" t="s">
        <v>107</v>
      </c>
      <c r="H32" s="2"/>
      <c r="I32" s="2">
        <v>2020</v>
      </c>
      <c r="J32" s="2">
        <f t="shared" ca="1" si="1"/>
        <v>41</v>
      </c>
      <c r="K32" s="2" t="s">
        <v>141</v>
      </c>
      <c r="L32" s="2" t="s">
        <v>142</v>
      </c>
      <c r="M32" s="2"/>
      <c r="N32" s="2"/>
      <c r="O32" s="2"/>
      <c r="P32" s="2"/>
      <c r="Q32" s="4" t="s">
        <v>143</v>
      </c>
    </row>
    <row r="33" spans="1:17" s="5" customFormat="1" ht="35.1" customHeight="1" x14ac:dyDescent="0.3">
      <c r="A33" s="2">
        <f t="shared" si="0"/>
        <v>32</v>
      </c>
      <c r="B33" s="2" t="s">
        <v>171</v>
      </c>
      <c r="C33" s="2" t="s">
        <v>172</v>
      </c>
      <c r="D33" s="3" t="s">
        <v>170</v>
      </c>
      <c r="E33" s="2" t="s">
        <v>37</v>
      </c>
      <c r="F33" s="2" t="s">
        <v>38</v>
      </c>
      <c r="G33" s="2" t="s">
        <v>144</v>
      </c>
      <c r="H33" s="2"/>
      <c r="I33" s="2">
        <v>2020</v>
      </c>
      <c r="J33" s="2">
        <f t="shared" ca="1" si="1"/>
        <v>47</v>
      </c>
      <c r="K33" s="2" t="s">
        <v>145</v>
      </c>
      <c r="L33" s="2" t="s">
        <v>21</v>
      </c>
      <c r="M33" s="2"/>
      <c r="N33" s="2" t="s">
        <v>41</v>
      </c>
      <c r="O33" s="2"/>
      <c r="P33" s="2"/>
      <c r="Q33" s="4"/>
    </row>
    <row r="34" spans="1:17" s="5" customFormat="1" ht="35.1" customHeight="1" x14ac:dyDescent="0.3">
      <c r="A34" s="2">
        <f t="shared" si="0"/>
        <v>33</v>
      </c>
      <c r="B34" s="2" t="s">
        <v>171</v>
      </c>
      <c r="C34" s="2" t="s">
        <v>172</v>
      </c>
      <c r="D34" s="3" t="s">
        <v>170</v>
      </c>
      <c r="E34" s="2" t="s">
        <v>146</v>
      </c>
      <c r="F34" s="2" t="s">
        <v>147</v>
      </c>
      <c r="G34" s="2" t="s">
        <v>107</v>
      </c>
      <c r="H34" s="2"/>
      <c r="I34" s="2">
        <v>2020</v>
      </c>
      <c r="J34" s="2">
        <f t="shared" ca="1" si="1"/>
        <v>19</v>
      </c>
      <c r="K34" s="2" t="s">
        <v>47</v>
      </c>
      <c r="L34" s="2" t="s">
        <v>148</v>
      </c>
      <c r="M34" s="2"/>
      <c r="N34" s="2"/>
      <c r="O34" s="2"/>
      <c r="P34" s="2"/>
      <c r="Q34"/>
    </row>
    <row r="35" spans="1:17" s="5" customFormat="1" ht="35.1" customHeight="1" x14ac:dyDescent="0.3">
      <c r="A35" s="2">
        <f t="shared" si="0"/>
        <v>34</v>
      </c>
      <c r="B35" s="2" t="s">
        <v>171</v>
      </c>
      <c r="C35" s="2" t="s">
        <v>172</v>
      </c>
      <c r="D35" s="3" t="s">
        <v>170</v>
      </c>
      <c r="E35" s="2" t="s">
        <v>149</v>
      </c>
      <c r="F35" s="2" t="s">
        <v>150</v>
      </c>
      <c r="G35" s="2" t="s">
        <v>107</v>
      </c>
      <c r="H35" s="2"/>
      <c r="I35" s="2">
        <v>2020</v>
      </c>
      <c r="J35" s="2">
        <f t="shared" ca="1" si="1"/>
        <v>35</v>
      </c>
      <c r="K35" s="2" t="s">
        <v>151</v>
      </c>
      <c r="L35" s="2" t="s">
        <v>152</v>
      </c>
      <c r="M35" s="2"/>
      <c r="N35" s="2"/>
      <c r="O35" s="2"/>
      <c r="P35" s="2"/>
      <c r="Q35"/>
    </row>
    <row r="36" spans="1:17" s="5" customFormat="1" ht="35.1" customHeight="1" x14ac:dyDescent="0.3">
      <c r="A36" s="2">
        <f t="shared" si="0"/>
        <v>35</v>
      </c>
      <c r="B36" s="2" t="s">
        <v>171</v>
      </c>
      <c r="C36" s="2" t="s">
        <v>172</v>
      </c>
      <c r="D36" s="3" t="s">
        <v>170</v>
      </c>
      <c r="E36" s="2" t="s">
        <v>153</v>
      </c>
      <c r="F36" s="2" t="s">
        <v>154</v>
      </c>
      <c r="G36" s="2" t="s">
        <v>107</v>
      </c>
      <c r="H36" s="2"/>
      <c r="I36" s="2">
        <v>2020</v>
      </c>
      <c r="J36" s="2">
        <f t="shared" ca="1" si="1"/>
        <v>28</v>
      </c>
      <c r="K36" s="2"/>
      <c r="L36" s="2"/>
      <c r="M36" s="2"/>
      <c r="N36" s="2"/>
      <c r="O36" s="2"/>
      <c r="P36" s="2"/>
      <c r="Q36"/>
    </row>
    <row r="37" spans="1:17" s="5" customFormat="1" ht="35.1" customHeight="1" x14ac:dyDescent="0.3">
      <c r="A37" s="2">
        <f t="shared" si="0"/>
        <v>36</v>
      </c>
      <c r="B37" s="2" t="s">
        <v>171</v>
      </c>
      <c r="C37" s="2" t="s">
        <v>172</v>
      </c>
      <c r="D37" s="3" t="s">
        <v>170</v>
      </c>
      <c r="E37" s="2" t="s">
        <v>155</v>
      </c>
      <c r="F37" s="2" t="s">
        <v>156</v>
      </c>
      <c r="G37" s="2" t="s">
        <v>107</v>
      </c>
      <c r="H37" s="2"/>
      <c r="I37" s="2">
        <v>2020</v>
      </c>
      <c r="J37" s="2">
        <f t="shared" ca="1" si="1"/>
        <v>2</v>
      </c>
      <c r="K37" s="2"/>
      <c r="L37" s="2"/>
      <c r="M37" s="2"/>
      <c r="N37" s="2"/>
      <c r="O37" s="2"/>
      <c r="P37" s="2"/>
      <c r="Q37"/>
    </row>
    <row r="38" spans="1:17" s="5" customFormat="1" ht="35.1" customHeight="1" x14ac:dyDescent="0.3">
      <c r="A38" s="2">
        <f t="shared" si="0"/>
        <v>37</v>
      </c>
      <c r="B38" s="2" t="s">
        <v>171</v>
      </c>
      <c r="C38" s="2" t="s">
        <v>172</v>
      </c>
      <c r="D38" s="3" t="s">
        <v>170</v>
      </c>
      <c r="E38" s="2" t="s">
        <v>157</v>
      </c>
      <c r="F38" s="2" t="s">
        <v>158</v>
      </c>
      <c r="G38" s="2" t="s">
        <v>144</v>
      </c>
      <c r="H38" s="2"/>
      <c r="I38" s="2">
        <v>2020</v>
      </c>
      <c r="J38" s="2">
        <f t="shared" ca="1" si="1"/>
        <v>43</v>
      </c>
      <c r="K38" s="2"/>
      <c r="L38" s="2"/>
      <c r="M38" s="2"/>
      <c r="N38" s="2"/>
      <c r="O38" s="2"/>
      <c r="P38" s="2"/>
      <c r="Q38"/>
    </row>
    <row r="39" spans="1:17" s="5" customFormat="1" ht="35.1" customHeight="1" x14ac:dyDescent="0.3">
      <c r="A39" s="2">
        <f t="shared" si="0"/>
        <v>38</v>
      </c>
      <c r="B39" s="2" t="s">
        <v>171</v>
      </c>
      <c r="C39" s="2" t="s">
        <v>172</v>
      </c>
      <c r="D39" s="3" t="s">
        <v>170</v>
      </c>
      <c r="E39" s="2" t="s">
        <v>159</v>
      </c>
      <c r="F39" s="2" t="s">
        <v>160</v>
      </c>
      <c r="G39" s="2" t="s">
        <v>107</v>
      </c>
      <c r="H39" s="2"/>
      <c r="I39" s="2">
        <v>2020</v>
      </c>
      <c r="J39" s="2">
        <f t="shared" ca="1" si="1"/>
        <v>39</v>
      </c>
      <c r="K39" s="2"/>
      <c r="L39" s="2"/>
      <c r="M39" s="2"/>
      <c r="N39" s="2"/>
      <c r="O39" s="2"/>
      <c r="P39" s="2"/>
      <c r="Q39"/>
    </row>
    <row r="40" spans="1:17" s="5" customFormat="1" ht="35.1" customHeight="1" x14ac:dyDescent="0.3">
      <c r="A40" s="2">
        <f t="shared" si="0"/>
        <v>39</v>
      </c>
      <c r="B40" s="2" t="s">
        <v>171</v>
      </c>
      <c r="C40" s="2" t="s">
        <v>172</v>
      </c>
      <c r="D40" s="3" t="s">
        <v>170</v>
      </c>
      <c r="E40" s="2" t="s">
        <v>161</v>
      </c>
      <c r="F40" s="2" t="s">
        <v>162</v>
      </c>
      <c r="G40" s="2" t="s">
        <v>107</v>
      </c>
      <c r="H40" s="2"/>
      <c r="I40" s="2">
        <v>2020</v>
      </c>
      <c r="J40" s="2">
        <f t="shared" ca="1" si="1"/>
        <v>17</v>
      </c>
      <c r="K40" s="2"/>
      <c r="L40" s="2"/>
      <c r="M40" s="2"/>
      <c r="N40" s="2"/>
      <c r="O40" s="2"/>
      <c r="P40" s="2"/>
      <c r="Q40"/>
    </row>
    <row r="41" spans="1:17" s="5" customFormat="1" ht="35.1" customHeight="1" x14ac:dyDescent="0.3">
      <c r="A41" s="2">
        <f t="shared" si="0"/>
        <v>40</v>
      </c>
      <c r="B41" s="2" t="s">
        <v>171</v>
      </c>
      <c r="C41" s="2" t="s">
        <v>172</v>
      </c>
      <c r="D41" s="3" t="s">
        <v>170</v>
      </c>
      <c r="E41" s="2" t="s">
        <v>163</v>
      </c>
      <c r="F41" s="2" t="s">
        <v>164</v>
      </c>
      <c r="G41" s="2" t="s">
        <v>144</v>
      </c>
      <c r="H41" s="2"/>
      <c r="I41" s="2" t="s">
        <v>19</v>
      </c>
      <c r="J41" s="2" t="s">
        <v>19</v>
      </c>
      <c r="K41" s="2"/>
      <c r="L41" s="2"/>
      <c r="M41" s="2"/>
      <c r="N41" s="2" t="s">
        <v>19</v>
      </c>
      <c r="O41" s="2"/>
      <c r="P41" s="2"/>
      <c r="Q41" s="4" t="s">
        <v>165</v>
      </c>
    </row>
    <row r="42" spans="1:17" s="5" customFormat="1" ht="35.1" hidden="1" customHeight="1" x14ac:dyDescent="0.3">
      <c r="A42" s="2">
        <f t="shared" si="0"/>
        <v>41</v>
      </c>
      <c r="B42" s="2" t="s">
        <v>171</v>
      </c>
      <c r="C42" s="2"/>
      <c r="D42" s="3" t="s">
        <v>170</v>
      </c>
      <c r="E42" s="2" t="s">
        <v>37</v>
      </c>
      <c r="F42" s="2" t="s">
        <v>38</v>
      </c>
      <c r="G42" s="2" t="s">
        <v>144</v>
      </c>
      <c r="H42" s="2"/>
      <c r="I42" s="2" t="s">
        <v>19</v>
      </c>
      <c r="J42" s="2">
        <f t="shared" ca="1" si="1"/>
        <v>1</v>
      </c>
      <c r="K42" s="2"/>
      <c r="L42" s="2"/>
      <c r="M42" s="2"/>
      <c r="N42" s="2" t="s">
        <v>41</v>
      </c>
      <c r="O42" s="2"/>
      <c r="P42" s="2"/>
      <c r="Q42" s="4"/>
    </row>
    <row r="43" spans="1:17" s="5" customFormat="1" ht="35.1" customHeight="1" x14ac:dyDescent="0.3">
      <c r="A43" s="2">
        <f t="shared" si="0"/>
        <v>42</v>
      </c>
      <c r="B43" s="2" t="s">
        <v>171</v>
      </c>
      <c r="C43" s="2" t="s">
        <v>172</v>
      </c>
      <c r="D43" s="3" t="s">
        <v>170</v>
      </c>
      <c r="E43" s="2" t="s">
        <v>166</v>
      </c>
      <c r="F43" s="2" t="s">
        <v>167</v>
      </c>
      <c r="G43" s="2" t="s">
        <v>107</v>
      </c>
      <c r="H43" s="2"/>
      <c r="I43" s="2" t="s">
        <v>19</v>
      </c>
      <c r="J43" s="2">
        <f t="shared" ca="1" si="1"/>
        <v>42</v>
      </c>
      <c r="K43" s="2"/>
      <c r="L43" s="2"/>
      <c r="M43" s="2"/>
      <c r="N43" s="2"/>
      <c r="O43" s="2"/>
      <c r="P43" s="2"/>
      <c r="Q43" s="4"/>
    </row>
    <row r="44" spans="1:17" s="5" customFormat="1" ht="35.1" customHeight="1" x14ac:dyDescent="0.3">
      <c r="A44" s="2">
        <f t="shared" si="0"/>
        <v>43</v>
      </c>
      <c r="B44" s="2" t="s">
        <v>171</v>
      </c>
      <c r="C44" s="2" t="s">
        <v>172</v>
      </c>
      <c r="D44" s="3" t="s">
        <v>170</v>
      </c>
      <c r="E44" s="2" t="s">
        <v>168</v>
      </c>
      <c r="F44" s="2" t="s">
        <v>169</v>
      </c>
      <c r="G44" s="2" t="s">
        <v>107</v>
      </c>
      <c r="H44" s="2"/>
      <c r="I44" s="2" t="s">
        <v>19</v>
      </c>
      <c r="J44" s="2">
        <f t="shared" ca="1" si="1"/>
        <v>6</v>
      </c>
      <c r="K44" s="2"/>
      <c r="L44" s="2"/>
      <c r="M44" s="2"/>
      <c r="N44" s="2"/>
      <c r="O44" s="2"/>
      <c r="P44" s="2"/>
      <c r="Q44" s="4"/>
    </row>
    <row r="45" spans="1:17" ht="25.05" hidden="1" customHeight="1" x14ac:dyDescent="0.3"/>
    <row r="46" spans="1:17" ht="25.05" hidden="1" customHeight="1" x14ac:dyDescent="0.3"/>
    <row r="47" spans="1:17" ht="25.05" hidden="1" customHeight="1" x14ac:dyDescent="0.3"/>
  </sheetData>
  <autoFilter ref="A1:Q47" xr:uid="{00000000-0009-0000-0000-000029000000}">
    <filterColumn colId="2">
      <customFilters>
        <customFilter operator="notEqual" val=" "/>
      </customFilters>
    </filterColumn>
  </autoFilter>
  <phoneticPr fontId="2" type="noConversion"/>
  <hyperlinks>
    <hyperlink ref="Q2" r:id="rId1" xr:uid="{69B0DDA3-097D-4A44-A7AD-71302FEC25A0}"/>
    <hyperlink ref="Q4" r:id="rId2" tooltip="http://www.bingqichem.com/Product/Detail/b2e7c49a-388b-4309-8010-565d62efd872.html" xr:uid="{5AEE9855-DB3A-428A-A696-B02ED3AEAE85}"/>
    <hyperlink ref="Q5" r:id="rId3" xr:uid="{8A8F9CF3-979E-4E81-9B3E-51AD8BE66846}"/>
    <hyperlink ref="Q7" r:id="rId4" xr:uid="{BCE68030-23B1-40FA-A997-12754BDC2744}"/>
    <hyperlink ref="Q8" r:id="rId5" xr:uid="{03AA6662-D1A1-4121-8EB2-67A3FEECAA0B}"/>
    <hyperlink ref="Q10" r:id="rId6" tooltip="https://news.bjx.com.cn/html/20241115/1411097.shtml" xr:uid="{4EF5DD40-8945-4F7E-9AAB-109F29D417A1}"/>
    <hyperlink ref="Q9" r:id="rId7" tooltip="https://h2.in-en.com/html/h2-2434354.shtml" xr:uid="{A66FFF90-FE43-4DC0-8C97-0F7217571813}"/>
    <hyperlink ref="Q6" r:id="rId8" xr:uid="{F8A1858B-1DA6-4D46-891A-A1266510F518}"/>
    <hyperlink ref="Q13" r:id="rId9" xr:uid="{9332BC3B-29A9-4E38-8B26-8316E937D6B9}"/>
    <hyperlink ref="Q14" r:id="rId10" xr:uid="{1465D7DC-6DCF-46D5-8CD2-9267133A4D4C}"/>
    <hyperlink ref="Q16" r:id="rId11" xr:uid="{599E23D0-23D2-456C-B10E-6C659C8BD04F}"/>
    <hyperlink ref="Q17" r:id="rId12" tooltip="https://finance.sina.com.cn/jjxw/2025-08-22/doc-infmvkhp7203901.shtml" xr:uid="{A92F3193-3DA3-42EF-9C2B-B87F465FF88A}"/>
    <hyperlink ref="Q18" r:id="rId13" xr:uid="{66732802-A192-4E0D-A307-B63EFEE8E1A2}"/>
    <hyperlink ref="Q21" r:id="rId14" xr:uid="{2C1AB14F-70AB-44C9-8BDC-ECC7D08ADAB4}"/>
    <hyperlink ref="Q24" r:id="rId15" xr:uid="{E76CEBD1-803E-447D-8779-DA2ABA1F3456}"/>
    <hyperlink ref="Q3" r:id="rId16" tooltip="https://news.lzu.edu.cn/info/1370/395075.htm" xr:uid="{21A7BFB0-DC0D-424A-B7AD-4D40C328E0FC}"/>
    <hyperlink ref="Q15" r:id="rId17" xr:uid="{5E58E4EF-F5A2-4473-BF29-6643419DBC64}"/>
    <hyperlink ref="Q19" r:id="rId18" xr:uid="{36B0B668-5762-4801-A54A-54CFCAA74F4D}"/>
  </hyperlinks>
  <pageMargins left="0.75" right="0.75" top="1" bottom="1" header="0.5" footer="0.5"/>
  <pageSetup paperSize="9" orientation="portrait"/>
  <legacyDrawing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低碳与绿色甲醇项目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 Liu [cn19xl]</dc:creator>
  <cp:lastModifiedBy>Xiao Liu [cn19xl]</cp:lastModifiedBy>
  <dcterms:created xsi:type="dcterms:W3CDTF">2026-05-25T09:15:52Z</dcterms:created>
  <dcterms:modified xsi:type="dcterms:W3CDTF">2026-05-26T09:16:43Z</dcterms:modified>
</cp:coreProperties>
</file>