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 氢能研究院\数智化工作\氢界\"/>
    </mc:Choice>
  </mc:AlternateContent>
  <xr:revisionPtr revIDLastSave="0" documentId="13_ncr:1_{0D989A9C-0FCE-41B4-90D0-0F7BD9A8CE4D}" xr6:coauthVersionLast="47" xr6:coauthVersionMax="47" xr10:uidLastSave="{00000000-0000-0000-0000-000000000000}"/>
  <bookViews>
    <workbookView xWindow="29890" yWindow="-110" windowWidth="38620" windowHeight="21100" xr2:uid="{00000000-000D-0000-FFFF-FFFF00000000}"/>
  </bookViews>
  <sheets>
    <sheet name="氢价指数" sheetId="3" r:id="rId1"/>
    <sheet name="基础电价数据" sheetId="2" r:id="rId2"/>
  </sheets>
  <calcPr calcId="191029"/>
</workbook>
</file>

<file path=xl/calcChain.xml><?xml version="1.0" encoding="utf-8"?>
<calcChain xmlns="http://schemas.openxmlformats.org/spreadsheetml/2006/main">
  <c r="D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2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AS5" i="3" s="1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2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3" i="3"/>
  <c r="I4" i="3"/>
  <c r="I5" i="3"/>
  <c r="I6" i="3"/>
  <c r="I7" i="3"/>
  <c r="I8" i="3"/>
  <c r="I9" i="3"/>
  <c r="I10" i="3"/>
  <c r="I11" i="3"/>
  <c r="I12" i="3"/>
  <c r="I13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32" i="3"/>
  <c r="G25" i="3"/>
  <c r="G26" i="3"/>
  <c r="G27" i="3"/>
  <c r="G28" i="3"/>
  <c r="G29" i="3"/>
  <c r="G30" i="3"/>
  <c r="G24" i="3"/>
  <c r="G16" i="3"/>
  <c r="G17" i="3"/>
  <c r="G18" i="3"/>
  <c r="G19" i="3"/>
  <c r="G20" i="3"/>
  <c r="G21" i="3"/>
  <c r="G22" i="3"/>
  <c r="G15" i="3"/>
  <c r="G3" i="3"/>
  <c r="G4" i="3"/>
  <c r="G5" i="3"/>
  <c r="G6" i="3"/>
  <c r="G7" i="3"/>
  <c r="G8" i="3"/>
  <c r="G9" i="3"/>
  <c r="G10" i="3"/>
  <c r="G11" i="3"/>
  <c r="G12" i="3"/>
  <c r="G13" i="3"/>
  <c r="G2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24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" i="3"/>
  <c r="AS4" i="3"/>
  <c r="AR4" i="3"/>
  <c r="AS6" i="3" l="1"/>
  <c r="AR5" i="3"/>
  <c r="AR8" i="3"/>
  <c r="AS7" i="3"/>
  <c r="AS3" i="3"/>
  <c r="AS2" i="3"/>
  <c r="AR6" i="3"/>
  <c r="AR3" i="3"/>
  <c r="AS8" i="3"/>
  <c r="AR7" i="3" l="1"/>
  <c r="AR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user:</t>
        </r>
        <r>
          <rPr>
            <sz val="9"/>
            <rFont val="宋体"/>
            <family val="3"/>
            <charset val="134"/>
          </rPr>
          <t xml:space="preserve">
风电小时数改为2300</t>
        </r>
      </text>
    </comment>
    <comment ref="E15" authorId="0" shapeId="0" xr:uid="{00000000-0006-0000-0000-000002000000}">
      <text>
        <r>
          <rPr>
            <b/>
            <sz val="16"/>
            <rFont val="宋体"/>
            <family val="3"/>
            <charset val="134"/>
          </rPr>
          <t>user:</t>
        </r>
        <r>
          <rPr>
            <sz val="16"/>
            <rFont val="宋体"/>
            <family val="3"/>
            <charset val="134"/>
          </rPr>
          <t xml:space="preserve">
</t>
        </r>
        <r>
          <rPr>
            <sz val="54"/>
            <rFont val="宋体"/>
            <family val="3"/>
            <charset val="134"/>
          </rPr>
          <t>风电小时数为2600</t>
        </r>
      </text>
    </comment>
    <comment ref="E34" authorId="0" shapeId="0" xr:uid="{00000000-0006-0000-0000-000003000000}">
      <text>
        <r>
          <rPr>
            <b/>
            <sz val="36"/>
            <rFont val="宋体"/>
            <family val="3"/>
            <charset val="134"/>
          </rPr>
          <t>user:</t>
        </r>
        <r>
          <rPr>
            <sz val="36"/>
            <rFont val="宋体"/>
            <family val="3"/>
            <charset val="134"/>
          </rPr>
          <t xml:space="preserve">
原风电小时数437小时，改为1800小时</t>
        </r>
      </text>
    </comment>
    <comment ref="E36" authorId="0" shapeId="0" xr:uid="{00000000-0006-0000-0000-000004000000}">
      <text>
        <r>
          <rPr>
            <b/>
            <sz val="32"/>
            <rFont val="宋体"/>
            <family val="3"/>
            <charset val="134"/>
          </rPr>
          <t>user:</t>
        </r>
        <r>
          <rPr>
            <sz val="32"/>
            <rFont val="宋体"/>
            <family val="3"/>
            <charset val="134"/>
          </rPr>
          <t xml:space="preserve">
原风电小时数867小时，改为1700小时</t>
        </r>
      </text>
    </comment>
    <comment ref="E37" authorId="0" shapeId="0" xr:uid="{00000000-0006-0000-0000-000005000000}">
      <text>
        <r>
          <rPr>
            <b/>
            <sz val="32"/>
            <rFont val="宋体"/>
            <family val="3"/>
            <charset val="134"/>
          </rPr>
          <t>user:</t>
        </r>
        <r>
          <rPr>
            <sz val="32"/>
            <rFont val="宋体"/>
            <family val="3"/>
            <charset val="134"/>
          </rPr>
          <t xml:space="preserve">
风电小时数改为2500</t>
        </r>
      </text>
    </comment>
    <comment ref="E47" authorId="0" shapeId="0" xr:uid="{00000000-0006-0000-0000-000006000000}">
      <text>
        <r>
          <rPr>
            <b/>
            <sz val="44"/>
            <rFont val="宋体"/>
            <family val="3"/>
            <charset val="134"/>
          </rPr>
          <t>user:</t>
        </r>
        <r>
          <rPr>
            <sz val="44"/>
            <rFont val="宋体"/>
            <family val="3"/>
            <charset val="134"/>
          </rPr>
          <t xml:space="preserve">
风电光伏全年可利用小时数由1566、992改为2200、1000</t>
        </r>
      </text>
    </comment>
    <comment ref="E48" authorId="0" shapeId="0" xr:uid="{00000000-0006-0000-0000-000007000000}">
      <text>
        <r>
          <rPr>
            <b/>
            <sz val="40"/>
            <rFont val="宋体"/>
            <family val="3"/>
            <charset val="134"/>
          </rPr>
          <t>user:</t>
        </r>
        <r>
          <rPr>
            <sz val="40"/>
            <rFont val="宋体"/>
            <family val="3"/>
            <charset val="134"/>
          </rPr>
          <t xml:space="preserve">
选取内蒙古赤峰曲线，改风电为1900小时，光伏1003小时</t>
        </r>
      </text>
    </comment>
    <comment ref="E50" authorId="0" shapeId="0" xr:uid="{00000000-0006-0000-0000-000008000000}">
      <text>
        <r>
          <rPr>
            <b/>
            <sz val="44"/>
            <rFont val="宋体"/>
            <family val="3"/>
            <charset val="134"/>
          </rPr>
          <t>user:</t>
        </r>
        <r>
          <rPr>
            <sz val="44"/>
            <rFont val="宋体"/>
            <family val="3"/>
            <charset val="134"/>
          </rPr>
          <t xml:space="preserve">
风电小时数由1467改为2200</t>
        </r>
      </text>
    </comment>
    <comment ref="E53" authorId="0" shapeId="0" xr:uid="{00000000-0006-0000-0000-000009000000}">
      <text>
        <r>
          <rPr>
            <b/>
            <sz val="40"/>
            <rFont val="宋体"/>
            <family val="3"/>
            <charset val="134"/>
          </rPr>
          <t>user:</t>
        </r>
        <r>
          <rPr>
            <sz val="40"/>
            <rFont val="宋体"/>
            <family val="3"/>
            <charset val="134"/>
          </rPr>
          <t xml:space="preserve">
风电小时数为2000小时</t>
        </r>
      </text>
    </comment>
    <comment ref="E58" authorId="0" shapeId="0" xr:uid="{00000000-0006-0000-0000-00000A000000}">
      <text>
        <r>
          <rPr>
            <b/>
            <sz val="40"/>
            <rFont val="宋体"/>
            <family val="3"/>
            <charset val="134"/>
          </rPr>
          <t>user:</t>
        </r>
        <r>
          <rPr>
            <sz val="40"/>
            <rFont val="宋体"/>
            <family val="3"/>
            <charset val="134"/>
          </rPr>
          <t xml:space="preserve">
风电小时数1900小时
</t>
        </r>
      </text>
    </comment>
    <comment ref="E59" authorId="0" shapeId="0" xr:uid="{00000000-0006-0000-0000-00000B000000}">
      <text>
        <r>
          <rPr>
            <b/>
            <sz val="60"/>
            <rFont val="宋体"/>
            <family val="3"/>
            <charset val="134"/>
          </rPr>
          <t>user:</t>
        </r>
        <r>
          <rPr>
            <sz val="60"/>
            <rFont val="宋体"/>
            <family val="3"/>
            <charset val="134"/>
          </rPr>
          <t xml:space="preserve">
风电小时数1800</t>
        </r>
      </text>
    </comment>
    <comment ref="E60" authorId="0" shapeId="0" xr:uid="{00000000-0006-0000-0000-00000C000000}">
      <text>
        <r>
          <rPr>
            <b/>
            <sz val="36"/>
            <rFont val="宋体"/>
            <family val="3"/>
            <charset val="134"/>
          </rPr>
          <t>user:</t>
        </r>
        <r>
          <rPr>
            <sz val="36"/>
            <rFont val="宋体"/>
            <family val="3"/>
            <charset val="134"/>
          </rPr>
          <t xml:space="preserve">
曲线采取新疆伊犁州，风电小时数改为2300小时</t>
        </r>
      </text>
    </comment>
    <comment ref="E63" authorId="0" shapeId="0" xr:uid="{00000000-0006-0000-0000-00000D000000}">
      <text>
        <r>
          <rPr>
            <b/>
            <sz val="40"/>
            <rFont val="宋体"/>
            <family val="3"/>
            <charset val="134"/>
          </rPr>
          <t>user:</t>
        </r>
        <r>
          <rPr>
            <sz val="40"/>
            <rFont val="宋体"/>
            <family val="3"/>
            <charset val="134"/>
          </rPr>
          <t xml:space="preserve">
采取阿勒泰地区曲线（冬春强，夏季略降），风电小时数改为2300</t>
        </r>
      </text>
    </comment>
    <comment ref="E65" authorId="0" shapeId="0" xr:uid="{00000000-0006-0000-0000-00000E000000}">
      <text>
        <r>
          <rPr>
            <b/>
            <sz val="48"/>
            <rFont val="宋体"/>
            <family val="3"/>
            <charset val="134"/>
          </rPr>
          <t>user:</t>
        </r>
        <r>
          <rPr>
            <sz val="48"/>
            <rFont val="宋体"/>
            <family val="3"/>
            <charset val="134"/>
          </rPr>
          <t xml:space="preserve">
南疆地区，风电曲线相对平缓。取巴音郭楞蒙古自治州曲线，风电小时数改为2200</t>
        </r>
      </text>
    </comment>
    <comment ref="E68" authorId="0" shapeId="0" xr:uid="{00000000-0006-0000-0000-00000F000000}">
      <text>
        <r>
          <rPr>
            <b/>
            <sz val="48"/>
            <rFont val="宋体"/>
            <family val="3"/>
            <charset val="134"/>
          </rPr>
          <t>user:</t>
        </r>
        <r>
          <rPr>
            <sz val="48"/>
            <rFont val="宋体"/>
            <family val="3"/>
            <charset val="134"/>
          </rPr>
          <t xml:space="preserve">
风电特点，冬季最高，夏季最低，选取甘孜作为风光曲线。风电改为2400，光伏1500</t>
        </r>
      </text>
    </comment>
    <comment ref="E70" authorId="0" shapeId="0" xr:uid="{00000000-0006-0000-0000-000010000000}">
      <text>
        <r>
          <rPr>
            <b/>
            <sz val="44"/>
            <rFont val="宋体"/>
            <family val="3"/>
            <charset val="134"/>
          </rPr>
          <t>user:</t>
        </r>
        <r>
          <rPr>
            <sz val="44"/>
            <rFont val="宋体"/>
            <family val="3"/>
            <charset val="134"/>
          </rPr>
          <t xml:space="preserve">
风电小时数改为2300</t>
        </r>
      </text>
    </comment>
    <comment ref="E71" authorId="0" shapeId="0" xr:uid="{00000000-0006-0000-0000-000011000000}">
      <text>
        <r>
          <rPr>
            <b/>
            <sz val="32"/>
            <rFont val="宋体"/>
            <family val="3"/>
            <charset val="134"/>
          </rPr>
          <t>user:</t>
        </r>
        <r>
          <rPr>
            <sz val="32"/>
            <rFont val="宋体"/>
            <family val="3"/>
            <charset val="134"/>
          </rPr>
          <t xml:space="preserve">
根据风光曲线特点选取德宏傣族景颇族自治州的曲线，风电改为2500小时</t>
        </r>
      </text>
    </comment>
  </commentList>
</comments>
</file>

<file path=xl/sharedStrings.xml><?xml version="1.0" encoding="utf-8"?>
<sst xmlns="http://schemas.openxmlformats.org/spreadsheetml/2006/main" count="318" uniqueCount="241">
  <si>
    <t>地区</t>
  </si>
  <si>
    <r>
      <rPr>
        <b/>
        <sz val="48"/>
        <color theme="1"/>
        <rFont val="微软雅黑"/>
        <family val="2"/>
        <charset val="134"/>
      </rPr>
      <t>地区氢价指数</t>
    </r>
    <r>
      <rPr>
        <b/>
        <sz val="48"/>
        <color theme="1"/>
        <rFont val="Times New Roman"/>
        <family val="1"/>
      </rPr>
      <t xml:space="preserve">
</t>
    </r>
    <r>
      <rPr>
        <b/>
        <sz val="48"/>
        <color theme="1"/>
        <rFont val="微软雅黑"/>
        <family val="2"/>
        <charset val="134"/>
      </rPr>
      <t>（平准化成本）</t>
    </r>
  </si>
  <si>
    <t>省</t>
  </si>
  <si>
    <r>
      <rPr>
        <b/>
        <sz val="48"/>
        <color theme="1"/>
        <rFont val="微软雅黑"/>
        <family val="2"/>
        <charset val="134"/>
      </rPr>
      <t>加权后氢价</t>
    </r>
    <r>
      <rPr>
        <b/>
        <sz val="48"/>
        <color theme="1"/>
        <rFont val="Times New Roman"/>
        <family val="1"/>
      </rPr>
      <t xml:space="preserve">
</t>
    </r>
    <r>
      <rPr>
        <b/>
        <sz val="48"/>
        <color theme="1"/>
        <rFont val="微软雅黑"/>
        <family val="2"/>
        <charset val="134"/>
      </rPr>
      <t>（平准化成本）</t>
    </r>
  </si>
  <si>
    <t>市</t>
  </si>
  <si>
    <t>风资源利用小时数</t>
  </si>
  <si>
    <t>光资源利用小时数</t>
  </si>
  <si>
    <t>氢气产能（吨）</t>
  </si>
  <si>
    <t>产能全省占比</t>
  </si>
  <si>
    <r>
      <rPr>
        <b/>
        <sz val="48"/>
        <color theme="1"/>
        <rFont val="微软雅黑"/>
        <family val="2"/>
        <charset val="134"/>
      </rPr>
      <t>氢气成本</t>
    </r>
    <r>
      <rPr>
        <b/>
        <sz val="48"/>
        <color theme="1"/>
        <rFont val="Times New Roman"/>
        <family val="1"/>
      </rPr>
      <t xml:space="preserve">
</t>
    </r>
    <r>
      <rPr>
        <b/>
        <sz val="48"/>
        <color theme="1"/>
        <rFont val="微软雅黑"/>
        <family val="2"/>
        <charset val="134"/>
      </rPr>
      <t>（元</t>
    </r>
    <r>
      <rPr>
        <b/>
        <sz val="48"/>
        <color theme="1"/>
        <rFont val="Times New Roman"/>
        <family val="1"/>
      </rPr>
      <t>/</t>
    </r>
    <r>
      <rPr>
        <b/>
        <sz val="48"/>
        <color theme="1"/>
        <rFont val="微软雅黑"/>
        <family val="2"/>
        <charset val="134"/>
      </rPr>
      <t>公斤</t>
    </r>
    <r>
      <rPr>
        <b/>
        <sz val="48"/>
        <color theme="1"/>
        <rFont val="Times New Roman"/>
        <family val="1"/>
      </rPr>
      <t>)</t>
    </r>
  </si>
  <si>
    <t>风电成本</t>
  </si>
  <si>
    <t>光电成本</t>
  </si>
  <si>
    <t>综合发电成本</t>
  </si>
  <si>
    <t>风电实际利用小时数</t>
  </si>
  <si>
    <t>光伏实际利用小时数</t>
  </si>
  <si>
    <t>风电装机</t>
  </si>
  <si>
    <t>光伏装机</t>
  </si>
  <si>
    <r>
      <rPr>
        <b/>
        <sz val="48"/>
        <color theme="2" tint="-0.249977111117893"/>
        <rFont val="微软雅黑"/>
        <family val="2"/>
        <charset val="134"/>
      </rPr>
      <t>风电小时</t>
    </r>
    <r>
      <rPr>
        <b/>
        <sz val="48"/>
        <color theme="2" tint="-0.249977111117893"/>
        <rFont val="Times New Roman"/>
        <family val="1"/>
      </rPr>
      <t>*</t>
    </r>
    <r>
      <rPr>
        <b/>
        <sz val="48"/>
        <color theme="2" tint="-0.249977111117893"/>
        <rFont val="微软雅黑"/>
        <family val="2"/>
        <charset val="134"/>
      </rPr>
      <t>装机</t>
    </r>
  </si>
  <si>
    <r>
      <rPr>
        <b/>
        <sz val="48"/>
        <color theme="2" tint="-0.249977111117893"/>
        <rFont val="微软雅黑"/>
        <family val="2"/>
        <charset val="134"/>
      </rPr>
      <t>光伏小时</t>
    </r>
    <r>
      <rPr>
        <b/>
        <sz val="48"/>
        <color theme="2" tint="-0.249977111117893"/>
        <rFont val="Times New Roman"/>
        <family val="1"/>
      </rPr>
      <t>*</t>
    </r>
    <r>
      <rPr>
        <b/>
        <sz val="48"/>
        <color theme="2" tint="-0.249977111117893"/>
        <rFont val="微软雅黑"/>
        <family val="2"/>
        <charset val="134"/>
      </rPr>
      <t>装机</t>
    </r>
  </si>
  <si>
    <t>风电比例</t>
  </si>
  <si>
    <t>光电比例</t>
  </si>
  <si>
    <r>
      <rPr>
        <b/>
        <sz val="48"/>
        <color theme="1"/>
        <rFont val="微软雅黑"/>
        <family val="2"/>
        <charset val="134"/>
      </rPr>
      <t>上网电价（元</t>
    </r>
    <r>
      <rPr>
        <b/>
        <sz val="48"/>
        <color theme="1"/>
        <rFont val="Times New Roman"/>
        <family val="1"/>
      </rPr>
      <t xml:space="preserve"> /kWh</t>
    </r>
    <r>
      <rPr>
        <b/>
        <sz val="48"/>
        <color theme="1"/>
        <rFont val="微软雅黑"/>
        <family val="2"/>
        <charset val="134"/>
      </rPr>
      <t>）</t>
    </r>
  </si>
  <si>
    <t>大区</t>
  </si>
  <si>
    <t>原氢价指数
（成本指数）</t>
  </si>
  <si>
    <r>
      <rPr>
        <b/>
        <sz val="36"/>
        <color theme="1"/>
        <rFont val="微软雅黑"/>
        <family val="2"/>
        <charset val="134"/>
      </rPr>
      <t>地区氢价指数</t>
    </r>
    <r>
      <rPr>
        <b/>
        <sz val="36"/>
        <color theme="1"/>
        <rFont val="Times New Roman"/>
        <family val="1"/>
      </rPr>
      <t xml:space="preserve">
</t>
    </r>
    <r>
      <rPr>
        <b/>
        <sz val="36"/>
        <color theme="1"/>
        <rFont val="微软雅黑"/>
        <family val="2"/>
        <charset val="134"/>
      </rPr>
      <t>（平准化成本）</t>
    </r>
  </si>
  <si>
    <t>加权</t>
  </si>
  <si>
    <r>
      <rPr>
        <b/>
        <sz val="36"/>
        <color theme="1"/>
        <rFont val="微软雅黑"/>
        <family val="2"/>
        <charset val="134"/>
      </rPr>
      <t>地区氢价指数</t>
    </r>
    <r>
      <rPr>
        <b/>
        <sz val="36"/>
        <color theme="1"/>
        <rFont val="Times New Roman"/>
        <family val="1"/>
      </rPr>
      <t xml:space="preserve">
</t>
    </r>
    <r>
      <rPr>
        <b/>
        <sz val="36"/>
        <color theme="1"/>
        <rFont val="微软雅黑"/>
        <family val="2"/>
        <charset val="134"/>
      </rPr>
      <t>（以电补氢）</t>
    </r>
  </si>
  <si>
    <t>华北</t>
  </si>
  <si>
    <t>内蒙古</t>
  </si>
  <si>
    <t>乌兰察布</t>
  </si>
  <si>
    <t>北京</t>
  </si>
  <si>
    <t>鄂尔多斯</t>
  </si>
  <si>
    <t>天津</t>
  </si>
  <si>
    <t>东北</t>
  </si>
  <si>
    <t>锡林郭勒盟</t>
  </si>
  <si>
    <t>河北</t>
  </si>
  <si>
    <t>华东</t>
  </si>
  <si>
    <t>包头</t>
  </si>
  <si>
    <t>山西</t>
  </si>
  <si>
    <t>华南</t>
  </si>
  <si>
    <t>赤峰</t>
  </si>
  <si>
    <t>内蒙古（蒙西）</t>
  </si>
  <si>
    <t>华中</t>
  </si>
  <si>
    <t>兴安盟</t>
  </si>
  <si>
    <t>内蒙古（蒙东）</t>
  </si>
  <si>
    <t>西北</t>
  </si>
  <si>
    <t>上海</t>
  </si>
  <si>
    <t>西南</t>
  </si>
  <si>
    <t>江苏</t>
  </si>
  <si>
    <t>权重</t>
  </si>
  <si>
    <t>张家口</t>
  </si>
  <si>
    <t>浙江</t>
  </si>
  <si>
    <t>沧州</t>
  </si>
  <si>
    <t>安徽</t>
  </si>
  <si>
    <t>石家庄</t>
  </si>
  <si>
    <t>福建</t>
  </si>
  <si>
    <t>秦皇岛</t>
  </si>
  <si>
    <t>江西</t>
  </si>
  <si>
    <t>晋中</t>
  </si>
  <si>
    <t>河南</t>
  </si>
  <si>
    <t>吕梁</t>
  </si>
  <si>
    <t>湖北</t>
  </si>
  <si>
    <t>黑龙江</t>
  </si>
  <si>
    <t>七台河</t>
  </si>
  <si>
    <t>湖南</t>
  </si>
  <si>
    <t>吉林</t>
  </si>
  <si>
    <t>松原</t>
  </si>
  <si>
    <t>广东</t>
  </si>
  <si>
    <t>长春</t>
  </si>
  <si>
    <t>广西</t>
  </si>
  <si>
    <t>白城</t>
  </si>
  <si>
    <t>海南</t>
  </si>
  <si>
    <t>辽宁</t>
  </si>
  <si>
    <t>铁岭</t>
  </si>
  <si>
    <t>重庆</t>
  </si>
  <si>
    <t>营口</t>
  </si>
  <si>
    <t>四川</t>
  </si>
  <si>
    <t>合肥</t>
  </si>
  <si>
    <t>贵州</t>
  </si>
  <si>
    <t>云南</t>
  </si>
  <si>
    <t>苏州</t>
  </si>
  <si>
    <t>西藏</t>
  </si>
  <si>
    <t>无</t>
  </si>
  <si>
    <t>扬州</t>
  </si>
  <si>
    <t>陕西</t>
  </si>
  <si>
    <t>山东</t>
  </si>
  <si>
    <t>东营</t>
  </si>
  <si>
    <t>甘肃</t>
  </si>
  <si>
    <t>淄博</t>
  </si>
  <si>
    <t>青海</t>
  </si>
  <si>
    <t>潍坊</t>
  </si>
  <si>
    <t>宁夏</t>
  </si>
  <si>
    <t>青岛</t>
  </si>
  <si>
    <t>新疆</t>
  </si>
  <si>
    <t>烟台</t>
  </si>
  <si>
    <t>台州</t>
  </si>
  <si>
    <t>丽水</t>
  </si>
  <si>
    <t>宁波</t>
  </si>
  <si>
    <t>衢州</t>
  </si>
  <si>
    <t>杭州</t>
  </si>
  <si>
    <t>深圳</t>
  </si>
  <si>
    <t>珠海</t>
  </si>
  <si>
    <t>汕尾</t>
  </si>
  <si>
    <t>广州</t>
  </si>
  <si>
    <t>海口</t>
  </si>
  <si>
    <t>濮阳</t>
  </si>
  <si>
    <t>新乡</t>
  </si>
  <si>
    <t>信阳</t>
  </si>
  <si>
    <t>宜昌</t>
  </si>
  <si>
    <t>黄石</t>
  </si>
  <si>
    <t>潜江</t>
  </si>
  <si>
    <t>长沙</t>
  </si>
  <si>
    <t>平凉</t>
  </si>
  <si>
    <t>兰州</t>
  </si>
  <si>
    <t>张掖</t>
  </si>
  <si>
    <t>酒泉</t>
  </si>
  <si>
    <t>银川</t>
  </si>
  <si>
    <t>海西蒙古族藏族自治州</t>
  </si>
  <si>
    <t>榆林</t>
  </si>
  <si>
    <t>西安</t>
  </si>
  <si>
    <t>商洛</t>
  </si>
  <si>
    <t>阿克苏地区</t>
  </si>
  <si>
    <t>吐鲁番</t>
  </si>
  <si>
    <t>巴音郭楞蒙古自治州</t>
  </si>
  <si>
    <t>石河子</t>
  </si>
  <si>
    <t>哈密</t>
  </si>
  <si>
    <t>喀什地区</t>
  </si>
  <si>
    <t>甘孜藏族自治州</t>
  </si>
  <si>
    <t>成都</t>
  </si>
  <si>
    <t>攀枝花</t>
  </si>
  <si>
    <t>昆明</t>
  </si>
  <si>
    <t>丽江</t>
  </si>
  <si>
    <t>曲靖</t>
  </si>
  <si>
    <t>鄂尔多斯市</t>
  </si>
  <si>
    <t>阿拉善盟</t>
  </si>
  <si>
    <t>乌海市</t>
  </si>
  <si>
    <t>呼和浩特市</t>
  </si>
  <si>
    <t>包头市</t>
  </si>
  <si>
    <t>乌兰察布市</t>
  </si>
  <si>
    <t>巴彦淖尔市</t>
  </si>
  <si>
    <t>赤峰市</t>
  </si>
  <si>
    <t>通辽市</t>
  </si>
  <si>
    <t>呼伦贝尔市</t>
  </si>
  <si>
    <t>广东省</t>
  </si>
  <si>
    <t>湛江市</t>
  </si>
  <si>
    <t>汕尾市</t>
  </si>
  <si>
    <t>茂名市</t>
  </si>
  <si>
    <t>阳江市</t>
  </si>
  <si>
    <t>江门市</t>
  </si>
  <si>
    <t>珠海市</t>
  </si>
  <si>
    <t>中山市</t>
  </si>
  <si>
    <t>广州市</t>
  </si>
  <si>
    <t>惠州市</t>
  </si>
  <si>
    <t>云浮市</t>
  </si>
  <si>
    <t>东莞市</t>
  </si>
  <si>
    <t>深圳市</t>
  </si>
  <si>
    <t>揭阳市</t>
  </si>
  <si>
    <t>肇庆市</t>
  </si>
  <si>
    <t>佛山市</t>
  </si>
  <si>
    <t>汕头市</t>
  </si>
  <si>
    <t>河源市</t>
  </si>
  <si>
    <t>清远市</t>
  </si>
  <si>
    <t>梅州市</t>
  </si>
  <si>
    <t>潮州市</t>
  </si>
  <si>
    <t>韶关市</t>
  </si>
  <si>
    <t>广西壮族自治区</t>
  </si>
  <si>
    <t>云南省</t>
  </si>
  <si>
    <t>福建省</t>
  </si>
  <si>
    <t>江西省</t>
  </si>
  <si>
    <t>湖南省</t>
  </si>
  <si>
    <t>贵州省</t>
  </si>
  <si>
    <t>四川省</t>
  </si>
  <si>
    <t>浙江省</t>
  </si>
  <si>
    <t>重庆市</t>
  </si>
  <si>
    <t>西藏自治区</t>
  </si>
  <si>
    <t>湖北省</t>
  </si>
  <si>
    <t>安徽省</t>
  </si>
  <si>
    <t>上海市</t>
  </si>
  <si>
    <t>江苏省</t>
  </si>
  <si>
    <t>河南省</t>
  </si>
  <si>
    <t>陕西省</t>
  </si>
  <si>
    <t>青海省</t>
  </si>
  <si>
    <t>甘肃省</t>
  </si>
  <si>
    <t>山东省</t>
  </si>
  <si>
    <t>山西省</t>
  </si>
  <si>
    <t>宁夏回族自治区</t>
  </si>
  <si>
    <t>河北省</t>
  </si>
  <si>
    <t>南网</t>
  </si>
  <si>
    <t>冀北</t>
  </si>
  <si>
    <t>天津市</t>
  </si>
  <si>
    <t>辽宁省</t>
  </si>
  <si>
    <t>新疆维吾尔自治区</t>
  </si>
  <si>
    <t>北京市</t>
  </si>
  <si>
    <t>吉林省</t>
  </si>
  <si>
    <t>黑龙江省</t>
  </si>
  <si>
    <t>代购单元电价</t>
  </si>
  <si>
    <t>输配电费</t>
  </si>
  <si>
    <t>政府性基金及附加</t>
  </si>
  <si>
    <t>月最大需量电费</t>
  </si>
  <si>
    <t>上网电价</t>
  </si>
  <si>
    <t>平均负荷率</t>
  </si>
  <si>
    <t>现货交易电价</t>
  </si>
  <si>
    <r>
      <rPr>
        <b/>
        <sz val="11"/>
        <color theme="1"/>
        <rFont val="宋体"/>
        <family val="3"/>
        <charset val="134"/>
      </rPr>
      <t>地区</t>
    </r>
  </si>
  <si>
    <r>
      <rPr>
        <b/>
        <sz val="11"/>
        <color theme="1"/>
        <rFont val="宋体"/>
        <family val="3"/>
        <charset val="134"/>
      </rPr>
      <t>日前均价（元</t>
    </r>
    <r>
      <rPr>
        <b/>
        <sz val="11"/>
        <color theme="1"/>
        <rFont val="Arial"/>
        <family val="2"/>
      </rPr>
      <t xml:space="preserve"> /kWh</t>
    </r>
    <r>
      <rPr>
        <b/>
        <sz val="11"/>
        <color theme="1"/>
        <rFont val="宋体"/>
        <family val="3"/>
        <charset val="134"/>
      </rPr>
      <t>）</t>
    </r>
  </si>
  <si>
    <r>
      <rPr>
        <b/>
        <sz val="11"/>
        <color theme="1"/>
        <rFont val="宋体"/>
        <family val="3"/>
        <charset val="134"/>
      </rPr>
      <t>北京</t>
    </r>
  </si>
  <si>
    <r>
      <rPr>
        <b/>
        <sz val="11"/>
        <color theme="1"/>
        <rFont val="宋体"/>
        <family val="3"/>
        <charset val="134"/>
      </rPr>
      <t>天津</t>
    </r>
  </si>
  <si>
    <t>河北
（南网）</t>
  </si>
  <si>
    <r>
      <rPr>
        <b/>
        <sz val="11"/>
        <color theme="1"/>
        <rFont val="宋体"/>
        <family val="3"/>
        <charset val="134"/>
      </rPr>
      <t>河北（南网）</t>
    </r>
  </si>
  <si>
    <t>河北
（北网）</t>
  </si>
  <si>
    <r>
      <rPr>
        <b/>
        <sz val="11"/>
        <color theme="1"/>
        <rFont val="宋体"/>
        <family val="3"/>
        <charset val="134"/>
      </rPr>
      <t>河北（北网</t>
    </r>
    <r>
      <rPr>
        <b/>
        <sz val="11"/>
        <color theme="1"/>
        <rFont val="Arial"/>
        <family val="2"/>
      </rPr>
      <t xml:space="preserve"> / </t>
    </r>
    <r>
      <rPr>
        <b/>
        <sz val="11"/>
        <color theme="1"/>
        <rFont val="宋体"/>
        <family val="3"/>
        <charset val="134"/>
      </rPr>
      <t>冀北）</t>
    </r>
  </si>
  <si>
    <r>
      <rPr>
        <b/>
        <sz val="11"/>
        <color theme="1"/>
        <rFont val="宋体"/>
        <family val="3"/>
        <charset val="134"/>
      </rPr>
      <t>山西</t>
    </r>
  </si>
  <si>
    <r>
      <rPr>
        <b/>
        <sz val="11"/>
        <color theme="1"/>
        <rFont val="宋体"/>
        <family val="3"/>
        <charset val="134"/>
      </rPr>
      <t>内蒙古（蒙西）</t>
    </r>
  </si>
  <si>
    <r>
      <rPr>
        <b/>
        <sz val="11"/>
        <color theme="1"/>
        <rFont val="宋体"/>
        <family val="3"/>
        <charset val="134"/>
      </rPr>
      <t>内蒙古（蒙东）</t>
    </r>
  </si>
  <si>
    <t>蒙东</t>
  </si>
  <si>
    <r>
      <rPr>
        <b/>
        <sz val="11"/>
        <color theme="1"/>
        <rFont val="宋体"/>
        <family val="3"/>
        <charset val="134"/>
      </rPr>
      <t>上海</t>
    </r>
  </si>
  <si>
    <r>
      <rPr>
        <b/>
        <sz val="11"/>
        <color theme="1"/>
        <rFont val="宋体"/>
        <family val="3"/>
        <charset val="134"/>
      </rPr>
      <t>江苏</t>
    </r>
  </si>
  <si>
    <r>
      <rPr>
        <b/>
        <sz val="11"/>
        <color theme="1"/>
        <rFont val="宋体"/>
        <family val="3"/>
        <charset val="134"/>
      </rPr>
      <t>浙江</t>
    </r>
  </si>
  <si>
    <r>
      <rPr>
        <b/>
        <sz val="11"/>
        <color theme="1"/>
        <rFont val="宋体"/>
        <family val="3"/>
        <charset val="134"/>
      </rPr>
      <t>安徽</t>
    </r>
  </si>
  <si>
    <r>
      <rPr>
        <b/>
        <sz val="11"/>
        <color theme="1"/>
        <rFont val="宋体"/>
        <family val="3"/>
        <charset val="134"/>
      </rPr>
      <t>福建</t>
    </r>
  </si>
  <si>
    <r>
      <rPr>
        <b/>
        <sz val="11"/>
        <color theme="1"/>
        <rFont val="宋体"/>
        <family val="3"/>
        <charset val="134"/>
      </rPr>
      <t>江西</t>
    </r>
  </si>
  <si>
    <r>
      <rPr>
        <b/>
        <sz val="11"/>
        <color theme="1"/>
        <rFont val="宋体"/>
        <family val="3"/>
        <charset val="134"/>
      </rPr>
      <t>山东</t>
    </r>
  </si>
  <si>
    <r>
      <rPr>
        <b/>
        <sz val="11"/>
        <color theme="1"/>
        <rFont val="宋体"/>
        <family val="3"/>
        <charset val="134"/>
      </rPr>
      <t>河南</t>
    </r>
  </si>
  <si>
    <r>
      <rPr>
        <b/>
        <sz val="11"/>
        <color theme="1"/>
        <rFont val="宋体"/>
        <family val="3"/>
        <charset val="134"/>
      </rPr>
      <t>湖北</t>
    </r>
  </si>
  <si>
    <r>
      <rPr>
        <b/>
        <sz val="11"/>
        <color theme="1"/>
        <rFont val="宋体"/>
        <family val="3"/>
        <charset val="134"/>
      </rPr>
      <t>湖南</t>
    </r>
  </si>
  <si>
    <r>
      <rPr>
        <b/>
        <sz val="11"/>
        <color theme="1"/>
        <rFont val="宋体"/>
        <family val="3"/>
        <charset val="134"/>
      </rPr>
      <t>广东</t>
    </r>
  </si>
  <si>
    <r>
      <rPr>
        <b/>
        <sz val="11"/>
        <color theme="1"/>
        <rFont val="宋体"/>
        <family val="3"/>
        <charset val="134"/>
      </rPr>
      <t>广西</t>
    </r>
  </si>
  <si>
    <r>
      <rPr>
        <b/>
        <sz val="11"/>
        <color theme="1"/>
        <rFont val="宋体"/>
        <family val="3"/>
        <charset val="134"/>
      </rPr>
      <t>海南</t>
    </r>
  </si>
  <si>
    <r>
      <rPr>
        <b/>
        <sz val="11"/>
        <color theme="1"/>
        <rFont val="宋体"/>
        <family val="3"/>
        <charset val="134"/>
      </rPr>
      <t>重庆</t>
    </r>
  </si>
  <si>
    <r>
      <rPr>
        <b/>
        <sz val="11"/>
        <color theme="1"/>
        <rFont val="宋体"/>
        <family val="3"/>
        <charset val="134"/>
      </rPr>
      <t>四川</t>
    </r>
  </si>
  <si>
    <r>
      <rPr>
        <b/>
        <sz val="11"/>
        <color theme="1"/>
        <rFont val="宋体"/>
        <family val="3"/>
        <charset val="134"/>
      </rPr>
      <t>贵州</t>
    </r>
  </si>
  <si>
    <r>
      <rPr>
        <b/>
        <sz val="11"/>
        <color theme="1"/>
        <rFont val="宋体"/>
        <family val="3"/>
        <charset val="134"/>
      </rPr>
      <t>云南</t>
    </r>
  </si>
  <si>
    <r>
      <rPr>
        <b/>
        <sz val="11"/>
        <color theme="1"/>
        <rFont val="宋体"/>
        <family val="3"/>
        <charset val="134"/>
      </rPr>
      <t>西藏</t>
    </r>
  </si>
  <si>
    <r>
      <rPr>
        <b/>
        <sz val="11"/>
        <color theme="1"/>
        <rFont val="宋体"/>
        <family val="3"/>
        <charset val="134"/>
      </rPr>
      <t>陕西</t>
    </r>
  </si>
  <si>
    <r>
      <rPr>
        <b/>
        <sz val="11"/>
        <color theme="1"/>
        <rFont val="宋体"/>
        <family val="3"/>
        <charset val="134"/>
      </rPr>
      <t>甘肃</t>
    </r>
  </si>
  <si>
    <r>
      <rPr>
        <b/>
        <sz val="11"/>
        <color theme="1"/>
        <rFont val="宋体"/>
        <family val="3"/>
        <charset val="134"/>
      </rPr>
      <t>青海</t>
    </r>
  </si>
  <si>
    <r>
      <rPr>
        <b/>
        <sz val="11"/>
        <color theme="1"/>
        <rFont val="宋体"/>
        <family val="3"/>
        <charset val="134"/>
      </rPr>
      <t>宁夏</t>
    </r>
  </si>
  <si>
    <r>
      <rPr>
        <b/>
        <sz val="11"/>
        <color theme="1"/>
        <rFont val="宋体"/>
        <family val="3"/>
        <charset val="134"/>
      </rPr>
      <t>新疆</t>
    </r>
  </si>
  <si>
    <r>
      <rPr>
        <b/>
        <sz val="11"/>
        <color theme="1"/>
        <rFont val="宋体"/>
        <family val="3"/>
        <charset val="134"/>
      </rPr>
      <t>辽宁</t>
    </r>
  </si>
  <si>
    <r>
      <rPr>
        <b/>
        <sz val="11"/>
        <color theme="1"/>
        <rFont val="宋体"/>
        <family val="3"/>
        <charset val="134"/>
      </rPr>
      <t>吉林</t>
    </r>
  </si>
  <si>
    <r>
      <rPr>
        <b/>
        <sz val="11"/>
        <color theme="1"/>
        <rFont val="宋体"/>
        <family val="3"/>
        <charset val="134"/>
      </rPr>
      <t>黑龙江</t>
    </r>
  </si>
  <si>
    <t>不含榆林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</si>
</sst>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_ "/>
    <numFmt numFmtId="179" formatCode="0.00_ "/>
  </numFmts>
  <fonts count="57" x14ac:knownFonts="1">
    <font>
      <sz val="11"/>
      <color theme="1"/>
      <name val="宋体"/>
      <charset val="134"/>
      <scheme val="minor"/>
    </font>
    <font>
      <b/>
      <sz val="14"/>
      <color theme="1"/>
      <name val="黑体"/>
      <family val="3"/>
      <charset val="134"/>
    </font>
    <font>
      <b/>
      <sz val="11"/>
      <color theme="1"/>
      <name val="Arial"/>
      <family val="2"/>
    </font>
    <font>
      <b/>
      <sz val="14"/>
      <color rgb="FF31333F"/>
      <name val="黑体"/>
      <family val="3"/>
      <charset val="134"/>
    </font>
    <font>
      <b/>
      <sz val="11"/>
      <color theme="1"/>
      <name val="黑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黑体"/>
      <family val="3"/>
      <charset val="134"/>
    </font>
    <font>
      <sz val="12"/>
      <color rgb="FF31333F"/>
      <name val="宋体"/>
      <family val="3"/>
      <charset val="134"/>
    </font>
    <font>
      <sz val="12"/>
      <color rgb="FF31333F"/>
      <name val="Arial"/>
      <family val="2"/>
    </font>
    <font>
      <sz val="12"/>
      <color theme="1"/>
      <name val="宋体"/>
      <family val="3"/>
      <charset val="134"/>
      <scheme val="minor"/>
    </font>
    <font>
      <b/>
      <sz val="12"/>
      <color rgb="FF31333F"/>
      <name val="黑体"/>
      <family val="3"/>
      <charset val="134"/>
    </font>
    <font>
      <sz val="12"/>
      <color rgb="FF000000"/>
      <name val="Arial"/>
      <family val="2"/>
    </font>
    <font>
      <b/>
      <sz val="12"/>
      <color rgb="FF000000"/>
      <name val="宋体"/>
      <family val="3"/>
      <charset val="134"/>
      <scheme val="minor"/>
    </font>
    <font>
      <b/>
      <sz val="12"/>
      <color rgb="FF31333F"/>
      <name val="Arial"/>
      <family val="2"/>
    </font>
    <font>
      <b/>
      <sz val="12"/>
      <color rgb="FFFFFFFF"/>
      <name val="Microsoft YaHei UI"/>
      <family val="2"/>
      <charset val="134"/>
    </font>
    <font>
      <b/>
      <sz val="36"/>
      <color theme="1"/>
      <name val="微软雅黑"/>
      <family val="2"/>
      <charset val="134"/>
    </font>
    <font>
      <sz val="36"/>
      <color theme="1"/>
      <name val="微软雅黑"/>
      <family val="2"/>
      <charset val="134"/>
    </font>
    <font>
      <sz val="48"/>
      <color theme="1"/>
      <name val="宋体"/>
      <family val="3"/>
      <charset val="134"/>
      <scheme val="minor"/>
    </font>
    <font>
      <sz val="48"/>
      <color theme="1"/>
      <name val="Times New Roman"/>
      <family val="1"/>
    </font>
    <font>
      <b/>
      <sz val="48"/>
      <color theme="1"/>
      <name val="Arial"/>
      <family val="2"/>
    </font>
    <font>
      <sz val="18"/>
      <color theme="1"/>
      <name val="宋体"/>
      <family val="3"/>
      <charset val="134"/>
      <scheme val="minor"/>
    </font>
    <font>
      <b/>
      <sz val="48"/>
      <color theme="1"/>
      <name val="微软雅黑"/>
      <family val="2"/>
      <charset val="134"/>
    </font>
    <font>
      <b/>
      <sz val="48"/>
      <color rgb="FFFF0000"/>
      <name val="微软雅黑"/>
      <family val="2"/>
      <charset val="134"/>
    </font>
    <font>
      <b/>
      <sz val="48"/>
      <color theme="1"/>
      <name val="Times New Roman"/>
      <family val="1"/>
    </font>
    <font>
      <sz val="48"/>
      <name val="微软雅黑"/>
      <family val="2"/>
      <charset val="134"/>
    </font>
    <font>
      <sz val="48"/>
      <name val="Times New Roman"/>
      <family val="1"/>
    </font>
    <font>
      <sz val="48"/>
      <color theme="1"/>
      <name val="微软雅黑"/>
      <family val="2"/>
      <charset val="134"/>
    </font>
    <font>
      <sz val="48"/>
      <color rgb="FFFF0000"/>
      <name val="微软雅黑"/>
      <family val="2"/>
      <charset val="134"/>
    </font>
    <font>
      <b/>
      <sz val="48"/>
      <color theme="2" tint="-0.249977111117893"/>
      <name val="微软雅黑"/>
      <family val="2"/>
      <charset val="134"/>
    </font>
    <font>
      <sz val="48"/>
      <color theme="2" tint="-0.249977111117893"/>
      <name val="Times New Roman"/>
      <family val="1"/>
    </font>
    <font>
      <b/>
      <sz val="48"/>
      <color rgb="FF31333F"/>
      <name val="Times New Roman"/>
      <family val="1"/>
    </font>
    <font>
      <b/>
      <sz val="36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</font>
    <font>
      <b/>
      <sz val="48"/>
      <color theme="2" tint="-0.249977111117893"/>
      <name val="Times New Roman"/>
      <family val="1"/>
    </font>
    <font>
      <b/>
      <sz val="36"/>
      <color theme="1"/>
      <name val="Times New Roman"/>
      <family val="1"/>
    </font>
    <font>
      <b/>
      <sz val="9"/>
      <name val="宋体"/>
      <family val="3"/>
      <charset val="134"/>
    </font>
    <font>
      <b/>
      <sz val="36"/>
      <name val="宋体"/>
      <family val="3"/>
      <charset val="134"/>
    </font>
    <font>
      <b/>
      <sz val="60"/>
      <name val="宋体"/>
      <family val="3"/>
      <charset val="134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sz val="16"/>
      <name val="宋体"/>
      <family val="3"/>
      <charset val="134"/>
    </font>
    <font>
      <sz val="54"/>
      <name val="宋体"/>
      <family val="3"/>
      <charset val="134"/>
    </font>
    <font>
      <b/>
      <sz val="32"/>
      <name val="宋体"/>
      <family val="3"/>
      <charset val="134"/>
    </font>
    <font>
      <sz val="36"/>
      <name val="宋体"/>
      <family val="3"/>
      <charset val="134"/>
    </font>
    <font>
      <sz val="32"/>
      <name val="宋体"/>
      <family val="3"/>
      <charset val="134"/>
    </font>
    <font>
      <sz val="44"/>
      <name val="宋体"/>
      <family val="3"/>
      <charset val="134"/>
    </font>
    <font>
      <b/>
      <sz val="44"/>
      <name val="宋体"/>
      <family val="3"/>
      <charset val="134"/>
    </font>
    <font>
      <b/>
      <sz val="40"/>
      <name val="宋体"/>
      <family val="3"/>
      <charset val="134"/>
    </font>
    <font>
      <sz val="40"/>
      <name val="宋体"/>
      <family val="3"/>
      <charset val="134"/>
    </font>
    <font>
      <sz val="60"/>
      <name val="宋体"/>
      <family val="3"/>
      <charset val="134"/>
    </font>
    <font>
      <b/>
      <sz val="48"/>
      <name val="宋体"/>
      <family val="3"/>
      <charset val="134"/>
    </font>
    <font>
      <sz val="4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55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179" fontId="24" fillId="4" borderId="2" xfId="0" applyNumberFormat="1" applyFont="1" applyFill="1" applyBorder="1" applyAlignment="1">
      <alignment horizontal="center" vertical="center" wrapText="1"/>
    </xf>
    <xf numFmtId="179" fontId="24" fillId="0" borderId="2" xfId="0" applyNumberFormat="1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179" fontId="21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10" fontId="24" fillId="0" borderId="2" xfId="0" applyNumberFormat="1" applyFont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178" fontId="24" fillId="7" borderId="2" xfId="0" applyNumberFormat="1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8" fillId="7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179" fontId="18" fillId="4" borderId="2" xfId="0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179" fontId="18" fillId="5" borderId="2" xfId="0" applyNumberFormat="1" applyFont="1" applyFill="1" applyBorder="1" applyAlignment="1">
      <alignment horizontal="center" vertical="center" wrapText="1"/>
    </xf>
    <xf numFmtId="9" fontId="19" fillId="2" borderId="0" xfId="0" applyNumberFormat="1" applyFont="1" applyFill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79" fontId="26" fillId="4" borderId="2" xfId="0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179" fontId="21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1" fillId="0" borderId="0" xfId="0" applyFont="1" applyFill="1" applyAlignment="1">
      <alignment horizontal="left" vertical="center" indent="1"/>
    </xf>
    <xf numFmtId="0" fontId="2" fillId="0" borderId="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179" fontId="18" fillId="0" borderId="0" xfId="0" applyNumberFormat="1" applyFont="1" applyFill="1" applyBorder="1" applyAlignment="1">
      <alignment horizontal="center" vertical="center" wrapText="1"/>
    </xf>
    <xf numFmtId="9" fontId="34" fillId="0" borderId="0" xfId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10" fontId="34" fillId="0" borderId="0" xfId="1" applyNumberFormat="1" applyFont="1" applyFill="1" applyBorder="1" applyAlignment="1">
      <alignment horizontal="center" vertical="center" wrapText="1"/>
    </xf>
    <xf numFmtId="179" fontId="34" fillId="0" borderId="0" xfId="1" applyNumberFormat="1" applyFont="1" applyFill="1" applyBorder="1" applyAlignment="1">
      <alignment horizontal="center" vertical="center" wrapText="1"/>
    </xf>
    <xf numFmtId="9" fontId="19" fillId="0" borderId="0" xfId="0" applyNumberFormat="1" applyFont="1" applyFill="1" applyBorder="1" applyAlignment="1">
      <alignment horizontal="center" vertical="center"/>
    </xf>
    <xf numFmtId="179" fontId="21" fillId="0" borderId="4" xfId="0" applyNumberFormat="1" applyFont="1" applyBorder="1" applyAlignment="1">
      <alignment horizontal="center" vertical="center"/>
    </xf>
    <xf numFmtId="179" fontId="21" fillId="0" borderId="5" xfId="0" applyNumberFormat="1" applyFont="1" applyBorder="1" applyAlignment="1">
      <alignment horizontal="center" vertical="center"/>
    </xf>
    <xf numFmtId="179" fontId="21" fillId="0" borderId="6" xfId="0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F354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233"/>
  <sheetViews>
    <sheetView tabSelected="1" zoomScale="25" zoomScaleNormal="25" workbookViewId="0">
      <pane xSplit="5" ySplit="1" topLeftCell="F2" activePane="bottomRight" state="frozen"/>
      <selection pane="topRight"/>
      <selection pane="bottomLeft"/>
      <selection pane="bottomRight" activeCell="D73" sqref="D73"/>
    </sheetView>
  </sheetViews>
  <sheetFormatPr defaultColWidth="9" defaultRowHeight="75" customHeight="1" x14ac:dyDescent="0.3"/>
  <cols>
    <col min="1" max="1" width="55.59765625" style="29" customWidth="1"/>
    <col min="2" max="2" width="55.59765625" style="30" customWidth="1"/>
    <col min="3" max="3" width="55.59765625" style="29" customWidth="1"/>
    <col min="4" max="4" width="62.3984375" style="31" customWidth="1"/>
    <col min="5" max="5" width="75.3984375" style="29" customWidth="1"/>
    <col min="6" max="6" width="53.6640625" style="29" customWidth="1"/>
    <col min="7" max="7" width="51.796875" style="29" customWidth="1"/>
    <col min="8" max="8" width="55.59765625" style="29" customWidth="1"/>
    <col min="9" max="9" width="55.59765625" style="32" customWidth="1"/>
    <col min="10" max="10" width="55.59765625" style="33" customWidth="1"/>
    <col min="11" max="13" width="55.59765625" style="34" customWidth="1"/>
    <col min="14" max="14" width="55.59765625" style="35" customWidth="1"/>
    <col min="15" max="15" width="55.59765625" style="36" customWidth="1"/>
    <col min="16" max="16" width="55.59765625" style="35" customWidth="1"/>
    <col min="17" max="17" width="55.59765625" style="36" customWidth="1"/>
    <col min="18" max="21" width="55.59765625" style="29" customWidth="1"/>
    <col min="22" max="23" width="63.73046875" style="37" customWidth="1"/>
    <col min="24" max="25" width="9" style="2"/>
    <col min="26" max="28" width="57.53125" style="38" customWidth="1"/>
    <col min="29" max="31" width="57.53125" style="2" customWidth="1"/>
    <col min="32" max="32" width="15.73046875" style="2" customWidth="1"/>
    <col min="33" max="16384" width="9" style="2"/>
  </cols>
  <sheetData>
    <row r="1" spans="1:46" s="27" customFormat="1" ht="147" customHeight="1" x14ac:dyDescent="0.3">
      <c r="A1" s="39" t="s">
        <v>0</v>
      </c>
      <c r="B1" s="41" t="s">
        <v>1</v>
      </c>
      <c r="C1" s="39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3" t="s">
        <v>7</v>
      </c>
      <c r="I1" s="53" t="s">
        <v>8</v>
      </c>
      <c r="J1" s="39" t="s">
        <v>9</v>
      </c>
      <c r="K1" s="54" t="s">
        <v>10</v>
      </c>
      <c r="L1" s="54" t="s">
        <v>11</v>
      </c>
      <c r="M1" s="55" t="s">
        <v>12</v>
      </c>
      <c r="N1" s="40" t="s">
        <v>13</v>
      </c>
      <c r="O1" s="56" t="s">
        <v>14</v>
      </c>
      <c r="P1" s="40" t="s">
        <v>15</v>
      </c>
      <c r="Q1" s="56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1" t="s">
        <v>0</v>
      </c>
      <c r="W1" s="62" t="s">
        <v>21</v>
      </c>
      <c r="Z1" s="87"/>
      <c r="AA1" s="87"/>
      <c r="AB1" s="88"/>
      <c r="AC1" s="89"/>
      <c r="AD1" s="89"/>
      <c r="AE1" s="89"/>
      <c r="AF1" s="87"/>
      <c r="AG1" s="87"/>
      <c r="AH1" s="87"/>
      <c r="AI1" s="87"/>
      <c r="AP1" s="67" t="s">
        <v>22</v>
      </c>
      <c r="AQ1" s="68" t="s">
        <v>23</v>
      </c>
      <c r="AR1" s="71" t="s">
        <v>26</v>
      </c>
      <c r="AS1" s="69" t="s">
        <v>24</v>
      </c>
      <c r="AT1" s="27" t="s">
        <v>25</v>
      </c>
    </row>
    <row r="2" spans="1:46" s="28" customFormat="1" ht="75" customHeight="1" x14ac:dyDescent="0.3">
      <c r="A2" s="73" t="s">
        <v>27</v>
      </c>
      <c r="B2" s="75">
        <v>20</v>
      </c>
      <c r="C2" s="76" t="s">
        <v>28</v>
      </c>
      <c r="D2" s="78">
        <f ca="1">RANDBETWEEN(15,30)</f>
        <v>15</v>
      </c>
      <c r="E2" s="46" t="s">
        <v>29</v>
      </c>
      <c r="F2" s="47">
        <f ca="1">RANDBETWEEN(2000,3000)</f>
        <v>2549</v>
      </c>
      <c r="G2" s="47">
        <f ca="1">RANDBETWEEN(2000,3000)</f>
        <v>2691</v>
      </c>
      <c r="H2" s="47">
        <f ca="1">RANDBETWEEN(2000,3000)</f>
        <v>2550</v>
      </c>
      <c r="I2" s="47">
        <f ca="1">RAND()</f>
        <v>0.15402460329150169</v>
      </c>
      <c r="J2" s="47">
        <f ca="1">RANDBETWEEN(10,30)</f>
        <v>17</v>
      </c>
      <c r="K2" s="57">
        <v>0.2</v>
      </c>
      <c r="L2" s="57">
        <v>0.2</v>
      </c>
      <c r="M2" s="57">
        <v>0.2</v>
      </c>
      <c r="N2" s="58">
        <f ca="1">RANDBETWEEN(2000,3000)</f>
        <v>2165</v>
      </c>
      <c r="O2" s="59">
        <f ca="1">RANDBETWEEN(2000,3000)</f>
        <v>2159</v>
      </c>
      <c r="P2" s="58">
        <f ca="1">RANDBETWEEN(100,200)</f>
        <v>187</v>
      </c>
      <c r="Q2" s="59">
        <f ca="1">RANDBETWEEN(100,200)</f>
        <v>158</v>
      </c>
      <c r="R2" s="63">
        <v>100000</v>
      </c>
      <c r="S2" s="63">
        <v>100000</v>
      </c>
      <c r="T2" s="63">
        <v>0.5</v>
      </c>
      <c r="U2" s="63">
        <v>0.5</v>
      </c>
      <c r="V2" s="61" t="s">
        <v>30</v>
      </c>
      <c r="W2" s="64">
        <v>0.3</v>
      </c>
      <c r="Z2" s="90"/>
      <c r="AA2" s="87"/>
      <c r="AB2" s="88"/>
      <c r="AC2" s="91"/>
      <c r="AD2" s="92"/>
      <c r="AE2" s="91"/>
      <c r="AF2" s="90"/>
      <c r="AG2" s="90"/>
      <c r="AH2" s="90"/>
      <c r="AI2" s="90"/>
      <c r="AP2" s="70" t="s">
        <v>27</v>
      </c>
      <c r="AQ2" s="68">
        <v>19.420000000000002</v>
      </c>
      <c r="AR2" s="71">
        <f>R2</f>
        <v>100000</v>
      </c>
      <c r="AS2" s="71">
        <f>S2</f>
        <v>100000</v>
      </c>
      <c r="AT2" s="28">
        <v>18.189025200483801</v>
      </c>
    </row>
    <row r="3" spans="1:46" s="28" customFormat="1" ht="75" customHeight="1" x14ac:dyDescent="0.3">
      <c r="A3" s="74"/>
      <c r="B3" s="75"/>
      <c r="C3" s="77"/>
      <c r="D3" s="78"/>
      <c r="E3" s="48" t="s">
        <v>31</v>
      </c>
      <c r="F3" s="47">
        <f t="shared" ref="F3:H66" ca="1" si="0">RANDBETWEEN(2000,3000)</f>
        <v>2275</v>
      </c>
      <c r="G3" s="47">
        <f t="shared" ca="1" si="0"/>
        <v>2624</v>
      </c>
      <c r="H3" s="47">
        <f t="shared" ca="1" si="0"/>
        <v>2806</v>
      </c>
      <c r="I3" s="47">
        <f t="shared" ref="I3:I66" ca="1" si="1">RAND()</f>
        <v>0.80364732621216195</v>
      </c>
      <c r="J3" s="47">
        <f t="shared" ref="J3:J66" ca="1" si="2">RANDBETWEEN(10,30)</f>
        <v>14</v>
      </c>
      <c r="K3" s="57">
        <v>0.2</v>
      </c>
      <c r="L3" s="57">
        <v>0.2</v>
      </c>
      <c r="M3" s="57">
        <v>0.2</v>
      </c>
      <c r="N3" s="58">
        <f t="shared" ref="N3:O66" ca="1" si="3">RANDBETWEEN(2000,3000)</f>
        <v>2455</v>
      </c>
      <c r="O3" s="59">
        <f t="shared" ca="1" si="3"/>
        <v>2369</v>
      </c>
      <c r="P3" s="58">
        <f t="shared" ref="P3:Q66" ca="1" si="4">RANDBETWEEN(100,200)</f>
        <v>109</v>
      </c>
      <c r="Q3" s="59">
        <f t="shared" ca="1" si="4"/>
        <v>179</v>
      </c>
      <c r="R3" s="63">
        <v>100000</v>
      </c>
      <c r="S3" s="63">
        <v>100000</v>
      </c>
      <c r="T3" s="63">
        <v>0.5</v>
      </c>
      <c r="U3" s="63">
        <v>0.5</v>
      </c>
      <c r="V3" s="61" t="s">
        <v>32</v>
      </c>
      <c r="W3" s="64">
        <v>0.3</v>
      </c>
      <c r="Z3" s="90"/>
      <c r="AA3" s="87"/>
      <c r="AB3" s="88"/>
      <c r="AC3" s="91"/>
      <c r="AD3" s="92"/>
      <c r="AE3" s="91"/>
      <c r="AF3" s="90"/>
      <c r="AG3" s="90"/>
      <c r="AH3" s="90"/>
      <c r="AI3" s="90"/>
      <c r="AP3" s="70" t="s">
        <v>33</v>
      </c>
      <c r="AQ3" s="68">
        <v>18.53</v>
      </c>
      <c r="AR3" s="71">
        <f>R17</f>
        <v>100000</v>
      </c>
      <c r="AS3" s="71">
        <f>S17</f>
        <v>100000</v>
      </c>
      <c r="AT3" s="28">
        <v>18.1835804856482</v>
      </c>
    </row>
    <row r="4" spans="1:46" s="28" customFormat="1" ht="75" customHeight="1" x14ac:dyDescent="0.3">
      <c r="A4" s="74"/>
      <c r="B4" s="75"/>
      <c r="C4" s="77"/>
      <c r="D4" s="78"/>
      <c r="E4" s="48" t="s">
        <v>34</v>
      </c>
      <c r="F4" s="47">
        <f t="shared" ca="1" si="0"/>
        <v>2443</v>
      </c>
      <c r="G4" s="47">
        <f t="shared" ca="1" si="0"/>
        <v>2516</v>
      </c>
      <c r="H4" s="47">
        <f t="shared" ca="1" si="0"/>
        <v>2091</v>
      </c>
      <c r="I4" s="47">
        <f t="shared" ca="1" si="1"/>
        <v>0.856907525340456</v>
      </c>
      <c r="J4" s="47">
        <f t="shared" ca="1" si="2"/>
        <v>11</v>
      </c>
      <c r="K4" s="57">
        <v>0.2</v>
      </c>
      <c r="L4" s="57">
        <v>0.2</v>
      </c>
      <c r="M4" s="57">
        <v>0.2</v>
      </c>
      <c r="N4" s="58">
        <f t="shared" ca="1" si="3"/>
        <v>2073</v>
      </c>
      <c r="O4" s="59">
        <f t="shared" ca="1" si="3"/>
        <v>2679</v>
      </c>
      <c r="P4" s="58">
        <f t="shared" ca="1" si="4"/>
        <v>190</v>
      </c>
      <c r="Q4" s="59">
        <f t="shared" ca="1" si="4"/>
        <v>180</v>
      </c>
      <c r="R4" s="63">
        <v>100000</v>
      </c>
      <c r="S4" s="63">
        <v>100000</v>
      </c>
      <c r="T4" s="63">
        <v>0.5</v>
      </c>
      <c r="U4" s="63">
        <v>0.5</v>
      </c>
      <c r="V4" s="61" t="s">
        <v>35</v>
      </c>
      <c r="W4" s="64">
        <v>0.3</v>
      </c>
      <c r="Z4" s="90"/>
      <c r="AA4" s="87"/>
      <c r="AB4" s="88"/>
      <c r="AC4" s="91"/>
      <c r="AD4" s="92"/>
      <c r="AE4" s="91"/>
      <c r="AF4" s="90"/>
      <c r="AG4" s="90"/>
      <c r="AH4" s="90"/>
      <c r="AI4" s="90"/>
      <c r="AP4" s="70" t="s">
        <v>36</v>
      </c>
      <c r="AQ4" s="68">
        <v>20.55</v>
      </c>
      <c r="AR4" s="71">
        <f>R23</f>
        <v>0</v>
      </c>
      <c r="AS4" s="71">
        <f>S23</f>
        <v>0</v>
      </c>
      <c r="AT4" s="28">
        <v>20.721086732581199</v>
      </c>
    </row>
    <row r="5" spans="1:46" s="28" customFormat="1" ht="75" customHeight="1" x14ac:dyDescent="0.3">
      <c r="A5" s="74"/>
      <c r="B5" s="75"/>
      <c r="C5" s="77"/>
      <c r="D5" s="78"/>
      <c r="E5" s="48" t="s">
        <v>37</v>
      </c>
      <c r="F5" s="47">
        <f t="shared" ca="1" si="0"/>
        <v>2835</v>
      </c>
      <c r="G5" s="47">
        <f t="shared" ca="1" si="0"/>
        <v>2979</v>
      </c>
      <c r="H5" s="47">
        <f t="shared" ca="1" si="0"/>
        <v>2755</v>
      </c>
      <c r="I5" s="47">
        <f t="shared" ca="1" si="1"/>
        <v>0.58326452414713137</v>
      </c>
      <c r="J5" s="47">
        <f t="shared" ca="1" si="2"/>
        <v>26</v>
      </c>
      <c r="K5" s="57">
        <v>0.2</v>
      </c>
      <c r="L5" s="57">
        <v>0.2</v>
      </c>
      <c r="M5" s="57">
        <v>0.2</v>
      </c>
      <c r="N5" s="58">
        <f t="shared" ca="1" si="3"/>
        <v>2479</v>
      </c>
      <c r="O5" s="59">
        <f t="shared" ca="1" si="3"/>
        <v>2068</v>
      </c>
      <c r="P5" s="58">
        <f t="shared" ca="1" si="4"/>
        <v>162</v>
      </c>
      <c r="Q5" s="59">
        <f t="shared" ca="1" si="4"/>
        <v>109</v>
      </c>
      <c r="R5" s="63">
        <v>100000</v>
      </c>
      <c r="S5" s="63">
        <v>100000</v>
      </c>
      <c r="T5" s="63">
        <v>0.5</v>
      </c>
      <c r="U5" s="63">
        <v>0.5</v>
      </c>
      <c r="V5" s="61" t="s">
        <v>38</v>
      </c>
      <c r="W5" s="64">
        <v>0.3</v>
      </c>
      <c r="Z5" s="90"/>
      <c r="AA5" s="87"/>
      <c r="AB5" s="88"/>
      <c r="AC5" s="91"/>
      <c r="AD5" s="92"/>
      <c r="AE5" s="91"/>
      <c r="AF5" s="90"/>
      <c r="AG5" s="90"/>
      <c r="AH5" s="90"/>
      <c r="AI5" s="90"/>
      <c r="AP5" s="70" t="s">
        <v>39</v>
      </c>
      <c r="AQ5" s="68">
        <v>22.1</v>
      </c>
      <c r="AR5" s="71">
        <f>R38</f>
        <v>100000</v>
      </c>
      <c r="AS5" s="71">
        <f>S38</f>
        <v>100000</v>
      </c>
      <c r="AT5" s="28">
        <v>22.467563931104401</v>
      </c>
    </row>
    <row r="6" spans="1:46" s="28" customFormat="1" ht="75" customHeight="1" x14ac:dyDescent="0.3">
      <c r="A6" s="74"/>
      <c r="B6" s="75"/>
      <c r="C6" s="77"/>
      <c r="D6" s="78"/>
      <c r="E6" s="50" t="s">
        <v>40</v>
      </c>
      <c r="F6" s="47">
        <f t="shared" ca="1" si="0"/>
        <v>2761</v>
      </c>
      <c r="G6" s="47">
        <f t="shared" ca="1" si="0"/>
        <v>2027</v>
      </c>
      <c r="H6" s="47">
        <f t="shared" ca="1" si="0"/>
        <v>2321</v>
      </c>
      <c r="I6" s="47">
        <f t="shared" ca="1" si="1"/>
        <v>8.0724429379104734E-2</v>
      </c>
      <c r="J6" s="47">
        <f t="shared" ca="1" si="2"/>
        <v>20</v>
      </c>
      <c r="K6" s="57">
        <v>0.2</v>
      </c>
      <c r="L6" s="57">
        <v>0.2</v>
      </c>
      <c r="M6" s="57">
        <v>0.2</v>
      </c>
      <c r="N6" s="58">
        <f t="shared" ca="1" si="3"/>
        <v>2342</v>
      </c>
      <c r="O6" s="59">
        <f t="shared" ca="1" si="3"/>
        <v>2363</v>
      </c>
      <c r="P6" s="58">
        <f t="shared" ca="1" si="4"/>
        <v>141</v>
      </c>
      <c r="Q6" s="59">
        <f t="shared" ca="1" si="4"/>
        <v>133</v>
      </c>
      <c r="R6" s="63">
        <v>100000</v>
      </c>
      <c r="S6" s="63">
        <v>100000</v>
      </c>
      <c r="T6" s="63">
        <v>0.5</v>
      </c>
      <c r="U6" s="63">
        <v>0.5</v>
      </c>
      <c r="V6" s="61" t="s">
        <v>41</v>
      </c>
      <c r="W6" s="64">
        <v>0.3</v>
      </c>
      <c r="Z6" s="90"/>
      <c r="AA6" s="87"/>
      <c r="AB6" s="88"/>
      <c r="AC6" s="91"/>
      <c r="AD6" s="92"/>
      <c r="AE6" s="91"/>
      <c r="AF6" s="90"/>
      <c r="AG6" s="90"/>
      <c r="AH6" s="90"/>
      <c r="AI6" s="90"/>
      <c r="AP6" s="70" t="s">
        <v>42</v>
      </c>
      <c r="AQ6" s="68">
        <v>20.84</v>
      </c>
      <c r="AR6" s="71">
        <f>R44</f>
        <v>100000</v>
      </c>
      <c r="AS6" s="71">
        <f>S44</f>
        <v>100000</v>
      </c>
      <c r="AT6" s="28">
        <v>22.264729364046399</v>
      </c>
    </row>
    <row r="7" spans="1:46" s="28" customFormat="1" ht="75" customHeight="1" x14ac:dyDescent="0.3">
      <c r="A7" s="74"/>
      <c r="B7" s="75"/>
      <c r="C7" s="77"/>
      <c r="D7" s="78"/>
      <c r="E7" s="48" t="s">
        <v>43</v>
      </c>
      <c r="F7" s="47">
        <f t="shared" ca="1" si="0"/>
        <v>2330</v>
      </c>
      <c r="G7" s="47">
        <f t="shared" ca="1" si="0"/>
        <v>2168</v>
      </c>
      <c r="H7" s="47">
        <f t="shared" ca="1" si="0"/>
        <v>2177</v>
      </c>
      <c r="I7" s="47">
        <f t="shared" ca="1" si="1"/>
        <v>0.14736512480367581</v>
      </c>
      <c r="J7" s="47">
        <f t="shared" ca="1" si="2"/>
        <v>19</v>
      </c>
      <c r="K7" s="57">
        <v>0.2</v>
      </c>
      <c r="L7" s="57">
        <v>0.2</v>
      </c>
      <c r="M7" s="57">
        <v>0.2</v>
      </c>
      <c r="N7" s="58">
        <f t="shared" ca="1" si="3"/>
        <v>2077</v>
      </c>
      <c r="O7" s="59">
        <f t="shared" ca="1" si="3"/>
        <v>2731</v>
      </c>
      <c r="P7" s="58">
        <f t="shared" ca="1" si="4"/>
        <v>138</v>
      </c>
      <c r="Q7" s="59">
        <f t="shared" ca="1" si="4"/>
        <v>164</v>
      </c>
      <c r="R7" s="63">
        <v>100000</v>
      </c>
      <c r="S7" s="63">
        <v>100000</v>
      </c>
      <c r="T7" s="63">
        <v>0.5</v>
      </c>
      <c r="U7" s="63">
        <v>0.5</v>
      </c>
      <c r="V7" s="61" t="s">
        <v>44</v>
      </c>
      <c r="W7" s="64">
        <v>0.3</v>
      </c>
      <c r="Z7" s="90"/>
      <c r="AA7" s="87"/>
      <c r="AB7" s="88"/>
      <c r="AC7" s="91"/>
      <c r="AD7" s="92"/>
      <c r="AE7" s="91"/>
      <c r="AF7" s="90"/>
      <c r="AG7" s="90"/>
      <c r="AH7" s="90"/>
      <c r="AI7" s="90"/>
      <c r="AP7" s="70" t="s">
        <v>45</v>
      </c>
      <c r="AQ7" s="68">
        <v>17.43</v>
      </c>
      <c r="AR7" s="71">
        <f>R51</f>
        <v>100000</v>
      </c>
      <c r="AS7" s="71">
        <f>S51</f>
        <v>100000</v>
      </c>
      <c r="AT7" s="28">
        <v>17.4947692454395</v>
      </c>
    </row>
    <row r="8" spans="1:46" s="28" customFormat="1" ht="75" customHeight="1" x14ac:dyDescent="0.3">
      <c r="A8" s="74"/>
      <c r="B8" s="75"/>
      <c r="C8" s="39" t="s">
        <v>30</v>
      </c>
      <c r="D8" s="45">
        <v>20</v>
      </c>
      <c r="E8" s="48" t="s">
        <v>30</v>
      </c>
      <c r="F8" s="47">
        <f t="shared" ca="1" si="0"/>
        <v>2831</v>
      </c>
      <c r="G8" s="47">
        <f t="shared" ca="1" si="0"/>
        <v>2738</v>
      </c>
      <c r="H8" s="47">
        <f t="shared" ca="1" si="0"/>
        <v>2943</v>
      </c>
      <c r="I8" s="47">
        <f t="shared" ca="1" si="1"/>
        <v>0.29835058442767359</v>
      </c>
      <c r="J8" s="47">
        <f t="shared" ca="1" si="2"/>
        <v>19</v>
      </c>
      <c r="K8" s="57">
        <v>0.2</v>
      </c>
      <c r="L8" s="57">
        <v>0.2</v>
      </c>
      <c r="M8" s="57">
        <v>0.2</v>
      </c>
      <c r="N8" s="58">
        <f t="shared" ca="1" si="3"/>
        <v>2463</v>
      </c>
      <c r="O8" s="59">
        <f t="shared" ca="1" si="3"/>
        <v>2302</v>
      </c>
      <c r="P8" s="58">
        <f t="shared" ca="1" si="4"/>
        <v>199</v>
      </c>
      <c r="Q8" s="59">
        <f t="shared" ca="1" si="4"/>
        <v>109</v>
      </c>
      <c r="R8" s="63">
        <v>100000</v>
      </c>
      <c r="S8" s="63">
        <v>100000</v>
      </c>
      <c r="T8" s="63">
        <v>0.5</v>
      </c>
      <c r="U8" s="63">
        <v>0.5</v>
      </c>
      <c r="V8" s="61" t="s">
        <v>46</v>
      </c>
      <c r="W8" s="64">
        <v>0.3</v>
      </c>
      <c r="Z8" s="90"/>
      <c r="AA8" s="87"/>
      <c r="AB8" s="88"/>
      <c r="AC8" s="91"/>
      <c r="AD8" s="92"/>
      <c r="AE8" s="91"/>
      <c r="AF8" s="90"/>
      <c r="AG8" s="90"/>
      <c r="AH8" s="90"/>
      <c r="AI8" s="90"/>
      <c r="AP8" s="70" t="s">
        <v>47</v>
      </c>
      <c r="AQ8" s="68">
        <v>19.670000000000002</v>
      </c>
      <c r="AR8" s="71">
        <f>R66</f>
        <v>100000</v>
      </c>
      <c r="AS8" s="71">
        <f>S66</f>
        <v>100000</v>
      </c>
      <c r="AT8" s="28">
        <v>21.942358454422902</v>
      </c>
    </row>
    <row r="9" spans="1:46" s="28" customFormat="1" ht="75" customHeight="1" x14ac:dyDescent="0.3">
      <c r="A9" s="74"/>
      <c r="B9" s="75"/>
      <c r="C9" s="39" t="s">
        <v>32</v>
      </c>
      <c r="D9" s="45">
        <v>20</v>
      </c>
      <c r="E9" s="48" t="s">
        <v>32</v>
      </c>
      <c r="F9" s="47">
        <f t="shared" ca="1" si="0"/>
        <v>2019</v>
      </c>
      <c r="G9" s="47">
        <f t="shared" ca="1" si="0"/>
        <v>2312</v>
      </c>
      <c r="H9" s="47">
        <f t="shared" ca="1" si="0"/>
        <v>2514</v>
      </c>
      <c r="I9" s="47">
        <f t="shared" ca="1" si="1"/>
        <v>0.20133124366308175</v>
      </c>
      <c r="J9" s="47">
        <f t="shared" ca="1" si="2"/>
        <v>14</v>
      </c>
      <c r="K9" s="57">
        <v>0.2</v>
      </c>
      <c r="L9" s="57">
        <v>0.2</v>
      </c>
      <c r="M9" s="57">
        <v>0.2</v>
      </c>
      <c r="N9" s="58">
        <f t="shared" ca="1" si="3"/>
        <v>2096</v>
      </c>
      <c r="O9" s="59">
        <f t="shared" ca="1" si="3"/>
        <v>2131</v>
      </c>
      <c r="P9" s="58">
        <f t="shared" ca="1" si="4"/>
        <v>121</v>
      </c>
      <c r="Q9" s="59">
        <f t="shared" ca="1" si="4"/>
        <v>194</v>
      </c>
      <c r="R9" s="63">
        <v>100000</v>
      </c>
      <c r="S9" s="63">
        <v>100000</v>
      </c>
      <c r="T9" s="63">
        <v>0.5</v>
      </c>
      <c r="U9" s="63">
        <v>0.5</v>
      </c>
      <c r="V9" s="61" t="s">
        <v>48</v>
      </c>
      <c r="W9" s="64">
        <v>0.3</v>
      </c>
      <c r="Z9" s="90"/>
      <c r="AA9" s="93"/>
      <c r="AB9" s="93"/>
      <c r="AC9" s="90"/>
      <c r="AD9" s="90"/>
      <c r="AE9" s="90"/>
      <c r="AF9" s="90"/>
      <c r="AG9" s="90"/>
      <c r="AH9" s="90"/>
      <c r="AI9" s="90"/>
      <c r="AP9" s="70" t="s">
        <v>49</v>
      </c>
      <c r="AQ9" s="72">
        <v>0.6</v>
      </c>
      <c r="AR9" s="70"/>
      <c r="AS9" s="72">
        <v>0.4</v>
      </c>
    </row>
    <row r="10" spans="1:46" s="28" customFormat="1" ht="75" customHeight="1" x14ac:dyDescent="0.3">
      <c r="A10" s="74"/>
      <c r="B10" s="75"/>
      <c r="C10" s="76" t="s">
        <v>35</v>
      </c>
      <c r="D10" s="94">
        <v>20</v>
      </c>
      <c r="E10" s="43" t="s">
        <v>50</v>
      </c>
      <c r="F10" s="47">
        <f t="shared" ca="1" si="0"/>
        <v>2346</v>
      </c>
      <c r="G10" s="47">
        <f t="shared" ca="1" si="0"/>
        <v>2004</v>
      </c>
      <c r="H10" s="47">
        <f t="shared" ca="1" si="0"/>
        <v>2509</v>
      </c>
      <c r="I10" s="47">
        <f t="shared" ca="1" si="1"/>
        <v>0.1189688967507444</v>
      </c>
      <c r="J10" s="47">
        <f t="shared" ca="1" si="2"/>
        <v>11</v>
      </c>
      <c r="K10" s="57">
        <v>0.2</v>
      </c>
      <c r="L10" s="57">
        <v>0.2</v>
      </c>
      <c r="M10" s="57">
        <v>0.2</v>
      </c>
      <c r="N10" s="58">
        <f t="shared" ca="1" si="3"/>
        <v>2589</v>
      </c>
      <c r="O10" s="59">
        <f t="shared" ca="1" si="3"/>
        <v>2170</v>
      </c>
      <c r="P10" s="58">
        <f t="shared" ca="1" si="4"/>
        <v>130</v>
      </c>
      <c r="Q10" s="59">
        <f t="shared" ca="1" si="4"/>
        <v>118</v>
      </c>
      <c r="R10" s="63">
        <v>100000</v>
      </c>
      <c r="S10" s="63">
        <v>100000</v>
      </c>
      <c r="T10" s="63">
        <v>0.5</v>
      </c>
      <c r="U10" s="63">
        <v>0.5</v>
      </c>
      <c r="V10" s="61" t="s">
        <v>51</v>
      </c>
      <c r="W10" s="64">
        <v>0.3</v>
      </c>
      <c r="Z10" s="90"/>
      <c r="AA10" s="90"/>
      <c r="AB10" s="90"/>
      <c r="AC10" s="90"/>
      <c r="AD10" s="90"/>
      <c r="AE10" s="90"/>
      <c r="AF10" s="90"/>
      <c r="AG10" s="90"/>
      <c r="AH10" s="90"/>
      <c r="AI10" s="90"/>
    </row>
    <row r="11" spans="1:46" s="28" customFormat="1" ht="75" customHeight="1" x14ac:dyDescent="0.3">
      <c r="A11" s="74"/>
      <c r="B11" s="75"/>
      <c r="C11" s="77"/>
      <c r="D11" s="95"/>
      <c r="E11" s="48" t="s">
        <v>52</v>
      </c>
      <c r="F11" s="47">
        <f t="shared" ca="1" si="0"/>
        <v>2840</v>
      </c>
      <c r="G11" s="47">
        <f t="shared" ca="1" si="0"/>
        <v>2565</v>
      </c>
      <c r="H11" s="47">
        <f t="shared" ca="1" si="0"/>
        <v>2623</v>
      </c>
      <c r="I11" s="47">
        <f t="shared" ca="1" si="1"/>
        <v>0.64057386122785531</v>
      </c>
      <c r="J11" s="47">
        <f t="shared" ca="1" si="2"/>
        <v>22</v>
      </c>
      <c r="K11" s="57">
        <v>0.2</v>
      </c>
      <c r="L11" s="57">
        <v>0.2</v>
      </c>
      <c r="M11" s="57">
        <v>0.2</v>
      </c>
      <c r="N11" s="58">
        <f t="shared" ca="1" si="3"/>
        <v>2580</v>
      </c>
      <c r="O11" s="59">
        <f t="shared" ca="1" si="3"/>
        <v>2586</v>
      </c>
      <c r="P11" s="58">
        <f t="shared" ca="1" si="4"/>
        <v>151</v>
      </c>
      <c r="Q11" s="59">
        <f t="shared" ca="1" si="4"/>
        <v>136</v>
      </c>
      <c r="R11" s="63">
        <v>100000</v>
      </c>
      <c r="S11" s="63">
        <v>100000</v>
      </c>
      <c r="T11" s="63">
        <v>0.5</v>
      </c>
      <c r="U11" s="63">
        <v>0.5</v>
      </c>
      <c r="V11" s="61" t="s">
        <v>53</v>
      </c>
      <c r="W11" s="64">
        <v>0.3</v>
      </c>
      <c r="Z11" s="90"/>
      <c r="AA11" s="90"/>
      <c r="AB11" s="90"/>
      <c r="AC11" s="90"/>
      <c r="AD11" s="90"/>
      <c r="AE11" s="90"/>
      <c r="AF11" s="90"/>
      <c r="AG11" s="90"/>
      <c r="AH11" s="90"/>
      <c r="AI11" s="90"/>
    </row>
    <row r="12" spans="1:46" s="28" customFormat="1" ht="75" customHeight="1" x14ac:dyDescent="0.3">
      <c r="A12" s="74"/>
      <c r="B12" s="75"/>
      <c r="C12" s="77"/>
      <c r="D12" s="95"/>
      <c r="E12" s="48" t="s">
        <v>54</v>
      </c>
      <c r="F12" s="47">
        <f t="shared" ca="1" si="0"/>
        <v>2738</v>
      </c>
      <c r="G12" s="47">
        <f t="shared" ca="1" si="0"/>
        <v>2919</v>
      </c>
      <c r="H12" s="47">
        <f t="shared" ca="1" si="0"/>
        <v>2004</v>
      </c>
      <c r="I12" s="47">
        <f t="shared" ca="1" si="1"/>
        <v>0.95735496273731469</v>
      </c>
      <c r="J12" s="47">
        <f t="shared" ca="1" si="2"/>
        <v>17</v>
      </c>
      <c r="K12" s="57">
        <v>0.2</v>
      </c>
      <c r="L12" s="57">
        <v>0.2</v>
      </c>
      <c r="M12" s="57">
        <v>0.2</v>
      </c>
      <c r="N12" s="58">
        <f t="shared" ca="1" si="3"/>
        <v>2950</v>
      </c>
      <c r="O12" s="59">
        <f t="shared" ca="1" si="3"/>
        <v>2204</v>
      </c>
      <c r="P12" s="58">
        <f t="shared" ca="1" si="4"/>
        <v>119</v>
      </c>
      <c r="Q12" s="59">
        <f t="shared" ca="1" si="4"/>
        <v>189</v>
      </c>
      <c r="R12" s="63">
        <v>100000</v>
      </c>
      <c r="S12" s="63">
        <v>100000</v>
      </c>
      <c r="T12" s="63">
        <v>0.5</v>
      </c>
      <c r="U12" s="63">
        <v>0.5</v>
      </c>
      <c r="V12" s="61" t="s">
        <v>55</v>
      </c>
      <c r="W12" s="64">
        <v>0.3</v>
      </c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1:46" s="28" customFormat="1" ht="75" customHeight="1" x14ac:dyDescent="0.3">
      <c r="A13" s="74"/>
      <c r="B13" s="75"/>
      <c r="C13" s="77"/>
      <c r="D13" s="96"/>
      <c r="E13" s="51" t="s">
        <v>56</v>
      </c>
      <c r="F13" s="47">
        <f t="shared" ca="1" si="0"/>
        <v>2446</v>
      </c>
      <c r="G13" s="47">
        <f t="shared" ca="1" si="0"/>
        <v>2228</v>
      </c>
      <c r="H13" s="47">
        <f t="shared" ca="1" si="0"/>
        <v>2176</v>
      </c>
      <c r="I13" s="47">
        <f t="shared" ca="1" si="1"/>
        <v>9.7615982761862674E-2</v>
      </c>
      <c r="J13" s="47">
        <f t="shared" ca="1" si="2"/>
        <v>19</v>
      </c>
      <c r="K13" s="57">
        <v>0.2</v>
      </c>
      <c r="L13" s="57">
        <v>0.2</v>
      </c>
      <c r="M13" s="57">
        <v>0.2</v>
      </c>
      <c r="N13" s="58">
        <f t="shared" ca="1" si="3"/>
        <v>2980</v>
      </c>
      <c r="O13" s="59">
        <f t="shared" ca="1" si="3"/>
        <v>2081</v>
      </c>
      <c r="P13" s="58">
        <f t="shared" ca="1" si="4"/>
        <v>164</v>
      </c>
      <c r="Q13" s="59">
        <f t="shared" ca="1" si="4"/>
        <v>177</v>
      </c>
      <c r="R13" s="63">
        <v>100000</v>
      </c>
      <c r="S13" s="63">
        <v>100000</v>
      </c>
      <c r="T13" s="63">
        <v>0.5</v>
      </c>
      <c r="U13" s="63">
        <v>0.5</v>
      </c>
      <c r="V13" s="61" t="s">
        <v>57</v>
      </c>
      <c r="W13" s="64">
        <v>0.3</v>
      </c>
      <c r="Z13" s="90"/>
      <c r="AA13" s="90"/>
      <c r="AB13" s="90"/>
      <c r="AC13" s="90"/>
      <c r="AD13" s="90"/>
      <c r="AE13" s="90"/>
      <c r="AF13" s="90"/>
      <c r="AG13" s="90"/>
      <c r="AH13" s="90"/>
      <c r="AI13" s="90"/>
    </row>
    <row r="14" spans="1:46" s="28" customFormat="1" ht="75" hidden="1" customHeight="1" x14ac:dyDescent="0.3">
      <c r="A14" s="74"/>
      <c r="B14" s="75"/>
      <c r="C14" s="39"/>
      <c r="D14" s="45"/>
      <c r="E14" s="48"/>
      <c r="F14" s="47">
        <f t="shared" ca="1" si="0"/>
        <v>2016</v>
      </c>
      <c r="G14" s="49"/>
      <c r="H14" s="47">
        <f t="shared" ca="1" si="0"/>
        <v>2331</v>
      </c>
      <c r="I14" s="47">
        <f t="shared" ca="1" si="1"/>
        <v>0.59138874074580827</v>
      </c>
      <c r="J14" s="47">
        <f t="shared" ca="1" si="2"/>
        <v>17</v>
      </c>
      <c r="K14" s="57">
        <v>0.2</v>
      </c>
      <c r="L14" s="57">
        <v>0.2</v>
      </c>
      <c r="M14" s="57">
        <v>0.2</v>
      </c>
      <c r="N14" s="58">
        <f t="shared" ca="1" si="3"/>
        <v>2723</v>
      </c>
      <c r="O14" s="59">
        <f t="shared" ca="1" si="3"/>
        <v>2464</v>
      </c>
      <c r="P14" s="58">
        <f t="shared" ca="1" si="4"/>
        <v>121</v>
      </c>
      <c r="Q14" s="59">
        <f t="shared" ca="1" si="4"/>
        <v>103</v>
      </c>
      <c r="R14" s="63">
        <v>100000</v>
      </c>
      <c r="S14" s="63">
        <v>100000</v>
      </c>
      <c r="T14" s="63">
        <v>0.5</v>
      </c>
      <c r="U14" s="63">
        <v>0.5</v>
      </c>
      <c r="V14" s="61"/>
      <c r="W14" s="64">
        <v>0.3</v>
      </c>
    </row>
    <row r="15" spans="1:46" s="28" customFormat="1" ht="75" customHeight="1" x14ac:dyDescent="0.3">
      <c r="A15" s="74"/>
      <c r="B15" s="75"/>
      <c r="C15" s="76" t="s">
        <v>38</v>
      </c>
      <c r="D15" s="78">
        <v>20</v>
      </c>
      <c r="E15" s="48" t="s">
        <v>58</v>
      </c>
      <c r="F15" s="47">
        <f t="shared" ca="1" si="0"/>
        <v>2784</v>
      </c>
      <c r="G15" s="47">
        <f t="shared" ca="1" si="0"/>
        <v>2329</v>
      </c>
      <c r="H15" s="47">
        <f t="shared" ca="1" si="0"/>
        <v>2470</v>
      </c>
      <c r="I15" s="47">
        <f t="shared" ca="1" si="1"/>
        <v>0.25951699356571489</v>
      </c>
      <c r="J15" s="47">
        <f t="shared" ca="1" si="2"/>
        <v>13</v>
      </c>
      <c r="K15" s="57">
        <v>0.2</v>
      </c>
      <c r="L15" s="57">
        <v>0.2</v>
      </c>
      <c r="M15" s="57">
        <v>0.2</v>
      </c>
      <c r="N15" s="58">
        <f t="shared" ca="1" si="3"/>
        <v>2731</v>
      </c>
      <c r="O15" s="59">
        <f t="shared" ca="1" si="3"/>
        <v>2332</v>
      </c>
      <c r="P15" s="58">
        <f t="shared" ca="1" si="4"/>
        <v>148</v>
      </c>
      <c r="Q15" s="59">
        <f t="shared" ca="1" si="4"/>
        <v>180</v>
      </c>
      <c r="R15" s="63">
        <v>100000</v>
      </c>
      <c r="S15" s="63">
        <v>100000</v>
      </c>
      <c r="T15" s="63">
        <v>0.5</v>
      </c>
      <c r="U15" s="63">
        <v>0.5</v>
      </c>
      <c r="V15" s="61" t="s">
        <v>59</v>
      </c>
      <c r="W15" s="64">
        <v>0.3</v>
      </c>
    </row>
    <row r="16" spans="1:46" s="28" customFormat="1" ht="75" customHeight="1" x14ac:dyDescent="0.3">
      <c r="A16" s="74"/>
      <c r="B16" s="75"/>
      <c r="C16" s="77"/>
      <c r="D16" s="78"/>
      <c r="E16" s="48" t="s">
        <v>60</v>
      </c>
      <c r="F16" s="47">
        <f t="shared" ca="1" si="0"/>
        <v>2336</v>
      </c>
      <c r="G16" s="47">
        <f t="shared" ca="1" si="0"/>
        <v>2411</v>
      </c>
      <c r="H16" s="47">
        <f t="shared" ca="1" si="0"/>
        <v>2704</v>
      </c>
      <c r="I16" s="47">
        <f t="shared" ca="1" si="1"/>
        <v>0.42031278623163282</v>
      </c>
      <c r="J16" s="47">
        <f t="shared" ca="1" si="2"/>
        <v>17</v>
      </c>
      <c r="K16" s="57">
        <v>0.2</v>
      </c>
      <c r="L16" s="57">
        <v>0.2</v>
      </c>
      <c r="M16" s="57">
        <v>0.2</v>
      </c>
      <c r="N16" s="58">
        <f t="shared" ca="1" si="3"/>
        <v>2192</v>
      </c>
      <c r="O16" s="59">
        <f t="shared" ca="1" si="3"/>
        <v>2921</v>
      </c>
      <c r="P16" s="58">
        <f t="shared" ca="1" si="4"/>
        <v>140</v>
      </c>
      <c r="Q16" s="59">
        <f t="shared" ca="1" si="4"/>
        <v>174</v>
      </c>
      <c r="R16" s="63">
        <v>100000</v>
      </c>
      <c r="S16" s="63">
        <v>100000</v>
      </c>
      <c r="T16" s="63">
        <v>0.5</v>
      </c>
      <c r="U16" s="63">
        <v>0.5</v>
      </c>
      <c r="V16" s="61" t="s">
        <v>61</v>
      </c>
      <c r="W16" s="64">
        <v>0.3</v>
      </c>
    </row>
    <row r="17" spans="1:23" s="28" customFormat="1" ht="75" customHeight="1" x14ac:dyDescent="0.3">
      <c r="A17" s="73" t="s">
        <v>33</v>
      </c>
      <c r="B17" s="75">
        <v>20</v>
      </c>
      <c r="C17" s="39" t="s">
        <v>62</v>
      </c>
      <c r="D17" s="45">
        <v>20</v>
      </c>
      <c r="E17" s="48" t="s">
        <v>63</v>
      </c>
      <c r="F17" s="47">
        <f t="shared" ca="1" si="0"/>
        <v>2641</v>
      </c>
      <c r="G17" s="47">
        <f t="shared" ca="1" si="0"/>
        <v>2790</v>
      </c>
      <c r="H17" s="47">
        <f t="shared" ca="1" si="0"/>
        <v>2120</v>
      </c>
      <c r="I17" s="47">
        <f t="shared" ca="1" si="1"/>
        <v>0.43772799538853391</v>
      </c>
      <c r="J17" s="47">
        <f t="shared" ca="1" si="2"/>
        <v>19</v>
      </c>
      <c r="K17" s="57">
        <v>0.2</v>
      </c>
      <c r="L17" s="57">
        <v>0.2</v>
      </c>
      <c r="M17" s="57">
        <v>0.2</v>
      </c>
      <c r="N17" s="58">
        <f t="shared" ca="1" si="3"/>
        <v>2169</v>
      </c>
      <c r="O17" s="59">
        <f t="shared" ca="1" si="3"/>
        <v>2970</v>
      </c>
      <c r="P17" s="58">
        <f t="shared" ca="1" si="4"/>
        <v>199</v>
      </c>
      <c r="Q17" s="59">
        <f t="shared" ca="1" si="4"/>
        <v>136</v>
      </c>
      <c r="R17" s="63">
        <v>100000</v>
      </c>
      <c r="S17" s="63">
        <v>100000</v>
      </c>
      <c r="T17" s="63">
        <v>0.5</v>
      </c>
      <c r="U17" s="63">
        <v>0.5</v>
      </c>
      <c r="V17" s="61" t="s">
        <v>64</v>
      </c>
      <c r="W17" s="64">
        <v>0.3</v>
      </c>
    </row>
    <row r="18" spans="1:23" s="28" customFormat="1" ht="75" customHeight="1" x14ac:dyDescent="0.3">
      <c r="A18" s="74"/>
      <c r="B18" s="75"/>
      <c r="C18" s="76" t="s">
        <v>65</v>
      </c>
      <c r="D18" s="78">
        <v>20</v>
      </c>
      <c r="E18" s="48" t="s">
        <v>66</v>
      </c>
      <c r="F18" s="47">
        <f t="shared" ca="1" si="0"/>
        <v>2013</v>
      </c>
      <c r="G18" s="47">
        <f t="shared" ca="1" si="0"/>
        <v>2430</v>
      </c>
      <c r="H18" s="47">
        <f t="shared" ca="1" si="0"/>
        <v>2643</v>
      </c>
      <c r="I18" s="47">
        <f t="shared" ca="1" si="1"/>
        <v>0.29150803396788416</v>
      </c>
      <c r="J18" s="47">
        <f t="shared" ca="1" si="2"/>
        <v>16</v>
      </c>
      <c r="K18" s="57">
        <v>0.2</v>
      </c>
      <c r="L18" s="57">
        <v>0.2</v>
      </c>
      <c r="M18" s="57">
        <v>0.2</v>
      </c>
      <c r="N18" s="58">
        <f t="shared" ca="1" si="3"/>
        <v>2622</v>
      </c>
      <c r="O18" s="59">
        <f t="shared" ca="1" si="3"/>
        <v>2974</v>
      </c>
      <c r="P18" s="58">
        <f t="shared" ca="1" si="4"/>
        <v>190</v>
      </c>
      <c r="Q18" s="59">
        <f t="shared" ca="1" si="4"/>
        <v>120</v>
      </c>
      <c r="R18" s="63">
        <v>100000</v>
      </c>
      <c r="S18" s="63">
        <v>100000</v>
      </c>
      <c r="T18" s="63">
        <v>0.5</v>
      </c>
      <c r="U18" s="63">
        <v>0.5</v>
      </c>
      <c r="V18" s="61" t="s">
        <v>67</v>
      </c>
      <c r="W18" s="64">
        <v>0.3</v>
      </c>
    </row>
    <row r="19" spans="1:23" s="28" customFormat="1" ht="75" customHeight="1" x14ac:dyDescent="0.3">
      <c r="A19" s="74"/>
      <c r="B19" s="75"/>
      <c r="C19" s="77"/>
      <c r="D19" s="78"/>
      <c r="E19" s="48" t="s">
        <v>68</v>
      </c>
      <c r="F19" s="47">
        <f t="shared" ca="1" si="0"/>
        <v>2813</v>
      </c>
      <c r="G19" s="47">
        <f t="shared" ca="1" si="0"/>
        <v>2536</v>
      </c>
      <c r="H19" s="47">
        <f t="shared" ca="1" si="0"/>
        <v>2898</v>
      </c>
      <c r="I19" s="47">
        <f t="shared" ca="1" si="1"/>
        <v>0.18417481069121044</v>
      </c>
      <c r="J19" s="47">
        <f t="shared" ca="1" si="2"/>
        <v>21</v>
      </c>
      <c r="K19" s="57">
        <v>0.2</v>
      </c>
      <c r="L19" s="57">
        <v>0.2</v>
      </c>
      <c r="M19" s="57">
        <v>0.2</v>
      </c>
      <c r="N19" s="58">
        <f t="shared" ca="1" si="3"/>
        <v>2428</v>
      </c>
      <c r="O19" s="59">
        <f t="shared" ca="1" si="3"/>
        <v>2384</v>
      </c>
      <c r="P19" s="58">
        <f t="shared" ca="1" si="4"/>
        <v>173</v>
      </c>
      <c r="Q19" s="59">
        <f t="shared" ca="1" si="4"/>
        <v>149</v>
      </c>
      <c r="R19" s="63">
        <v>100000</v>
      </c>
      <c r="S19" s="63">
        <v>100000</v>
      </c>
      <c r="T19" s="63">
        <v>0.5</v>
      </c>
      <c r="U19" s="63">
        <v>0.5</v>
      </c>
      <c r="V19" s="61" t="s">
        <v>69</v>
      </c>
      <c r="W19" s="64">
        <v>0.3</v>
      </c>
    </row>
    <row r="20" spans="1:23" s="28" customFormat="1" ht="75" customHeight="1" x14ac:dyDescent="0.3">
      <c r="A20" s="74"/>
      <c r="B20" s="75"/>
      <c r="C20" s="77"/>
      <c r="D20" s="78"/>
      <c r="E20" s="48" t="s">
        <v>70</v>
      </c>
      <c r="F20" s="47">
        <f t="shared" ca="1" si="0"/>
        <v>2168</v>
      </c>
      <c r="G20" s="47">
        <f t="shared" ca="1" si="0"/>
        <v>2088</v>
      </c>
      <c r="H20" s="47">
        <f t="shared" ca="1" si="0"/>
        <v>2749</v>
      </c>
      <c r="I20" s="47">
        <f t="shared" ca="1" si="1"/>
        <v>0.84178359617899068</v>
      </c>
      <c r="J20" s="47">
        <f t="shared" ca="1" si="2"/>
        <v>10</v>
      </c>
      <c r="K20" s="57">
        <v>0.2</v>
      </c>
      <c r="L20" s="57">
        <v>0.2</v>
      </c>
      <c r="M20" s="57">
        <v>0.2</v>
      </c>
      <c r="N20" s="58">
        <f t="shared" ca="1" si="3"/>
        <v>2384</v>
      </c>
      <c r="O20" s="59">
        <f t="shared" ca="1" si="3"/>
        <v>2466</v>
      </c>
      <c r="P20" s="58">
        <f t="shared" ca="1" si="4"/>
        <v>100</v>
      </c>
      <c r="Q20" s="59">
        <f t="shared" ca="1" si="4"/>
        <v>121</v>
      </c>
      <c r="R20" s="63">
        <v>100000</v>
      </c>
      <c r="S20" s="63">
        <v>100000</v>
      </c>
      <c r="T20" s="63">
        <v>0.5</v>
      </c>
      <c r="U20" s="63">
        <v>0.5</v>
      </c>
      <c r="V20" s="61" t="s">
        <v>71</v>
      </c>
      <c r="W20" s="64">
        <v>0.3</v>
      </c>
    </row>
    <row r="21" spans="1:23" s="28" customFormat="1" ht="75" customHeight="1" x14ac:dyDescent="0.3">
      <c r="A21" s="74"/>
      <c r="B21" s="75"/>
      <c r="C21" s="76" t="s">
        <v>72</v>
      </c>
      <c r="D21" s="78">
        <v>20</v>
      </c>
      <c r="E21" s="48" t="s">
        <v>73</v>
      </c>
      <c r="F21" s="47">
        <f t="shared" ca="1" si="0"/>
        <v>2465</v>
      </c>
      <c r="G21" s="47">
        <f t="shared" ca="1" si="0"/>
        <v>2881</v>
      </c>
      <c r="H21" s="47">
        <f t="shared" ca="1" si="0"/>
        <v>2597</v>
      </c>
      <c r="I21" s="47">
        <f t="shared" ca="1" si="1"/>
        <v>0.91266397016908118</v>
      </c>
      <c r="J21" s="47">
        <f t="shared" ca="1" si="2"/>
        <v>15</v>
      </c>
      <c r="K21" s="57">
        <v>0.2</v>
      </c>
      <c r="L21" s="57">
        <v>0.2</v>
      </c>
      <c r="M21" s="57">
        <v>0.2</v>
      </c>
      <c r="N21" s="58">
        <f t="shared" ca="1" si="3"/>
        <v>2357</v>
      </c>
      <c r="O21" s="59">
        <f t="shared" ca="1" si="3"/>
        <v>2330</v>
      </c>
      <c r="P21" s="58">
        <f t="shared" ca="1" si="4"/>
        <v>156</v>
      </c>
      <c r="Q21" s="59">
        <f t="shared" ca="1" si="4"/>
        <v>179</v>
      </c>
      <c r="R21" s="63">
        <v>100000</v>
      </c>
      <c r="S21" s="63">
        <v>100000</v>
      </c>
      <c r="T21" s="63">
        <v>0.5</v>
      </c>
      <c r="U21" s="63">
        <v>0.5</v>
      </c>
      <c r="V21" s="61" t="s">
        <v>74</v>
      </c>
      <c r="W21" s="64">
        <v>0.3</v>
      </c>
    </row>
    <row r="22" spans="1:23" s="28" customFormat="1" ht="75" customHeight="1" x14ac:dyDescent="0.3">
      <c r="A22" s="74"/>
      <c r="B22" s="75"/>
      <c r="C22" s="77"/>
      <c r="D22" s="78"/>
      <c r="E22" s="48" t="s">
        <v>75</v>
      </c>
      <c r="F22" s="47">
        <f t="shared" ca="1" si="0"/>
        <v>2571</v>
      </c>
      <c r="G22" s="47">
        <f t="shared" ca="1" si="0"/>
        <v>2486</v>
      </c>
      <c r="H22" s="47">
        <f t="shared" ca="1" si="0"/>
        <v>2422</v>
      </c>
      <c r="I22" s="47">
        <f t="shared" ca="1" si="1"/>
        <v>0.98224324123757811</v>
      </c>
      <c r="J22" s="47">
        <f t="shared" ca="1" si="2"/>
        <v>20</v>
      </c>
      <c r="K22" s="57">
        <v>0.2</v>
      </c>
      <c r="L22" s="57">
        <v>0.2</v>
      </c>
      <c r="M22" s="57">
        <v>0.2</v>
      </c>
      <c r="N22" s="58">
        <f t="shared" ca="1" si="3"/>
        <v>2407</v>
      </c>
      <c r="O22" s="59">
        <f t="shared" ca="1" si="3"/>
        <v>2379</v>
      </c>
      <c r="P22" s="58">
        <f t="shared" ca="1" si="4"/>
        <v>125</v>
      </c>
      <c r="Q22" s="59">
        <f t="shared" ca="1" si="4"/>
        <v>190</v>
      </c>
      <c r="R22" s="63">
        <v>100000</v>
      </c>
      <c r="S22" s="63">
        <v>100000</v>
      </c>
      <c r="T22" s="63">
        <v>0.5</v>
      </c>
      <c r="U22" s="63">
        <v>0.5</v>
      </c>
      <c r="V22" s="61" t="s">
        <v>76</v>
      </c>
      <c r="W22" s="64">
        <v>0.3</v>
      </c>
    </row>
    <row r="23" spans="1:23" s="28" customFormat="1" ht="75" customHeight="1" x14ac:dyDescent="0.3">
      <c r="A23" s="73" t="s">
        <v>36</v>
      </c>
      <c r="B23" s="75">
        <v>20</v>
      </c>
      <c r="C23" s="39" t="s">
        <v>53</v>
      </c>
      <c r="D23" s="45">
        <v>0</v>
      </c>
      <c r="E23" s="48" t="s">
        <v>77</v>
      </c>
      <c r="F23" s="49"/>
      <c r="G23" s="49"/>
      <c r="H23" s="47">
        <f t="shared" ca="1" si="0"/>
        <v>2799</v>
      </c>
      <c r="I23" s="47">
        <f t="shared" ca="1" si="1"/>
        <v>0.38531001458184955</v>
      </c>
      <c r="J23" s="47">
        <f t="shared" ca="1" si="2"/>
        <v>22</v>
      </c>
      <c r="K23" s="57"/>
      <c r="L23" s="57"/>
      <c r="M23" s="57"/>
      <c r="N23" s="58"/>
      <c r="O23" s="59"/>
      <c r="P23" s="58"/>
      <c r="Q23" s="59"/>
      <c r="R23" s="63"/>
      <c r="S23" s="63"/>
      <c r="T23" s="63"/>
      <c r="U23" s="63"/>
      <c r="V23" s="61" t="s">
        <v>78</v>
      </c>
      <c r="W23" s="64">
        <v>0.3</v>
      </c>
    </row>
    <row r="24" spans="1:23" s="28" customFormat="1" ht="75" customHeight="1" x14ac:dyDescent="0.3">
      <c r="A24" s="74"/>
      <c r="B24" s="75"/>
      <c r="C24" s="39" t="s">
        <v>46</v>
      </c>
      <c r="D24" s="45">
        <v>20</v>
      </c>
      <c r="E24" s="48" t="s">
        <v>46</v>
      </c>
      <c r="F24" s="47">
        <f t="shared" ca="1" si="0"/>
        <v>2762</v>
      </c>
      <c r="G24" s="47">
        <f t="shared" ca="1" si="0"/>
        <v>2794</v>
      </c>
      <c r="H24" s="47">
        <f t="shared" ca="1" si="0"/>
        <v>2425</v>
      </c>
      <c r="I24" s="47">
        <f t="shared" ca="1" si="1"/>
        <v>6.6320530985557458E-3</v>
      </c>
      <c r="J24" s="47">
        <f t="shared" ca="1" si="2"/>
        <v>14</v>
      </c>
      <c r="K24" s="57">
        <v>0.2</v>
      </c>
      <c r="L24" s="57">
        <v>0.2</v>
      </c>
      <c r="M24" s="57">
        <v>0.2</v>
      </c>
      <c r="N24" s="58">
        <f t="shared" ca="1" si="3"/>
        <v>2649</v>
      </c>
      <c r="O24" s="59">
        <f t="shared" ca="1" si="3"/>
        <v>2497</v>
      </c>
      <c r="P24" s="58">
        <f t="shared" ca="1" si="4"/>
        <v>173</v>
      </c>
      <c r="Q24" s="59">
        <f t="shared" ca="1" si="4"/>
        <v>129</v>
      </c>
      <c r="R24" s="63">
        <v>100000</v>
      </c>
      <c r="S24" s="63">
        <v>100000</v>
      </c>
      <c r="T24" s="63">
        <v>0.5</v>
      </c>
      <c r="U24" s="63">
        <v>0.5</v>
      </c>
      <c r="V24" s="61" t="s">
        <v>79</v>
      </c>
      <c r="W24" s="64">
        <v>0.3</v>
      </c>
    </row>
    <row r="25" spans="1:23" s="28" customFormat="1" ht="75" customHeight="1" x14ac:dyDescent="0.3">
      <c r="A25" s="74"/>
      <c r="B25" s="75"/>
      <c r="C25" s="76" t="s">
        <v>48</v>
      </c>
      <c r="D25" s="78">
        <v>20</v>
      </c>
      <c r="E25" s="48" t="s">
        <v>80</v>
      </c>
      <c r="F25" s="47">
        <f t="shared" ca="1" si="0"/>
        <v>2325</v>
      </c>
      <c r="G25" s="47">
        <f t="shared" ca="1" si="0"/>
        <v>2228</v>
      </c>
      <c r="H25" s="47">
        <f t="shared" ca="1" si="0"/>
        <v>2669</v>
      </c>
      <c r="I25" s="47">
        <f t="shared" ca="1" si="1"/>
        <v>0.75326098467214009</v>
      </c>
      <c r="J25" s="47">
        <f t="shared" ca="1" si="2"/>
        <v>10</v>
      </c>
      <c r="K25" s="57">
        <v>0.2</v>
      </c>
      <c r="L25" s="57">
        <v>0.2</v>
      </c>
      <c r="M25" s="57">
        <v>0.2</v>
      </c>
      <c r="N25" s="58">
        <f t="shared" ca="1" si="3"/>
        <v>2142</v>
      </c>
      <c r="O25" s="59">
        <f t="shared" ca="1" si="3"/>
        <v>2744</v>
      </c>
      <c r="P25" s="58">
        <f t="shared" ca="1" si="4"/>
        <v>196</v>
      </c>
      <c r="Q25" s="59">
        <f t="shared" ca="1" si="4"/>
        <v>195</v>
      </c>
      <c r="R25" s="63">
        <v>100000</v>
      </c>
      <c r="S25" s="63">
        <v>100000</v>
      </c>
      <c r="T25" s="63">
        <v>0.5</v>
      </c>
      <c r="U25" s="63">
        <v>0.5</v>
      </c>
      <c r="V25" s="61" t="s">
        <v>81</v>
      </c>
      <c r="W25" s="62" t="s">
        <v>82</v>
      </c>
    </row>
    <row r="26" spans="1:23" s="28" customFormat="1" ht="75" customHeight="1" x14ac:dyDescent="0.3">
      <c r="A26" s="74"/>
      <c r="B26" s="75"/>
      <c r="C26" s="77"/>
      <c r="D26" s="78"/>
      <c r="E26" s="48" t="s">
        <v>83</v>
      </c>
      <c r="F26" s="47">
        <f t="shared" ca="1" si="0"/>
        <v>2355</v>
      </c>
      <c r="G26" s="47">
        <f t="shared" ca="1" si="0"/>
        <v>2140</v>
      </c>
      <c r="H26" s="47">
        <f t="shared" ca="1" si="0"/>
        <v>2385</v>
      </c>
      <c r="I26" s="47">
        <f t="shared" ca="1" si="1"/>
        <v>0.88430891249267529</v>
      </c>
      <c r="J26" s="47">
        <f t="shared" ca="1" si="2"/>
        <v>21</v>
      </c>
      <c r="K26" s="57">
        <v>0.2</v>
      </c>
      <c r="L26" s="57">
        <v>0.2</v>
      </c>
      <c r="M26" s="57">
        <v>0.2</v>
      </c>
      <c r="N26" s="58">
        <f t="shared" ca="1" si="3"/>
        <v>2617</v>
      </c>
      <c r="O26" s="59">
        <f t="shared" ca="1" si="3"/>
        <v>2838</v>
      </c>
      <c r="P26" s="58">
        <f t="shared" ca="1" si="4"/>
        <v>184</v>
      </c>
      <c r="Q26" s="59">
        <f t="shared" ca="1" si="4"/>
        <v>159</v>
      </c>
      <c r="R26" s="63">
        <v>100000</v>
      </c>
      <c r="S26" s="63">
        <v>100000</v>
      </c>
      <c r="T26" s="63">
        <v>0.5</v>
      </c>
      <c r="U26" s="63">
        <v>0.5</v>
      </c>
      <c r="V26" s="61" t="s">
        <v>84</v>
      </c>
      <c r="W26" s="64">
        <v>0.3</v>
      </c>
    </row>
    <row r="27" spans="1:23" s="28" customFormat="1" ht="75" customHeight="1" x14ac:dyDescent="0.3">
      <c r="A27" s="74"/>
      <c r="B27" s="75"/>
      <c r="C27" s="76" t="s">
        <v>85</v>
      </c>
      <c r="D27" s="78">
        <v>20</v>
      </c>
      <c r="E27" s="48" t="s">
        <v>86</v>
      </c>
      <c r="F27" s="47">
        <f t="shared" ca="1" si="0"/>
        <v>2233</v>
      </c>
      <c r="G27" s="47">
        <f t="shared" ca="1" si="0"/>
        <v>2674</v>
      </c>
      <c r="H27" s="47">
        <f t="shared" ca="1" si="0"/>
        <v>2198</v>
      </c>
      <c r="I27" s="47">
        <f t="shared" ca="1" si="1"/>
        <v>0.7184642956145233</v>
      </c>
      <c r="J27" s="47">
        <f t="shared" ca="1" si="2"/>
        <v>12</v>
      </c>
      <c r="K27" s="57">
        <v>0.2</v>
      </c>
      <c r="L27" s="57">
        <v>0.2</v>
      </c>
      <c r="M27" s="57">
        <v>0.2</v>
      </c>
      <c r="N27" s="58">
        <f t="shared" ca="1" si="3"/>
        <v>2514</v>
      </c>
      <c r="O27" s="59">
        <f t="shared" ca="1" si="3"/>
        <v>2179</v>
      </c>
      <c r="P27" s="58">
        <f t="shared" ca="1" si="4"/>
        <v>103</v>
      </c>
      <c r="Q27" s="59">
        <f t="shared" ca="1" si="4"/>
        <v>163</v>
      </c>
      <c r="R27" s="63">
        <v>100000</v>
      </c>
      <c r="S27" s="63">
        <v>100000</v>
      </c>
      <c r="T27" s="63">
        <v>0.5</v>
      </c>
      <c r="U27" s="63">
        <v>0.5</v>
      </c>
      <c r="V27" s="61" t="s">
        <v>87</v>
      </c>
      <c r="W27" s="64">
        <v>0.3</v>
      </c>
    </row>
    <row r="28" spans="1:23" s="28" customFormat="1" ht="75" customHeight="1" x14ac:dyDescent="0.3">
      <c r="A28" s="74"/>
      <c r="B28" s="75"/>
      <c r="C28" s="77"/>
      <c r="D28" s="78"/>
      <c r="E28" s="48" t="s">
        <v>88</v>
      </c>
      <c r="F28" s="47">
        <f t="shared" ca="1" si="0"/>
        <v>2714</v>
      </c>
      <c r="G28" s="47">
        <f t="shared" ca="1" si="0"/>
        <v>2583</v>
      </c>
      <c r="H28" s="47">
        <f t="shared" ca="1" si="0"/>
        <v>2767</v>
      </c>
      <c r="I28" s="47">
        <f t="shared" ca="1" si="1"/>
        <v>0.85760379258516151</v>
      </c>
      <c r="J28" s="47">
        <f t="shared" ca="1" si="2"/>
        <v>10</v>
      </c>
      <c r="K28" s="57">
        <v>0.2</v>
      </c>
      <c r="L28" s="57">
        <v>0.2</v>
      </c>
      <c r="M28" s="57">
        <v>0.2</v>
      </c>
      <c r="N28" s="58">
        <f t="shared" ca="1" si="3"/>
        <v>2189</v>
      </c>
      <c r="O28" s="59">
        <f t="shared" ca="1" si="3"/>
        <v>2336</v>
      </c>
      <c r="P28" s="58">
        <f t="shared" ca="1" si="4"/>
        <v>190</v>
      </c>
      <c r="Q28" s="59">
        <f t="shared" ca="1" si="4"/>
        <v>162</v>
      </c>
      <c r="R28" s="63">
        <v>100000</v>
      </c>
      <c r="S28" s="63">
        <v>100000</v>
      </c>
      <c r="T28" s="63">
        <v>0.5</v>
      </c>
      <c r="U28" s="63">
        <v>0.5</v>
      </c>
      <c r="V28" s="61" t="s">
        <v>89</v>
      </c>
      <c r="W28" s="64">
        <v>0.3</v>
      </c>
    </row>
    <row r="29" spans="1:23" s="28" customFormat="1" ht="75" customHeight="1" x14ac:dyDescent="0.3">
      <c r="A29" s="74"/>
      <c r="B29" s="75"/>
      <c r="C29" s="77"/>
      <c r="D29" s="78"/>
      <c r="E29" s="48" t="s">
        <v>90</v>
      </c>
      <c r="F29" s="47">
        <f t="shared" ca="1" si="0"/>
        <v>2792</v>
      </c>
      <c r="G29" s="47">
        <f t="shared" ca="1" si="0"/>
        <v>2586</v>
      </c>
      <c r="H29" s="47">
        <f t="shared" ca="1" si="0"/>
        <v>2289</v>
      </c>
      <c r="I29" s="47">
        <f t="shared" ca="1" si="1"/>
        <v>0.37987226159466114</v>
      </c>
      <c r="J29" s="47">
        <f t="shared" ca="1" si="2"/>
        <v>10</v>
      </c>
      <c r="K29" s="57">
        <v>0.2</v>
      </c>
      <c r="L29" s="57">
        <v>0.2</v>
      </c>
      <c r="M29" s="57">
        <v>0.2</v>
      </c>
      <c r="N29" s="58">
        <f t="shared" ca="1" si="3"/>
        <v>2519</v>
      </c>
      <c r="O29" s="59">
        <f t="shared" ca="1" si="3"/>
        <v>2491</v>
      </c>
      <c r="P29" s="58">
        <f t="shared" ca="1" si="4"/>
        <v>135</v>
      </c>
      <c r="Q29" s="59">
        <f t="shared" ca="1" si="4"/>
        <v>123</v>
      </c>
      <c r="R29" s="63">
        <v>100000</v>
      </c>
      <c r="S29" s="63">
        <v>100000</v>
      </c>
      <c r="T29" s="63">
        <v>0.5</v>
      </c>
      <c r="U29" s="63">
        <v>0.5</v>
      </c>
      <c r="V29" s="61" t="s">
        <v>91</v>
      </c>
      <c r="W29" s="64">
        <v>0.3</v>
      </c>
    </row>
    <row r="30" spans="1:23" s="28" customFormat="1" ht="75" customHeight="1" x14ac:dyDescent="0.3">
      <c r="A30" s="74"/>
      <c r="B30" s="75"/>
      <c r="C30" s="77"/>
      <c r="D30" s="78"/>
      <c r="E30" s="52" t="s">
        <v>92</v>
      </c>
      <c r="F30" s="47">
        <f t="shared" ca="1" si="0"/>
        <v>2293</v>
      </c>
      <c r="G30" s="47">
        <f t="shared" ca="1" si="0"/>
        <v>2278</v>
      </c>
      <c r="H30" s="47">
        <f t="shared" ca="1" si="0"/>
        <v>2267</v>
      </c>
      <c r="I30" s="47">
        <f t="shared" ca="1" si="1"/>
        <v>0.97548241670938352</v>
      </c>
      <c r="J30" s="47">
        <f t="shared" ca="1" si="2"/>
        <v>28</v>
      </c>
      <c r="K30" s="57">
        <v>0.2</v>
      </c>
      <c r="L30" s="57">
        <v>0.2</v>
      </c>
      <c r="M30" s="57">
        <v>0.2</v>
      </c>
      <c r="N30" s="58">
        <f t="shared" ca="1" si="3"/>
        <v>2216</v>
      </c>
      <c r="O30" s="59">
        <f t="shared" ca="1" si="3"/>
        <v>2688</v>
      </c>
      <c r="P30" s="58">
        <f t="shared" ca="1" si="4"/>
        <v>175</v>
      </c>
      <c r="Q30" s="59">
        <f t="shared" ca="1" si="4"/>
        <v>169</v>
      </c>
      <c r="R30" s="63">
        <v>100000</v>
      </c>
      <c r="S30" s="63">
        <v>100000</v>
      </c>
      <c r="T30" s="63">
        <v>0.5</v>
      </c>
      <c r="U30" s="63">
        <v>0.5</v>
      </c>
      <c r="V30" s="61" t="s">
        <v>93</v>
      </c>
      <c r="W30" s="64">
        <v>0.3</v>
      </c>
    </row>
    <row r="31" spans="1:23" s="28" customFormat="1" ht="75" hidden="1" customHeight="1" x14ac:dyDescent="0.3">
      <c r="A31" s="74"/>
      <c r="B31" s="75"/>
      <c r="C31" s="77"/>
      <c r="D31" s="78"/>
      <c r="E31" s="48"/>
      <c r="F31" s="47">
        <f t="shared" ca="1" si="0"/>
        <v>2663</v>
      </c>
      <c r="G31" s="49"/>
      <c r="H31" s="47">
        <f t="shared" ca="1" si="0"/>
        <v>2984</v>
      </c>
      <c r="I31" s="47">
        <f t="shared" ca="1" si="1"/>
        <v>0.9305947285138837</v>
      </c>
      <c r="J31" s="47">
        <f t="shared" ca="1" si="2"/>
        <v>12</v>
      </c>
      <c r="K31" s="57">
        <v>0.2</v>
      </c>
      <c r="L31" s="57">
        <v>0.2</v>
      </c>
      <c r="M31" s="57">
        <v>0.2</v>
      </c>
      <c r="N31" s="58">
        <f t="shared" ca="1" si="3"/>
        <v>2227</v>
      </c>
      <c r="O31" s="59">
        <f t="shared" ca="1" si="3"/>
        <v>2041</v>
      </c>
      <c r="P31" s="58">
        <f t="shared" ca="1" si="4"/>
        <v>122</v>
      </c>
      <c r="Q31" s="59">
        <f t="shared" ca="1" si="4"/>
        <v>194</v>
      </c>
      <c r="R31" s="63">
        <v>100000</v>
      </c>
      <c r="S31" s="63">
        <v>100000</v>
      </c>
      <c r="T31" s="63">
        <v>0.5</v>
      </c>
      <c r="U31" s="63">
        <v>0.5</v>
      </c>
      <c r="V31" s="61"/>
      <c r="W31" s="64">
        <v>0.3</v>
      </c>
    </row>
    <row r="32" spans="1:23" s="28" customFormat="1" ht="75" customHeight="1" x14ac:dyDescent="0.3">
      <c r="A32" s="74"/>
      <c r="B32" s="75"/>
      <c r="C32" s="77"/>
      <c r="D32" s="78"/>
      <c r="E32" s="48" t="s">
        <v>94</v>
      </c>
      <c r="F32" s="47">
        <f t="shared" ca="1" si="0"/>
        <v>2817</v>
      </c>
      <c r="G32" s="47">
        <f t="shared" ca="1" si="0"/>
        <v>2970</v>
      </c>
      <c r="H32" s="47">
        <f t="shared" ca="1" si="0"/>
        <v>2552</v>
      </c>
      <c r="I32" s="47">
        <f t="shared" ca="1" si="1"/>
        <v>0.89290713363834728</v>
      </c>
      <c r="J32" s="47">
        <f t="shared" ca="1" si="2"/>
        <v>14</v>
      </c>
      <c r="K32" s="57">
        <v>0.2</v>
      </c>
      <c r="L32" s="57">
        <v>0.2</v>
      </c>
      <c r="M32" s="57">
        <v>0.2</v>
      </c>
      <c r="N32" s="58">
        <f t="shared" ca="1" si="3"/>
        <v>2453</v>
      </c>
      <c r="O32" s="59">
        <f t="shared" ca="1" si="3"/>
        <v>2588</v>
      </c>
      <c r="P32" s="58">
        <f t="shared" ca="1" si="4"/>
        <v>152</v>
      </c>
      <c r="Q32" s="59">
        <f t="shared" ca="1" si="4"/>
        <v>177</v>
      </c>
      <c r="R32" s="63">
        <v>100000</v>
      </c>
      <c r="S32" s="63">
        <v>100000</v>
      </c>
      <c r="T32" s="63">
        <v>0.5</v>
      </c>
      <c r="U32" s="63">
        <v>0.5</v>
      </c>
      <c r="V32" s="61" t="s">
        <v>72</v>
      </c>
      <c r="W32" s="64">
        <v>0.3</v>
      </c>
    </row>
    <row r="33" spans="1:23" s="28" customFormat="1" ht="75" customHeight="1" x14ac:dyDescent="0.3">
      <c r="A33" s="74"/>
      <c r="B33" s="75"/>
      <c r="C33" s="76" t="s">
        <v>51</v>
      </c>
      <c r="D33" s="78">
        <v>20</v>
      </c>
      <c r="E33" s="48" t="s">
        <v>95</v>
      </c>
      <c r="F33" s="47">
        <f t="shared" ca="1" si="0"/>
        <v>2783</v>
      </c>
      <c r="G33" s="47">
        <f t="shared" ca="1" si="0"/>
        <v>2914</v>
      </c>
      <c r="H33" s="47">
        <f t="shared" ca="1" si="0"/>
        <v>2409</v>
      </c>
      <c r="I33" s="47">
        <f t="shared" ca="1" si="1"/>
        <v>0.55901442490114173</v>
      </c>
      <c r="J33" s="47">
        <f t="shared" ca="1" si="2"/>
        <v>23</v>
      </c>
      <c r="K33" s="57">
        <v>0.2</v>
      </c>
      <c r="L33" s="57">
        <v>0.2</v>
      </c>
      <c r="M33" s="57">
        <v>0.2</v>
      </c>
      <c r="N33" s="58">
        <f t="shared" ca="1" si="3"/>
        <v>2161</v>
      </c>
      <c r="O33" s="59">
        <f t="shared" ca="1" si="3"/>
        <v>2970</v>
      </c>
      <c r="P33" s="58">
        <f t="shared" ca="1" si="4"/>
        <v>190</v>
      </c>
      <c r="Q33" s="59">
        <f t="shared" ca="1" si="4"/>
        <v>142</v>
      </c>
      <c r="R33" s="63">
        <v>100000</v>
      </c>
      <c r="S33" s="63">
        <v>100000</v>
      </c>
      <c r="T33" s="63">
        <v>0.5</v>
      </c>
      <c r="U33" s="63">
        <v>0.5</v>
      </c>
      <c r="V33" s="61" t="s">
        <v>65</v>
      </c>
      <c r="W33" s="64">
        <v>0.3</v>
      </c>
    </row>
    <row r="34" spans="1:23" s="28" customFormat="1" ht="75" customHeight="1" x14ac:dyDescent="0.3">
      <c r="A34" s="74"/>
      <c r="B34" s="75"/>
      <c r="C34" s="77"/>
      <c r="D34" s="78"/>
      <c r="E34" s="48" t="s">
        <v>96</v>
      </c>
      <c r="F34" s="47">
        <f t="shared" ca="1" si="0"/>
        <v>2347</v>
      </c>
      <c r="G34" s="47">
        <f t="shared" ca="1" si="0"/>
        <v>2023</v>
      </c>
      <c r="H34" s="47">
        <f t="shared" ca="1" si="0"/>
        <v>2059</v>
      </c>
      <c r="I34" s="47">
        <f t="shared" ca="1" si="1"/>
        <v>0.81937762584384755</v>
      </c>
      <c r="J34" s="47">
        <f t="shared" ca="1" si="2"/>
        <v>26</v>
      </c>
      <c r="K34" s="57">
        <v>0.2</v>
      </c>
      <c r="L34" s="57">
        <v>0.2</v>
      </c>
      <c r="M34" s="57">
        <v>0.2</v>
      </c>
      <c r="N34" s="58">
        <f t="shared" ca="1" si="3"/>
        <v>2615</v>
      </c>
      <c r="O34" s="59">
        <f t="shared" ca="1" si="3"/>
        <v>2750</v>
      </c>
      <c r="P34" s="58">
        <f t="shared" ca="1" si="4"/>
        <v>147</v>
      </c>
      <c r="Q34" s="59">
        <f t="shared" ca="1" si="4"/>
        <v>174</v>
      </c>
      <c r="R34" s="63">
        <v>100000</v>
      </c>
      <c r="S34" s="63">
        <v>100000</v>
      </c>
      <c r="T34" s="63">
        <v>0.5</v>
      </c>
      <c r="U34" s="63">
        <v>0.5</v>
      </c>
      <c r="V34" s="61" t="s">
        <v>62</v>
      </c>
      <c r="W34" s="64">
        <v>0.3</v>
      </c>
    </row>
    <row r="35" spans="1:23" s="28" customFormat="1" ht="75" customHeight="1" x14ac:dyDescent="0.3">
      <c r="A35" s="74"/>
      <c r="B35" s="75"/>
      <c r="C35" s="77"/>
      <c r="D35" s="78"/>
      <c r="E35" s="48" t="s">
        <v>97</v>
      </c>
      <c r="F35" s="47">
        <f t="shared" ca="1" si="0"/>
        <v>2324</v>
      </c>
      <c r="G35" s="47">
        <f t="shared" ca="1" si="0"/>
        <v>2807</v>
      </c>
      <c r="H35" s="47">
        <f t="shared" ca="1" si="0"/>
        <v>2735</v>
      </c>
      <c r="I35" s="47">
        <f t="shared" ca="1" si="1"/>
        <v>0.97026734793305747</v>
      </c>
      <c r="J35" s="47">
        <f t="shared" ca="1" si="2"/>
        <v>28</v>
      </c>
      <c r="K35" s="57">
        <v>0.2</v>
      </c>
      <c r="L35" s="57">
        <v>0.2</v>
      </c>
      <c r="M35" s="57">
        <v>0.2</v>
      </c>
      <c r="N35" s="58">
        <f t="shared" ca="1" si="3"/>
        <v>2371</v>
      </c>
      <c r="O35" s="59">
        <f t="shared" ca="1" si="3"/>
        <v>2128</v>
      </c>
      <c r="P35" s="58">
        <f t="shared" ca="1" si="4"/>
        <v>164</v>
      </c>
      <c r="Q35" s="59">
        <f t="shared" ca="1" si="4"/>
        <v>175</v>
      </c>
      <c r="R35" s="63">
        <v>100000</v>
      </c>
      <c r="S35" s="63">
        <v>100000</v>
      </c>
      <c r="T35" s="63">
        <v>0.5</v>
      </c>
      <c r="U35" s="63">
        <v>0.5</v>
      </c>
      <c r="V35" s="65"/>
      <c r="W35" s="65"/>
    </row>
    <row r="36" spans="1:23" s="28" customFormat="1" ht="75" customHeight="1" x14ac:dyDescent="0.3">
      <c r="A36" s="74"/>
      <c r="B36" s="75"/>
      <c r="C36" s="77"/>
      <c r="D36" s="78"/>
      <c r="E36" s="48" t="s">
        <v>98</v>
      </c>
      <c r="F36" s="47">
        <f t="shared" ca="1" si="0"/>
        <v>2099</v>
      </c>
      <c r="G36" s="47">
        <f t="shared" ca="1" si="0"/>
        <v>2578</v>
      </c>
      <c r="H36" s="47">
        <f t="shared" ca="1" si="0"/>
        <v>2023</v>
      </c>
      <c r="I36" s="47">
        <f t="shared" ca="1" si="1"/>
        <v>0.6264126567127366</v>
      </c>
      <c r="J36" s="47">
        <f t="shared" ca="1" si="2"/>
        <v>24</v>
      </c>
      <c r="K36" s="57">
        <v>0.2</v>
      </c>
      <c r="L36" s="57">
        <v>0.2</v>
      </c>
      <c r="M36" s="57">
        <v>0.2</v>
      </c>
      <c r="N36" s="58">
        <f t="shared" ca="1" si="3"/>
        <v>2220</v>
      </c>
      <c r="O36" s="59">
        <f t="shared" ca="1" si="3"/>
        <v>2229</v>
      </c>
      <c r="P36" s="58">
        <f t="shared" ca="1" si="4"/>
        <v>115</v>
      </c>
      <c r="Q36" s="59">
        <f t="shared" ca="1" si="4"/>
        <v>116</v>
      </c>
      <c r="R36" s="63">
        <v>100000</v>
      </c>
      <c r="S36" s="63">
        <v>100000</v>
      </c>
      <c r="T36" s="63">
        <v>0.5</v>
      </c>
      <c r="U36" s="63">
        <v>0.5</v>
      </c>
      <c r="V36" s="65"/>
      <c r="W36" s="65"/>
    </row>
    <row r="37" spans="1:23" s="28" customFormat="1" ht="75" customHeight="1" x14ac:dyDescent="0.3">
      <c r="A37" s="74"/>
      <c r="B37" s="75"/>
      <c r="C37" s="77"/>
      <c r="D37" s="78"/>
      <c r="E37" s="48" t="s">
        <v>99</v>
      </c>
      <c r="F37" s="47">
        <f t="shared" ca="1" si="0"/>
        <v>2871</v>
      </c>
      <c r="G37" s="47">
        <f t="shared" ca="1" si="0"/>
        <v>2359</v>
      </c>
      <c r="H37" s="47">
        <f t="shared" ca="1" si="0"/>
        <v>2716</v>
      </c>
      <c r="I37" s="47">
        <f t="shared" ca="1" si="1"/>
        <v>0.67336101684571625</v>
      </c>
      <c r="J37" s="47">
        <f t="shared" ca="1" si="2"/>
        <v>19</v>
      </c>
      <c r="K37" s="57">
        <v>0.2</v>
      </c>
      <c r="L37" s="57">
        <v>0.2</v>
      </c>
      <c r="M37" s="57">
        <v>0.2</v>
      </c>
      <c r="N37" s="58">
        <f t="shared" ca="1" si="3"/>
        <v>2463</v>
      </c>
      <c r="O37" s="59">
        <f t="shared" ca="1" si="3"/>
        <v>2519</v>
      </c>
      <c r="P37" s="58">
        <f t="shared" ca="1" si="4"/>
        <v>137</v>
      </c>
      <c r="Q37" s="59">
        <f t="shared" ca="1" si="4"/>
        <v>136</v>
      </c>
      <c r="R37" s="63">
        <v>100000</v>
      </c>
      <c r="S37" s="63">
        <v>100000</v>
      </c>
      <c r="T37" s="63">
        <v>0.5</v>
      </c>
      <c r="U37" s="63">
        <v>0.5</v>
      </c>
      <c r="V37" s="65"/>
      <c r="W37" s="65"/>
    </row>
    <row r="38" spans="1:23" s="28" customFormat="1" ht="75" customHeight="1" x14ac:dyDescent="0.3">
      <c r="A38" s="73" t="s">
        <v>39</v>
      </c>
      <c r="B38" s="75">
        <v>20</v>
      </c>
      <c r="C38" s="76" t="s">
        <v>67</v>
      </c>
      <c r="D38" s="78">
        <v>20</v>
      </c>
      <c r="E38" s="48" t="s">
        <v>100</v>
      </c>
      <c r="F38" s="47">
        <f t="shared" ca="1" si="0"/>
        <v>2705</v>
      </c>
      <c r="G38" s="47">
        <f t="shared" ca="1" si="0"/>
        <v>2763</v>
      </c>
      <c r="H38" s="47">
        <f t="shared" ca="1" si="0"/>
        <v>2506</v>
      </c>
      <c r="I38" s="47">
        <f t="shared" ca="1" si="1"/>
        <v>0.50706321805525334</v>
      </c>
      <c r="J38" s="47">
        <f t="shared" ca="1" si="2"/>
        <v>13</v>
      </c>
      <c r="K38" s="57">
        <v>0.2</v>
      </c>
      <c r="L38" s="57">
        <v>0.2</v>
      </c>
      <c r="M38" s="57">
        <v>0.2</v>
      </c>
      <c r="N38" s="58">
        <f t="shared" ca="1" si="3"/>
        <v>2837</v>
      </c>
      <c r="O38" s="59">
        <f t="shared" ca="1" si="3"/>
        <v>2449</v>
      </c>
      <c r="P38" s="58">
        <f t="shared" ca="1" si="4"/>
        <v>187</v>
      </c>
      <c r="Q38" s="59">
        <f t="shared" ca="1" si="4"/>
        <v>162</v>
      </c>
      <c r="R38" s="63">
        <v>100000</v>
      </c>
      <c r="S38" s="63">
        <v>100000</v>
      </c>
      <c r="T38" s="63">
        <v>0.5</v>
      </c>
      <c r="U38" s="63">
        <v>0.5</v>
      </c>
      <c r="V38" s="66"/>
      <c r="W38" s="66"/>
    </row>
    <row r="39" spans="1:23" s="28" customFormat="1" ht="75" customHeight="1" x14ac:dyDescent="0.3">
      <c r="A39" s="74"/>
      <c r="B39" s="75"/>
      <c r="C39" s="77"/>
      <c r="D39" s="78"/>
      <c r="E39" s="48" t="s">
        <v>101</v>
      </c>
      <c r="F39" s="47">
        <f t="shared" ca="1" si="0"/>
        <v>2193</v>
      </c>
      <c r="G39" s="47">
        <f t="shared" ca="1" si="0"/>
        <v>2653</v>
      </c>
      <c r="H39" s="47">
        <f t="shared" ca="1" si="0"/>
        <v>2130</v>
      </c>
      <c r="I39" s="47">
        <f t="shared" ca="1" si="1"/>
        <v>0.58657533915450089</v>
      </c>
      <c r="J39" s="47">
        <f t="shared" ca="1" si="2"/>
        <v>14</v>
      </c>
      <c r="K39" s="57">
        <v>0.2</v>
      </c>
      <c r="L39" s="57">
        <v>0.2</v>
      </c>
      <c r="M39" s="57">
        <v>0.2</v>
      </c>
      <c r="N39" s="58">
        <f t="shared" ca="1" si="3"/>
        <v>2613</v>
      </c>
      <c r="O39" s="59">
        <f t="shared" ca="1" si="3"/>
        <v>2528</v>
      </c>
      <c r="P39" s="58">
        <f t="shared" ca="1" si="4"/>
        <v>100</v>
      </c>
      <c r="Q39" s="59">
        <f t="shared" ca="1" si="4"/>
        <v>127</v>
      </c>
      <c r="R39" s="63">
        <v>100000</v>
      </c>
      <c r="S39" s="63">
        <v>100000</v>
      </c>
      <c r="T39" s="63">
        <v>0.5</v>
      </c>
      <c r="U39" s="63">
        <v>0.5</v>
      </c>
      <c r="V39" s="66"/>
      <c r="W39" s="66"/>
    </row>
    <row r="40" spans="1:23" s="28" customFormat="1" ht="75" customHeight="1" x14ac:dyDescent="0.3">
      <c r="A40" s="74"/>
      <c r="B40" s="75"/>
      <c r="C40" s="77"/>
      <c r="D40" s="78"/>
      <c r="E40" s="52" t="s">
        <v>102</v>
      </c>
      <c r="F40" s="47">
        <f t="shared" ca="1" si="0"/>
        <v>2157</v>
      </c>
      <c r="G40" s="47">
        <f t="shared" ca="1" si="0"/>
        <v>2486</v>
      </c>
      <c r="H40" s="47">
        <f t="shared" ca="1" si="0"/>
        <v>2471</v>
      </c>
      <c r="I40" s="47">
        <f t="shared" ca="1" si="1"/>
        <v>0.76856722650493126</v>
      </c>
      <c r="J40" s="47">
        <f t="shared" ca="1" si="2"/>
        <v>24</v>
      </c>
      <c r="K40" s="57">
        <v>0.2</v>
      </c>
      <c r="L40" s="57">
        <v>0.2</v>
      </c>
      <c r="M40" s="57">
        <v>0.2</v>
      </c>
      <c r="N40" s="58">
        <f t="shared" ca="1" si="3"/>
        <v>2324</v>
      </c>
      <c r="O40" s="59">
        <f t="shared" ca="1" si="3"/>
        <v>2824</v>
      </c>
      <c r="P40" s="58">
        <f t="shared" ca="1" si="4"/>
        <v>158</v>
      </c>
      <c r="Q40" s="59">
        <f t="shared" ca="1" si="4"/>
        <v>173</v>
      </c>
      <c r="R40" s="63">
        <v>100000</v>
      </c>
      <c r="S40" s="63">
        <v>100000</v>
      </c>
      <c r="T40" s="63">
        <v>0.5</v>
      </c>
      <c r="U40" s="63">
        <v>0.5</v>
      </c>
      <c r="V40" s="66"/>
      <c r="W40" s="66"/>
    </row>
    <row r="41" spans="1:23" s="28" customFormat="1" ht="75" hidden="1" customHeight="1" x14ac:dyDescent="0.3">
      <c r="A41" s="74"/>
      <c r="B41" s="75"/>
      <c r="C41" s="77"/>
      <c r="D41" s="78"/>
      <c r="E41" s="48"/>
      <c r="F41" s="47">
        <f t="shared" ca="1" si="0"/>
        <v>2887</v>
      </c>
      <c r="G41" s="47">
        <f t="shared" ca="1" si="0"/>
        <v>2487</v>
      </c>
      <c r="H41" s="47">
        <f t="shared" ca="1" si="0"/>
        <v>2203</v>
      </c>
      <c r="I41" s="47">
        <f t="shared" ca="1" si="1"/>
        <v>0.31272218974414623</v>
      </c>
      <c r="J41" s="47">
        <f t="shared" ca="1" si="2"/>
        <v>29</v>
      </c>
      <c r="K41" s="57">
        <v>0.2</v>
      </c>
      <c r="L41" s="57">
        <v>0.2</v>
      </c>
      <c r="M41" s="57">
        <v>0.2</v>
      </c>
      <c r="N41" s="58">
        <f t="shared" ca="1" si="3"/>
        <v>2722</v>
      </c>
      <c r="O41" s="59">
        <f t="shared" ca="1" si="3"/>
        <v>2912</v>
      </c>
      <c r="P41" s="58">
        <f t="shared" ca="1" si="4"/>
        <v>196</v>
      </c>
      <c r="Q41" s="59">
        <f t="shared" ca="1" si="4"/>
        <v>174</v>
      </c>
      <c r="R41" s="63">
        <v>100000</v>
      </c>
      <c r="S41" s="63">
        <v>100000</v>
      </c>
      <c r="T41" s="63">
        <v>0.5</v>
      </c>
      <c r="U41" s="63">
        <v>0.5</v>
      </c>
      <c r="V41" s="66"/>
      <c r="W41" s="66"/>
    </row>
    <row r="42" spans="1:23" s="28" customFormat="1" ht="75" customHeight="1" x14ac:dyDescent="0.3">
      <c r="A42" s="74"/>
      <c r="B42" s="75"/>
      <c r="C42" s="77"/>
      <c r="D42" s="78"/>
      <c r="E42" s="48" t="s">
        <v>103</v>
      </c>
      <c r="F42" s="47">
        <f t="shared" ca="1" si="0"/>
        <v>2425</v>
      </c>
      <c r="G42" s="47">
        <f t="shared" ca="1" si="0"/>
        <v>2912</v>
      </c>
      <c r="H42" s="47">
        <f t="shared" ca="1" si="0"/>
        <v>2889</v>
      </c>
      <c r="I42" s="47">
        <f t="shared" ca="1" si="1"/>
        <v>0.26173180699959919</v>
      </c>
      <c r="J42" s="47">
        <f t="shared" ca="1" si="2"/>
        <v>13</v>
      </c>
      <c r="K42" s="57">
        <v>0.2</v>
      </c>
      <c r="L42" s="57">
        <v>0.2</v>
      </c>
      <c r="M42" s="57">
        <v>0.2</v>
      </c>
      <c r="N42" s="58">
        <f t="shared" ca="1" si="3"/>
        <v>2045</v>
      </c>
      <c r="O42" s="59">
        <f t="shared" ca="1" si="3"/>
        <v>2396</v>
      </c>
      <c r="P42" s="58">
        <f t="shared" ca="1" si="4"/>
        <v>160</v>
      </c>
      <c r="Q42" s="59">
        <f t="shared" ca="1" si="4"/>
        <v>118</v>
      </c>
      <c r="R42" s="63">
        <v>100000</v>
      </c>
      <c r="S42" s="63">
        <v>100000</v>
      </c>
      <c r="T42" s="63">
        <v>0.5</v>
      </c>
      <c r="U42" s="63">
        <v>0.5</v>
      </c>
      <c r="V42" s="66"/>
      <c r="W42" s="66"/>
    </row>
    <row r="43" spans="1:23" s="28" customFormat="1" ht="75" customHeight="1" x14ac:dyDescent="0.3">
      <c r="A43" s="74"/>
      <c r="B43" s="75"/>
      <c r="C43" s="39" t="s">
        <v>71</v>
      </c>
      <c r="D43" s="45">
        <v>20</v>
      </c>
      <c r="E43" s="48" t="s">
        <v>104</v>
      </c>
      <c r="F43" s="47">
        <f t="shared" ca="1" si="0"/>
        <v>2409</v>
      </c>
      <c r="G43" s="47">
        <f t="shared" ca="1" si="0"/>
        <v>2483</v>
      </c>
      <c r="H43" s="47">
        <f t="shared" ca="1" si="0"/>
        <v>2843</v>
      </c>
      <c r="I43" s="47">
        <f t="shared" ca="1" si="1"/>
        <v>0.12360895398869109</v>
      </c>
      <c r="J43" s="47">
        <f t="shared" ca="1" si="2"/>
        <v>17</v>
      </c>
      <c r="K43" s="57">
        <v>0.2</v>
      </c>
      <c r="L43" s="57">
        <v>0.2</v>
      </c>
      <c r="M43" s="57">
        <v>0.2</v>
      </c>
      <c r="N43" s="58">
        <f t="shared" ca="1" si="3"/>
        <v>2435</v>
      </c>
      <c r="O43" s="59">
        <f t="shared" ca="1" si="3"/>
        <v>2714</v>
      </c>
      <c r="P43" s="58">
        <f t="shared" ca="1" si="4"/>
        <v>124</v>
      </c>
      <c r="Q43" s="59">
        <f t="shared" ca="1" si="4"/>
        <v>129</v>
      </c>
      <c r="R43" s="63">
        <v>100000</v>
      </c>
      <c r="S43" s="63">
        <v>100000</v>
      </c>
      <c r="T43" s="63">
        <v>0.5</v>
      </c>
      <c r="U43" s="63">
        <v>0.5</v>
      </c>
      <c r="V43" s="66"/>
      <c r="W43" s="66"/>
    </row>
    <row r="44" spans="1:23" s="28" customFormat="1" ht="75" customHeight="1" x14ac:dyDescent="0.3">
      <c r="A44" s="73" t="s">
        <v>42</v>
      </c>
      <c r="B44" s="75">
        <v>20</v>
      </c>
      <c r="C44" s="76" t="s">
        <v>59</v>
      </c>
      <c r="D44" s="78">
        <v>20</v>
      </c>
      <c r="E44" s="48" t="s">
        <v>105</v>
      </c>
      <c r="F44" s="47">
        <f t="shared" ca="1" si="0"/>
        <v>2069</v>
      </c>
      <c r="G44" s="47">
        <f t="shared" ca="1" si="0"/>
        <v>2021</v>
      </c>
      <c r="H44" s="47">
        <f t="shared" ca="1" si="0"/>
        <v>2589</v>
      </c>
      <c r="I44" s="47">
        <f t="shared" ca="1" si="1"/>
        <v>0.15347221662746602</v>
      </c>
      <c r="J44" s="47">
        <f t="shared" ca="1" si="2"/>
        <v>14</v>
      </c>
      <c r="K44" s="57">
        <v>0.2</v>
      </c>
      <c r="L44" s="57">
        <v>0.2</v>
      </c>
      <c r="M44" s="57">
        <v>0.2</v>
      </c>
      <c r="N44" s="58">
        <f t="shared" ca="1" si="3"/>
        <v>2440</v>
      </c>
      <c r="O44" s="59">
        <f t="shared" ca="1" si="3"/>
        <v>2130</v>
      </c>
      <c r="P44" s="58">
        <f t="shared" ca="1" si="4"/>
        <v>139</v>
      </c>
      <c r="Q44" s="59">
        <f t="shared" ca="1" si="4"/>
        <v>143</v>
      </c>
      <c r="R44" s="63">
        <v>100000</v>
      </c>
      <c r="S44" s="63">
        <v>100000</v>
      </c>
      <c r="T44" s="63">
        <v>0.5</v>
      </c>
      <c r="U44" s="63">
        <v>0.5</v>
      </c>
      <c r="V44" s="66"/>
      <c r="W44" s="66"/>
    </row>
    <row r="45" spans="1:23" s="28" customFormat="1" ht="75" customHeight="1" x14ac:dyDescent="0.3">
      <c r="A45" s="74"/>
      <c r="B45" s="75"/>
      <c r="C45" s="77"/>
      <c r="D45" s="78"/>
      <c r="E45" s="48" t="s">
        <v>106</v>
      </c>
      <c r="F45" s="47">
        <f t="shared" ca="1" si="0"/>
        <v>2716</v>
      </c>
      <c r="G45" s="47">
        <f t="shared" ca="1" si="0"/>
        <v>2166</v>
      </c>
      <c r="H45" s="47">
        <f t="shared" ca="1" si="0"/>
        <v>2545</v>
      </c>
      <c r="I45" s="47">
        <f t="shared" ca="1" si="1"/>
        <v>4.7092414353845813E-2</v>
      </c>
      <c r="J45" s="47">
        <f t="shared" ca="1" si="2"/>
        <v>10</v>
      </c>
      <c r="K45" s="57">
        <v>0.2</v>
      </c>
      <c r="L45" s="57">
        <v>0.2</v>
      </c>
      <c r="M45" s="57">
        <v>0.2</v>
      </c>
      <c r="N45" s="58">
        <f t="shared" ca="1" si="3"/>
        <v>2146</v>
      </c>
      <c r="O45" s="59">
        <f t="shared" ca="1" si="3"/>
        <v>2490</v>
      </c>
      <c r="P45" s="58">
        <f t="shared" ca="1" si="4"/>
        <v>193</v>
      </c>
      <c r="Q45" s="59">
        <f t="shared" ca="1" si="4"/>
        <v>109</v>
      </c>
      <c r="R45" s="63">
        <v>100000</v>
      </c>
      <c r="S45" s="63">
        <v>100000</v>
      </c>
      <c r="T45" s="63">
        <v>0.5</v>
      </c>
      <c r="U45" s="63">
        <v>0.5</v>
      </c>
      <c r="V45" s="66"/>
      <c r="W45" s="66"/>
    </row>
    <row r="46" spans="1:23" s="28" customFormat="1" ht="75" customHeight="1" x14ac:dyDescent="0.3">
      <c r="A46" s="74"/>
      <c r="B46" s="75"/>
      <c r="C46" s="77"/>
      <c r="D46" s="78"/>
      <c r="E46" s="48" t="s">
        <v>107</v>
      </c>
      <c r="F46" s="47">
        <f t="shared" ca="1" si="0"/>
        <v>2574</v>
      </c>
      <c r="G46" s="47">
        <f t="shared" ca="1" si="0"/>
        <v>2507</v>
      </c>
      <c r="H46" s="47">
        <f t="shared" ca="1" si="0"/>
        <v>2292</v>
      </c>
      <c r="I46" s="47">
        <f t="shared" ca="1" si="1"/>
        <v>0.49111097019460559</v>
      </c>
      <c r="J46" s="47">
        <f t="shared" ca="1" si="2"/>
        <v>27</v>
      </c>
      <c r="K46" s="57">
        <v>0.2</v>
      </c>
      <c r="L46" s="57">
        <v>0.2</v>
      </c>
      <c r="M46" s="57">
        <v>0.2</v>
      </c>
      <c r="N46" s="58">
        <f t="shared" ca="1" si="3"/>
        <v>2985</v>
      </c>
      <c r="O46" s="59">
        <f t="shared" ca="1" si="3"/>
        <v>2436</v>
      </c>
      <c r="P46" s="58">
        <f t="shared" ca="1" si="4"/>
        <v>172</v>
      </c>
      <c r="Q46" s="59">
        <f t="shared" ca="1" si="4"/>
        <v>149</v>
      </c>
      <c r="R46" s="63">
        <v>100000</v>
      </c>
      <c r="S46" s="63">
        <v>100000</v>
      </c>
      <c r="T46" s="63">
        <v>0.5</v>
      </c>
      <c r="U46" s="63">
        <v>0.5</v>
      </c>
      <c r="V46" s="66"/>
      <c r="W46" s="66"/>
    </row>
    <row r="47" spans="1:23" s="28" customFormat="1" ht="75" customHeight="1" x14ac:dyDescent="0.3">
      <c r="A47" s="74"/>
      <c r="B47" s="75"/>
      <c r="C47" s="76" t="s">
        <v>61</v>
      </c>
      <c r="D47" s="78">
        <v>20</v>
      </c>
      <c r="E47" s="48" t="s">
        <v>108</v>
      </c>
      <c r="F47" s="47">
        <f t="shared" ca="1" si="0"/>
        <v>2908</v>
      </c>
      <c r="G47" s="47">
        <f t="shared" ca="1" si="0"/>
        <v>2090</v>
      </c>
      <c r="H47" s="47">
        <f t="shared" ca="1" si="0"/>
        <v>2913</v>
      </c>
      <c r="I47" s="47">
        <f t="shared" ca="1" si="1"/>
        <v>4.5859859173769224E-2</v>
      </c>
      <c r="J47" s="47">
        <f t="shared" ca="1" si="2"/>
        <v>29</v>
      </c>
      <c r="K47" s="57">
        <v>0.2</v>
      </c>
      <c r="L47" s="57">
        <v>0.2</v>
      </c>
      <c r="M47" s="57">
        <v>0.2</v>
      </c>
      <c r="N47" s="58">
        <f t="shared" ca="1" si="3"/>
        <v>2891</v>
      </c>
      <c r="O47" s="59">
        <f t="shared" ca="1" si="3"/>
        <v>2987</v>
      </c>
      <c r="P47" s="58">
        <f t="shared" ca="1" si="4"/>
        <v>192</v>
      </c>
      <c r="Q47" s="59">
        <f t="shared" ca="1" si="4"/>
        <v>164</v>
      </c>
      <c r="R47" s="63">
        <v>100000</v>
      </c>
      <c r="S47" s="63">
        <v>100000</v>
      </c>
      <c r="T47" s="63">
        <v>0.5</v>
      </c>
      <c r="U47" s="63">
        <v>0.5</v>
      </c>
      <c r="V47" s="66"/>
      <c r="W47" s="66"/>
    </row>
    <row r="48" spans="1:23" s="28" customFormat="1" ht="75" customHeight="1" x14ac:dyDescent="0.3">
      <c r="A48" s="74"/>
      <c r="B48" s="75"/>
      <c r="C48" s="77"/>
      <c r="D48" s="78"/>
      <c r="E48" s="48" t="s">
        <v>109</v>
      </c>
      <c r="F48" s="47">
        <f t="shared" ca="1" si="0"/>
        <v>2301</v>
      </c>
      <c r="G48" s="47">
        <f t="shared" ca="1" si="0"/>
        <v>2884</v>
      </c>
      <c r="H48" s="47">
        <f t="shared" ca="1" si="0"/>
        <v>2802</v>
      </c>
      <c r="I48" s="47">
        <f t="shared" ca="1" si="1"/>
        <v>0.57934820490947747</v>
      </c>
      <c r="J48" s="47">
        <f t="shared" ca="1" si="2"/>
        <v>20</v>
      </c>
      <c r="K48" s="57">
        <v>0.2</v>
      </c>
      <c r="L48" s="57">
        <v>0.2</v>
      </c>
      <c r="M48" s="57">
        <v>0.2</v>
      </c>
      <c r="N48" s="58">
        <f t="shared" ca="1" si="3"/>
        <v>2107</v>
      </c>
      <c r="O48" s="59">
        <f t="shared" ca="1" si="3"/>
        <v>2522</v>
      </c>
      <c r="P48" s="58">
        <f t="shared" ca="1" si="4"/>
        <v>131</v>
      </c>
      <c r="Q48" s="59">
        <f t="shared" ca="1" si="4"/>
        <v>102</v>
      </c>
      <c r="R48" s="63">
        <v>100000</v>
      </c>
      <c r="S48" s="63">
        <v>100000</v>
      </c>
      <c r="T48" s="63">
        <v>0.5</v>
      </c>
      <c r="U48" s="63">
        <v>0.5</v>
      </c>
      <c r="V48" s="66"/>
      <c r="W48" s="66"/>
    </row>
    <row r="49" spans="1:23" s="28" customFormat="1" ht="75" customHeight="1" x14ac:dyDescent="0.3">
      <c r="A49" s="74"/>
      <c r="B49" s="75"/>
      <c r="C49" s="77"/>
      <c r="D49" s="78"/>
      <c r="E49" s="48" t="s">
        <v>110</v>
      </c>
      <c r="F49" s="47">
        <f t="shared" ca="1" si="0"/>
        <v>2039</v>
      </c>
      <c r="G49" s="47">
        <f t="shared" ca="1" si="0"/>
        <v>2806</v>
      </c>
      <c r="H49" s="47">
        <f t="shared" ca="1" si="0"/>
        <v>2311</v>
      </c>
      <c r="I49" s="47">
        <f t="shared" ca="1" si="1"/>
        <v>7.3503811402032215E-2</v>
      </c>
      <c r="J49" s="47">
        <f t="shared" ca="1" si="2"/>
        <v>17</v>
      </c>
      <c r="K49" s="57">
        <v>0.2</v>
      </c>
      <c r="L49" s="57">
        <v>0.2</v>
      </c>
      <c r="M49" s="57">
        <v>0.2</v>
      </c>
      <c r="N49" s="58">
        <f t="shared" ca="1" si="3"/>
        <v>2135</v>
      </c>
      <c r="O49" s="59">
        <f t="shared" ca="1" si="3"/>
        <v>2998</v>
      </c>
      <c r="P49" s="58">
        <f t="shared" ca="1" si="4"/>
        <v>171</v>
      </c>
      <c r="Q49" s="59">
        <f t="shared" ca="1" si="4"/>
        <v>149</v>
      </c>
      <c r="R49" s="63">
        <v>100000</v>
      </c>
      <c r="S49" s="63">
        <v>100000</v>
      </c>
      <c r="T49" s="63">
        <v>0.5</v>
      </c>
      <c r="U49" s="63">
        <v>0.5</v>
      </c>
      <c r="V49" s="66"/>
      <c r="W49" s="66"/>
    </row>
    <row r="50" spans="1:23" s="28" customFormat="1" ht="75" customHeight="1" x14ac:dyDescent="0.3">
      <c r="A50" s="74"/>
      <c r="B50" s="75"/>
      <c r="C50" s="39" t="s">
        <v>64</v>
      </c>
      <c r="D50" s="45">
        <v>20</v>
      </c>
      <c r="E50" s="48" t="s">
        <v>111</v>
      </c>
      <c r="F50" s="47">
        <f t="shared" ca="1" si="0"/>
        <v>2373</v>
      </c>
      <c r="G50" s="47">
        <f t="shared" ca="1" si="0"/>
        <v>2527</v>
      </c>
      <c r="H50" s="47">
        <f t="shared" ca="1" si="0"/>
        <v>2650</v>
      </c>
      <c r="I50" s="47">
        <f t="shared" ca="1" si="1"/>
        <v>0.7495876831924061</v>
      </c>
      <c r="J50" s="47">
        <f t="shared" ca="1" si="2"/>
        <v>12</v>
      </c>
      <c r="K50" s="57">
        <v>0.2</v>
      </c>
      <c r="L50" s="57">
        <v>0.2</v>
      </c>
      <c r="M50" s="57">
        <v>0.2</v>
      </c>
      <c r="N50" s="58">
        <f t="shared" ca="1" si="3"/>
        <v>2160</v>
      </c>
      <c r="O50" s="59">
        <f t="shared" ca="1" si="3"/>
        <v>2767</v>
      </c>
      <c r="P50" s="58">
        <f t="shared" ca="1" si="4"/>
        <v>167</v>
      </c>
      <c r="Q50" s="59">
        <f t="shared" ca="1" si="4"/>
        <v>112</v>
      </c>
      <c r="R50" s="63">
        <v>100000</v>
      </c>
      <c r="S50" s="63">
        <v>100000</v>
      </c>
      <c r="T50" s="63">
        <v>0.5</v>
      </c>
      <c r="U50" s="63">
        <v>0.5</v>
      </c>
      <c r="V50" s="66"/>
      <c r="W50" s="66"/>
    </row>
    <row r="51" spans="1:23" s="28" customFormat="1" ht="75" customHeight="1" x14ac:dyDescent="0.3">
      <c r="A51" s="73" t="s">
        <v>45</v>
      </c>
      <c r="B51" s="75">
        <v>20</v>
      </c>
      <c r="C51" s="76" t="s">
        <v>87</v>
      </c>
      <c r="D51" s="78">
        <v>20</v>
      </c>
      <c r="E51" s="48" t="s">
        <v>112</v>
      </c>
      <c r="F51" s="47">
        <f t="shared" ca="1" si="0"/>
        <v>2195</v>
      </c>
      <c r="G51" s="47">
        <f t="shared" ca="1" si="0"/>
        <v>2851</v>
      </c>
      <c r="H51" s="47">
        <f t="shared" ca="1" si="0"/>
        <v>2659</v>
      </c>
      <c r="I51" s="47">
        <f t="shared" ca="1" si="1"/>
        <v>0.29748217724431336</v>
      </c>
      <c r="J51" s="47">
        <f t="shared" ca="1" si="2"/>
        <v>14</v>
      </c>
      <c r="K51" s="57">
        <v>0.2</v>
      </c>
      <c r="L51" s="57">
        <v>0.2</v>
      </c>
      <c r="M51" s="57">
        <v>0.2</v>
      </c>
      <c r="N51" s="58">
        <f t="shared" ca="1" si="3"/>
        <v>2759</v>
      </c>
      <c r="O51" s="59">
        <f t="shared" ca="1" si="3"/>
        <v>2920</v>
      </c>
      <c r="P51" s="58">
        <f t="shared" ca="1" si="4"/>
        <v>131</v>
      </c>
      <c r="Q51" s="59">
        <f t="shared" ca="1" si="4"/>
        <v>160</v>
      </c>
      <c r="R51" s="63">
        <v>100000</v>
      </c>
      <c r="S51" s="63">
        <v>100000</v>
      </c>
      <c r="T51" s="63">
        <v>0.5</v>
      </c>
      <c r="U51" s="63">
        <v>0.5</v>
      </c>
      <c r="V51" s="66"/>
      <c r="W51" s="66"/>
    </row>
    <row r="52" spans="1:23" s="28" customFormat="1" ht="75" customHeight="1" x14ac:dyDescent="0.3">
      <c r="A52" s="74"/>
      <c r="B52" s="75"/>
      <c r="C52" s="77"/>
      <c r="D52" s="78"/>
      <c r="E52" s="48" t="s">
        <v>113</v>
      </c>
      <c r="F52" s="47">
        <f t="shared" ca="1" si="0"/>
        <v>2598</v>
      </c>
      <c r="G52" s="47">
        <f t="shared" ca="1" si="0"/>
        <v>2497</v>
      </c>
      <c r="H52" s="47">
        <f t="shared" ca="1" si="0"/>
        <v>2319</v>
      </c>
      <c r="I52" s="47">
        <f t="shared" ca="1" si="1"/>
        <v>0.82283178423128889</v>
      </c>
      <c r="J52" s="47">
        <f t="shared" ca="1" si="2"/>
        <v>16</v>
      </c>
      <c r="K52" s="57">
        <v>0.2</v>
      </c>
      <c r="L52" s="57">
        <v>0.2</v>
      </c>
      <c r="M52" s="57">
        <v>0.2</v>
      </c>
      <c r="N52" s="58">
        <f t="shared" ca="1" si="3"/>
        <v>2775</v>
      </c>
      <c r="O52" s="59">
        <f t="shared" ca="1" si="3"/>
        <v>2220</v>
      </c>
      <c r="P52" s="58">
        <f t="shared" ca="1" si="4"/>
        <v>167</v>
      </c>
      <c r="Q52" s="59">
        <f t="shared" ca="1" si="4"/>
        <v>120</v>
      </c>
      <c r="R52" s="63">
        <v>100000</v>
      </c>
      <c r="S52" s="63">
        <v>100000</v>
      </c>
      <c r="T52" s="63">
        <v>0.5</v>
      </c>
      <c r="U52" s="63">
        <v>0.5</v>
      </c>
      <c r="V52" s="66"/>
      <c r="W52" s="66"/>
    </row>
    <row r="53" spans="1:23" s="28" customFormat="1" ht="75" customHeight="1" x14ac:dyDescent="0.3">
      <c r="A53" s="74"/>
      <c r="B53" s="75"/>
      <c r="C53" s="77"/>
      <c r="D53" s="78"/>
      <c r="E53" s="48" t="s">
        <v>114</v>
      </c>
      <c r="F53" s="47">
        <f t="shared" ca="1" si="0"/>
        <v>2315</v>
      </c>
      <c r="G53" s="47">
        <f t="shared" ca="1" si="0"/>
        <v>2593</v>
      </c>
      <c r="H53" s="47">
        <f t="shared" ca="1" si="0"/>
        <v>2740</v>
      </c>
      <c r="I53" s="47">
        <f t="shared" ca="1" si="1"/>
        <v>0.24059803336408603</v>
      </c>
      <c r="J53" s="47">
        <f t="shared" ca="1" si="2"/>
        <v>29</v>
      </c>
      <c r="K53" s="57">
        <v>0.2</v>
      </c>
      <c r="L53" s="57">
        <v>0.2</v>
      </c>
      <c r="M53" s="57">
        <v>0.2</v>
      </c>
      <c r="N53" s="58">
        <f t="shared" ca="1" si="3"/>
        <v>2637</v>
      </c>
      <c r="O53" s="59">
        <f t="shared" ca="1" si="3"/>
        <v>2373</v>
      </c>
      <c r="P53" s="58">
        <f t="shared" ca="1" si="4"/>
        <v>179</v>
      </c>
      <c r="Q53" s="59">
        <f t="shared" ca="1" si="4"/>
        <v>188</v>
      </c>
      <c r="R53" s="63">
        <v>100000</v>
      </c>
      <c r="S53" s="63">
        <v>100000</v>
      </c>
      <c r="T53" s="63">
        <v>0.5</v>
      </c>
      <c r="U53" s="63">
        <v>0.5</v>
      </c>
      <c r="V53" s="66"/>
      <c r="W53" s="66"/>
    </row>
    <row r="54" spans="1:23" s="28" customFormat="1" ht="75" customHeight="1" x14ac:dyDescent="0.3">
      <c r="A54" s="74"/>
      <c r="B54" s="75"/>
      <c r="C54" s="77"/>
      <c r="D54" s="78"/>
      <c r="E54" s="48" t="s">
        <v>115</v>
      </c>
      <c r="F54" s="47">
        <f t="shared" ca="1" si="0"/>
        <v>2872</v>
      </c>
      <c r="G54" s="47">
        <f t="shared" ca="1" si="0"/>
        <v>2142</v>
      </c>
      <c r="H54" s="47">
        <f t="shared" ca="1" si="0"/>
        <v>2939</v>
      </c>
      <c r="I54" s="47">
        <f t="shared" ca="1" si="1"/>
        <v>0.38039470135994691</v>
      </c>
      <c r="J54" s="47">
        <f t="shared" ca="1" si="2"/>
        <v>22</v>
      </c>
      <c r="K54" s="57">
        <v>0.2</v>
      </c>
      <c r="L54" s="57">
        <v>0.2</v>
      </c>
      <c r="M54" s="57">
        <v>0.2</v>
      </c>
      <c r="N54" s="58">
        <f t="shared" ca="1" si="3"/>
        <v>2284</v>
      </c>
      <c r="O54" s="59">
        <f t="shared" ca="1" si="3"/>
        <v>2506</v>
      </c>
      <c r="P54" s="58">
        <f t="shared" ca="1" si="4"/>
        <v>131</v>
      </c>
      <c r="Q54" s="59">
        <f t="shared" ca="1" si="4"/>
        <v>183</v>
      </c>
      <c r="R54" s="63">
        <v>100000</v>
      </c>
      <c r="S54" s="63">
        <v>100000</v>
      </c>
      <c r="T54" s="63">
        <v>0.5</v>
      </c>
      <c r="U54" s="63">
        <v>0.5</v>
      </c>
      <c r="V54" s="66"/>
      <c r="W54" s="66"/>
    </row>
    <row r="55" spans="1:23" s="28" customFormat="1" ht="75" customHeight="1" x14ac:dyDescent="0.3">
      <c r="A55" s="74"/>
      <c r="B55" s="75"/>
      <c r="C55" s="39" t="s">
        <v>91</v>
      </c>
      <c r="D55" s="45">
        <v>20</v>
      </c>
      <c r="E55" s="48" t="s">
        <v>116</v>
      </c>
      <c r="F55" s="47">
        <f t="shared" ca="1" si="0"/>
        <v>2665</v>
      </c>
      <c r="G55" s="47">
        <f t="shared" ca="1" si="0"/>
        <v>2868</v>
      </c>
      <c r="H55" s="47">
        <f t="shared" ca="1" si="0"/>
        <v>2888</v>
      </c>
      <c r="I55" s="47">
        <f t="shared" ca="1" si="1"/>
        <v>0.58019386756757818</v>
      </c>
      <c r="J55" s="47">
        <f t="shared" ca="1" si="2"/>
        <v>14</v>
      </c>
      <c r="K55" s="57">
        <v>0.2</v>
      </c>
      <c r="L55" s="57">
        <v>0.2</v>
      </c>
      <c r="M55" s="57">
        <v>0.2</v>
      </c>
      <c r="N55" s="58">
        <f t="shared" ca="1" si="3"/>
        <v>2981</v>
      </c>
      <c r="O55" s="59">
        <f t="shared" ca="1" si="3"/>
        <v>2505</v>
      </c>
      <c r="P55" s="58">
        <f t="shared" ca="1" si="4"/>
        <v>165</v>
      </c>
      <c r="Q55" s="59">
        <f t="shared" ca="1" si="4"/>
        <v>142</v>
      </c>
      <c r="R55" s="63">
        <v>100000</v>
      </c>
      <c r="S55" s="63">
        <v>100000</v>
      </c>
      <c r="T55" s="63">
        <v>0.5</v>
      </c>
      <c r="U55" s="63">
        <v>0.5</v>
      </c>
      <c r="V55" s="66"/>
      <c r="W55" s="66"/>
    </row>
    <row r="56" spans="1:23" s="28" customFormat="1" ht="75" customHeight="1" x14ac:dyDescent="0.3">
      <c r="A56" s="74"/>
      <c r="B56" s="75"/>
      <c r="C56" s="39" t="s">
        <v>89</v>
      </c>
      <c r="D56" s="45">
        <v>20</v>
      </c>
      <c r="E56" s="48" t="s">
        <v>117</v>
      </c>
      <c r="F56" s="47">
        <f t="shared" ca="1" si="0"/>
        <v>2496</v>
      </c>
      <c r="G56" s="47">
        <f t="shared" ca="1" si="0"/>
        <v>2606</v>
      </c>
      <c r="H56" s="47">
        <f t="shared" ca="1" si="0"/>
        <v>2417</v>
      </c>
      <c r="I56" s="47">
        <f t="shared" ca="1" si="1"/>
        <v>0.33616974645173325</v>
      </c>
      <c r="J56" s="47">
        <f t="shared" ca="1" si="2"/>
        <v>25</v>
      </c>
      <c r="K56" s="57">
        <v>0.2</v>
      </c>
      <c r="L56" s="57">
        <v>0.2</v>
      </c>
      <c r="M56" s="57">
        <v>0.2</v>
      </c>
      <c r="N56" s="58">
        <f t="shared" ca="1" si="3"/>
        <v>2318</v>
      </c>
      <c r="O56" s="59">
        <f t="shared" ca="1" si="3"/>
        <v>2644</v>
      </c>
      <c r="P56" s="58">
        <f t="shared" ca="1" si="4"/>
        <v>132</v>
      </c>
      <c r="Q56" s="59">
        <f t="shared" ca="1" si="4"/>
        <v>177</v>
      </c>
      <c r="R56" s="63">
        <v>100000</v>
      </c>
      <c r="S56" s="63">
        <v>100000</v>
      </c>
      <c r="T56" s="63">
        <v>0.5</v>
      </c>
      <c r="U56" s="63">
        <v>0.5</v>
      </c>
      <c r="V56" s="66"/>
      <c r="W56" s="66"/>
    </row>
    <row r="57" spans="1:23" s="28" customFormat="1" ht="75" customHeight="1" x14ac:dyDescent="0.3">
      <c r="A57" s="74"/>
      <c r="B57" s="75"/>
      <c r="C57" s="76" t="s">
        <v>84</v>
      </c>
      <c r="D57" s="78">
        <v>20</v>
      </c>
      <c r="E57" s="48" t="s">
        <v>118</v>
      </c>
      <c r="F57" s="47">
        <f t="shared" ca="1" si="0"/>
        <v>2251</v>
      </c>
      <c r="G57" s="47">
        <f t="shared" ca="1" si="0"/>
        <v>2119</v>
      </c>
      <c r="H57" s="47">
        <f t="shared" ca="1" si="0"/>
        <v>2821</v>
      </c>
      <c r="I57" s="47">
        <f t="shared" ca="1" si="1"/>
        <v>0.81181011470072151</v>
      </c>
      <c r="J57" s="47">
        <f t="shared" ca="1" si="2"/>
        <v>26</v>
      </c>
      <c r="K57" s="57">
        <v>0.2</v>
      </c>
      <c r="L57" s="57">
        <v>0.2</v>
      </c>
      <c r="M57" s="57">
        <v>0.2</v>
      </c>
      <c r="N57" s="58">
        <f t="shared" ca="1" si="3"/>
        <v>2684</v>
      </c>
      <c r="O57" s="59">
        <f t="shared" ca="1" si="3"/>
        <v>2638</v>
      </c>
      <c r="P57" s="58">
        <f t="shared" ca="1" si="4"/>
        <v>159</v>
      </c>
      <c r="Q57" s="59">
        <f t="shared" ca="1" si="4"/>
        <v>167</v>
      </c>
      <c r="R57" s="63">
        <v>100000</v>
      </c>
      <c r="S57" s="63">
        <v>100000</v>
      </c>
      <c r="T57" s="63">
        <v>0.5</v>
      </c>
      <c r="U57" s="63">
        <v>0.5</v>
      </c>
      <c r="V57" s="66"/>
      <c r="W57" s="66"/>
    </row>
    <row r="58" spans="1:23" s="28" customFormat="1" ht="75" customHeight="1" x14ac:dyDescent="0.3">
      <c r="A58" s="74"/>
      <c r="B58" s="75"/>
      <c r="C58" s="77"/>
      <c r="D58" s="78"/>
      <c r="E58" s="48" t="s">
        <v>119</v>
      </c>
      <c r="F58" s="47">
        <f t="shared" ca="1" si="0"/>
        <v>2004</v>
      </c>
      <c r="G58" s="47">
        <f t="shared" ca="1" si="0"/>
        <v>2115</v>
      </c>
      <c r="H58" s="47">
        <f t="shared" ca="1" si="0"/>
        <v>2660</v>
      </c>
      <c r="I58" s="47">
        <f t="shared" ca="1" si="1"/>
        <v>0.14356677916173854</v>
      </c>
      <c r="J58" s="47">
        <f t="shared" ca="1" si="2"/>
        <v>26</v>
      </c>
      <c r="K58" s="57">
        <v>0.2</v>
      </c>
      <c r="L58" s="57">
        <v>0.2</v>
      </c>
      <c r="M58" s="57">
        <v>0.2</v>
      </c>
      <c r="N58" s="58">
        <f t="shared" ca="1" si="3"/>
        <v>2755</v>
      </c>
      <c r="O58" s="59">
        <f t="shared" ca="1" si="3"/>
        <v>2989</v>
      </c>
      <c r="P58" s="58">
        <f t="shared" ca="1" si="4"/>
        <v>188</v>
      </c>
      <c r="Q58" s="59">
        <f t="shared" ca="1" si="4"/>
        <v>181</v>
      </c>
      <c r="R58" s="63">
        <v>100000</v>
      </c>
      <c r="S58" s="63">
        <v>100000</v>
      </c>
      <c r="T58" s="63">
        <v>0.5</v>
      </c>
      <c r="U58" s="63">
        <v>0.5</v>
      </c>
      <c r="V58" s="66"/>
      <c r="W58" s="66"/>
    </row>
    <row r="59" spans="1:23" s="28" customFormat="1" ht="75" customHeight="1" x14ac:dyDescent="0.3">
      <c r="A59" s="74"/>
      <c r="B59" s="75"/>
      <c r="C59" s="77"/>
      <c r="D59" s="78"/>
      <c r="E59" s="48" t="s">
        <v>120</v>
      </c>
      <c r="F59" s="47">
        <f t="shared" ca="1" si="0"/>
        <v>2846</v>
      </c>
      <c r="G59" s="47">
        <f t="shared" ca="1" si="0"/>
        <v>2847</v>
      </c>
      <c r="H59" s="47">
        <f t="shared" ca="1" si="0"/>
        <v>2476</v>
      </c>
      <c r="I59" s="47">
        <f t="shared" ca="1" si="1"/>
        <v>0.32646104278140031</v>
      </c>
      <c r="J59" s="47">
        <f t="shared" ca="1" si="2"/>
        <v>21</v>
      </c>
      <c r="K59" s="57">
        <v>0.2</v>
      </c>
      <c r="L59" s="57">
        <v>0.2</v>
      </c>
      <c r="M59" s="57">
        <v>0.2</v>
      </c>
      <c r="N59" s="58">
        <f t="shared" ca="1" si="3"/>
        <v>2487</v>
      </c>
      <c r="O59" s="59">
        <f t="shared" ca="1" si="3"/>
        <v>2477</v>
      </c>
      <c r="P59" s="58">
        <f t="shared" ca="1" si="4"/>
        <v>126</v>
      </c>
      <c r="Q59" s="59">
        <f t="shared" ca="1" si="4"/>
        <v>116</v>
      </c>
      <c r="R59" s="63">
        <v>100000</v>
      </c>
      <c r="S59" s="63">
        <v>100000</v>
      </c>
      <c r="T59" s="63">
        <v>0.5</v>
      </c>
      <c r="U59" s="63">
        <v>0.5</v>
      </c>
      <c r="V59" s="66"/>
      <c r="W59" s="66"/>
    </row>
    <row r="60" spans="1:23" s="28" customFormat="1" ht="75" customHeight="1" x14ac:dyDescent="0.3">
      <c r="A60" s="74"/>
      <c r="B60" s="75"/>
      <c r="C60" s="76" t="s">
        <v>93</v>
      </c>
      <c r="D60" s="78">
        <v>20</v>
      </c>
      <c r="E60" s="48" t="s">
        <v>121</v>
      </c>
      <c r="F60" s="47">
        <f t="shared" ca="1" si="0"/>
        <v>2392</v>
      </c>
      <c r="G60" s="47">
        <f t="shared" ca="1" si="0"/>
        <v>2710</v>
      </c>
      <c r="H60" s="47">
        <f t="shared" ca="1" si="0"/>
        <v>2803</v>
      </c>
      <c r="I60" s="47">
        <f t="shared" ca="1" si="1"/>
        <v>0.95549501741342602</v>
      </c>
      <c r="J60" s="47">
        <f t="shared" ca="1" si="2"/>
        <v>19</v>
      </c>
      <c r="K60" s="57">
        <v>0.2</v>
      </c>
      <c r="L60" s="57">
        <v>0.2</v>
      </c>
      <c r="M60" s="57">
        <v>0.2</v>
      </c>
      <c r="N60" s="58">
        <f t="shared" ca="1" si="3"/>
        <v>2490</v>
      </c>
      <c r="O60" s="59">
        <f t="shared" ca="1" si="3"/>
        <v>2019</v>
      </c>
      <c r="P60" s="58">
        <f t="shared" ca="1" si="4"/>
        <v>123</v>
      </c>
      <c r="Q60" s="59">
        <f t="shared" ca="1" si="4"/>
        <v>165</v>
      </c>
      <c r="R60" s="63">
        <v>100000</v>
      </c>
      <c r="S60" s="63">
        <v>100000</v>
      </c>
      <c r="T60" s="63">
        <v>0.5</v>
      </c>
      <c r="U60" s="63">
        <v>0.5</v>
      </c>
      <c r="V60" s="66"/>
      <c r="W60" s="66"/>
    </row>
    <row r="61" spans="1:23" s="28" customFormat="1" ht="75" customHeight="1" x14ac:dyDescent="0.3">
      <c r="A61" s="74"/>
      <c r="B61" s="75"/>
      <c r="C61" s="77"/>
      <c r="D61" s="78"/>
      <c r="E61" s="48" t="s">
        <v>122</v>
      </c>
      <c r="F61" s="47">
        <f t="shared" ca="1" si="0"/>
        <v>2328</v>
      </c>
      <c r="G61" s="47">
        <f t="shared" ca="1" si="0"/>
        <v>2875</v>
      </c>
      <c r="H61" s="47">
        <f t="shared" ca="1" si="0"/>
        <v>2110</v>
      </c>
      <c r="I61" s="47">
        <f t="shared" ca="1" si="1"/>
        <v>0.88796098687886804</v>
      </c>
      <c r="J61" s="47">
        <f t="shared" ca="1" si="2"/>
        <v>14</v>
      </c>
      <c r="K61" s="57">
        <v>0.2</v>
      </c>
      <c r="L61" s="57">
        <v>0.2</v>
      </c>
      <c r="M61" s="57">
        <v>0.2</v>
      </c>
      <c r="N61" s="58">
        <f t="shared" ca="1" si="3"/>
        <v>2425</v>
      </c>
      <c r="O61" s="59">
        <f t="shared" ca="1" si="3"/>
        <v>2465</v>
      </c>
      <c r="P61" s="58">
        <f t="shared" ca="1" si="4"/>
        <v>149</v>
      </c>
      <c r="Q61" s="59">
        <f t="shared" ca="1" si="4"/>
        <v>135</v>
      </c>
      <c r="R61" s="63">
        <v>100000</v>
      </c>
      <c r="S61" s="63">
        <v>100000</v>
      </c>
      <c r="T61" s="63">
        <v>0.5</v>
      </c>
      <c r="U61" s="63">
        <v>0.5</v>
      </c>
      <c r="V61" s="66"/>
      <c r="W61" s="66"/>
    </row>
    <row r="62" spans="1:23" s="28" customFormat="1" ht="75" customHeight="1" x14ac:dyDescent="0.3">
      <c r="A62" s="74"/>
      <c r="B62" s="75"/>
      <c r="C62" s="77"/>
      <c r="D62" s="78"/>
      <c r="E62" s="48" t="s">
        <v>123</v>
      </c>
      <c r="F62" s="47">
        <f t="shared" ca="1" si="0"/>
        <v>2404</v>
      </c>
      <c r="G62" s="47">
        <f t="shared" ca="1" si="0"/>
        <v>2337</v>
      </c>
      <c r="H62" s="47">
        <f t="shared" ca="1" si="0"/>
        <v>2610</v>
      </c>
      <c r="I62" s="47">
        <f t="shared" ca="1" si="1"/>
        <v>0.11607656906385455</v>
      </c>
      <c r="J62" s="47">
        <f t="shared" ca="1" si="2"/>
        <v>26</v>
      </c>
      <c r="K62" s="57">
        <v>0.2</v>
      </c>
      <c r="L62" s="57">
        <v>0.2</v>
      </c>
      <c r="M62" s="57">
        <v>0.2</v>
      </c>
      <c r="N62" s="58">
        <f t="shared" ca="1" si="3"/>
        <v>2808</v>
      </c>
      <c r="O62" s="59">
        <f t="shared" ca="1" si="3"/>
        <v>2506</v>
      </c>
      <c r="P62" s="58">
        <f t="shared" ca="1" si="4"/>
        <v>108</v>
      </c>
      <c r="Q62" s="59">
        <f t="shared" ca="1" si="4"/>
        <v>141</v>
      </c>
      <c r="R62" s="63">
        <v>100000</v>
      </c>
      <c r="S62" s="63">
        <v>100000</v>
      </c>
      <c r="T62" s="63">
        <v>0.5</v>
      </c>
      <c r="U62" s="63">
        <v>0.5</v>
      </c>
      <c r="V62" s="66"/>
      <c r="W62" s="66"/>
    </row>
    <row r="63" spans="1:23" s="28" customFormat="1" ht="75" customHeight="1" x14ac:dyDescent="0.3">
      <c r="A63" s="74"/>
      <c r="B63" s="75"/>
      <c r="C63" s="77"/>
      <c r="D63" s="78"/>
      <c r="E63" s="48" t="s">
        <v>124</v>
      </c>
      <c r="F63" s="47">
        <f t="shared" ca="1" si="0"/>
        <v>2379</v>
      </c>
      <c r="G63" s="47">
        <f t="shared" ca="1" si="0"/>
        <v>2270</v>
      </c>
      <c r="H63" s="47">
        <f t="shared" ca="1" si="0"/>
        <v>2360</v>
      </c>
      <c r="I63" s="47">
        <f t="shared" ca="1" si="1"/>
        <v>0.44917694433014677</v>
      </c>
      <c r="J63" s="47">
        <f t="shared" ca="1" si="2"/>
        <v>26</v>
      </c>
      <c r="K63" s="57">
        <v>0.2</v>
      </c>
      <c r="L63" s="57">
        <v>0.2</v>
      </c>
      <c r="M63" s="57">
        <v>0.2</v>
      </c>
      <c r="N63" s="58">
        <f t="shared" ca="1" si="3"/>
        <v>2139</v>
      </c>
      <c r="O63" s="59">
        <f t="shared" ca="1" si="3"/>
        <v>2844</v>
      </c>
      <c r="P63" s="58">
        <f t="shared" ca="1" si="4"/>
        <v>109</v>
      </c>
      <c r="Q63" s="59">
        <f t="shared" ca="1" si="4"/>
        <v>134</v>
      </c>
      <c r="R63" s="63">
        <v>100000</v>
      </c>
      <c r="S63" s="63">
        <v>100000</v>
      </c>
      <c r="T63" s="63">
        <v>0.5</v>
      </c>
      <c r="U63" s="63">
        <v>0.5</v>
      </c>
      <c r="V63" s="66"/>
      <c r="W63" s="66"/>
    </row>
    <row r="64" spans="1:23" s="28" customFormat="1" ht="75" customHeight="1" x14ac:dyDescent="0.3">
      <c r="A64" s="74"/>
      <c r="B64" s="75"/>
      <c r="C64" s="77"/>
      <c r="D64" s="78"/>
      <c r="E64" s="48" t="s">
        <v>125</v>
      </c>
      <c r="F64" s="47">
        <f t="shared" ca="1" si="0"/>
        <v>2499</v>
      </c>
      <c r="G64" s="47">
        <f t="shared" ca="1" si="0"/>
        <v>2690</v>
      </c>
      <c r="H64" s="47">
        <f t="shared" ca="1" si="0"/>
        <v>2125</v>
      </c>
      <c r="I64" s="47">
        <f t="shared" ca="1" si="1"/>
        <v>0.61313195029369338</v>
      </c>
      <c r="J64" s="47">
        <f t="shared" ca="1" si="2"/>
        <v>23</v>
      </c>
      <c r="K64" s="57">
        <v>0.2</v>
      </c>
      <c r="L64" s="57">
        <v>0.2</v>
      </c>
      <c r="M64" s="57">
        <v>0.2</v>
      </c>
      <c r="N64" s="58">
        <f t="shared" ca="1" si="3"/>
        <v>2434</v>
      </c>
      <c r="O64" s="59">
        <f t="shared" ca="1" si="3"/>
        <v>2911</v>
      </c>
      <c r="P64" s="58">
        <f t="shared" ca="1" si="4"/>
        <v>149</v>
      </c>
      <c r="Q64" s="59">
        <f t="shared" ca="1" si="4"/>
        <v>162</v>
      </c>
      <c r="R64" s="63">
        <v>100000</v>
      </c>
      <c r="S64" s="63">
        <v>100000</v>
      </c>
      <c r="T64" s="63">
        <v>0.5</v>
      </c>
      <c r="U64" s="63">
        <v>0.5</v>
      </c>
      <c r="V64" s="66"/>
      <c r="W64" s="66"/>
    </row>
    <row r="65" spans="1:23" s="28" customFormat="1" ht="75" customHeight="1" x14ac:dyDescent="0.3">
      <c r="A65" s="74"/>
      <c r="B65" s="75"/>
      <c r="C65" s="77"/>
      <c r="D65" s="78"/>
      <c r="E65" s="48" t="s">
        <v>126</v>
      </c>
      <c r="F65" s="47">
        <f t="shared" ca="1" si="0"/>
        <v>2538</v>
      </c>
      <c r="G65" s="47">
        <f t="shared" ca="1" si="0"/>
        <v>2550</v>
      </c>
      <c r="H65" s="47">
        <f t="shared" ca="1" si="0"/>
        <v>2587</v>
      </c>
      <c r="I65" s="47">
        <f t="shared" ca="1" si="1"/>
        <v>0.90667060190878068</v>
      </c>
      <c r="J65" s="47">
        <f t="shared" ca="1" si="2"/>
        <v>14</v>
      </c>
      <c r="K65" s="57">
        <v>0.2</v>
      </c>
      <c r="L65" s="57">
        <v>0.2</v>
      </c>
      <c r="M65" s="57">
        <v>0.2</v>
      </c>
      <c r="N65" s="58">
        <f t="shared" ca="1" si="3"/>
        <v>2800</v>
      </c>
      <c r="O65" s="59">
        <f t="shared" ca="1" si="3"/>
        <v>2980</v>
      </c>
      <c r="P65" s="58">
        <f t="shared" ca="1" si="4"/>
        <v>140</v>
      </c>
      <c r="Q65" s="59">
        <f t="shared" ca="1" si="4"/>
        <v>181</v>
      </c>
      <c r="R65" s="63">
        <v>100000</v>
      </c>
      <c r="S65" s="63">
        <v>100000</v>
      </c>
      <c r="T65" s="63">
        <v>0.5</v>
      </c>
      <c r="U65" s="63">
        <v>0.5</v>
      </c>
      <c r="V65" s="66"/>
      <c r="W65" s="66"/>
    </row>
    <row r="66" spans="1:23" s="28" customFormat="1" ht="75" customHeight="1" x14ac:dyDescent="0.3">
      <c r="A66" s="73" t="s">
        <v>47</v>
      </c>
      <c r="B66" s="75">
        <v>20</v>
      </c>
      <c r="C66" s="76" t="s">
        <v>76</v>
      </c>
      <c r="D66" s="78">
        <v>20</v>
      </c>
      <c r="E66" s="48" t="s">
        <v>127</v>
      </c>
      <c r="F66" s="47">
        <f t="shared" ca="1" si="0"/>
        <v>2592</v>
      </c>
      <c r="G66" s="47">
        <f t="shared" ca="1" si="0"/>
        <v>2558</v>
      </c>
      <c r="H66" s="47">
        <f t="shared" ca="1" si="0"/>
        <v>2084</v>
      </c>
      <c r="I66" s="47">
        <f t="shared" ca="1" si="1"/>
        <v>0.86882689481536179</v>
      </c>
      <c r="J66" s="47">
        <f t="shared" ca="1" si="2"/>
        <v>20</v>
      </c>
      <c r="K66" s="57">
        <v>0.2</v>
      </c>
      <c r="L66" s="57">
        <v>0.2</v>
      </c>
      <c r="M66" s="57">
        <v>0.2</v>
      </c>
      <c r="N66" s="58">
        <f t="shared" ca="1" si="3"/>
        <v>2094</v>
      </c>
      <c r="O66" s="59">
        <f t="shared" ca="1" si="3"/>
        <v>2464</v>
      </c>
      <c r="P66" s="58">
        <f t="shared" ca="1" si="4"/>
        <v>134</v>
      </c>
      <c r="Q66" s="59">
        <f t="shared" ca="1" si="4"/>
        <v>140</v>
      </c>
      <c r="R66" s="63">
        <v>100000</v>
      </c>
      <c r="S66" s="63">
        <v>100000</v>
      </c>
      <c r="T66" s="63">
        <v>0.5</v>
      </c>
      <c r="U66" s="63">
        <v>0.5</v>
      </c>
      <c r="V66" s="66"/>
      <c r="W66" s="66"/>
    </row>
    <row r="67" spans="1:23" s="28" customFormat="1" ht="75" customHeight="1" x14ac:dyDescent="0.3">
      <c r="A67" s="73"/>
      <c r="B67" s="75"/>
      <c r="C67" s="77"/>
      <c r="D67" s="78"/>
      <c r="E67" s="48" t="s">
        <v>128</v>
      </c>
      <c r="F67" s="47">
        <f t="shared" ref="F67:H71" ca="1" si="5">RANDBETWEEN(2000,3000)</f>
        <v>2647</v>
      </c>
      <c r="G67" s="47">
        <f t="shared" ca="1" si="5"/>
        <v>2422</v>
      </c>
      <c r="H67" s="47">
        <f t="shared" ca="1" si="5"/>
        <v>2888</v>
      </c>
      <c r="I67" s="47">
        <f t="shared" ref="I67:I71" ca="1" si="6">RAND()</f>
        <v>0.32716561497996244</v>
      </c>
      <c r="J67" s="47">
        <f t="shared" ref="J67:J71" ca="1" si="7">RANDBETWEEN(10,30)</f>
        <v>22</v>
      </c>
      <c r="K67" s="57">
        <v>0.2</v>
      </c>
      <c r="L67" s="57">
        <v>0.2</v>
      </c>
      <c r="M67" s="57">
        <v>0.2</v>
      </c>
      <c r="N67" s="58">
        <f t="shared" ref="N67:O71" ca="1" si="8">RANDBETWEEN(2000,3000)</f>
        <v>2642</v>
      </c>
      <c r="O67" s="59">
        <f t="shared" ca="1" si="8"/>
        <v>2527</v>
      </c>
      <c r="P67" s="58">
        <f t="shared" ref="P67:Q71" ca="1" si="9">RANDBETWEEN(100,200)</f>
        <v>186</v>
      </c>
      <c r="Q67" s="59">
        <f t="shared" ca="1" si="9"/>
        <v>143</v>
      </c>
      <c r="R67" s="63">
        <v>100000</v>
      </c>
      <c r="S67" s="63">
        <v>100000</v>
      </c>
      <c r="T67" s="63">
        <v>0.5</v>
      </c>
      <c r="U67" s="63">
        <v>0.5</v>
      </c>
      <c r="V67" s="66"/>
      <c r="W67" s="66"/>
    </row>
    <row r="68" spans="1:23" s="28" customFormat="1" ht="75" customHeight="1" x14ac:dyDescent="0.3">
      <c r="A68" s="73"/>
      <c r="B68" s="75"/>
      <c r="C68" s="77"/>
      <c r="D68" s="78"/>
      <c r="E68" s="48" t="s">
        <v>129</v>
      </c>
      <c r="F68" s="47">
        <f t="shared" ca="1" si="5"/>
        <v>2164</v>
      </c>
      <c r="G68" s="47">
        <f t="shared" ca="1" si="5"/>
        <v>2903</v>
      </c>
      <c r="H68" s="47">
        <f t="shared" ca="1" si="5"/>
        <v>2841</v>
      </c>
      <c r="I68" s="47">
        <f t="shared" ca="1" si="6"/>
        <v>2.3971362678052333E-2</v>
      </c>
      <c r="J68" s="47">
        <f t="shared" ca="1" si="7"/>
        <v>29</v>
      </c>
      <c r="K68" s="57">
        <v>0.2</v>
      </c>
      <c r="L68" s="57">
        <v>0.2</v>
      </c>
      <c r="M68" s="57">
        <v>0.2</v>
      </c>
      <c r="N68" s="58">
        <f t="shared" ca="1" si="8"/>
        <v>2134</v>
      </c>
      <c r="O68" s="59">
        <f t="shared" ca="1" si="8"/>
        <v>2849</v>
      </c>
      <c r="P68" s="58">
        <f t="shared" ca="1" si="9"/>
        <v>165</v>
      </c>
      <c r="Q68" s="59">
        <f t="shared" ca="1" si="9"/>
        <v>176</v>
      </c>
      <c r="R68" s="63">
        <v>100000</v>
      </c>
      <c r="S68" s="63">
        <v>100000</v>
      </c>
      <c r="T68" s="63">
        <v>0.5</v>
      </c>
      <c r="U68" s="63">
        <v>0.5</v>
      </c>
      <c r="V68" s="66"/>
      <c r="W68" s="66"/>
    </row>
    <row r="69" spans="1:23" s="28" customFormat="1" ht="75" customHeight="1" x14ac:dyDescent="0.3">
      <c r="A69" s="73"/>
      <c r="B69" s="75"/>
      <c r="C69" s="76" t="s">
        <v>79</v>
      </c>
      <c r="D69" s="78">
        <v>20</v>
      </c>
      <c r="E69" s="48" t="s">
        <v>130</v>
      </c>
      <c r="F69" s="47">
        <f t="shared" ca="1" si="5"/>
        <v>2319</v>
      </c>
      <c r="G69" s="47">
        <f t="shared" ca="1" si="5"/>
        <v>2486</v>
      </c>
      <c r="H69" s="47">
        <f t="shared" ca="1" si="5"/>
        <v>2980</v>
      </c>
      <c r="I69" s="47">
        <f t="shared" ca="1" si="6"/>
        <v>0.6563419566320664</v>
      </c>
      <c r="J69" s="47">
        <f t="shared" ca="1" si="7"/>
        <v>30</v>
      </c>
      <c r="K69" s="57">
        <v>0.2</v>
      </c>
      <c r="L69" s="57">
        <v>0.2</v>
      </c>
      <c r="M69" s="57">
        <v>0.2</v>
      </c>
      <c r="N69" s="58">
        <f t="shared" ca="1" si="8"/>
        <v>2839</v>
      </c>
      <c r="O69" s="59">
        <f t="shared" ca="1" si="8"/>
        <v>2499</v>
      </c>
      <c r="P69" s="58">
        <f t="shared" ca="1" si="9"/>
        <v>146</v>
      </c>
      <c r="Q69" s="59">
        <f t="shared" ca="1" si="9"/>
        <v>130</v>
      </c>
      <c r="R69" s="63">
        <v>100000</v>
      </c>
      <c r="S69" s="63">
        <v>100000</v>
      </c>
      <c r="T69" s="63">
        <v>0.5</v>
      </c>
      <c r="U69" s="63">
        <v>0.5</v>
      </c>
      <c r="V69" s="66"/>
      <c r="W69" s="66"/>
    </row>
    <row r="70" spans="1:23" s="28" customFormat="1" ht="75" customHeight="1" x14ac:dyDescent="0.3">
      <c r="A70" s="73"/>
      <c r="B70" s="75"/>
      <c r="C70" s="76"/>
      <c r="D70" s="78"/>
      <c r="E70" s="48" t="s">
        <v>131</v>
      </c>
      <c r="F70" s="47">
        <f t="shared" ca="1" si="5"/>
        <v>2675</v>
      </c>
      <c r="G70" s="47">
        <f t="shared" ca="1" si="5"/>
        <v>2136</v>
      </c>
      <c r="H70" s="47">
        <f t="shared" ca="1" si="5"/>
        <v>2832</v>
      </c>
      <c r="I70" s="47">
        <f t="shared" ca="1" si="6"/>
        <v>0.54188284678890519</v>
      </c>
      <c r="J70" s="47">
        <f t="shared" ca="1" si="7"/>
        <v>18</v>
      </c>
      <c r="K70" s="57">
        <v>0.2</v>
      </c>
      <c r="L70" s="57">
        <v>0.2</v>
      </c>
      <c r="M70" s="57">
        <v>0.2</v>
      </c>
      <c r="N70" s="58">
        <f t="shared" ca="1" si="8"/>
        <v>2978</v>
      </c>
      <c r="O70" s="59">
        <f t="shared" ca="1" si="8"/>
        <v>2083</v>
      </c>
      <c r="P70" s="58">
        <f t="shared" ca="1" si="9"/>
        <v>107</v>
      </c>
      <c r="Q70" s="59">
        <f t="shared" ca="1" si="9"/>
        <v>129</v>
      </c>
      <c r="R70" s="63">
        <v>100000</v>
      </c>
      <c r="S70" s="63">
        <v>100000</v>
      </c>
      <c r="T70" s="63">
        <v>0.5</v>
      </c>
      <c r="U70" s="63">
        <v>0.5</v>
      </c>
      <c r="V70" s="66"/>
      <c r="W70" s="66"/>
    </row>
    <row r="71" spans="1:23" ht="75" customHeight="1" x14ac:dyDescent="0.3">
      <c r="A71" s="73"/>
      <c r="B71" s="75"/>
      <c r="C71" s="76"/>
      <c r="D71" s="78"/>
      <c r="E71" s="48" t="s">
        <v>132</v>
      </c>
      <c r="F71" s="47">
        <f t="shared" ca="1" si="5"/>
        <v>2500</v>
      </c>
      <c r="G71" s="47">
        <f t="shared" ca="1" si="5"/>
        <v>2434</v>
      </c>
      <c r="H71" s="47">
        <f t="shared" ca="1" si="5"/>
        <v>2187</v>
      </c>
      <c r="I71" s="47">
        <f t="shared" ca="1" si="6"/>
        <v>0.65920500519194458</v>
      </c>
      <c r="J71" s="47">
        <f t="shared" ca="1" si="7"/>
        <v>27</v>
      </c>
      <c r="K71" s="57">
        <v>0.2</v>
      </c>
      <c r="L71" s="57">
        <v>0.2</v>
      </c>
      <c r="M71" s="57">
        <v>0.2</v>
      </c>
      <c r="N71" s="58">
        <f t="shared" ca="1" si="8"/>
        <v>2572</v>
      </c>
      <c r="O71" s="59">
        <f t="shared" ca="1" si="8"/>
        <v>2196</v>
      </c>
      <c r="P71" s="58">
        <f t="shared" ca="1" si="9"/>
        <v>155</v>
      </c>
      <c r="Q71" s="59">
        <f t="shared" ca="1" si="9"/>
        <v>144</v>
      </c>
      <c r="R71" s="63">
        <v>100000</v>
      </c>
      <c r="S71" s="63">
        <v>100000</v>
      </c>
      <c r="T71" s="63">
        <v>0.5</v>
      </c>
      <c r="U71" s="63">
        <v>0.5</v>
      </c>
    </row>
    <row r="72" spans="1:23" ht="75" customHeight="1" x14ac:dyDescent="0.3">
      <c r="A72" s="33"/>
      <c r="B72" s="33"/>
      <c r="C72" s="33"/>
      <c r="D72" s="33"/>
      <c r="E72" s="33"/>
      <c r="F72" s="33"/>
      <c r="G72" s="33"/>
      <c r="H72" s="33"/>
      <c r="I72" s="33"/>
      <c r="N72" s="33"/>
      <c r="O72" s="33"/>
      <c r="P72" s="33"/>
      <c r="Q72" s="33"/>
      <c r="R72" s="33"/>
      <c r="S72" s="33"/>
    </row>
    <row r="73" spans="1:23" ht="75" customHeight="1" x14ac:dyDescent="0.3">
      <c r="A73" s="33"/>
      <c r="B73" s="33"/>
      <c r="C73" s="33"/>
      <c r="D73" s="33"/>
      <c r="E73" s="33"/>
      <c r="F73" s="33"/>
      <c r="G73" s="33"/>
      <c r="H73" s="33"/>
      <c r="I73" s="33"/>
      <c r="N73" s="33"/>
      <c r="O73" s="33"/>
      <c r="P73" s="33"/>
      <c r="Q73" s="33"/>
      <c r="R73" s="33"/>
      <c r="S73" s="33"/>
    </row>
    <row r="74" spans="1:23" ht="75" customHeight="1" x14ac:dyDescent="0.3">
      <c r="A74" s="33"/>
      <c r="B74" s="33"/>
      <c r="C74" s="33"/>
      <c r="D74" s="33"/>
      <c r="E74" s="33"/>
      <c r="F74" s="33"/>
      <c r="G74" s="33"/>
      <c r="H74" s="33"/>
      <c r="I74" s="33"/>
      <c r="N74" s="33"/>
      <c r="O74" s="33"/>
      <c r="P74" s="33"/>
      <c r="Q74" s="33"/>
      <c r="R74" s="33"/>
      <c r="S74" s="33"/>
    </row>
    <row r="75" spans="1:23" ht="75" customHeight="1" x14ac:dyDescent="0.3">
      <c r="A75" s="33"/>
      <c r="B75" s="33"/>
      <c r="C75" s="33"/>
      <c r="D75" s="33"/>
      <c r="E75" s="33"/>
      <c r="F75" s="33"/>
      <c r="G75" s="33"/>
      <c r="H75" s="33"/>
      <c r="I75" s="33"/>
      <c r="N75" s="33"/>
      <c r="O75" s="33"/>
      <c r="P75" s="33"/>
      <c r="Q75" s="33"/>
      <c r="R75" s="33"/>
      <c r="S75" s="33"/>
    </row>
    <row r="76" spans="1:23" ht="75" customHeight="1" x14ac:dyDescent="0.3">
      <c r="A76" s="33"/>
      <c r="B76" s="33"/>
      <c r="C76" s="33"/>
      <c r="D76" s="33"/>
      <c r="E76" s="33"/>
      <c r="F76" s="33"/>
      <c r="G76" s="33"/>
      <c r="H76" s="33"/>
      <c r="I76" s="33"/>
      <c r="N76" s="33"/>
      <c r="O76" s="33"/>
      <c r="P76" s="33"/>
      <c r="Q76" s="33"/>
      <c r="R76" s="33"/>
      <c r="S76" s="33"/>
    </row>
    <row r="77" spans="1:23" ht="75" customHeight="1" x14ac:dyDescent="0.3">
      <c r="A77" s="33"/>
      <c r="B77" s="33"/>
      <c r="C77" s="33"/>
      <c r="D77" s="33"/>
      <c r="E77" s="33"/>
      <c r="F77" s="33"/>
      <c r="G77" s="33"/>
      <c r="H77" s="33"/>
      <c r="I77" s="33"/>
      <c r="N77" s="33"/>
      <c r="O77" s="33"/>
      <c r="P77" s="33"/>
      <c r="Q77" s="33"/>
      <c r="R77" s="33"/>
      <c r="S77" s="33"/>
    </row>
    <row r="78" spans="1:23" ht="75" customHeight="1" x14ac:dyDescent="0.3">
      <c r="A78" s="33"/>
      <c r="B78" s="33"/>
      <c r="C78" s="33"/>
      <c r="D78" s="33"/>
      <c r="E78" s="33"/>
      <c r="F78" s="33"/>
      <c r="G78" s="33"/>
      <c r="H78" s="33"/>
      <c r="I78" s="33"/>
      <c r="N78" s="33"/>
      <c r="O78" s="33"/>
      <c r="P78" s="33"/>
      <c r="Q78" s="33"/>
      <c r="R78" s="33"/>
      <c r="S78" s="33"/>
    </row>
    <row r="79" spans="1:23" ht="75" customHeight="1" x14ac:dyDescent="0.3">
      <c r="A79" s="33"/>
      <c r="B79" s="33"/>
      <c r="C79" s="33"/>
      <c r="D79" s="33"/>
      <c r="E79" s="33"/>
      <c r="F79" s="33"/>
      <c r="G79" s="33"/>
      <c r="H79" s="33"/>
      <c r="I79" s="33"/>
      <c r="N79" s="33"/>
      <c r="O79" s="33"/>
      <c r="P79" s="33"/>
      <c r="Q79" s="33"/>
      <c r="R79" s="33"/>
      <c r="S79" s="33"/>
    </row>
    <row r="80" spans="1:23" ht="75" customHeight="1" x14ac:dyDescent="0.3">
      <c r="A80" s="33"/>
      <c r="B80" s="33"/>
      <c r="C80" s="33"/>
      <c r="D80" s="33"/>
      <c r="E80" s="33"/>
      <c r="F80" s="33"/>
      <c r="G80" s="33"/>
      <c r="H80" s="33"/>
      <c r="I80" s="33"/>
      <c r="N80" s="33"/>
      <c r="O80" s="33"/>
      <c r="P80" s="33"/>
      <c r="Q80" s="33"/>
      <c r="R80" s="33"/>
      <c r="S80" s="33"/>
    </row>
    <row r="81" spans="1:19" ht="75" customHeight="1" x14ac:dyDescent="0.3">
      <c r="A81" s="33"/>
      <c r="B81" s="33"/>
      <c r="C81" s="33"/>
      <c r="D81" s="33"/>
      <c r="E81" s="33"/>
      <c r="F81" s="33"/>
      <c r="G81" s="33"/>
      <c r="H81" s="33"/>
      <c r="I81" s="33"/>
      <c r="N81" s="33"/>
      <c r="O81" s="33"/>
      <c r="P81" s="33"/>
      <c r="Q81" s="33"/>
      <c r="R81" s="33"/>
      <c r="S81" s="33"/>
    </row>
    <row r="82" spans="1:19" ht="75" customHeight="1" x14ac:dyDescent="0.3">
      <c r="A82" s="33"/>
      <c r="B82" s="33"/>
      <c r="C82" s="33"/>
      <c r="D82" s="33"/>
      <c r="E82" s="33"/>
      <c r="F82" s="33"/>
      <c r="G82" s="33"/>
      <c r="H82" s="33"/>
      <c r="I82" s="33"/>
      <c r="N82" s="33"/>
      <c r="O82" s="33"/>
      <c r="P82" s="33"/>
      <c r="Q82" s="33"/>
      <c r="R82" s="33"/>
      <c r="S82" s="33"/>
    </row>
    <row r="83" spans="1:19" ht="75" customHeight="1" x14ac:dyDescent="0.3">
      <c r="A83" s="33"/>
      <c r="B83" s="33"/>
      <c r="C83" s="33"/>
      <c r="D83" s="33"/>
      <c r="E83" s="33"/>
      <c r="F83" s="33"/>
      <c r="G83" s="33"/>
      <c r="H83" s="33"/>
      <c r="I83" s="33"/>
      <c r="N83" s="33"/>
      <c r="O83" s="33"/>
      <c r="P83" s="33"/>
      <c r="Q83" s="33"/>
      <c r="R83" s="33"/>
      <c r="S83" s="33"/>
    </row>
    <row r="84" spans="1:19" ht="75" customHeight="1" x14ac:dyDescent="0.3">
      <c r="A84" s="33"/>
      <c r="B84" s="33"/>
      <c r="C84" s="33"/>
      <c r="D84" s="33"/>
      <c r="E84" s="33"/>
      <c r="F84" s="33"/>
      <c r="G84" s="33"/>
      <c r="H84" s="33"/>
      <c r="I84" s="33"/>
      <c r="N84" s="33"/>
      <c r="O84" s="33"/>
      <c r="P84" s="33"/>
      <c r="Q84" s="33"/>
      <c r="R84" s="33"/>
      <c r="S84" s="33"/>
    </row>
    <row r="85" spans="1:19" ht="75" customHeight="1" x14ac:dyDescent="0.3">
      <c r="A85" s="33"/>
      <c r="B85" s="33"/>
      <c r="C85" s="33"/>
      <c r="D85" s="33"/>
      <c r="E85" s="33"/>
      <c r="F85" s="33"/>
      <c r="G85" s="33"/>
      <c r="H85" s="33"/>
      <c r="I85" s="33"/>
      <c r="N85" s="33"/>
      <c r="O85" s="33"/>
      <c r="P85" s="33"/>
      <c r="Q85" s="33"/>
      <c r="R85" s="33"/>
      <c r="S85" s="33"/>
    </row>
    <row r="86" spans="1:19" ht="75" customHeight="1" x14ac:dyDescent="0.3">
      <c r="A86" s="33"/>
      <c r="B86" s="33"/>
      <c r="C86" s="33"/>
      <c r="D86" s="33"/>
      <c r="E86" s="33"/>
      <c r="F86" s="33"/>
      <c r="G86" s="33"/>
      <c r="H86" s="33"/>
      <c r="I86" s="33"/>
      <c r="N86" s="33"/>
      <c r="O86" s="33"/>
      <c r="P86" s="33"/>
      <c r="Q86" s="33"/>
      <c r="R86" s="33"/>
      <c r="S86" s="33"/>
    </row>
    <row r="87" spans="1:19" ht="75" customHeight="1" x14ac:dyDescent="0.3">
      <c r="A87" s="33"/>
      <c r="B87" s="33"/>
      <c r="C87" s="33"/>
      <c r="D87" s="33"/>
      <c r="E87" s="33"/>
      <c r="F87" s="33"/>
      <c r="G87" s="33"/>
      <c r="H87" s="33"/>
      <c r="I87" s="33"/>
      <c r="N87" s="33"/>
      <c r="O87" s="33"/>
      <c r="P87" s="33"/>
      <c r="Q87" s="33"/>
      <c r="R87" s="33"/>
      <c r="S87" s="33"/>
    </row>
    <row r="88" spans="1:19" ht="75" customHeight="1" x14ac:dyDescent="0.3">
      <c r="A88" s="33"/>
      <c r="B88" s="33"/>
      <c r="C88" s="33"/>
      <c r="D88" s="33"/>
      <c r="E88" s="33"/>
      <c r="F88" s="33"/>
      <c r="G88" s="33"/>
      <c r="H88" s="33"/>
      <c r="I88" s="33"/>
      <c r="N88" s="33"/>
      <c r="O88" s="33"/>
      <c r="P88" s="33"/>
      <c r="Q88" s="33"/>
      <c r="R88" s="33"/>
      <c r="S88" s="33"/>
    </row>
    <row r="89" spans="1:19" ht="75" customHeight="1" x14ac:dyDescent="0.3">
      <c r="A89" s="33"/>
      <c r="B89" s="33"/>
      <c r="C89" s="33"/>
      <c r="D89" s="33"/>
      <c r="E89" s="33"/>
      <c r="F89" s="33"/>
      <c r="G89" s="33"/>
      <c r="H89" s="33"/>
      <c r="I89" s="33"/>
      <c r="N89" s="33"/>
      <c r="O89" s="33"/>
      <c r="P89" s="33"/>
      <c r="Q89" s="33"/>
      <c r="R89" s="33"/>
      <c r="S89" s="33"/>
    </row>
    <row r="90" spans="1:19" ht="75" customHeight="1" x14ac:dyDescent="0.3">
      <c r="A90" s="33"/>
      <c r="B90" s="33"/>
      <c r="C90" s="33"/>
      <c r="D90" s="33"/>
      <c r="E90" s="33"/>
      <c r="F90" s="33"/>
      <c r="G90" s="33"/>
      <c r="H90" s="33"/>
      <c r="I90" s="33"/>
      <c r="N90" s="33"/>
      <c r="O90" s="33"/>
      <c r="P90" s="33"/>
      <c r="Q90" s="33"/>
      <c r="R90" s="33"/>
      <c r="S90" s="33"/>
    </row>
    <row r="91" spans="1:19" ht="75" customHeight="1" x14ac:dyDescent="0.3">
      <c r="A91" s="33"/>
      <c r="B91" s="33"/>
      <c r="C91" s="33"/>
      <c r="D91" s="33"/>
      <c r="E91" s="33"/>
      <c r="F91" s="33"/>
      <c r="G91" s="33"/>
      <c r="H91" s="33"/>
      <c r="I91" s="33"/>
      <c r="N91" s="33"/>
      <c r="O91" s="33"/>
      <c r="P91" s="33"/>
      <c r="Q91" s="33"/>
      <c r="R91" s="33"/>
      <c r="S91" s="33"/>
    </row>
    <row r="92" spans="1:19" ht="75" customHeight="1" x14ac:dyDescent="0.3">
      <c r="A92" s="33"/>
      <c r="B92" s="33"/>
      <c r="C92" s="33"/>
      <c r="D92" s="33"/>
      <c r="E92" s="33"/>
      <c r="F92" s="33"/>
      <c r="G92" s="33"/>
      <c r="H92" s="33"/>
      <c r="I92" s="33"/>
      <c r="N92" s="33"/>
      <c r="O92" s="33"/>
      <c r="P92" s="33"/>
      <c r="Q92" s="33"/>
      <c r="R92" s="33"/>
      <c r="S92" s="33"/>
    </row>
    <row r="93" spans="1:19" ht="75" customHeight="1" x14ac:dyDescent="0.3">
      <c r="A93" s="33"/>
      <c r="B93" s="33"/>
      <c r="C93" s="33"/>
      <c r="D93" s="33"/>
      <c r="E93" s="33"/>
      <c r="F93" s="33"/>
      <c r="G93" s="33"/>
      <c r="H93" s="33"/>
      <c r="I93" s="33"/>
      <c r="N93" s="33"/>
      <c r="O93" s="33"/>
      <c r="P93" s="33"/>
      <c r="Q93" s="33"/>
      <c r="R93" s="33"/>
      <c r="S93" s="33"/>
    </row>
    <row r="94" spans="1:19" ht="75" customHeight="1" x14ac:dyDescent="0.3">
      <c r="A94" s="33"/>
      <c r="B94" s="33"/>
      <c r="C94" s="33"/>
      <c r="D94" s="33"/>
      <c r="E94" s="33"/>
      <c r="F94" s="33"/>
      <c r="G94" s="33"/>
      <c r="H94" s="33"/>
      <c r="I94" s="33"/>
      <c r="N94" s="33"/>
      <c r="O94" s="33"/>
      <c r="P94" s="33"/>
      <c r="Q94" s="33"/>
      <c r="R94" s="33"/>
      <c r="S94" s="33"/>
    </row>
    <row r="95" spans="1:19" ht="75" customHeight="1" x14ac:dyDescent="0.3">
      <c r="A95" s="33"/>
      <c r="B95" s="33"/>
      <c r="C95" s="33"/>
      <c r="D95" s="33"/>
      <c r="E95" s="33"/>
      <c r="F95" s="33"/>
      <c r="G95" s="33"/>
      <c r="H95" s="33"/>
      <c r="I95" s="33"/>
      <c r="N95" s="33"/>
      <c r="O95" s="33"/>
      <c r="P95" s="33"/>
      <c r="Q95" s="33"/>
      <c r="R95" s="33"/>
      <c r="S95" s="33"/>
    </row>
    <row r="96" spans="1:19" ht="75" customHeight="1" x14ac:dyDescent="0.3">
      <c r="A96" s="33"/>
      <c r="B96" s="33"/>
      <c r="C96" s="33"/>
      <c r="D96" s="33"/>
      <c r="E96" s="33"/>
      <c r="F96" s="33"/>
      <c r="G96" s="33"/>
      <c r="H96" s="33"/>
      <c r="I96" s="33"/>
      <c r="N96" s="33"/>
      <c r="O96" s="33"/>
      <c r="P96" s="33"/>
      <c r="Q96" s="33"/>
      <c r="R96" s="33"/>
      <c r="S96" s="33"/>
    </row>
    <row r="97" spans="1:19" ht="75" customHeight="1" x14ac:dyDescent="0.3">
      <c r="A97" s="33"/>
      <c r="B97" s="33"/>
      <c r="C97" s="33"/>
      <c r="D97" s="33"/>
      <c r="E97" s="33"/>
      <c r="F97" s="33"/>
      <c r="G97" s="33"/>
      <c r="H97" s="33"/>
      <c r="I97" s="33"/>
      <c r="N97" s="33"/>
      <c r="O97" s="33"/>
      <c r="P97" s="33"/>
      <c r="Q97" s="33"/>
      <c r="R97" s="33"/>
      <c r="S97" s="33"/>
    </row>
    <row r="98" spans="1:19" ht="75" customHeight="1" x14ac:dyDescent="0.3">
      <c r="A98" s="33"/>
      <c r="B98" s="33"/>
      <c r="C98" s="33"/>
      <c r="D98" s="33"/>
      <c r="E98" s="33"/>
      <c r="F98" s="33"/>
      <c r="G98" s="33"/>
      <c r="H98" s="33"/>
      <c r="I98" s="33"/>
      <c r="N98" s="33"/>
      <c r="O98" s="33"/>
      <c r="P98" s="33"/>
      <c r="Q98" s="33"/>
      <c r="R98" s="33"/>
      <c r="S98" s="33"/>
    </row>
    <row r="99" spans="1:19" ht="75" customHeight="1" x14ac:dyDescent="0.3">
      <c r="A99" s="33"/>
      <c r="B99" s="33"/>
      <c r="C99" s="33"/>
      <c r="D99" s="33"/>
      <c r="E99" s="33"/>
      <c r="F99" s="33"/>
      <c r="G99" s="33"/>
      <c r="H99" s="33"/>
      <c r="I99" s="33"/>
      <c r="N99" s="33"/>
      <c r="O99" s="33"/>
      <c r="P99" s="33"/>
      <c r="Q99" s="33"/>
      <c r="R99" s="33"/>
      <c r="S99" s="33"/>
    </row>
    <row r="100" spans="1:19" ht="75" customHeight="1" x14ac:dyDescent="0.3">
      <c r="A100" s="33"/>
      <c r="B100" s="33"/>
      <c r="C100" s="33"/>
      <c r="D100" s="33"/>
      <c r="E100" s="33"/>
      <c r="F100" s="33"/>
      <c r="G100" s="33"/>
      <c r="H100" s="33"/>
      <c r="I100" s="33"/>
      <c r="N100" s="33"/>
      <c r="O100" s="33"/>
      <c r="P100" s="33"/>
      <c r="Q100" s="33"/>
      <c r="R100" s="33"/>
      <c r="S100" s="33"/>
    </row>
    <row r="101" spans="1:19" ht="75" customHeight="1" x14ac:dyDescent="0.3">
      <c r="A101" s="33"/>
      <c r="B101" s="33"/>
      <c r="C101" s="33"/>
      <c r="D101" s="33"/>
      <c r="E101" s="33"/>
      <c r="F101" s="33"/>
      <c r="G101" s="33"/>
      <c r="H101" s="33"/>
      <c r="I101" s="33"/>
      <c r="N101" s="33"/>
      <c r="O101" s="33"/>
      <c r="P101" s="33"/>
      <c r="Q101" s="33"/>
      <c r="R101" s="33"/>
      <c r="S101" s="33"/>
    </row>
    <row r="102" spans="1:19" ht="75" customHeight="1" x14ac:dyDescent="0.3">
      <c r="A102" s="33"/>
      <c r="B102" s="33"/>
      <c r="C102" s="33"/>
      <c r="D102" s="33"/>
      <c r="E102" s="33"/>
      <c r="F102" s="33"/>
      <c r="G102" s="33"/>
      <c r="H102" s="33"/>
      <c r="I102" s="33"/>
      <c r="N102" s="33"/>
      <c r="O102" s="33"/>
      <c r="P102" s="33"/>
      <c r="Q102" s="33"/>
      <c r="R102" s="33"/>
      <c r="S102" s="33"/>
    </row>
    <row r="103" spans="1:19" ht="75" customHeight="1" x14ac:dyDescent="0.3">
      <c r="A103" s="33"/>
      <c r="B103" s="33"/>
      <c r="C103" s="33"/>
      <c r="D103" s="33"/>
      <c r="E103" s="33"/>
      <c r="F103" s="33"/>
      <c r="G103" s="33"/>
      <c r="H103" s="33"/>
      <c r="I103" s="33"/>
      <c r="N103" s="33"/>
      <c r="O103" s="33"/>
      <c r="P103" s="33"/>
      <c r="Q103" s="33"/>
      <c r="R103" s="33"/>
      <c r="S103" s="33"/>
    </row>
    <row r="104" spans="1:19" ht="75" customHeight="1" x14ac:dyDescent="0.3">
      <c r="A104" s="33"/>
      <c r="B104" s="33"/>
      <c r="C104" s="33"/>
      <c r="D104" s="33"/>
      <c r="E104" s="33"/>
      <c r="F104" s="33"/>
      <c r="G104" s="33"/>
      <c r="H104" s="33"/>
      <c r="I104" s="33"/>
      <c r="N104" s="33"/>
      <c r="O104" s="33"/>
      <c r="P104" s="33"/>
      <c r="Q104" s="33"/>
      <c r="R104" s="33"/>
      <c r="S104" s="33"/>
    </row>
    <row r="105" spans="1:19" ht="75" customHeight="1" x14ac:dyDescent="0.3">
      <c r="A105" s="33"/>
      <c r="B105" s="33"/>
      <c r="C105" s="33"/>
      <c r="D105" s="33"/>
      <c r="E105" s="33"/>
      <c r="F105" s="33"/>
      <c r="G105" s="33"/>
      <c r="H105" s="33"/>
      <c r="I105" s="33"/>
      <c r="N105" s="33"/>
      <c r="O105" s="33"/>
      <c r="P105" s="33"/>
      <c r="Q105" s="33"/>
      <c r="R105" s="33"/>
      <c r="S105" s="33"/>
    </row>
    <row r="106" spans="1:19" ht="75" customHeight="1" x14ac:dyDescent="0.3">
      <c r="A106" s="33"/>
      <c r="B106" s="33"/>
      <c r="C106" s="33"/>
      <c r="D106" s="33"/>
      <c r="E106" s="33"/>
      <c r="F106" s="33"/>
      <c r="G106" s="33"/>
      <c r="H106" s="33"/>
      <c r="I106" s="33"/>
      <c r="N106" s="33"/>
      <c r="O106" s="33"/>
      <c r="P106" s="33"/>
      <c r="Q106" s="33"/>
      <c r="R106" s="33"/>
      <c r="S106" s="33"/>
    </row>
    <row r="107" spans="1:19" ht="75" customHeight="1" x14ac:dyDescent="0.3">
      <c r="A107" s="33"/>
      <c r="B107" s="33"/>
      <c r="C107" s="33"/>
      <c r="D107" s="33"/>
      <c r="E107" s="33"/>
      <c r="F107" s="33"/>
      <c r="G107" s="33"/>
      <c r="H107" s="33"/>
      <c r="I107" s="33"/>
      <c r="N107" s="33"/>
      <c r="O107" s="33"/>
      <c r="P107" s="33"/>
      <c r="Q107" s="33"/>
      <c r="R107" s="33"/>
      <c r="S107" s="33"/>
    </row>
    <row r="108" spans="1:19" ht="75" customHeight="1" x14ac:dyDescent="0.3">
      <c r="A108" s="33"/>
      <c r="B108" s="33"/>
      <c r="C108" s="33"/>
      <c r="D108" s="33"/>
      <c r="E108" s="33"/>
      <c r="F108" s="33"/>
      <c r="G108" s="33"/>
      <c r="H108" s="33"/>
      <c r="I108" s="33"/>
      <c r="N108" s="33"/>
      <c r="O108" s="33"/>
      <c r="P108" s="33"/>
      <c r="Q108" s="33"/>
      <c r="R108" s="33"/>
      <c r="S108" s="33"/>
    </row>
    <row r="109" spans="1:19" ht="75" customHeight="1" x14ac:dyDescent="0.3">
      <c r="A109" s="33"/>
      <c r="B109" s="33"/>
      <c r="C109" s="33"/>
      <c r="D109" s="33"/>
      <c r="E109" s="33"/>
      <c r="F109" s="33"/>
      <c r="G109" s="33"/>
      <c r="H109" s="33"/>
      <c r="I109" s="33"/>
      <c r="N109" s="33"/>
      <c r="O109" s="33"/>
      <c r="P109" s="33"/>
      <c r="Q109" s="33"/>
      <c r="R109" s="33"/>
      <c r="S109" s="33"/>
    </row>
    <row r="110" spans="1:19" ht="75" customHeight="1" x14ac:dyDescent="0.3">
      <c r="A110" s="33"/>
      <c r="B110" s="33"/>
      <c r="C110" s="33"/>
      <c r="D110" s="33"/>
      <c r="E110" s="33"/>
      <c r="F110" s="33"/>
      <c r="G110" s="33"/>
      <c r="H110" s="33"/>
      <c r="I110" s="33"/>
      <c r="N110" s="33"/>
      <c r="O110" s="33"/>
      <c r="P110" s="33"/>
      <c r="Q110" s="33"/>
      <c r="R110" s="33"/>
      <c r="S110" s="33"/>
    </row>
    <row r="111" spans="1:19" ht="75" customHeight="1" x14ac:dyDescent="0.3">
      <c r="A111" s="33"/>
      <c r="B111" s="33"/>
      <c r="C111" s="33"/>
      <c r="D111" s="33"/>
      <c r="E111" s="33"/>
      <c r="F111" s="33"/>
      <c r="G111" s="33"/>
      <c r="H111" s="33"/>
      <c r="I111" s="33"/>
      <c r="N111" s="33"/>
      <c r="O111" s="33"/>
      <c r="P111" s="33"/>
      <c r="Q111" s="33"/>
      <c r="R111" s="33"/>
      <c r="S111" s="33"/>
    </row>
    <row r="112" spans="1:19" ht="75" customHeight="1" x14ac:dyDescent="0.3">
      <c r="A112" s="33"/>
      <c r="B112" s="33"/>
      <c r="C112" s="33"/>
      <c r="D112" s="33"/>
      <c r="E112" s="33"/>
      <c r="F112" s="33"/>
      <c r="G112" s="33"/>
      <c r="H112" s="33"/>
      <c r="I112" s="33"/>
      <c r="N112" s="33"/>
      <c r="O112" s="33"/>
      <c r="P112" s="33"/>
      <c r="Q112" s="33"/>
      <c r="R112" s="33"/>
      <c r="S112" s="33"/>
    </row>
    <row r="113" spans="1:19" ht="75" customHeight="1" x14ac:dyDescent="0.3">
      <c r="A113" s="33"/>
      <c r="B113" s="33"/>
      <c r="C113" s="33"/>
      <c r="D113" s="33"/>
      <c r="E113" s="33"/>
      <c r="F113" s="33"/>
      <c r="G113" s="33"/>
      <c r="H113" s="33"/>
      <c r="I113" s="33"/>
      <c r="N113" s="33"/>
      <c r="O113" s="33"/>
      <c r="P113" s="33"/>
      <c r="Q113" s="33"/>
      <c r="R113" s="33"/>
      <c r="S113" s="33"/>
    </row>
    <row r="114" spans="1:19" ht="75" customHeight="1" x14ac:dyDescent="0.3">
      <c r="A114" s="33"/>
      <c r="B114" s="33"/>
      <c r="C114" s="33"/>
      <c r="D114" s="33"/>
      <c r="E114" s="33"/>
      <c r="F114" s="33"/>
      <c r="G114" s="33"/>
      <c r="H114" s="33"/>
      <c r="I114" s="33"/>
      <c r="N114" s="33"/>
      <c r="O114" s="33"/>
      <c r="P114" s="33"/>
      <c r="Q114" s="33"/>
      <c r="R114" s="33"/>
      <c r="S114" s="33"/>
    </row>
    <row r="115" spans="1:19" ht="75" customHeight="1" x14ac:dyDescent="0.3">
      <c r="A115" s="33"/>
      <c r="B115" s="33"/>
      <c r="C115" s="33"/>
      <c r="D115" s="33"/>
      <c r="E115" s="33"/>
      <c r="F115" s="33"/>
      <c r="G115" s="33"/>
      <c r="H115" s="33"/>
      <c r="I115" s="33"/>
      <c r="N115" s="33"/>
      <c r="O115" s="33"/>
      <c r="P115" s="33"/>
      <c r="Q115" s="33"/>
      <c r="R115" s="33"/>
      <c r="S115" s="33"/>
    </row>
    <row r="116" spans="1:19" ht="75" customHeight="1" x14ac:dyDescent="0.3">
      <c r="A116" s="33"/>
      <c r="B116" s="33"/>
      <c r="C116" s="33"/>
      <c r="D116" s="33"/>
      <c r="E116" s="33"/>
      <c r="F116" s="33"/>
      <c r="G116" s="33"/>
      <c r="H116" s="33"/>
      <c r="I116" s="33"/>
      <c r="N116" s="33"/>
      <c r="O116" s="33"/>
      <c r="P116" s="33"/>
      <c r="Q116" s="33"/>
      <c r="R116" s="33"/>
      <c r="S116" s="33"/>
    </row>
    <row r="117" spans="1:19" ht="75" customHeight="1" x14ac:dyDescent="0.3">
      <c r="A117" s="33"/>
      <c r="B117" s="33"/>
      <c r="C117" s="33"/>
      <c r="D117" s="33"/>
      <c r="E117" s="33"/>
      <c r="F117" s="33"/>
      <c r="G117" s="33"/>
      <c r="H117" s="33"/>
      <c r="I117" s="33"/>
      <c r="N117" s="33"/>
      <c r="O117" s="33"/>
      <c r="P117" s="33"/>
      <c r="Q117" s="33"/>
      <c r="R117" s="33"/>
      <c r="S117" s="33"/>
    </row>
    <row r="118" spans="1:19" ht="75" customHeight="1" x14ac:dyDescent="0.3">
      <c r="A118" s="33"/>
      <c r="B118" s="33"/>
      <c r="C118" s="33"/>
      <c r="D118" s="33"/>
      <c r="E118" s="33"/>
      <c r="F118" s="33"/>
      <c r="G118" s="33"/>
      <c r="H118" s="33"/>
      <c r="I118" s="33"/>
      <c r="N118" s="33"/>
      <c r="O118" s="33"/>
      <c r="P118" s="33"/>
      <c r="Q118" s="33"/>
      <c r="R118" s="33"/>
      <c r="S118" s="33"/>
    </row>
    <row r="119" spans="1:19" ht="75" customHeight="1" x14ac:dyDescent="0.3">
      <c r="A119" s="33"/>
      <c r="B119" s="33"/>
      <c r="C119" s="33"/>
      <c r="D119" s="33"/>
      <c r="E119" s="33"/>
      <c r="F119" s="33"/>
      <c r="G119" s="33"/>
      <c r="H119" s="33"/>
      <c r="I119" s="33"/>
      <c r="N119" s="33"/>
      <c r="O119" s="33"/>
      <c r="P119" s="33"/>
      <c r="Q119" s="33"/>
      <c r="R119" s="33"/>
      <c r="S119" s="33"/>
    </row>
    <row r="120" spans="1:19" ht="75" customHeight="1" x14ac:dyDescent="0.3">
      <c r="A120" s="33"/>
      <c r="B120" s="33"/>
      <c r="C120" s="33"/>
      <c r="D120" s="33"/>
      <c r="E120" s="33"/>
      <c r="F120" s="33"/>
      <c r="G120" s="33"/>
      <c r="H120" s="33"/>
      <c r="I120" s="33"/>
      <c r="N120" s="33"/>
      <c r="O120" s="33"/>
      <c r="P120" s="33"/>
      <c r="Q120" s="33"/>
      <c r="R120" s="33"/>
      <c r="S120" s="33"/>
    </row>
    <row r="121" spans="1:19" ht="75" customHeight="1" x14ac:dyDescent="0.3">
      <c r="A121" s="33"/>
      <c r="B121" s="33"/>
      <c r="C121" s="33"/>
      <c r="D121" s="33"/>
      <c r="E121" s="33"/>
      <c r="F121" s="33"/>
      <c r="G121" s="33"/>
      <c r="H121" s="33"/>
      <c r="I121" s="33"/>
      <c r="N121" s="33"/>
      <c r="O121" s="33"/>
      <c r="P121" s="33"/>
      <c r="Q121" s="33"/>
      <c r="R121" s="33"/>
      <c r="S121" s="33"/>
    </row>
    <row r="122" spans="1:19" ht="75" customHeight="1" x14ac:dyDescent="0.3">
      <c r="A122" s="33"/>
      <c r="B122" s="33"/>
      <c r="C122" s="33"/>
      <c r="D122" s="33"/>
      <c r="E122" s="33"/>
      <c r="F122" s="33"/>
      <c r="G122" s="33"/>
      <c r="H122" s="33"/>
      <c r="I122" s="33"/>
      <c r="N122" s="33"/>
      <c r="O122" s="33"/>
      <c r="P122" s="33"/>
      <c r="Q122" s="33"/>
      <c r="R122" s="33"/>
      <c r="S122" s="33"/>
    </row>
    <row r="123" spans="1:19" ht="75" customHeight="1" x14ac:dyDescent="0.3">
      <c r="A123" s="33"/>
      <c r="B123" s="33"/>
      <c r="C123" s="33"/>
      <c r="D123" s="33"/>
      <c r="E123" s="33"/>
      <c r="F123" s="33"/>
      <c r="G123" s="33"/>
      <c r="H123" s="33"/>
      <c r="I123" s="33"/>
      <c r="N123" s="33"/>
      <c r="O123" s="33"/>
      <c r="P123" s="33"/>
      <c r="Q123" s="33"/>
      <c r="R123" s="33"/>
      <c r="S123" s="33"/>
    </row>
    <row r="124" spans="1:19" ht="75" customHeight="1" x14ac:dyDescent="0.3">
      <c r="A124" s="33"/>
      <c r="B124" s="33"/>
      <c r="C124" s="33"/>
      <c r="D124" s="33"/>
      <c r="E124" s="33"/>
      <c r="F124" s="33"/>
      <c r="G124" s="33"/>
      <c r="H124" s="33"/>
      <c r="I124" s="33"/>
      <c r="N124" s="33"/>
      <c r="O124" s="33"/>
      <c r="P124" s="33"/>
      <c r="Q124" s="33"/>
      <c r="R124" s="33"/>
      <c r="S124" s="33"/>
    </row>
    <row r="125" spans="1:19" ht="75" customHeight="1" x14ac:dyDescent="0.3">
      <c r="A125" s="33"/>
      <c r="B125" s="33"/>
      <c r="C125" s="33"/>
      <c r="D125" s="33"/>
      <c r="E125" s="33"/>
      <c r="F125" s="33"/>
      <c r="G125" s="33"/>
      <c r="H125" s="33"/>
      <c r="I125" s="33"/>
      <c r="N125" s="33"/>
      <c r="O125" s="33"/>
      <c r="P125" s="33"/>
      <c r="Q125" s="33"/>
      <c r="R125" s="33"/>
      <c r="S125" s="33"/>
    </row>
    <row r="126" spans="1:19" ht="75" customHeight="1" x14ac:dyDescent="0.3">
      <c r="A126" s="33"/>
      <c r="B126" s="33"/>
      <c r="C126" s="33"/>
      <c r="D126" s="33"/>
      <c r="E126" s="33"/>
      <c r="F126" s="33"/>
      <c r="G126" s="33"/>
      <c r="H126" s="33"/>
      <c r="I126" s="33"/>
      <c r="N126" s="33"/>
      <c r="O126" s="33"/>
      <c r="P126" s="33"/>
      <c r="Q126" s="33"/>
      <c r="R126" s="33"/>
      <c r="S126" s="33"/>
    </row>
    <row r="127" spans="1:19" ht="75" customHeight="1" x14ac:dyDescent="0.3">
      <c r="A127" s="33"/>
      <c r="B127" s="33"/>
      <c r="C127" s="33"/>
      <c r="D127" s="33"/>
      <c r="E127" s="33"/>
      <c r="F127" s="33"/>
      <c r="G127" s="33"/>
      <c r="H127" s="33"/>
      <c r="I127" s="33"/>
      <c r="N127" s="33"/>
      <c r="O127" s="33"/>
      <c r="P127" s="33"/>
      <c r="Q127" s="33"/>
      <c r="R127" s="33"/>
      <c r="S127" s="33"/>
    </row>
    <row r="128" spans="1:19" ht="75" customHeight="1" x14ac:dyDescent="0.3">
      <c r="A128" s="33"/>
      <c r="B128" s="33"/>
      <c r="C128" s="33"/>
      <c r="D128" s="33"/>
      <c r="E128" s="33"/>
      <c r="F128" s="33"/>
      <c r="G128" s="33"/>
      <c r="H128" s="33"/>
      <c r="I128" s="33"/>
      <c r="N128" s="33"/>
      <c r="O128" s="33"/>
      <c r="P128" s="33"/>
      <c r="Q128" s="33"/>
      <c r="R128" s="33"/>
      <c r="S128" s="33"/>
    </row>
    <row r="129" spans="1:19" ht="75" customHeight="1" x14ac:dyDescent="0.3">
      <c r="A129" s="33"/>
      <c r="B129" s="33"/>
      <c r="C129" s="33"/>
      <c r="D129" s="33"/>
      <c r="E129" s="33"/>
      <c r="F129" s="33"/>
      <c r="G129" s="33"/>
      <c r="H129" s="33"/>
      <c r="I129" s="33"/>
      <c r="N129" s="33"/>
      <c r="O129" s="33"/>
      <c r="P129" s="33"/>
      <c r="Q129" s="33"/>
      <c r="R129" s="33"/>
      <c r="S129" s="33"/>
    </row>
    <row r="130" spans="1:19" ht="75" customHeight="1" x14ac:dyDescent="0.3">
      <c r="A130" s="33"/>
      <c r="B130" s="33"/>
      <c r="C130" s="33"/>
      <c r="D130" s="33"/>
      <c r="E130" s="33"/>
      <c r="F130" s="33"/>
      <c r="G130" s="33"/>
      <c r="H130" s="33"/>
      <c r="I130" s="33"/>
      <c r="N130" s="33"/>
      <c r="O130" s="33"/>
      <c r="P130" s="33"/>
      <c r="Q130" s="33"/>
      <c r="R130" s="33"/>
      <c r="S130" s="33"/>
    </row>
    <row r="131" spans="1:19" ht="75" customHeight="1" x14ac:dyDescent="0.3">
      <c r="A131" s="33"/>
      <c r="B131" s="33"/>
      <c r="C131" s="33"/>
      <c r="D131" s="33"/>
      <c r="E131" s="33"/>
      <c r="F131" s="33"/>
      <c r="G131" s="33"/>
      <c r="H131" s="33"/>
      <c r="I131" s="33"/>
      <c r="N131" s="33"/>
      <c r="O131" s="33"/>
      <c r="P131" s="33"/>
      <c r="Q131" s="33"/>
      <c r="R131" s="33"/>
      <c r="S131" s="33"/>
    </row>
    <row r="132" spans="1:19" ht="75" customHeight="1" x14ac:dyDescent="0.3">
      <c r="A132" s="33"/>
      <c r="B132" s="33"/>
      <c r="C132" s="33"/>
      <c r="D132" s="33"/>
      <c r="E132" s="33"/>
      <c r="F132" s="33"/>
      <c r="G132" s="33"/>
      <c r="H132" s="33"/>
      <c r="I132" s="33"/>
      <c r="N132" s="33"/>
      <c r="O132" s="33"/>
      <c r="P132" s="33"/>
      <c r="Q132" s="33"/>
      <c r="R132" s="33"/>
      <c r="S132" s="33"/>
    </row>
    <row r="133" spans="1:19" ht="75" customHeight="1" x14ac:dyDescent="0.3">
      <c r="A133" s="33"/>
      <c r="B133" s="33"/>
      <c r="C133" s="33"/>
      <c r="D133" s="33"/>
      <c r="E133" s="33"/>
      <c r="F133" s="33"/>
      <c r="G133" s="33"/>
      <c r="H133" s="33"/>
      <c r="I133" s="33"/>
      <c r="N133" s="33"/>
      <c r="O133" s="33"/>
      <c r="P133" s="33"/>
      <c r="Q133" s="33"/>
      <c r="R133" s="33"/>
      <c r="S133" s="33"/>
    </row>
    <row r="134" spans="1:19" ht="75" customHeight="1" x14ac:dyDescent="0.3">
      <c r="A134" s="33"/>
      <c r="B134" s="33"/>
      <c r="C134" s="33"/>
      <c r="D134" s="33"/>
      <c r="E134" s="33"/>
      <c r="F134" s="33"/>
      <c r="G134" s="33"/>
      <c r="H134" s="33"/>
      <c r="I134" s="33"/>
      <c r="N134" s="33"/>
      <c r="O134" s="33"/>
      <c r="P134" s="33"/>
      <c r="Q134" s="33"/>
      <c r="R134" s="33"/>
      <c r="S134" s="33"/>
    </row>
    <row r="135" spans="1:19" ht="75" customHeight="1" x14ac:dyDescent="0.3">
      <c r="A135" s="33"/>
      <c r="B135" s="33"/>
      <c r="C135" s="33"/>
      <c r="D135" s="33"/>
      <c r="E135" s="33"/>
      <c r="F135" s="33"/>
      <c r="G135" s="33"/>
      <c r="H135" s="33"/>
      <c r="I135" s="33"/>
      <c r="N135" s="33"/>
      <c r="O135" s="33"/>
      <c r="P135" s="33"/>
      <c r="Q135" s="33"/>
      <c r="R135" s="33"/>
      <c r="S135" s="33"/>
    </row>
    <row r="136" spans="1:19" ht="75" customHeight="1" x14ac:dyDescent="0.3">
      <c r="A136" s="33"/>
      <c r="B136" s="33"/>
      <c r="C136" s="33"/>
      <c r="D136" s="33"/>
      <c r="E136" s="33"/>
      <c r="F136" s="33"/>
      <c r="G136" s="33"/>
      <c r="H136" s="33"/>
      <c r="I136" s="33"/>
      <c r="N136" s="33"/>
      <c r="O136" s="33"/>
      <c r="P136" s="33"/>
      <c r="Q136" s="33"/>
      <c r="R136" s="33"/>
      <c r="S136" s="33"/>
    </row>
    <row r="137" spans="1:19" ht="75" customHeight="1" x14ac:dyDescent="0.3">
      <c r="A137" s="33"/>
      <c r="B137" s="33"/>
      <c r="C137" s="33"/>
      <c r="D137" s="33"/>
      <c r="E137" s="33"/>
      <c r="F137" s="33"/>
      <c r="G137" s="33"/>
      <c r="H137" s="33"/>
      <c r="I137" s="33"/>
      <c r="N137" s="33"/>
      <c r="O137" s="33"/>
      <c r="P137" s="33"/>
      <c r="Q137" s="33"/>
      <c r="R137" s="33"/>
      <c r="S137" s="33"/>
    </row>
    <row r="138" spans="1:19" ht="75" customHeight="1" x14ac:dyDescent="0.3">
      <c r="A138" s="33"/>
      <c r="B138" s="33"/>
      <c r="C138" s="33"/>
      <c r="D138" s="33"/>
      <c r="E138" s="33"/>
      <c r="F138" s="33"/>
      <c r="G138" s="33"/>
      <c r="H138" s="33"/>
      <c r="I138" s="33"/>
      <c r="N138" s="33"/>
      <c r="O138" s="33"/>
      <c r="P138" s="33"/>
      <c r="Q138" s="33"/>
      <c r="R138" s="33"/>
      <c r="S138" s="33"/>
    </row>
    <row r="139" spans="1:19" ht="75" customHeight="1" x14ac:dyDescent="0.3">
      <c r="A139" s="33"/>
      <c r="B139" s="33"/>
      <c r="C139" s="33"/>
      <c r="D139" s="33"/>
      <c r="E139" s="33"/>
      <c r="F139" s="33"/>
      <c r="G139" s="33"/>
      <c r="H139" s="33"/>
      <c r="I139" s="33"/>
      <c r="N139" s="33"/>
      <c r="O139" s="33"/>
      <c r="P139" s="33"/>
      <c r="Q139" s="33"/>
      <c r="R139" s="33"/>
      <c r="S139" s="33"/>
    </row>
    <row r="140" spans="1:19" ht="75" customHeight="1" x14ac:dyDescent="0.3">
      <c r="A140" s="33"/>
      <c r="B140" s="33"/>
      <c r="C140" s="33"/>
      <c r="D140" s="33"/>
      <c r="E140" s="33"/>
      <c r="F140" s="33"/>
      <c r="G140" s="33"/>
      <c r="H140" s="33"/>
      <c r="I140" s="33"/>
      <c r="N140" s="33"/>
      <c r="O140" s="33"/>
      <c r="P140" s="33"/>
      <c r="Q140" s="33"/>
      <c r="R140" s="33"/>
      <c r="S140" s="33"/>
    </row>
    <row r="141" spans="1:19" ht="75" customHeight="1" x14ac:dyDescent="0.3">
      <c r="A141" s="33"/>
      <c r="B141" s="33"/>
      <c r="C141" s="33"/>
      <c r="D141" s="33"/>
      <c r="E141" s="33"/>
      <c r="F141" s="33"/>
      <c r="G141" s="33"/>
      <c r="H141" s="33"/>
      <c r="I141" s="33"/>
      <c r="N141" s="33"/>
      <c r="O141" s="33"/>
      <c r="P141" s="33"/>
      <c r="Q141" s="33"/>
      <c r="R141" s="33"/>
      <c r="S141" s="33"/>
    </row>
    <row r="142" spans="1:19" ht="75" customHeight="1" x14ac:dyDescent="0.3">
      <c r="A142" s="33"/>
      <c r="B142" s="33"/>
      <c r="C142" s="33"/>
      <c r="D142" s="33"/>
      <c r="E142" s="33"/>
      <c r="F142" s="33"/>
      <c r="G142" s="33"/>
      <c r="H142" s="33"/>
      <c r="I142" s="33"/>
      <c r="N142" s="33"/>
      <c r="O142" s="33"/>
      <c r="P142" s="33"/>
      <c r="Q142" s="33"/>
      <c r="R142" s="33"/>
      <c r="S142" s="33"/>
    </row>
    <row r="143" spans="1:19" ht="75" customHeight="1" x14ac:dyDescent="0.3">
      <c r="A143" s="33"/>
      <c r="B143" s="33"/>
      <c r="C143" s="33"/>
      <c r="D143" s="33"/>
      <c r="E143" s="33"/>
      <c r="F143" s="33"/>
      <c r="G143" s="33"/>
      <c r="H143" s="33"/>
      <c r="I143" s="33"/>
      <c r="N143" s="33"/>
      <c r="O143" s="33"/>
      <c r="P143" s="33"/>
      <c r="Q143" s="33"/>
      <c r="R143" s="33"/>
      <c r="S143" s="33"/>
    </row>
    <row r="144" spans="1:19" ht="75" customHeight="1" x14ac:dyDescent="0.3">
      <c r="A144" s="33"/>
      <c r="B144" s="33"/>
      <c r="C144" s="33"/>
      <c r="D144" s="33"/>
      <c r="E144" s="33"/>
      <c r="F144" s="33"/>
      <c r="G144" s="33"/>
      <c r="H144" s="33"/>
      <c r="I144" s="33"/>
      <c r="N144" s="33"/>
      <c r="O144" s="33"/>
      <c r="P144" s="33"/>
      <c r="Q144" s="33"/>
      <c r="R144" s="33"/>
      <c r="S144" s="33"/>
    </row>
    <row r="145" spans="1:19" ht="75" customHeight="1" x14ac:dyDescent="0.3">
      <c r="A145" s="33"/>
      <c r="B145" s="33"/>
      <c r="C145" s="33"/>
      <c r="D145" s="33"/>
      <c r="E145" s="33"/>
      <c r="F145" s="33"/>
      <c r="G145" s="33"/>
      <c r="H145" s="33"/>
      <c r="I145" s="33"/>
      <c r="N145" s="33"/>
      <c r="O145" s="33"/>
      <c r="P145" s="33"/>
      <c r="Q145" s="33"/>
      <c r="R145" s="33"/>
      <c r="S145" s="33"/>
    </row>
    <row r="146" spans="1:19" ht="75" customHeight="1" x14ac:dyDescent="0.3">
      <c r="A146" s="33"/>
      <c r="B146" s="33"/>
      <c r="C146" s="33"/>
      <c r="D146" s="33"/>
      <c r="E146" s="33"/>
      <c r="F146" s="33"/>
      <c r="G146" s="33"/>
      <c r="H146" s="33"/>
      <c r="I146" s="33"/>
      <c r="N146" s="33"/>
      <c r="O146" s="33"/>
      <c r="P146" s="33"/>
      <c r="Q146" s="33"/>
      <c r="R146" s="33"/>
      <c r="S146" s="33"/>
    </row>
    <row r="147" spans="1:19" ht="75" customHeight="1" x14ac:dyDescent="0.3">
      <c r="A147" s="33"/>
      <c r="B147" s="33"/>
      <c r="C147" s="33"/>
      <c r="D147" s="33"/>
      <c r="E147" s="33"/>
      <c r="F147" s="33"/>
      <c r="G147" s="33"/>
      <c r="H147" s="33"/>
      <c r="I147" s="33"/>
      <c r="N147" s="33"/>
      <c r="O147" s="33"/>
      <c r="P147" s="33"/>
      <c r="Q147" s="33"/>
      <c r="R147" s="33"/>
      <c r="S147" s="33"/>
    </row>
    <row r="148" spans="1:19" ht="75" customHeight="1" x14ac:dyDescent="0.3">
      <c r="A148" s="33"/>
      <c r="B148" s="33"/>
      <c r="C148" s="33"/>
      <c r="D148" s="33"/>
      <c r="E148" s="33"/>
      <c r="F148" s="33"/>
      <c r="G148" s="33"/>
      <c r="H148" s="33"/>
      <c r="I148" s="33"/>
      <c r="N148" s="33"/>
      <c r="O148" s="33"/>
      <c r="P148" s="33"/>
      <c r="Q148" s="33"/>
      <c r="R148" s="33"/>
      <c r="S148" s="33"/>
    </row>
    <row r="149" spans="1:19" ht="75" customHeight="1" x14ac:dyDescent="0.3">
      <c r="A149" s="33"/>
      <c r="B149" s="33"/>
      <c r="C149" s="33"/>
      <c r="D149" s="33"/>
      <c r="E149" s="33"/>
      <c r="F149" s="33"/>
      <c r="G149" s="33"/>
      <c r="H149" s="33"/>
      <c r="I149" s="33"/>
      <c r="N149" s="33"/>
      <c r="O149" s="33"/>
      <c r="P149" s="33"/>
      <c r="Q149" s="33"/>
      <c r="R149" s="33"/>
      <c r="S149" s="33"/>
    </row>
    <row r="150" spans="1:19" ht="75" customHeight="1" x14ac:dyDescent="0.3">
      <c r="A150" s="33"/>
      <c r="B150" s="33"/>
      <c r="C150" s="33"/>
      <c r="D150" s="33"/>
      <c r="E150" s="33"/>
      <c r="F150" s="33"/>
      <c r="G150" s="33"/>
      <c r="H150" s="33"/>
      <c r="I150" s="33"/>
      <c r="N150" s="33"/>
      <c r="O150" s="33"/>
      <c r="P150" s="33"/>
      <c r="Q150" s="33"/>
      <c r="R150" s="33"/>
      <c r="S150" s="33"/>
    </row>
    <row r="151" spans="1:19" ht="75" customHeight="1" x14ac:dyDescent="0.3">
      <c r="A151" s="33"/>
      <c r="B151" s="33"/>
      <c r="C151" s="33"/>
      <c r="D151" s="33"/>
      <c r="E151" s="33"/>
      <c r="F151" s="33"/>
      <c r="G151" s="33"/>
      <c r="H151" s="33"/>
      <c r="I151" s="33"/>
      <c r="N151" s="33"/>
      <c r="O151" s="33"/>
      <c r="P151" s="33"/>
      <c r="Q151" s="33"/>
      <c r="R151" s="33"/>
      <c r="S151" s="33"/>
    </row>
    <row r="152" spans="1:19" ht="75" customHeight="1" x14ac:dyDescent="0.3">
      <c r="A152" s="33"/>
      <c r="B152" s="33"/>
      <c r="C152" s="33"/>
      <c r="D152" s="33"/>
      <c r="E152" s="33"/>
      <c r="F152" s="33"/>
      <c r="G152" s="33"/>
      <c r="H152" s="33"/>
      <c r="I152" s="33"/>
      <c r="N152" s="33"/>
      <c r="O152" s="33"/>
      <c r="P152" s="33"/>
      <c r="Q152" s="33"/>
      <c r="R152" s="33"/>
      <c r="S152" s="33"/>
    </row>
    <row r="153" spans="1:19" ht="75" customHeight="1" x14ac:dyDescent="0.3">
      <c r="A153" s="33"/>
      <c r="B153" s="33"/>
      <c r="C153" s="33"/>
      <c r="D153" s="33"/>
      <c r="E153" s="33"/>
      <c r="F153" s="33"/>
      <c r="G153" s="33"/>
      <c r="H153" s="33"/>
      <c r="I153" s="33"/>
      <c r="N153" s="33"/>
      <c r="O153" s="33"/>
      <c r="P153" s="33"/>
      <c r="Q153" s="33"/>
      <c r="R153" s="33"/>
      <c r="S153" s="33"/>
    </row>
    <row r="154" spans="1:19" ht="75" customHeight="1" x14ac:dyDescent="0.3">
      <c r="A154" s="33"/>
      <c r="B154" s="33"/>
      <c r="C154" s="33"/>
      <c r="D154" s="33"/>
      <c r="E154" s="33"/>
      <c r="F154" s="33"/>
      <c r="G154" s="33"/>
      <c r="H154" s="33"/>
      <c r="I154" s="33"/>
      <c r="N154" s="33"/>
      <c r="O154" s="33"/>
      <c r="P154" s="33"/>
      <c r="Q154" s="33"/>
      <c r="R154" s="33"/>
      <c r="S154" s="33"/>
    </row>
    <row r="155" spans="1:19" ht="75" customHeight="1" x14ac:dyDescent="0.3">
      <c r="A155" s="33"/>
      <c r="B155" s="33"/>
      <c r="C155" s="33"/>
      <c r="D155" s="33"/>
      <c r="E155" s="33"/>
      <c r="F155" s="33"/>
      <c r="G155" s="33"/>
      <c r="H155" s="33"/>
      <c r="I155" s="33"/>
      <c r="N155" s="33"/>
      <c r="O155" s="33"/>
      <c r="P155" s="33"/>
      <c r="Q155" s="33"/>
      <c r="R155" s="33"/>
      <c r="S155" s="33"/>
    </row>
    <row r="156" spans="1:19" ht="75" customHeight="1" x14ac:dyDescent="0.3">
      <c r="A156" s="33"/>
      <c r="B156" s="33"/>
      <c r="C156" s="33"/>
      <c r="D156" s="33"/>
      <c r="E156" s="33"/>
      <c r="F156" s="33"/>
      <c r="G156" s="33"/>
      <c r="H156" s="33"/>
      <c r="I156" s="33"/>
      <c r="N156" s="33"/>
      <c r="O156" s="33"/>
      <c r="P156" s="33"/>
      <c r="Q156" s="33"/>
      <c r="R156" s="33"/>
      <c r="S156" s="33"/>
    </row>
    <row r="157" spans="1:19" ht="75" customHeight="1" x14ac:dyDescent="0.3">
      <c r="A157" s="33"/>
      <c r="B157" s="33"/>
      <c r="C157" s="33"/>
      <c r="D157" s="33"/>
      <c r="E157" s="33"/>
      <c r="F157" s="33"/>
      <c r="G157" s="33"/>
      <c r="H157" s="33"/>
      <c r="I157" s="33"/>
      <c r="N157" s="33"/>
      <c r="O157" s="33"/>
      <c r="P157" s="33"/>
      <c r="Q157" s="33"/>
      <c r="R157" s="33"/>
      <c r="S157" s="33"/>
    </row>
    <row r="158" spans="1:19" ht="75" customHeight="1" x14ac:dyDescent="0.3">
      <c r="A158" s="33"/>
      <c r="B158" s="33"/>
      <c r="C158" s="33"/>
      <c r="D158" s="33"/>
      <c r="E158" s="33"/>
      <c r="F158" s="33"/>
      <c r="G158" s="33"/>
      <c r="H158" s="33"/>
      <c r="I158" s="33"/>
      <c r="N158" s="33"/>
      <c r="O158" s="33"/>
      <c r="P158" s="33"/>
      <c r="Q158" s="33"/>
      <c r="R158" s="33"/>
      <c r="S158" s="33"/>
    </row>
    <row r="159" spans="1:19" ht="75" customHeight="1" x14ac:dyDescent="0.3">
      <c r="A159" s="33"/>
      <c r="B159" s="33"/>
      <c r="C159" s="33"/>
      <c r="D159" s="33"/>
      <c r="E159" s="33"/>
      <c r="F159" s="33"/>
      <c r="G159" s="33"/>
      <c r="H159" s="33"/>
      <c r="I159" s="33"/>
      <c r="N159" s="33"/>
      <c r="O159" s="33"/>
      <c r="P159" s="33"/>
      <c r="Q159" s="33"/>
      <c r="R159" s="33"/>
      <c r="S159" s="33"/>
    </row>
    <row r="160" spans="1:19" ht="75" customHeight="1" x14ac:dyDescent="0.3">
      <c r="A160" s="33"/>
      <c r="B160" s="33"/>
      <c r="C160" s="33"/>
      <c r="D160" s="33"/>
      <c r="E160" s="33"/>
      <c r="F160" s="33"/>
      <c r="G160" s="33"/>
      <c r="H160" s="33"/>
      <c r="I160" s="33"/>
      <c r="N160" s="33"/>
      <c r="O160" s="33"/>
      <c r="P160" s="33"/>
      <c r="Q160" s="33"/>
      <c r="R160" s="33"/>
      <c r="S160" s="33"/>
    </row>
    <row r="161" spans="1:19" ht="75" customHeight="1" x14ac:dyDescent="0.3">
      <c r="A161" s="33"/>
      <c r="B161" s="33"/>
      <c r="C161" s="33"/>
      <c r="D161" s="33"/>
      <c r="E161" s="33"/>
      <c r="F161" s="33"/>
      <c r="G161" s="33"/>
      <c r="H161" s="33"/>
      <c r="I161" s="33"/>
      <c r="N161" s="33"/>
      <c r="O161" s="33"/>
      <c r="P161" s="33"/>
      <c r="Q161" s="33"/>
      <c r="R161" s="33"/>
      <c r="S161" s="33"/>
    </row>
    <row r="162" spans="1:19" ht="75" customHeight="1" x14ac:dyDescent="0.3">
      <c r="A162" s="33"/>
      <c r="B162" s="33"/>
      <c r="C162" s="33"/>
      <c r="D162" s="33"/>
      <c r="E162" s="33"/>
      <c r="F162" s="33"/>
      <c r="G162" s="33"/>
      <c r="H162" s="33"/>
      <c r="I162" s="33"/>
      <c r="N162" s="33"/>
      <c r="O162" s="33"/>
      <c r="P162" s="33"/>
      <c r="Q162" s="33"/>
      <c r="R162" s="33"/>
      <c r="S162" s="33"/>
    </row>
    <row r="163" spans="1:19" ht="75" customHeight="1" x14ac:dyDescent="0.3">
      <c r="A163" s="33"/>
      <c r="B163" s="33"/>
      <c r="C163" s="33"/>
      <c r="D163" s="33"/>
      <c r="E163" s="33"/>
      <c r="F163" s="33"/>
      <c r="G163" s="33"/>
      <c r="H163" s="33"/>
      <c r="I163" s="33"/>
      <c r="N163" s="33"/>
      <c r="O163" s="33"/>
      <c r="P163" s="33"/>
      <c r="Q163" s="33"/>
      <c r="R163" s="33"/>
      <c r="S163" s="33"/>
    </row>
    <row r="164" spans="1:19" ht="75" customHeight="1" x14ac:dyDescent="0.3">
      <c r="A164" s="33"/>
      <c r="B164" s="33"/>
      <c r="C164" s="33"/>
      <c r="D164" s="33"/>
      <c r="E164" s="33"/>
      <c r="F164" s="33"/>
      <c r="G164" s="33"/>
      <c r="H164" s="33"/>
      <c r="I164" s="33"/>
      <c r="N164" s="33"/>
      <c r="O164" s="33"/>
      <c r="P164" s="33"/>
      <c r="Q164" s="33"/>
      <c r="R164" s="33"/>
      <c r="S164" s="33"/>
    </row>
    <row r="165" spans="1:19" ht="75" customHeight="1" x14ac:dyDescent="0.3">
      <c r="A165" s="33"/>
      <c r="B165" s="33"/>
      <c r="C165" s="33"/>
      <c r="D165" s="33"/>
      <c r="E165" s="33"/>
      <c r="F165" s="33"/>
      <c r="G165" s="33"/>
      <c r="H165" s="33"/>
      <c r="I165" s="33"/>
      <c r="N165" s="33"/>
      <c r="O165" s="33"/>
      <c r="P165" s="33"/>
      <c r="Q165" s="33"/>
      <c r="R165" s="33"/>
      <c r="S165" s="33"/>
    </row>
    <row r="166" spans="1:19" ht="75" customHeight="1" x14ac:dyDescent="0.3">
      <c r="A166" s="33"/>
      <c r="B166" s="33"/>
      <c r="C166" s="33"/>
      <c r="D166" s="33"/>
      <c r="E166" s="33"/>
      <c r="F166" s="33"/>
      <c r="G166" s="33"/>
      <c r="H166" s="33"/>
      <c r="I166" s="33"/>
      <c r="N166" s="33"/>
      <c r="O166" s="33"/>
      <c r="P166" s="33"/>
      <c r="Q166" s="33"/>
      <c r="R166" s="33"/>
      <c r="S166" s="33"/>
    </row>
    <row r="167" spans="1:19" ht="75" customHeight="1" x14ac:dyDescent="0.3">
      <c r="A167" s="33"/>
      <c r="B167" s="33"/>
      <c r="C167" s="33"/>
      <c r="D167" s="33"/>
      <c r="E167" s="33"/>
      <c r="F167" s="33"/>
      <c r="G167" s="33"/>
      <c r="H167" s="33"/>
      <c r="I167" s="33"/>
      <c r="N167" s="33"/>
      <c r="O167" s="33"/>
      <c r="P167" s="33"/>
      <c r="Q167" s="33"/>
      <c r="R167" s="33"/>
      <c r="S167" s="33"/>
    </row>
    <row r="168" spans="1:19" ht="75" customHeight="1" x14ac:dyDescent="0.3">
      <c r="A168" s="33"/>
      <c r="B168" s="33"/>
      <c r="C168" s="33"/>
      <c r="D168" s="33"/>
      <c r="E168" s="33"/>
      <c r="F168" s="33"/>
      <c r="G168" s="33"/>
      <c r="H168" s="33"/>
      <c r="I168" s="33"/>
      <c r="N168" s="33"/>
      <c r="O168" s="33"/>
      <c r="P168" s="33"/>
      <c r="Q168" s="33"/>
      <c r="R168" s="33"/>
      <c r="S168" s="33"/>
    </row>
    <row r="169" spans="1:19" ht="75" customHeight="1" x14ac:dyDescent="0.3">
      <c r="A169" s="33"/>
      <c r="B169" s="33"/>
      <c r="C169" s="33"/>
      <c r="D169" s="33"/>
      <c r="E169" s="33"/>
      <c r="F169" s="33"/>
      <c r="G169" s="33"/>
      <c r="H169" s="33"/>
      <c r="I169" s="33"/>
      <c r="N169" s="33"/>
      <c r="O169" s="33"/>
      <c r="P169" s="33"/>
      <c r="Q169" s="33"/>
      <c r="R169" s="33"/>
      <c r="S169" s="33"/>
    </row>
    <row r="170" spans="1:19" ht="75" customHeight="1" x14ac:dyDescent="0.3">
      <c r="A170" s="33"/>
      <c r="B170" s="33"/>
      <c r="C170" s="33"/>
      <c r="D170" s="33"/>
      <c r="E170" s="33"/>
      <c r="F170" s="33"/>
      <c r="G170" s="33"/>
      <c r="H170" s="33"/>
      <c r="I170" s="33"/>
      <c r="N170" s="33"/>
      <c r="O170" s="33"/>
      <c r="P170" s="33"/>
      <c r="Q170" s="33"/>
      <c r="R170" s="33"/>
      <c r="S170" s="33"/>
    </row>
    <row r="171" spans="1:19" ht="75" customHeight="1" x14ac:dyDescent="0.3">
      <c r="A171" s="33"/>
      <c r="B171" s="33"/>
      <c r="C171" s="33"/>
      <c r="D171" s="33"/>
      <c r="E171" s="33"/>
      <c r="F171" s="33"/>
      <c r="G171" s="33"/>
      <c r="H171" s="33"/>
      <c r="I171" s="33"/>
      <c r="N171" s="33"/>
      <c r="O171" s="33"/>
      <c r="P171" s="33"/>
      <c r="Q171" s="33"/>
      <c r="R171" s="33"/>
      <c r="S171" s="33"/>
    </row>
    <row r="172" spans="1:19" ht="75" customHeight="1" x14ac:dyDescent="0.3">
      <c r="A172" s="33"/>
      <c r="B172" s="33"/>
      <c r="C172" s="33"/>
      <c r="D172" s="33"/>
      <c r="E172" s="33"/>
      <c r="F172" s="33"/>
      <c r="G172" s="33"/>
      <c r="H172" s="33"/>
      <c r="I172" s="33"/>
      <c r="N172" s="33"/>
      <c r="O172" s="33"/>
      <c r="P172" s="33"/>
      <c r="Q172" s="33"/>
      <c r="R172" s="33"/>
      <c r="S172" s="33"/>
    </row>
    <row r="173" spans="1:19" ht="75" customHeight="1" x14ac:dyDescent="0.3">
      <c r="A173" s="33"/>
      <c r="B173" s="33"/>
      <c r="C173" s="33"/>
      <c r="D173" s="33"/>
      <c r="E173" s="33"/>
      <c r="F173" s="33"/>
      <c r="G173" s="33"/>
      <c r="H173" s="33"/>
      <c r="I173" s="33"/>
      <c r="N173" s="33"/>
      <c r="O173" s="33"/>
      <c r="P173" s="33"/>
      <c r="Q173" s="33"/>
      <c r="R173" s="33"/>
      <c r="S173" s="33"/>
    </row>
    <row r="174" spans="1:19" ht="75" customHeight="1" x14ac:dyDescent="0.3">
      <c r="A174" s="33"/>
      <c r="B174" s="33"/>
      <c r="C174" s="33"/>
      <c r="D174" s="33"/>
      <c r="E174" s="33"/>
      <c r="F174" s="33"/>
      <c r="G174" s="33"/>
      <c r="H174" s="33"/>
      <c r="I174" s="33"/>
      <c r="N174" s="33"/>
      <c r="O174" s="33"/>
      <c r="P174" s="33"/>
      <c r="Q174" s="33"/>
      <c r="R174" s="33"/>
      <c r="S174" s="33"/>
    </row>
    <row r="175" spans="1:19" ht="75" customHeight="1" x14ac:dyDescent="0.3">
      <c r="A175" s="33"/>
      <c r="B175" s="33"/>
      <c r="C175" s="33"/>
      <c r="D175" s="33"/>
      <c r="E175" s="33"/>
      <c r="F175" s="33"/>
      <c r="G175" s="33"/>
      <c r="H175" s="33"/>
      <c r="I175" s="33"/>
      <c r="N175" s="33"/>
      <c r="O175" s="33"/>
      <c r="P175" s="33"/>
      <c r="Q175" s="33"/>
      <c r="R175" s="33"/>
      <c r="S175" s="33"/>
    </row>
    <row r="176" spans="1:19" ht="75" customHeight="1" x14ac:dyDescent="0.3">
      <c r="A176" s="33"/>
      <c r="B176" s="33"/>
      <c r="C176" s="33"/>
      <c r="D176" s="33"/>
      <c r="E176" s="33"/>
      <c r="F176" s="33"/>
      <c r="G176" s="33"/>
      <c r="H176" s="33"/>
      <c r="I176" s="33"/>
      <c r="N176" s="33"/>
      <c r="O176" s="33"/>
      <c r="P176" s="33"/>
      <c r="Q176" s="33"/>
      <c r="R176" s="33"/>
      <c r="S176" s="33"/>
    </row>
    <row r="177" spans="1:19" ht="75" customHeight="1" x14ac:dyDescent="0.3">
      <c r="A177" s="33"/>
      <c r="B177" s="33"/>
      <c r="C177" s="33"/>
      <c r="D177" s="33"/>
      <c r="E177" s="33"/>
      <c r="F177" s="33"/>
      <c r="G177" s="33"/>
      <c r="H177" s="33"/>
      <c r="I177" s="33"/>
      <c r="N177" s="33"/>
      <c r="O177" s="33"/>
      <c r="P177" s="33"/>
      <c r="Q177" s="33"/>
      <c r="R177" s="33"/>
      <c r="S177" s="33"/>
    </row>
    <row r="178" spans="1:19" ht="75" customHeight="1" x14ac:dyDescent="0.3">
      <c r="A178" s="33"/>
      <c r="B178" s="33"/>
      <c r="C178" s="33"/>
      <c r="D178" s="33"/>
      <c r="E178" s="33"/>
      <c r="F178" s="33"/>
      <c r="G178" s="33"/>
      <c r="H178" s="33"/>
      <c r="I178" s="33"/>
      <c r="N178" s="33"/>
      <c r="O178" s="33"/>
      <c r="P178" s="33"/>
      <c r="Q178" s="33"/>
      <c r="R178" s="33"/>
      <c r="S178" s="33"/>
    </row>
    <row r="179" spans="1:19" ht="75" customHeight="1" x14ac:dyDescent="0.3">
      <c r="A179" s="33"/>
      <c r="B179" s="33"/>
      <c r="C179" s="33"/>
      <c r="D179" s="33"/>
      <c r="E179" s="33"/>
      <c r="F179" s="33"/>
      <c r="G179" s="33"/>
      <c r="H179" s="33"/>
      <c r="I179" s="33"/>
      <c r="N179" s="33"/>
      <c r="O179" s="33"/>
      <c r="P179" s="33"/>
      <c r="Q179" s="33"/>
      <c r="R179" s="33"/>
      <c r="S179" s="33"/>
    </row>
    <row r="180" spans="1:19" ht="75" customHeight="1" x14ac:dyDescent="0.3">
      <c r="A180" s="33"/>
      <c r="B180" s="33"/>
      <c r="C180" s="33"/>
      <c r="D180" s="33"/>
      <c r="E180" s="33"/>
      <c r="F180" s="33"/>
      <c r="G180" s="33"/>
      <c r="H180" s="33"/>
      <c r="I180" s="33"/>
      <c r="N180" s="33"/>
      <c r="O180" s="33"/>
      <c r="P180" s="33"/>
      <c r="Q180" s="33"/>
      <c r="R180" s="33"/>
      <c r="S180" s="33"/>
    </row>
    <row r="181" spans="1:19" ht="75" customHeight="1" x14ac:dyDescent="0.3">
      <c r="A181" s="33"/>
      <c r="B181" s="33"/>
      <c r="C181" s="33"/>
      <c r="D181" s="33"/>
      <c r="E181" s="33"/>
      <c r="F181" s="33"/>
      <c r="G181" s="33"/>
      <c r="H181" s="33"/>
      <c r="I181" s="33"/>
      <c r="N181" s="33"/>
      <c r="O181" s="33"/>
      <c r="P181" s="33"/>
      <c r="Q181" s="33"/>
      <c r="R181" s="33"/>
      <c r="S181" s="33"/>
    </row>
    <row r="182" spans="1:19" ht="75" customHeight="1" x14ac:dyDescent="0.3">
      <c r="A182" s="33"/>
      <c r="B182" s="33"/>
      <c r="C182" s="33"/>
      <c r="D182" s="33"/>
      <c r="E182" s="33"/>
      <c r="F182" s="33"/>
      <c r="G182" s="33"/>
      <c r="H182" s="33"/>
      <c r="I182" s="33"/>
      <c r="N182" s="33"/>
      <c r="O182" s="33"/>
      <c r="P182" s="33"/>
      <c r="Q182" s="33"/>
      <c r="R182" s="33"/>
      <c r="S182" s="33"/>
    </row>
    <row r="183" spans="1:19" ht="75" customHeight="1" x14ac:dyDescent="0.3">
      <c r="A183" s="33"/>
      <c r="B183" s="33"/>
      <c r="C183" s="33"/>
      <c r="D183" s="33"/>
      <c r="E183" s="33"/>
      <c r="F183" s="33"/>
      <c r="G183" s="33"/>
      <c r="H183" s="33"/>
      <c r="I183" s="33"/>
      <c r="N183" s="33"/>
      <c r="O183" s="33"/>
      <c r="P183" s="33"/>
      <c r="Q183" s="33"/>
      <c r="R183" s="33"/>
      <c r="S183" s="33"/>
    </row>
    <row r="184" spans="1:19" ht="75" customHeight="1" x14ac:dyDescent="0.3">
      <c r="A184" s="33"/>
      <c r="B184" s="33"/>
      <c r="C184" s="33"/>
      <c r="D184" s="33"/>
      <c r="E184" s="33"/>
      <c r="F184" s="33"/>
      <c r="G184" s="33"/>
      <c r="H184" s="33"/>
      <c r="I184" s="33"/>
      <c r="N184" s="33"/>
      <c r="O184" s="33"/>
      <c r="P184" s="33"/>
      <c r="Q184" s="33"/>
      <c r="R184" s="33"/>
      <c r="S184" s="33"/>
    </row>
    <row r="185" spans="1:19" ht="75" customHeight="1" x14ac:dyDescent="0.3">
      <c r="A185" s="33"/>
      <c r="B185" s="33"/>
      <c r="C185" s="33"/>
      <c r="D185" s="33"/>
      <c r="E185" s="33"/>
      <c r="F185" s="33"/>
      <c r="G185" s="33"/>
      <c r="H185" s="33"/>
      <c r="I185" s="33"/>
      <c r="N185" s="33"/>
      <c r="O185" s="33"/>
      <c r="P185" s="33"/>
      <c r="Q185" s="33"/>
      <c r="R185" s="33"/>
      <c r="S185" s="33"/>
    </row>
    <row r="186" spans="1:19" ht="75" customHeight="1" x14ac:dyDescent="0.3">
      <c r="A186" s="33"/>
      <c r="B186" s="33"/>
      <c r="C186" s="33"/>
      <c r="D186" s="33"/>
      <c r="E186" s="33"/>
      <c r="F186" s="33"/>
      <c r="G186" s="33"/>
      <c r="H186" s="33"/>
      <c r="I186" s="33"/>
      <c r="N186" s="33"/>
      <c r="O186" s="33"/>
      <c r="P186" s="33"/>
      <c r="Q186" s="33"/>
      <c r="R186" s="33"/>
      <c r="S186" s="33"/>
    </row>
    <row r="187" spans="1:19" ht="75" customHeight="1" x14ac:dyDescent="0.3">
      <c r="A187" s="33"/>
      <c r="B187" s="33"/>
      <c r="C187" s="33"/>
      <c r="D187" s="33"/>
      <c r="E187" s="33"/>
      <c r="F187" s="33"/>
      <c r="G187" s="33"/>
      <c r="H187" s="33"/>
      <c r="I187" s="33"/>
      <c r="N187" s="33"/>
      <c r="O187" s="33"/>
      <c r="P187" s="33"/>
      <c r="Q187" s="33"/>
      <c r="R187" s="33"/>
      <c r="S187" s="33"/>
    </row>
    <row r="188" spans="1:19" ht="75" customHeight="1" x14ac:dyDescent="0.3">
      <c r="A188" s="33"/>
      <c r="B188" s="33"/>
      <c r="C188" s="33"/>
      <c r="D188" s="33"/>
      <c r="E188" s="33"/>
      <c r="F188" s="33"/>
      <c r="G188" s="33"/>
      <c r="H188" s="33"/>
      <c r="I188" s="33"/>
      <c r="N188" s="33"/>
      <c r="O188" s="33"/>
      <c r="P188" s="33"/>
      <c r="Q188" s="33"/>
      <c r="R188" s="33"/>
      <c r="S188" s="33"/>
    </row>
    <row r="189" spans="1:19" ht="75" customHeight="1" x14ac:dyDescent="0.3">
      <c r="A189" s="33"/>
      <c r="B189" s="33"/>
      <c r="C189" s="33"/>
      <c r="D189" s="33"/>
      <c r="E189" s="33"/>
      <c r="F189" s="33"/>
      <c r="G189" s="33"/>
      <c r="H189" s="33"/>
      <c r="I189" s="33"/>
      <c r="N189" s="33"/>
      <c r="O189" s="33"/>
      <c r="P189" s="33"/>
      <c r="Q189" s="33"/>
      <c r="R189" s="33"/>
      <c r="S189" s="33"/>
    </row>
    <row r="190" spans="1:19" ht="75" customHeight="1" x14ac:dyDescent="0.3">
      <c r="A190" s="33"/>
      <c r="B190" s="33"/>
      <c r="C190" s="33"/>
      <c r="D190" s="33"/>
      <c r="E190" s="33"/>
      <c r="F190" s="33"/>
      <c r="G190" s="33"/>
      <c r="H190" s="33"/>
      <c r="I190" s="33"/>
      <c r="N190" s="33"/>
      <c r="O190" s="33"/>
      <c r="P190" s="33"/>
      <c r="Q190" s="33"/>
      <c r="R190" s="33"/>
      <c r="S190" s="33"/>
    </row>
    <row r="191" spans="1:19" ht="75" customHeight="1" x14ac:dyDescent="0.3">
      <c r="A191" s="33"/>
      <c r="B191" s="33"/>
      <c r="C191" s="33"/>
      <c r="D191" s="33"/>
      <c r="E191" s="33"/>
      <c r="F191" s="33"/>
      <c r="G191" s="33"/>
      <c r="H191" s="33"/>
      <c r="I191" s="33"/>
      <c r="N191" s="33"/>
      <c r="O191" s="33"/>
      <c r="P191" s="33"/>
      <c r="Q191" s="33"/>
      <c r="R191" s="33"/>
      <c r="S191" s="33"/>
    </row>
    <row r="192" spans="1:19" ht="75" customHeight="1" x14ac:dyDescent="0.3">
      <c r="A192" s="33"/>
      <c r="B192" s="33"/>
      <c r="C192" s="33"/>
      <c r="D192" s="33"/>
      <c r="E192" s="33"/>
      <c r="F192" s="33"/>
      <c r="G192" s="33"/>
      <c r="H192" s="33"/>
      <c r="I192" s="33"/>
      <c r="N192" s="33"/>
      <c r="O192" s="33"/>
      <c r="P192" s="33"/>
      <c r="Q192" s="33"/>
      <c r="R192" s="33"/>
      <c r="S192" s="33"/>
    </row>
    <row r="193" spans="1:19" ht="75" customHeight="1" x14ac:dyDescent="0.3">
      <c r="A193" s="33"/>
      <c r="B193" s="33"/>
      <c r="C193" s="33"/>
      <c r="D193" s="33"/>
      <c r="E193" s="33"/>
      <c r="F193" s="33"/>
      <c r="G193" s="33"/>
      <c r="H193" s="33"/>
      <c r="I193" s="33"/>
      <c r="N193" s="33"/>
      <c r="O193" s="33"/>
      <c r="P193" s="33"/>
      <c r="Q193" s="33"/>
      <c r="R193" s="33"/>
      <c r="S193" s="33"/>
    </row>
    <row r="194" spans="1:19" ht="75" customHeight="1" x14ac:dyDescent="0.3">
      <c r="A194" s="33"/>
      <c r="B194" s="33"/>
      <c r="C194" s="33"/>
      <c r="D194" s="33"/>
      <c r="E194" s="33"/>
      <c r="F194" s="33"/>
      <c r="G194" s="33"/>
      <c r="H194" s="33"/>
      <c r="I194" s="33"/>
      <c r="N194" s="33"/>
      <c r="O194" s="33"/>
      <c r="P194" s="33"/>
      <c r="Q194" s="33"/>
      <c r="R194" s="33"/>
      <c r="S194" s="33"/>
    </row>
    <row r="195" spans="1:19" ht="75" customHeight="1" x14ac:dyDescent="0.3">
      <c r="A195" s="33"/>
      <c r="B195" s="33"/>
      <c r="C195" s="33"/>
      <c r="D195" s="33"/>
      <c r="E195" s="33"/>
      <c r="F195" s="33"/>
      <c r="G195" s="33"/>
      <c r="H195" s="33"/>
      <c r="I195" s="33"/>
      <c r="N195" s="33"/>
      <c r="O195" s="33"/>
      <c r="P195" s="33"/>
      <c r="Q195" s="33"/>
      <c r="R195" s="33"/>
      <c r="S195" s="33"/>
    </row>
    <row r="196" spans="1:19" ht="75" customHeight="1" x14ac:dyDescent="0.3">
      <c r="A196" s="33"/>
      <c r="B196" s="33"/>
      <c r="C196" s="33"/>
      <c r="D196" s="33"/>
      <c r="E196" s="33"/>
      <c r="F196" s="33"/>
      <c r="G196" s="33"/>
      <c r="H196" s="33"/>
      <c r="I196" s="33"/>
      <c r="N196" s="33"/>
      <c r="O196" s="33"/>
      <c r="P196" s="33"/>
      <c r="Q196" s="33"/>
      <c r="R196" s="33"/>
      <c r="S196" s="33"/>
    </row>
    <row r="197" spans="1:19" ht="75" customHeight="1" x14ac:dyDescent="0.3">
      <c r="A197" s="33"/>
      <c r="B197" s="33"/>
      <c r="C197" s="33"/>
      <c r="D197" s="33"/>
      <c r="E197" s="33"/>
      <c r="F197" s="33"/>
      <c r="G197" s="33"/>
      <c r="H197" s="33"/>
      <c r="I197" s="33"/>
      <c r="N197" s="33"/>
      <c r="O197" s="33"/>
      <c r="P197" s="33"/>
      <c r="Q197" s="33"/>
      <c r="R197" s="33"/>
      <c r="S197" s="33"/>
    </row>
    <row r="198" spans="1:19" ht="75" customHeight="1" x14ac:dyDescent="0.3">
      <c r="A198" s="33"/>
      <c r="B198" s="33"/>
      <c r="C198" s="33"/>
      <c r="D198" s="33"/>
      <c r="E198" s="33"/>
      <c r="F198" s="33"/>
      <c r="G198" s="33"/>
      <c r="H198" s="33"/>
      <c r="I198" s="33"/>
      <c r="N198" s="33"/>
      <c r="O198" s="33"/>
      <c r="P198" s="33"/>
      <c r="Q198" s="33"/>
      <c r="R198" s="33"/>
      <c r="S198" s="33"/>
    </row>
    <row r="199" spans="1:19" ht="75" customHeight="1" x14ac:dyDescent="0.3">
      <c r="A199" s="33"/>
      <c r="B199" s="33"/>
      <c r="C199" s="33"/>
      <c r="D199" s="33"/>
      <c r="E199" s="33"/>
      <c r="F199" s="33"/>
      <c r="G199" s="33"/>
      <c r="H199" s="33"/>
      <c r="I199" s="33"/>
      <c r="N199" s="33"/>
      <c r="O199" s="33"/>
      <c r="P199" s="33"/>
      <c r="Q199" s="33"/>
      <c r="R199" s="33"/>
      <c r="S199" s="33"/>
    </row>
    <row r="200" spans="1:19" ht="75" customHeight="1" x14ac:dyDescent="0.3">
      <c r="A200" s="33"/>
      <c r="B200" s="33"/>
      <c r="C200" s="33"/>
      <c r="D200" s="33"/>
      <c r="E200" s="33"/>
      <c r="F200" s="33"/>
      <c r="G200" s="33"/>
      <c r="H200" s="33"/>
      <c r="I200" s="33"/>
      <c r="N200" s="33"/>
      <c r="O200" s="33"/>
      <c r="P200" s="33"/>
      <c r="Q200" s="33"/>
      <c r="R200" s="33"/>
      <c r="S200" s="33"/>
    </row>
    <row r="201" spans="1:19" ht="75" customHeight="1" x14ac:dyDescent="0.3">
      <c r="A201" s="33"/>
      <c r="B201" s="33"/>
      <c r="C201" s="33"/>
      <c r="D201" s="33"/>
      <c r="E201" s="33"/>
      <c r="F201" s="33"/>
      <c r="G201" s="33"/>
      <c r="H201" s="33"/>
      <c r="I201" s="33"/>
      <c r="N201" s="33"/>
      <c r="O201" s="33"/>
      <c r="P201" s="33"/>
      <c r="Q201" s="33"/>
      <c r="R201" s="33"/>
      <c r="S201" s="33"/>
    </row>
    <row r="202" spans="1:19" ht="75" customHeight="1" x14ac:dyDescent="0.3">
      <c r="A202" s="33"/>
      <c r="B202" s="33"/>
      <c r="C202" s="33"/>
      <c r="D202" s="33"/>
      <c r="E202" s="33"/>
      <c r="F202" s="33"/>
      <c r="G202" s="33"/>
      <c r="H202" s="33"/>
      <c r="I202" s="33"/>
      <c r="N202" s="33"/>
      <c r="O202" s="33"/>
      <c r="P202" s="33"/>
      <c r="Q202" s="33"/>
      <c r="R202" s="33"/>
      <c r="S202" s="33"/>
    </row>
    <row r="203" spans="1:19" ht="75" customHeight="1" x14ac:dyDescent="0.3">
      <c r="A203" s="33"/>
      <c r="B203" s="33"/>
      <c r="C203" s="33"/>
      <c r="D203" s="33"/>
      <c r="E203" s="33"/>
      <c r="F203" s="33"/>
      <c r="G203" s="33"/>
      <c r="H203" s="33"/>
      <c r="I203" s="33"/>
      <c r="N203" s="33"/>
      <c r="O203" s="33"/>
      <c r="P203" s="33"/>
      <c r="Q203" s="33"/>
      <c r="R203" s="33"/>
      <c r="S203" s="33"/>
    </row>
    <row r="204" spans="1:19" ht="75" customHeight="1" x14ac:dyDescent="0.3">
      <c r="A204" s="33"/>
      <c r="B204" s="33"/>
      <c r="C204" s="33"/>
      <c r="D204" s="33"/>
      <c r="E204" s="33"/>
      <c r="F204" s="33"/>
      <c r="G204" s="33"/>
      <c r="H204" s="33"/>
      <c r="I204" s="33"/>
      <c r="N204" s="33"/>
      <c r="O204" s="33"/>
      <c r="P204" s="33"/>
      <c r="Q204" s="33"/>
      <c r="R204" s="33"/>
      <c r="S204" s="33"/>
    </row>
    <row r="205" spans="1:19" ht="75" customHeight="1" x14ac:dyDescent="0.3">
      <c r="A205" s="33"/>
      <c r="B205" s="33"/>
      <c r="C205" s="33"/>
      <c r="D205" s="33"/>
      <c r="E205" s="33"/>
      <c r="F205" s="33"/>
      <c r="G205" s="33"/>
      <c r="H205" s="33"/>
      <c r="I205" s="33"/>
      <c r="N205" s="33"/>
      <c r="O205" s="33"/>
      <c r="P205" s="33"/>
      <c r="Q205" s="33"/>
      <c r="R205" s="33"/>
      <c r="S205" s="33"/>
    </row>
    <row r="206" spans="1:19" ht="75" customHeight="1" x14ac:dyDescent="0.3">
      <c r="A206" s="33"/>
      <c r="B206" s="33"/>
      <c r="C206" s="33"/>
      <c r="D206" s="33"/>
      <c r="E206" s="33"/>
      <c r="F206" s="33"/>
      <c r="G206" s="33"/>
      <c r="H206" s="33"/>
      <c r="I206" s="33"/>
      <c r="N206" s="33"/>
      <c r="O206" s="33"/>
      <c r="P206" s="33"/>
      <c r="Q206" s="33"/>
      <c r="R206" s="33"/>
      <c r="S206" s="33"/>
    </row>
    <row r="207" spans="1:19" ht="75" customHeight="1" x14ac:dyDescent="0.3">
      <c r="A207" s="33"/>
      <c r="B207" s="33"/>
      <c r="C207" s="33"/>
      <c r="D207" s="33"/>
      <c r="E207" s="33"/>
      <c r="F207" s="33"/>
      <c r="G207" s="33"/>
      <c r="H207" s="33"/>
      <c r="I207" s="33"/>
      <c r="N207" s="33"/>
      <c r="O207" s="33"/>
      <c r="P207" s="33"/>
      <c r="Q207" s="33"/>
      <c r="R207" s="33"/>
      <c r="S207" s="33"/>
    </row>
    <row r="208" spans="1:19" ht="75" customHeight="1" x14ac:dyDescent="0.3">
      <c r="A208" s="33"/>
      <c r="B208" s="33"/>
      <c r="C208" s="33"/>
      <c r="D208" s="33"/>
      <c r="E208" s="33"/>
      <c r="F208" s="33"/>
      <c r="G208" s="33"/>
      <c r="H208" s="33"/>
      <c r="I208" s="33"/>
      <c r="N208" s="33"/>
      <c r="O208" s="33"/>
      <c r="P208" s="33"/>
      <c r="Q208" s="33"/>
      <c r="R208" s="33"/>
      <c r="S208" s="33"/>
    </row>
    <row r="209" spans="1:19" ht="75" customHeight="1" x14ac:dyDescent="0.3">
      <c r="A209" s="33"/>
      <c r="B209" s="33"/>
      <c r="C209" s="33"/>
      <c r="D209" s="33"/>
      <c r="E209" s="33"/>
      <c r="F209" s="33"/>
      <c r="G209" s="33"/>
      <c r="H209" s="33"/>
      <c r="I209" s="33"/>
      <c r="N209" s="33"/>
      <c r="O209" s="33"/>
      <c r="P209" s="33"/>
      <c r="Q209" s="33"/>
      <c r="R209" s="33"/>
      <c r="S209" s="33"/>
    </row>
    <row r="210" spans="1:19" ht="75" customHeight="1" x14ac:dyDescent="0.3">
      <c r="A210" s="33"/>
      <c r="B210" s="33"/>
      <c r="C210" s="33"/>
      <c r="D210" s="33"/>
      <c r="E210" s="33"/>
      <c r="F210" s="33"/>
      <c r="G210" s="33"/>
      <c r="H210" s="33"/>
      <c r="I210" s="33"/>
      <c r="N210" s="33"/>
      <c r="O210" s="33"/>
      <c r="P210" s="33"/>
      <c r="Q210" s="33"/>
      <c r="R210" s="33"/>
      <c r="S210" s="33"/>
    </row>
    <row r="211" spans="1:19" ht="75" customHeight="1" x14ac:dyDescent="0.3">
      <c r="A211" s="33"/>
      <c r="B211" s="33"/>
      <c r="C211" s="33"/>
      <c r="D211" s="33"/>
      <c r="E211" s="33"/>
      <c r="F211" s="33"/>
      <c r="G211" s="33"/>
      <c r="H211" s="33"/>
      <c r="I211" s="33"/>
      <c r="N211" s="33"/>
      <c r="O211" s="33"/>
      <c r="P211" s="33"/>
      <c r="Q211" s="33"/>
      <c r="R211" s="33"/>
      <c r="S211" s="33"/>
    </row>
    <row r="212" spans="1:19" ht="75" customHeight="1" x14ac:dyDescent="0.3">
      <c r="A212" s="33"/>
      <c r="B212" s="33"/>
      <c r="C212" s="33"/>
      <c r="D212" s="33"/>
      <c r="E212" s="33"/>
      <c r="F212" s="33"/>
      <c r="G212" s="33"/>
      <c r="H212" s="33"/>
      <c r="I212" s="33"/>
      <c r="N212" s="33"/>
      <c r="O212" s="33"/>
      <c r="P212" s="33"/>
      <c r="Q212" s="33"/>
      <c r="R212" s="33"/>
      <c r="S212" s="33"/>
    </row>
    <row r="213" spans="1:19" ht="75" customHeight="1" x14ac:dyDescent="0.3">
      <c r="A213" s="33"/>
      <c r="B213" s="33"/>
      <c r="C213" s="33"/>
      <c r="D213" s="33"/>
      <c r="E213" s="33"/>
      <c r="F213" s="33"/>
      <c r="G213" s="33"/>
      <c r="H213" s="33"/>
      <c r="I213" s="33"/>
      <c r="N213" s="33"/>
      <c r="O213" s="33"/>
      <c r="P213" s="33"/>
      <c r="Q213" s="33"/>
      <c r="R213" s="33"/>
      <c r="S213" s="33"/>
    </row>
    <row r="214" spans="1:19" ht="75" customHeight="1" x14ac:dyDescent="0.3">
      <c r="A214" s="33"/>
      <c r="B214" s="33"/>
      <c r="C214" s="33"/>
      <c r="D214" s="33"/>
      <c r="E214" s="33"/>
      <c r="F214" s="33"/>
      <c r="G214" s="33"/>
      <c r="H214" s="33"/>
      <c r="I214" s="33"/>
      <c r="N214" s="33"/>
      <c r="O214" s="33"/>
      <c r="P214" s="33"/>
      <c r="Q214" s="33"/>
      <c r="R214" s="33"/>
      <c r="S214" s="33"/>
    </row>
    <row r="215" spans="1:19" ht="75" customHeight="1" x14ac:dyDescent="0.3">
      <c r="A215" s="33"/>
      <c r="B215" s="33"/>
      <c r="C215" s="33"/>
      <c r="D215" s="33"/>
      <c r="E215" s="33"/>
      <c r="F215" s="33"/>
      <c r="G215" s="33"/>
      <c r="H215" s="33"/>
      <c r="I215" s="33"/>
      <c r="N215" s="33"/>
      <c r="O215" s="33"/>
      <c r="P215" s="33"/>
      <c r="Q215" s="33"/>
      <c r="R215" s="33"/>
      <c r="S215" s="33"/>
    </row>
    <row r="216" spans="1:19" ht="75" customHeight="1" x14ac:dyDescent="0.3">
      <c r="A216" s="33"/>
      <c r="B216" s="33"/>
      <c r="C216" s="33"/>
      <c r="D216" s="33"/>
      <c r="E216" s="33"/>
      <c r="F216" s="33"/>
      <c r="G216" s="33"/>
      <c r="H216" s="33"/>
      <c r="I216" s="33"/>
      <c r="N216" s="33"/>
      <c r="O216" s="33"/>
      <c r="P216" s="33"/>
      <c r="Q216" s="33"/>
      <c r="R216" s="33"/>
      <c r="S216" s="33"/>
    </row>
    <row r="217" spans="1:19" ht="75" customHeight="1" x14ac:dyDescent="0.3">
      <c r="A217" s="33"/>
      <c r="B217" s="33"/>
      <c r="C217" s="33"/>
      <c r="D217" s="33"/>
      <c r="E217" s="33"/>
      <c r="F217" s="33"/>
      <c r="G217" s="33"/>
      <c r="H217" s="33"/>
      <c r="I217" s="33"/>
      <c r="N217" s="33"/>
      <c r="O217" s="33"/>
      <c r="P217" s="33"/>
      <c r="Q217" s="33"/>
      <c r="R217" s="33"/>
      <c r="S217" s="33"/>
    </row>
    <row r="218" spans="1:19" ht="75" customHeight="1" x14ac:dyDescent="0.3">
      <c r="A218" s="33"/>
      <c r="B218" s="33"/>
      <c r="C218" s="33"/>
      <c r="D218" s="33"/>
      <c r="E218" s="33"/>
      <c r="F218" s="33"/>
      <c r="G218" s="33"/>
      <c r="H218" s="33"/>
      <c r="I218" s="33"/>
      <c r="N218" s="33"/>
      <c r="O218" s="33"/>
      <c r="P218" s="33"/>
      <c r="Q218" s="33"/>
      <c r="R218" s="33"/>
      <c r="S218" s="33"/>
    </row>
    <row r="219" spans="1:19" ht="75" customHeight="1" x14ac:dyDescent="0.3">
      <c r="A219" s="33"/>
      <c r="B219" s="33"/>
      <c r="C219" s="33"/>
      <c r="D219" s="33"/>
      <c r="E219" s="33"/>
      <c r="F219" s="33"/>
      <c r="G219" s="33"/>
      <c r="H219" s="33"/>
      <c r="I219" s="33"/>
      <c r="N219" s="33"/>
      <c r="O219" s="33"/>
      <c r="P219" s="33"/>
      <c r="Q219" s="33"/>
      <c r="R219" s="33"/>
      <c r="S219" s="33"/>
    </row>
    <row r="220" spans="1:19" ht="75" customHeight="1" x14ac:dyDescent="0.3">
      <c r="A220" s="33"/>
      <c r="B220" s="33"/>
      <c r="C220" s="33"/>
      <c r="D220" s="33"/>
      <c r="E220" s="33"/>
      <c r="F220" s="33"/>
      <c r="G220" s="33"/>
      <c r="H220" s="33"/>
      <c r="I220" s="33"/>
      <c r="N220" s="33"/>
      <c r="O220" s="33"/>
      <c r="P220" s="33"/>
      <c r="Q220" s="33"/>
      <c r="R220" s="33"/>
      <c r="S220" s="33"/>
    </row>
    <row r="221" spans="1:19" ht="75" customHeight="1" x14ac:dyDescent="0.3">
      <c r="A221" s="33"/>
      <c r="B221" s="33"/>
      <c r="C221" s="33"/>
      <c r="D221" s="33"/>
      <c r="E221" s="33"/>
      <c r="F221" s="33"/>
      <c r="G221" s="33"/>
      <c r="H221" s="33"/>
      <c r="I221" s="33"/>
      <c r="N221" s="33"/>
      <c r="O221" s="33"/>
      <c r="P221" s="33"/>
      <c r="Q221" s="33"/>
      <c r="R221" s="33"/>
      <c r="S221" s="33"/>
    </row>
    <row r="222" spans="1:19" ht="75" customHeight="1" x14ac:dyDescent="0.3">
      <c r="A222" s="33"/>
      <c r="B222" s="33"/>
      <c r="C222" s="33"/>
      <c r="D222" s="33"/>
      <c r="E222" s="33"/>
      <c r="F222" s="33"/>
      <c r="G222" s="33"/>
      <c r="H222" s="33"/>
      <c r="I222" s="33"/>
      <c r="N222" s="33"/>
      <c r="O222" s="33"/>
      <c r="P222" s="33"/>
      <c r="Q222" s="33"/>
      <c r="R222" s="33"/>
      <c r="S222" s="33"/>
    </row>
    <row r="223" spans="1:19" ht="75" customHeight="1" x14ac:dyDescent="0.3">
      <c r="A223" s="33"/>
      <c r="B223" s="33"/>
      <c r="C223" s="33"/>
      <c r="D223" s="33"/>
      <c r="E223" s="33"/>
      <c r="F223" s="33"/>
      <c r="G223" s="33"/>
      <c r="H223" s="33"/>
      <c r="I223" s="33"/>
      <c r="N223" s="33"/>
      <c r="O223" s="33"/>
      <c r="P223" s="33"/>
      <c r="Q223" s="33"/>
      <c r="R223" s="33"/>
      <c r="S223" s="33"/>
    </row>
    <row r="224" spans="1:19" ht="75" customHeight="1" x14ac:dyDescent="0.3">
      <c r="A224" s="33"/>
      <c r="B224" s="33"/>
      <c r="C224" s="33"/>
      <c r="D224" s="33"/>
      <c r="E224" s="33"/>
      <c r="F224" s="33"/>
      <c r="G224" s="33"/>
      <c r="H224" s="33"/>
      <c r="I224" s="33"/>
      <c r="N224" s="33"/>
      <c r="O224" s="33"/>
      <c r="P224" s="33"/>
      <c r="Q224" s="33"/>
      <c r="R224" s="33"/>
      <c r="S224" s="33"/>
    </row>
    <row r="225" spans="1:19" ht="75" customHeight="1" x14ac:dyDescent="0.3">
      <c r="A225" s="33"/>
      <c r="B225" s="33"/>
      <c r="C225" s="33"/>
      <c r="D225" s="33"/>
      <c r="E225" s="33"/>
      <c r="F225" s="33"/>
      <c r="G225" s="33"/>
      <c r="H225" s="33"/>
      <c r="I225" s="33"/>
      <c r="N225" s="33"/>
      <c r="O225" s="33"/>
      <c r="P225" s="33"/>
      <c r="Q225" s="33"/>
      <c r="R225" s="33"/>
      <c r="S225" s="33"/>
    </row>
    <row r="226" spans="1:19" ht="75" customHeight="1" x14ac:dyDescent="0.3">
      <c r="A226" s="33"/>
      <c r="B226" s="33"/>
      <c r="C226" s="33"/>
      <c r="D226" s="33"/>
      <c r="E226" s="33"/>
      <c r="F226" s="33"/>
      <c r="G226" s="33"/>
      <c r="H226" s="33"/>
      <c r="I226" s="33"/>
      <c r="N226" s="33"/>
      <c r="O226" s="33"/>
      <c r="P226" s="33"/>
      <c r="Q226" s="33"/>
      <c r="R226" s="33"/>
      <c r="S226" s="33"/>
    </row>
    <row r="227" spans="1:19" ht="75" customHeight="1" x14ac:dyDescent="0.3">
      <c r="A227" s="33"/>
      <c r="B227" s="33"/>
      <c r="C227" s="33"/>
      <c r="D227" s="33"/>
      <c r="E227" s="33"/>
      <c r="F227" s="33"/>
      <c r="G227" s="33"/>
      <c r="H227" s="33"/>
      <c r="I227" s="33"/>
      <c r="N227" s="33"/>
      <c r="O227" s="33"/>
      <c r="P227" s="33"/>
      <c r="Q227" s="33"/>
      <c r="R227" s="33"/>
      <c r="S227" s="33"/>
    </row>
    <row r="228" spans="1:19" ht="75" customHeight="1" x14ac:dyDescent="0.3">
      <c r="A228" s="33"/>
      <c r="B228" s="33"/>
      <c r="C228" s="33"/>
      <c r="D228" s="33"/>
      <c r="E228" s="33"/>
      <c r="F228" s="33"/>
      <c r="G228" s="33"/>
      <c r="H228" s="33"/>
      <c r="I228" s="33"/>
      <c r="N228" s="33"/>
      <c r="O228" s="33"/>
      <c r="P228" s="33"/>
      <c r="Q228" s="33"/>
      <c r="R228" s="33"/>
      <c r="S228" s="33"/>
    </row>
    <row r="229" spans="1:19" ht="75" customHeight="1" x14ac:dyDescent="0.3">
      <c r="A229" s="33"/>
      <c r="B229" s="33"/>
      <c r="C229" s="33"/>
      <c r="D229" s="33"/>
      <c r="E229" s="33"/>
      <c r="F229" s="33"/>
      <c r="G229" s="33"/>
      <c r="H229" s="33"/>
      <c r="I229" s="33"/>
      <c r="N229" s="33"/>
      <c r="O229" s="33"/>
      <c r="P229" s="33"/>
      <c r="Q229" s="33"/>
      <c r="R229" s="33"/>
      <c r="S229" s="33"/>
    </row>
    <row r="230" spans="1:19" ht="75" customHeight="1" x14ac:dyDescent="0.3">
      <c r="A230" s="33"/>
      <c r="B230" s="33"/>
      <c r="C230" s="33"/>
      <c r="D230" s="33"/>
      <c r="E230" s="33"/>
      <c r="F230" s="33"/>
      <c r="G230" s="33"/>
      <c r="H230" s="33"/>
      <c r="I230" s="33"/>
      <c r="N230" s="33"/>
      <c r="O230" s="33"/>
      <c r="P230" s="33"/>
      <c r="Q230" s="33"/>
      <c r="R230" s="33"/>
      <c r="S230" s="33"/>
    </row>
    <row r="231" spans="1:19" ht="75" customHeight="1" x14ac:dyDescent="0.3">
      <c r="A231" s="33"/>
      <c r="B231" s="33"/>
      <c r="C231" s="33"/>
      <c r="D231" s="33"/>
      <c r="E231" s="33"/>
      <c r="F231" s="33"/>
      <c r="G231" s="33"/>
      <c r="H231" s="33"/>
      <c r="I231" s="33"/>
      <c r="N231" s="33"/>
      <c r="O231" s="33"/>
      <c r="P231" s="33"/>
      <c r="Q231" s="33"/>
      <c r="R231" s="33"/>
      <c r="S231" s="33"/>
    </row>
    <row r="232" spans="1:19" ht="75" customHeight="1" x14ac:dyDescent="0.3">
      <c r="A232" s="33"/>
      <c r="B232" s="33"/>
      <c r="C232" s="33"/>
      <c r="D232" s="33"/>
      <c r="E232" s="33"/>
      <c r="F232" s="33"/>
      <c r="G232" s="33"/>
      <c r="H232" s="33"/>
      <c r="I232" s="33"/>
      <c r="N232" s="33"/>
      <c r="O232" s="33"/>
      <c r="P232" s="33"/>
      <c r="Q232" s="33"/>
      <c r="R232" s="33"/>
      <c r="S232" s="33"/>
    </row>
    <row r="233" spans="1:19" ht="75" customHeight="1" x14ac:dyDescent="0.3">
      <c r="A233" s="33"/>
      <c r="B233" s="33"/>
      <c r="C233" s="33"/>
      <c r="D233" s="33"/>
      <c r="E233" s="33"/>
      <c r="F233" s="33"/>
      <c r="G233" s="33"/>
      <c r="H233" s="33"/>
      <c r="I233" s="33"/>
      <c r="N233" s="33"/>
      <c r="O233" s="33"/>
      <c r="P233" s="33"/>
      <c r="Q233" s="33"/>
      <c r="R233" s="33"/>
      <c r="S233" s="33"/>
    </row>
  </sheetData>
  <mergeCells count="46">
    <mergeCell ref="D66:D68"/>
    <mergeCell ref="D69:D71"/>
    <mergeCell ref="C66:C68"/>
    <mergeCell ref="C69:C71"/>
    <mergeCell ref="D2:D7"/>
    <mergeCell ref="D10:D13"/>
    <mergeCell ref="D15:D16"/>
    <mergeCell ref="D18:D20"/>
    <mergeCell ref="D21:D22"/>
    <mergeCell ref="D25:D26"/>
    <mergeCell ref="D27:D32"/>
    <mergeCell ref="D33:D37"/>
    <mergeCell ref="D38:D42"/>
    <mergeCell ref="D44:D46"/>
    <mergeCell ref="D47:D49"/>
    <mergeCell ref="D51:D54"/>
    <mergeCell ref="D57:D59"/>
    <mergeCell ref="D60:D65"/>
    <mergeCell ref="B51:B65"/>
    <mergeCell ref="B66:B71"/>
    <mergeCell ref="C2:C7"/>
    <mergeCell ref="C10:C13"/>
    <mergeCell ref="C15:C16"/>
    <mergeCell ref="C18:C20"/>
    <mergeCell ref="C21:C22"/>
    <mergeCell ref="C25:C26"/>
    <mergeCell ref="C27:C32"/>
    <mergeCell ref="C33:C37"/>
    <mergeCell ref="C38:C42"/>
    <mergeCell ref="C44:C46"/>
    <mergeCell ref="C47:C49"/>
    <mergeCell ref="C51:C54"/>
    <mergeCell ref="C57:C59"/>
    <mergeCell ref="C60:C65"/>
    <mergeCell ref="B2:B16"/>
    <mergeCell ref="B17:B22"/>
    <mergeCell ref="B23:B37"/>
    <mergeCell ref="B38:B43"/>
    <mergeCell ref="B44:B50"/>
    <mergeCell ref="A51:A65"/>
    <mergeCell ref="A66:A71"/>
    <mergeCell ref="A2:A16"/>
    <mergeCell ref="A17:A22"/>
    <mergeCell ref="A23:A37"/>
    <mergeCell ref="A38:A43"/>
    <mergeCell ref="A44:A50"/>
  </mergeCells>
  <phoneticPr fontId="56" type="noConversion"/>
  <pageMargins left="0.55069444444444404" right="7.8472222222222193E-2" top="0.23611111111111099" bottom="0.39305555555555599" header="0.5" footer="0.5"/>
  <pageSetup paperSize="9" scale="10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P84"/>
  <sheetViews>
    <sheetView workbookViewId="0">
      <pane xSplit="2" ySplit="1" topLeftCell="C2" activePane="bottomRight" state="frozen"/>
      <selection pane="topRight"/>
      <selection pane="bottomLeft"/>
      <selection pane="bottomRight" activeCell="I7" sqref="I7"/>
    </sheetView>
  </sheetViews>
  <sheetFormatPr defaultColWidth="9" defaultRowHeight="13.9" x14ac:dyDescent="0.3"/>
  <cols>
    <col min="1" max="1" width="19.6640625" style="2" customWidth="1"/>
    <col min="2" max="2" width="11.33203125" style="2" customWidth="1"/>
    <col min="3" max="3" width="18.06640625" style="2" customWidth="1"/>
    <col min="4" max="4" width="12.33203125" style="2" customWidth="1"/>
    <col min="5" max="5" width="23.86328125" style="2" customWidth="1"/>
    <col min="6" max="6" width="10.265625" style="2" customWidth="1"/>
    <col min="7" max="7" width="4.3984375" style="2" customWidth="1"/>
    <col min="8" max="8" width="6.1328125" style="2" customWidth="1"/>
    <col min="9" max="9" width="11.6640625" style="2" customWidth="1"/>
    <col min="10" max="10" width="12.33203125" style="2" customWidth="1"/>
    <col min="11" max="11" width="12.59765625" style="2" customWidth="1"/>
    <col min="13" max="13" width="5.46484375" style="2" customWidth="1"/>
    <col min="14" max="14" width="9" style="2"/>
    <col min="15" max="16" width="9" style="3"/>
  </cols>
  <sheetData>
    <row r="1" spans="1:16" s="1" customFormat="1" ht="52.9" x14ac:dyDescent="0.3">
      <c r="A1" s="4"/>
      <c r="B1" s="4"/>
      <c r="C1" s="1" t="s">
        <v>195</v>
      </c>
      <c r="D1" s="5" t="s">
        <v>196</v>
      </c>
      <c r="E1" s="1" t="s">
        <v>197</v>
      </c>
      <c r="F1" s="1" t="s">
        <v>198</v>
      </c>
      <c r="G1" s="4"/>
      <c r="H1" s="1" t="s">
        <v>199</v>
      </c>
      <c r="I1" s="1" t="s">
        <v>200</v>
      </c>
      <c r="J1" s="1" t="s">
        <v>199</v>
      </c>
      <c r="K1" s="4"/>
      <c r="L1" s="21" t="s">
        <v>199</v>
      </c>
      <c r="M1" s="4"/>
      <c r="N1" s="1" t="s">
        <v>201</v>
      </c>
      <c r="O1" s="22" t="s">
        <v>202</v>
      </c>
      <c r="P1" s="22" t="s">
        <v>203</v>
      </c>
    </row>
    <row r="2" spans="1:16" ht="15.75" x14ac:dyDescent="0.3">
      <c r="A2" s="6" t="s">
        <v>28</v>
      </c>
      <c r="B2" s="7" t="s">
        <v>133</v>
      </c>
      <c r="C2" s="81"/>
      <c r="D2" s="82"/>
      <c r="E2" s="82"/>
      <c r="F2" s="82"/>
      <c r="H2" s="8"/>
      <c r="I2" s="8"/>
      <c r="J2" s="23"/>
      <c r="K2" s="24" t="s">
        <v>30</v>
      </c>
      <c r="O2" s="22" t="s">
        <v>204</v>
      </c>
      <c r="P2" s="86"/>
    </row>
    <row r="3" spans="1:16" ht="15.75" x14ac:dyDescent="0.3">
      <c r="A3" s="6"/>
      <c r="B3" s="9" t="s">
        <v>134</v>
      </c>
      <c r="C3" s="81"/>
      <c r="D3" s="82"/>
      <c r="E3" s="82"/>
      <c r="F3" s="82"/>
      <c r="H3" s="8"/>
      <c r="I3" s="8"/>
      <c r="J3" s="23"/>
      <c r="K3" s="24" t="s">
        <v>32</v>
      </c>
      <c r="O3" s="22" t="s">
        <v>205</v>
      </c>
      <c r="P3" s="86"/>
    </row>
    <row r="4" spans="1:16" ht="31.5" x14ac:dyDescent="0.3">
      <c r="A4" s="6"/>
      <c r="B4" s="9" t="s">
        <v>135</v>
      </c>
      <c r="C4" s="81"/>
      <c r="D4" s="82"/>
      <c r="E4" s="82"/>
      <c r="F4" s="82"/>
      <c r="H4" s="8"/>
      <c r="I4" s="8"/>
      <c r="J4" s="23"/>
      <c r="K4" s="24" t="s">
        <v>206</v>
      </c>
      <c r="L4" s="83"/>
      <c r="M4" s="84"/>
      <c r="O4" s="22" t="s">
        <v>207</v>
      </c>
      <c r="P4" s="86"/>
    </row>
    <row r="5" spans="1:16" ht="41.25" x14ac:dyDescent="0.3">
      <c r="A5" s="6"/>
      <c r="B5" s="9" t="s">
        <v>136</v>
      </c>
      <c r="C5" s="81"/>
      <c r="D5" s="82"/>
      <c r="E5" s="82"/>
      <c r="F5" s="82"/>
      <c r="H5" s="8"/>
      <c r="I5" s="8"/>
      <c r="J5" s="23"/>
      <c r="K5" s="24" t="s">
        <v>208</v>
      </c>
      <c r="L5" s="83"/>
      <c r="M5" s="84"/>
      <c r="O5" s="22" t="s">
        <v>209</v>
      </c>
      <c r="P5" s="86"/>
    </row>
    <row r="6" spans="1:16" ht="15.75" x14ac:dyDescent="0.3">
      <c r="A6" s="6"/>
      <c r="B6" s="7" t="s">
        <v>137</v>
      </c>
      <c r="C6" s="81"/>
      <c r="D6" s="82"/>
      <c r="E6" s="82"/>
      <c r="F6" s="82"/>
      <c r="H6" s="8"/>
      <c r="I6" s="8"/>
      <c r="J6" s="23"/>
      <c r="K6" s="24" t="s">
        <v>38</v>
      </c>
      <c r="L6" s="83"/>
      <c r="M6" s="84"/>
      <c r="O6" s="22" t="s">
        <v>210</v>
      </c>
      <c r="P6" s="86"/>
    </row>
    <row r="7" spans="1:16" ht="31.5" x14ac:dyDescent="0.3">
      <c r="A7" s="6"/>
      <c r="B7" s="7" t="s">
        <v>138</v>
      </c>
      <c r="C7" s="81"/>
      <c r="D7" s="82"/>
      <c r="E7" s="82"/>
      <c r="F7" s="82"/>
      <c r="H7" s="8"/>
      <c r="I7" s="8"/>
      <c r="J7" s="23"/>
      <c r="K7" s="24" t="s">
        <v>41</v>
      </c>
      <c r="L7" s="83"/>
      <c r="M7" s="84"/>
      <c r="O7" s="22" t="s">
        <v>211</v>
      </c>
      <c r="P7" s="86"/>
    </row>
    <row r="8" spans="1:16" ht="31.5" x14ac:dyDescent="0.3">
      <c r="A8" s="6"/>
      <c r="B8" s="9" t="s">
        <v>139</v>
      </c>
      <c r="C8" s="81"/>
      <c r="D8" s="82"/>
      <c r="E8" s="82"/>
      <c r="F8" s="82"/>
      <c r="H8" s="8"/>
      <c r="I8" s="8"/>
      <c r="J8" s="23"/>
      <c r="K8" s="24" t="s">
        <v>44</v>
      </c>
      <c r="L8" s="83"/>
      <c r="M8" s="84"/>
      <c r="O8" s="22" t="s">
        <v>212</v>
      </c>
      <c r="P8" s="86"/>
    </row>
    <row r="9" spans="1:16" ht="15.75" x14ac:dyDescent="0.3">
      <c r="A9" s="6" t="s">
        <v>213</v>
      </c>
      <c r="B9" s="6" t="s">
        <v>140</v>
      </c>
      <c r="C9" s="82"/>
      <c r="D9" s="82"/>
      <c r="E9" s="82"/>
      <c r="F9" s="82"/>
      <c r="H9" s="8"/>
      <c r="I9" s="8"/>
      <c r="J9" s="23"/>
      <c r="K9" s="24" t="s">
        <v>46</v>
      </c>
      <c r="L9" s="83"/>
      <c r="M9" s="84"/>
      <c r="O9" s="22" t="s">
        <v>214</v>
      </c>
      <c r="P9" s="86"/>
    </row>
    <row r="10" spans="1:16" ht="15.75" x14ac:dyDescent="0.3">
      <c r="A10" s="6"/>
      <c r="B10" s="11" t="s">
        <v>34</v>
      </c>
      <c r="C10" s="82"/>
      <c r="D10" s="82"/>
      <c r="E10" s="82"/>
      <c r="F10" s="82"/>
      <c r="H10" s="8"/>
      <c r="I10" s="8"/>
      <c r="J10" s="23"/>
      <c r="K10" s="24" t="s">
        <v>48</v>
      </c>
      <c r="L10" s="83"/>
      <c r="M10" s="84"/>
      <c r="O10" s="22" t="s">
        <v>215</v>
      </c>
      <c r="P10" s="86"/>
    </row>
    <row r="11" spans="1:16" ht="15.75" x14ac:dyDescent="0.3">
      <c r="A11" s="79" t="s">
        <v>213</v>
      </c>
      <c r="B11" s="12" t="s">
        <v>141</v>
      </c>
      <c r="C11" s="82"/>
      <c r="D11" s="82"/>
      <c r="E11" s="82"/>
      <c r="F11" s="82"/>
      <c r="H11" s="8"/>
      <c r="I11" s="8"/>
      <c r="J11" s="23"/>
      <c r="K11" s="24" t="s">
        <v>51</v>
      </c>
      <c r="L11" s="83"/>
      <c r="M11" s="84"/>
      <c r="O11" s="22" t="s">
        <v>216</v>
      </c>
      <c r="P11" s="86"/>
    </row>
    <row r="12" spans="1:16" ht="15.75" x14ac:dyDescent="0.3">
      <c r="A12" s="79"/>
      <c r="B12" s="6" t="s">
        <v>43</v>
      </c>
      <c r="C12" s="82"/>
      <c r="D12" s="82"/>
      <c r="E12" s="82"/>
      <c r="F12" s="82"/>
      <c r="H12" s="8"/>
      <c r="I12" s="8"/>
      <c r="J12" s="23"/>
      <c r="K12" s="24" t="s">
        <v>53</v>
      </c>
      <c r="L12" s="83"/>
      <c r="M12" s="84"/>
      <c r="O12" s="22" t="s">
        <v>217</v>
      </c>
      <c r="P12" s="86"/>
    </row>
    <row r="13" spans="1:16" ht="15.75" x14ac:dyDescent="0.3">
      <c r="A13" s="79"/>
      <c r="B13" s="12" t="s">
        <v>142</v>
      </c>
      <c r="C13" s="82"/>
      <c r="D13" s="82"/>
      <c r="E13" s="82"/>
      <c r="F13" s="82"/>
      <c r="H13" s="8"/>
      <c r="I13" s="8"/>
      <c r="J13" s="23"/>
      <c r="K13" s="24" t="s">
        <v>55</v>
      </c>
      <c r="L13" s="83"/>
      <c r="M13" s="84"/>
      <c r="O13" s="22" t="s">
        <v>218</v>
      </c>
      <c r="P13" s="86"/>
    </row>
    <row r="14" spans="1:16" ht="15.75" x14ac:dyDescent="0.3">
      <c r="C14" s="10"/>
      <c r="D14" s="10"/>
      <c r="E14" s="10"/>
      <c r="F14" s="10"/>
      <c r="H14" s="8"/>
      <c r="I14" s="8"/>
      <c r="J14" s="23"/>
      <c r="K14" s="24" t="s">
        <v>57</v>
      </c>
      <c r="L14" s="83"/>
      <c r="M14" s="84"/>
      <c r="O14" s="22" t="s">
        <v>219</v>
      </c>
      <c r="P14" s="86"/>
    </row>
    <row r="15" spans="1:16" ht="15.75" x14ac:dyDescent="0.3">
      <c r="A15" s="2" t="s">
        <v>71</v>
      </c>
      <c r="C15" s="10"/>
      <c r="D15" s="10"/>
      <c r="E15" s="10"/>
      <c r="F15" s="10"/>
      <c r="H15" s="8"/>
      <c r="I15" s="8"/>
      <c r="J15" s="23"/>
      <c r="K15" s="24" t="s">
        <v>85</v>
      </c>
      <c r="L15" s="83"/>
      <c r="M15" s="84"/>
      <c r="O15" s="22" t="s">
        <v>220</v>
      </c>
      <c r="P15" s="86"/>
    </row>
    <row r="16" spans="1:16" ht="15.75" x14ac:dyDescent="0.3">
      <c r="C16" s="10"/>
      <c r="D16" s="10"/>
      <c r="E16" s="10"/>
      <c r="F16" s="10"/>
      <c r="H16" s="8"/>
      <c r="I16" s="8"/>
      <c r="J16" s="23"/>
      <c r="K16" s="24" t="s">
        <v>59</v>
      </c>
      <c r="L16" s="83"/>
      <c r="M16" s="84"/>
      <c r="O16" s="22" t="s">
        <v>221</v>
      </c>
      <c r="P16" s="86"/>
    </row>
    <row r="17" spans="1:16" ht="15.75" x14ac:dyDescent="0.3">
      <c r="A17" s="13" t="s">
        <v>143</v>
      </c>
      <c r="B17" s="14" t="s">
        <v>144</v>
      </c>
      <c r="C17" s="8"/>
      <c r="D17" s="8"/>
      <c r="E17" s="8"/>
      <c r="F17" s="8"/>
      <c r="H17" s="8"/>
      <c r="I17" s="8"/>
      <c r="J17" s="23"/>
      <c r="K17" s="24" t="s">
        <v>61</v>
      </c>
      <c r="L17" s="83"/>
      <c r="M17" s="84"/>
      <c r="O17" s="22" t="s">
        <v>222</v>
      </c>
      <c r="P17" s="86"/>
    </row>
    <row r="18" spans="1:16" ht="15.75" x14ac:dyDescent="0.3">
      <c r="A18" s="15"/>
      <c r="B18" s="14" t="s">
        <v>145</v>
      </c>
      <c r="C18" s="8"/>
      <c r="D18" s="8"/>
      <c r="E18" s="8"/>
      <c r="F18" s="8"/>
      <c r="G18" s="16"/>
      <c r="H18" s="16"/>
      <c r="I18" s="8"/>
      <c r="J18" s="23"/>
      <c r="K18" s="24" t="s">
        <v>64</v>
      </c>
      <c r="L18" s="83"/>
      <c r="M18" s="85"/>
      <c r="N18" s="16"/>
      <c r="O18" s="22" t="s">
        <v>223</v>
      </c>
      <c r="P18" s="86"/>
    </row>
    <row r="19" spans="1:16" ht="15.75" x14ac:dyDescent="0.3">
      <c r="A19" s="15"/>
      <c r="B19" s="14" t="s">
        <v>146</v>
      </c>
      <c r="C19" s="8"/>
      <c r="D19" s="8"/>
      <c r="E19" s="8"/>
      <c r="F19" s="8"/>
      <c r="G19" s="16"/>
      <c r="H19" s="16"/>
      <c r="I19" s="8"/>
      <c r="J19" s="23"/>
      <c r="K19" s="24" t="s">
        <v>67</v>
      </c>
      <c r="L19" s="83"/>
      <c r="M19" s="85"/>
      <c r="N19" s="16"/>
      <c r="O19" s="22" t="s">
        <v>224</v>
      </c>
      <c r="P19" s="86"/>
    </row>
    <row r="20" spans="1:16" ht="15.75" x14ac:dyDescent="0.3">
      <c r="A20" s="15"/>
      <c r="B20" s="14" t="s">
        <v>147</v>
      </c>
      <c r="C20" s="8"/>
      <c r="D20" s="8"/>
      <c r="E20" s="8"/>
      <c r="F20" s="8"/>
      <c r="G20" s="16"/>
      <c r="H20" s="16"/>
      <c r="I20" s="8"/>
      <c r="J20" s="23"/>
      <c r="K20" s="24" t="s">
        <v>69</v>
      </c>
      <c r="L20" s="83"/>
      <c r="M20" s="85"/>
      <c r="N20" s="16"/>
      <c r="O20" s="22" t="s">
        <v>225</v>
      </c>
      <c r="P20" s="86"/>
    </row>
    <row r="21" spans="1:16" ht="15.75" x14ac:dyDescent="0.3">
      <c r="A21" s="15"/>
      <c r="B21" s="13" t="s">
        <v>148</v>
      </c>
      <c r="C21" s="8"/>
      <c r="D21" s="8"/>
      <c r="E21" s="8"/>
      <c r="F21" s="15"/>
      <c r="G21" s="16"/>
      <c r="H21" s="16"/>
      <c r="I21" s="16"/>
      <c r="J21" s="23"/>
      <c r="K21" s="24" t="s">
        <v>71</v>
      </c>
      <c r="L21" s="83"/>
      <c r="M21" s="85"/>
      <c r="N21" s="16"/>
      <c r="O21" s="22" t="s">
        <v>226</v>
      </c>
      <c r="P21" s="86"/>
    </row>
    <row r="22" spans="1:16" ht="15.75" x14ac:dyDescent="0.3">
      <c r="A22" s="15"/>
      <c r="B22" s="17" t="s">
        <v>149</v>
      </c>
      <c r="C22" s="8"/>
      <c r="D22" s="8"/>
      <c r="E22" s="8"/>
      <c r="F22" s="8"/>
      <c r="G22" s="16"/>
      <c r="H22" s="16"/>
      <c r="I22" s="16"/>
      <c r="J22" s="23"/>
      <c r="K22" s="24" t="s">
        <v>74</v>
      </c>
      <c r="L22" s="83"/>
      <c r="M22" s="85"/>
      <c r="N22" s="16"/>
      <c r="O22" s="22" t="s">
        <v>227</v>
      </c>
      <c r="P22" s="86"/>
    </row>
    <row r="23" spans="1:16" ht="15.75" x14ac:dyDescent="0.3">
      <c r="A23" s="15"/>
      <c r="B23" s="17" t="s">
        <v>150</v>
      </c>
      <c r="C23" s="8"/>
      <c r="D23" s="8"/>
      <c r="E23" s="8"/>
      <c r="F23" s="8"/>
      <c r="G23" s="16"/>
      <c r="H23" s="16"/>
      <c r="I23" s="16"/>
      <c r="J23" s="23"/>
      <c r="K23" s="24" t="s">
        <v>76</v>
      </c>
      <c r="L23" s="83"/>
      <c r="M23" s="85"/>
      <c r="N23" s="16"/>
      <c r="O23" s="22" t="s">
        <v>228</v>
      </c>
      <c r="P23" s="86"/>
    </row>
    <row r="24" spans="1:16" ht="15.75" x14ac:dyDescent="0.3">
      <c r="A24" s="15"/>
      <c r="B24" s="17" t="s">
        <v>151</v>
      </c>
      <c r="C24" s="8"/>
      <c r="D24" s="8"/>
      <c r="E24" s="8"/>
      <c r="F24" s="8"/>
      <c r="G24" s="16"/>
      <c r="H24" s="16"/>
      <c r="I24" s="16"/>
      <c r="J24" s="23"/>
      <c r="K24" s="24" t="s">
        <v>78</v>
      </c>
      <c r="L24" s="83"/>
      <c r="M24" s="85"/>
      <c r="N24" s="16"/>
      <c r="O24" s="22" t="s">
        <v>229</v>
      </c>
      <c r="P24" s="86"/>
    </row>
    <row r="25" spans="1:16" ht="15.75" x14ac:dyDescent="0.3">
      <c r="A25" s="15"/>
      <c r="B25" s="13" t="s">
        <v>152</v>
      </c>
      <c r="C25" s="8"/>
      <c r="D25" s="8"/>
      <c r="E25" s="8"/>
      <c r="F25" s="15"/>
      <c r="G25" s="16"/>
      <c r="H25" s="16"/>
      <c r="I25" s="16"/>
      <c r="J25" s="23"/>
      <c r="K25" s="24" t="s">
        <v>79</v>
      </c>
      <c r="L25" s="83"/>
      <c r="M25" s="85"/>
      <c r="N25" s="16"/>
      <c r="O25" s="22" t="s">
        <v>230</v>
      </c>
      <c r="P25" s="86"/>
    </row>
    <row r="26" spans="1:16" ht="15.75" x14ac:dyDescent="0.3">
      <c r="A26" s="15"/>
      <c r="B26" s="18" t="s">
        <v>153</v>
      </c>
      <c r="C26" s="8"/>
      <c r="D26" s="8"/>
      <c r="E26" s="8"/>
      <c r="F26" s="15"/>
      <c r="G26" s="16"/>
      <c r="H26" s="16"/>
      <c r="I26" s="16"/>
      <c r="J26" s="23"/>
      <c r="K26" s="24" t="s">
        <v>81</v>
      </c>
      <c r="L26" s="83"/>
      <c r="M26" s="85"/>
      <c r="N26" s="16"/>
      <c r="O26" s="22" t="s">
        <v>231</v>
      </c>
      <c r="P26" s="86"/>
    </row>
    <row r="27" spans="1:16" ht="15.75" x14ac:dyDescent="0.3">
      <c r="A27" s="15"/>
      <c r="B27" s="17" t="s">
        <v>154</v>
      </c>
      <c r="C27" s="8"/>
      <c r="D27" s="8"/>
      <c r="E27" s="8"/>
      <c r="F27" s="8"/>
      <c r="G27" s="16"/>
      <c r="H27" s="16"/>
      <c r="I27" s="16"/>
      <c r="J27" s="23"/>
      <c r="K27" s="24" t="s">
        <v>84</v>
      </c>
      <c r="L27" s="83"/>
      <c r="M27" s="85"/>
      <c r="N27" s="16"/>
      <c r="O27" s="22" t="s">
        <v>232</v>
      </c>
      <c r="P27" s="86"/>
    </row>
    <row r="28" spans="1:16" ht="15.75" x14ac:dyDescent="0.3">
      <c r="A28" s="15"/>
      <c r="B28" s="13" t="s">
        <v>155</v>
      </c>
      <c r="C28" s="8"/>
      <c r="D28" s="8"/>
      <c r="E28" s="8"/>
      <c r="F28" s="15"/>
      <c r="G28" s="16"/>
      <c r="H28" s="16"/>
      <c r="I28" s="16"/>
      <c r="J28" s="23"/>
      <c r="K28" s="24" t="s">
        <v>87</v>
      </c>
      <c r="L28" s="83"/>
      <c r="M28" s="85"/>
      <c r="N28" s="16"/>
      <c r="O28" s="22" t="s">
        <v>233</v>
      </c>
      <c r="P28" s="86"/>
    </row>
    <row r="29" spans="1:16" ht="15.75" x14ac:dyDescent="0.3">
      <c r="A29" s="15"/>
      <c r="B29" s="14" t="s">
        <v>156</v>
      </c>
      <c r="C29" s="8"/>
      <c r="D29" s="8"/>
      <c r="E29" s="8"/>
      <c r="F29" s="8"/>
      <c r="G29" s="16"/>
      <c r="H29" s="16"/>
      <c r="I29" s="16"/>
      <c r="J29" s="23"/>
      <c r="K29" s="24" t="s">
        <v>89</v>
      </c>
      <c r="L29" s="83"/>
      <c r="M29" s="85"/>
      <c r="N29" s="16"/>
      <c r="O29" s="22" t="s">
        <v>234</v>
      </c>
      <c r="P29" s="86"/>
    </row>
    <row r="30" spans="1:16" ht="15.75" x14ac:dyDescent="0.3">
      <c r="A30" s="15"/>
      <c r="B30" s="14" t="s">
        <v>157</v>
      </c>
      <c r="C30" s="8"/>
      <c r="D30" s="8"/>
      <c r="E30" s="8"/>
      <c r="F30" s="8"/>
      <c r="G30" s="16"/>
      <c r="H30" s="16"/>
      <c r="I30" s="16"/>
      <c r="J30" s="23"/>
      <c r="K30" s="24" t="s">
        <v>91</v>
      </c>
      <c r="L30" s="83"/>
      <c r="M30" s="85"/>
      <c r="N30" s="16"/>
      <c r="O30" s="22" t="s">
        <v>235</v>
      </c>
      <c r="P30" s="86"/>
    </row>
    <row r="31" spans="1:16" ht="15.75" x14ac:dyDescent="0.3">
      <c r="A31" s="15"/>
      <c r="B31" s="17" t="s">
        <v>158</v>
      </c>
      <c r="C31" s="8"/>
      <c r="D31" s="8"/>
      <c r="E31" s="8"/>
      <c r="F31" s="8"/>
      <c r="G31" s="16"/>
      <c r="H31" s="16"/>
      <c r="I31" s="16"/>
      <c r="J31" s="23"/>
      <c r="K31" s="24" t="s">
        <v>93</v>
      </c>
      <c r="L31" s="83"/>
      <c r="M31" s="85"/>
      <c r="N31" s="16"/>
      <c r="O31" s="22" t="s">
        <v>236</v>
      </c>
      <c r="P31" s="86"/>
    </row>
    <row r="32" spans="1:16" ht="15.75" x14ac:dyDescent="0.3">
      <c r="A32" s="15"/>
      <c r="B32" s="14" t="s">
        <v>159</v>
      </c>
      <c r="C32" s="8"/>
      <c r="D32" s="8"/>
      <c r="E32" s="8"/>
      <c r="F32" s="8"/>
      <c r="G32" s="16"/>
      <c r="H32" s="16"/>
      <c r="I32" s="16"/>
      <c r="J32" s="23"/>
      <c r="K32" s="24" t="s">
        <v>72</v>
      </c>
      <c r="L32" s="83"/>
      <c r="M32" s="85"/>
      <c r="N32" s="16"/>
      <c r="O32" s="22" t="s">
        <v>237</v>
      </c>
      <c r="P32" s="86"/>
    </row>
    <row r="33" spans="1:16" ht="15.75" x14ac:dyDescent="0.3">
      <c r="A33" s="15"/>
      <c r="B33" s="18" t="s">
        <v>160</v>
      </c>
      <c r="C33" s="8"/>
      <c r="D33" s="8"/>
      <c r="E33" s="8"/>
      <c r="F33" s="15"/>
      <c r="G33" s="16"/>
      <c r="H33" s="16"/>
      <c r="I33" s="16"/>
      <c r="J33" s="23"/>
      <c r="K33" s="24" t="s">
        <v>65</v>
      </c>
      <c r="L33" s="83"/>
      <c r="M33" s="85"/>
      <c r="N33" s="16"/>
      <c r="O33" s="22" t="s">
        <v>238</v>
      </c>
      <c r="P33" s="86"/>
    </row>
    <row r="34" spans="1:16" ht="15.75" x14ac:dyDescent="0.3">
      <c r="A34" s="15"/>
      <c r="B34" s="18" t="s">
        <v>161</v>
      </c>
      <c r="C34" s="8"/>
      <c r="D34" s="8"/>
      <c r="E34" s="8"/>
      <c r="F34" s="15"/>
      <c r="G34" s="16"/>
      <c r="H34" s="16"/>
      <c r="I34" s="15"/>
      <c r="J34" s="23"/>
      <c r="K34" s="24" t="s">
        <v>62</v>
      </c>
      <c r="L34" s="83"/>
      <c r="M34" s="85"/>
      <c r="N34" s="16"/>
      <c r="O34" s="22" t="s">
        <v>239</v>
      </c>
      <c r="P34" s="86"/>
    </row>
    <row r="35" spans="1:16" ht="15.75" x14ac:dyDescent="0.3">
      <c r="A35" s="15"/>
      <c r="B35" s="18" t="s">
        <v>162</v>
      </c>
      <c r="C35" s="8"/>
      <c r="D35" s="8"/>
      <c r="E35" s="8"/>
      <c r="F35" s="15"/>
      <c r="G35" s="16"/>
      <c r="H35" s="16"/>
      <c r="I35" s="15"/>
      <c r="J35" s="23"/>
      <c r="K35" s="24"/>
      <c r="L35" s="83"/>
      <c r="M35" s="85"/>
      <c r="N35" s="16"/>
      <c r="O35" s="25"/>
      <c r="P35" s="25"/>
    </row>
    <row r="36" spans="1:16" ht="15.75" x14ac:dyDescent="0.3">
      <c r="A36" s="15"/>
      <c r="B36" s="14" t="s">
        <v>163</v>
      </c>
      <c r="C36" s="8"/>
      <c r="D36" s="8"/>
      <c r="E36" s="8"/>
      <c r="F36" s="8"/>
      <c r="G36" s="16"/>
      <c r="H36" s="16"/>
      <c r="I36" s="8"/>
      <c r="J36" s="23"/>
      <c r="M36" s="16"/>
      <c r="N36" s="16"/>
      <c r="O36" s="25"/>
      <c r="P36" s="25"/>
    </row>
    <row r="37" spans="1:16" ht="15.75" x14ac:dyDescent="0.3">
      <c r="A37" s="15"/>
      <c r="B37" s="18" t="s">
        <v>164</v>
      </c>
      <c r="C37" s="8"/>
      <c r="D37" s="8"/>
      <c r="E37" s="8"/>
      <c r="F37" s="15"/>
      <c r="G37" s="16"/>
      <c r="H37" s="16"/>
      <c r="I37" s="15"/>
      <c r="J37" s="23"/>
      <c r="M37" s="16"/>
      <c r="N37" s="16"/>
      <c r="O37" s="25"/>
      <c r="P37" s="25"/>
    </row>
    <row r="38" spans="1:16" ht="15" x14ac:dyDescent="0.3">
      <c r="A38" s="15" t="s">
        <v>165</v>
      </c>
      <c r="B38" s="16"/>
      <c r="C38" s="15"/>
      <c r="D38" s="15"/>
      <c r="E38" s="15"/>
      <c r="F38" s="15"/>
      <c r="G38" s="16"/>
      <c r="H38" s="16"/>
      <c r="I38" s="16"/>
      <c r="J38" s="23"/>
      <c r="M38" s="16"/>
      <c r="N38" s="16"/>
      <c r="O38" s="25"/>
      <c r="P38" s="25"/>
    </row>
    <row r="39" spans="1:16" ht="15.75" x14ac:dyDescent="0.3">
      <c r="A39" s="15"/>
      <c r="B39" s="19"/>
      <c r="C39" s="8"/>
      <c r="D39" s="8"/>
      <c r="E39" s="8"/>
      <c r="F39" s="8"/>
      <c r="G39" s="19"/>
      <c r="H39" s="8"/>
      <c r="I39" s="8"/>
      <c r="J39" s="23"/>
    </row>
    <row r="40" spans="1:16" ht="15.75" x14ac:dyDescent="0.3">
      <c r="B40" s="19"/>
      <c r="C40" s="8"/>
      <c r="D40" s="8"/>
      <c r="E40" s="8"/>
      <c r="F40" s="8"/>
      <c r="G40" s="19"/>
      <c r="H40" s="8"/>
      <c r="I40" s="8"/>
      <c r="J40" s="23"/>
    </row>
    <row r="41" spans="1:16" ht="15.75" x14ac:dyDescent="0.3">
      <c r="A41" s="15" t="s">
        <v>166</v>
      </c>
      <c r="B41" s="19"/>
      <c r="C41" s="8"/>
      <c r="D41" s="8"/>
      <c r="E41" s="8"/>
      <c r="F41" s="8"/>
      <c r="G41" s="19"/>
      <c r="H41" s="8"/>
      <c r="I41" s="8"/>
      <c r="J41" s="23"/>
    </row>
    <row r="42" spans="1:16" ht="15.75" x14ac:dyDescent="0.3">
      <c r="A42" s="15" t="s">
        <v>167</v>
      </c>
      <c r="B42" s="19"/>
      <c r="C42" s="8"/>
      <c r="D42" s="8"/>
      <c r="E42" s="8"/>
      <c r="F42" s="8"/>
      <c r="G42" s="19"/>
      <c r="H42" s="8"/>
      <c r="I42" s="8"/>
      <c r="J42" s="23"/>
    </row>
    <row r="43" spans="1:16" ht="15.75" x14ac:dyDescent="0.3">
      <c r="A43" s="15" t="s">
        <v>168</v>
      </c>
      <c r="B43" s="19"/>
      <c r="C43" s="8"/>
      <c r="D43" s="8"/>
      <c r="E43" s="8"/>
      <c r="F43" s="8"/>
      <c r="G43" s="19"/>
      <c r="H43" s="8"/>
      <c r="I43" s="8"/>
      <c r="J43" s="23"/>
    </row>
    <row r="44" spans="1:16" ht="15.75" x14ac:dyDescent="0.3">
      <c r="A44" s="15" t="s">
        <v>169</v>
      </c>
      <c r="B44" s="19"/>
      <c r="C44" s="8"/>
      <c r="D44" s="8"/>
      <c r="E44" s="8"/>
      <c r="F44" s="8"/>
      <c r="G44" s="19"/>
      <c r="H44" s="8"/>
      <c r="I44" s="8"/>
      <c r="J44" s="23"/>
    </row>
    <row r="45" spans="1:16" ht="15.75" x14ac:dyDescent="0.3">
      <c r="A45" s="15" t="s">
        <v>170</v>
      </c>
      <c r="B45" s="19"/>
      <c r="C45" s="8"/>
      <c r="D45" s="8"/>
      <c r="E45" s="8"/>
      <c r="F45" s="8"/>
      <c r="G45" s="19"/>
      <c r="H45" s="8"/>
      <c r="I45" s="8"/>
      <c r="J45" s="23"/>
    </row>
    <row r="46" spans="1:16" ht="15.75" x14ac:dyDescent="0.3">
      <c r="A46" s="15" t="s">
        <v>171</v>
      </c>
      <c r="B46" s="19"/>
      <c r="C46" s="8"/>
      <c r="D46" s="8"/>
      <c r="E46" s="8"/>
      <c r="F46" s="8"/>
      <c r="G46" s="19"/>
      <c r="H46" s="8"/>
      <c r="I46" s="8"/>
      <c r="J46" s="23"/>
    </row>
    <row r="47" spans="1:16" ht="15.75" x14ac:dyDescent="0.3">
      <c r="A47" s="15" t="s">
        <v>172</v>
      </c>
      <c r="B47" s="19"/>
      <c r="C47" s="8"/>
      <c r="D47" s="8"/>
      <c r="E47" s="8"/>
      <c r="F47" s="8"/>
      <c r="G47" s="19"/>
      <c r="H47" s="8"/>
      <c r="I47" s="8"/>
      <c r="J47" s="23"/>
    </row>
    <row r="48" spans="1:16" ht="15.75" x14ac:dyDescent="0.3">
      <c r="A48" s="15" t="s">
        <v>173</v>
      </c>
      <c r="B48" s="19"/>
      <c r="C48" s="8"/>
      <c r="D48" s="8"/>
      <c r="E48" s="8"/>
      <c r="F48" s="8"/>
      <c r="G48" s="19"/>
      <c r="H48" s="8"/>
      <c r="I48" s="8"/>
      <c r="J48" s="23"/>
    </row>
    <row r="49" spans="1:10" ht="15.75" x14ac:dyDescent="0.3">
      <c r="A49" s="15" t="s">
        <v>174</v>
      </c>
      <c r="B49" s="19"/>
      <c r="C49" s="8"/>
      <c r="D49" s="8"/>
      <c r="E49" s="8"/>
      <c r="F49" s="8"/>
      <c r="G49" s="19"/>
      <c r="H49" s="8"/>
      <c r="I49" s="8"/>
      <c r="J49" s="23"/>
    </row>
    <row r="50" spans="1:10" ht="15.75" x14ac:dyDescent="0.3">
      <c r="A50" s="15" t="s">
        <v>175</v>
      </c>
      <c r="B50" s="19"/>
      <c r="C50" s="8"/>
      <c r="D50" s="8"/>
      <c r="E50" s="8"/>
      <c r="F50" s="8"/>
      <c r="G50" s="19"/>
      <c r="H50" s="8"/>
      <c r="I50" s="8"/>
      <c r="J50" s="23"/>
    </row>
    <row r="51" spans="1:10" ht="15.75" x14ac:dyDescent="0.3">
      <c r="A51" s="15" t="s">
        <v>176</v>
      </c>
      <c r="B51" s="19"/>
      <c r="C51" s="8"/>
      <c r="D51" s="8"/>
      <c r="E51" s="8"/>
      <c r="F51" s="8"/>
      <c r="G51" s="19"/>
      <c r="H51" s="8"/>
      <c r="I51" s="8"/>
      <c r="J51" s="23"/>
    </row>
    <row r="52" spans="1:10" ht="15.75" x14ac:dyDescent="0.3">
      <c r="A52" s="15" t="s">
        <v>177</v>
      </c>
      <c r="B52" s="19"/>
      <c r="C52" s="8"/>
      <c r="D52" s="8"/>
      <c r="E52" s="8"/>
      <c r="F52" s="8"/>
      <c r="G52" s="19"/>
      <c r="H52" s="8"/>
      <c r="I52" s="8"/>
      <c r="J52" s="23"/>
    </row>
    <row r="53" spans="1:10" ht="15.75" x14ac:dyDescent="0.3">
      <c r="A53" s="15" t="s">
        <v>178</v>
      </c>
      <c r="B53" s="19"/>
      <c r="C53" s="8"/>
      <c r="D53" s="8"/>
      <c r="E53" s="8"/>
      <c r="F53" s="8"/>
      <c r="G53" s="19"/>
      <c r="H53" s="8"/>
      <c r="I53" s="8"/>
      <c r="J53" s="23"/>
    </row>
    <row r="54" spans="1:10" ht="15.75" x14ac:dyDescent="0.3">
      <c r="A54" s="15" t="s">
        <v>179</v>
      </c>
      <c r="B54" s="19"/>
      <c r="C54" s="8"/>
      <c r="D54" s="8"/>
      <c r="E54" s="8"/>
      <c r="F54" s="8"/>
      <c r="G54" s="19"/>
      <c r="H54" s="8"/>
      <c r="I54" s="8"/>
      <c r="J54" s="23"/>
    </row>
    <row r="55" spans="1:10" ht="15.75" x14ac:dyDescent="0.3">
      <c r="A55" s="15" t="s">
        <v>180</v>
      </c>
      <c r="B55" s="19" t="s">
        <v>118</v>
      </c>
      <c r="C55" s="8"/>
      <c r="D55" s="8"/>
      <c r="E55" s="8"/>
      <c r="F55" s="8"/>
      <c r="G55" s="19"/>
      <c r="H55" s="8"/>
      <c r="I55" s="8"/>
      <c r="J55" s="23"/>
    </row>
    <row r="56" spans="1:10" ht="15.75" x14ac:dyDescent="0.3">
      <c r="A56" s="15"/>
      <c r="B56" s="19" t="s">
        <v>240</v>
      </c>
      <c r="C56" s="8"/>
      <c r="D56" s="8"/>
      <c r="E56" s="8"/>
      <c r="F56" s="8"/>
      <c r="G56" s="19"/>
      <c r="H56" s="8"/>
      <c r="I56" s="8"/>
      <c r="J56" s="23"/>
    </row>
    <row r="57" spans="1:10" ht="15.75" x14ac:dyDescent="0.3">
      <c r="A57" s="15" t="s">
        <v>181</v>
      </c>
      <c r="B57" s="19"/>
      <c r="C57" s="8"/>
      <c r="D57" s="8"/>
      <c r="E57" s="8"/>
      <c r="F57" s="8"/>
      <c r="G57" s="19"/>
      <c r="H57" s="8"/>
      <c r="I57" s="8"/>
      <c r="J57" s="23"/>
    </row>
    <row r="58" spans="1:10" ht="15.75" x14ac:dyDescent="0.3">
      <c r="A58" s="15" t="s">
        <v>182</v>
      </c>
      <c r="B58" s="19"/>
      <c r="C58" s="8"/>
      <c r="D58" s="8"/>
      <c r="E58" s="8"/>
      <c r="F58" s="8"/>
      <c r="G58" s="19"/>
      <c r="H58" s="8"/>
      <c r="I58" s="8"/>
      <c r="J58" s="23"/>
    </row>
    <row r="59" spans="1:10" ht="15.75" x14ac:dyDescent="0.3">
      <c r="A59" s="15" t="s">
        <v>183</v>
      </c>
      <c r="B59" s="19"/>
      <c r="C59" s="8"/>
      <c r="D59" s="8"/>
      <c r="E59" s="8"/>
      <c r="F59" s="8"/>
      <c r="G59" s="19"/>
      <c r="H59" s="8"/>
      <c r="I59" s="8"/>
      <c r="J59" s="23"/>
    </row>
    <row r="60" spans="1:10" ht="15.75" x14ac:dyDescent="0.3">
      <c r="A60" s="15" t="s">
        <v>184</v>
      </c>
      <c r="B60" s="19"/>
      <c r="C60" s="8"/>
      <c r="D60" s="8"/>
      <c r="E60" s="8"/>
      <c r="F60" s="8"/>
      <c r="G60" s="19"/>
      <c r="H60" s="8"/>
      <c r="I60" s="8"/>
      <c r="J60" s="23"/>
    </row>
    <row r="61" spans="1:10" ht="15.75" x14ac:dyDescent="0.3">
      <c r="A61" s="15" t="s">
        <v>185</v>
      </c>
      <c r="B61" s="19"/>
      <c r="C61" s="8"/>
      <c r="D61" s="8"/>
      <c r="E61" s="8"/>
      <c r="F61" s="8"/>
      <c r="G61" s="19"/>
      <c r="H61" s="8"/>
      <c r="I61" s="8"/>
      <c r="J61" s="23"/>
    </row>
    <row r="62" spans="1:10" ht="15.75" x14ac:dyDescent="0.3">
      <c r="A62" s="20" t="s">
        <v>186</v>
      </c>
      <c r="B62" s="19"/>
      <c r="C62" s="8"/>
      <c r="D62" s="8"/>
      <c r="E62" s="8"/>
      <c r="F62" s="8"/>
      <c r="G62" s="19"/>
      <c r="H62" s="8"/>
      <c r="I62" s="8"/>
      <c r="J62" s="23"/>
    </row>
    <row r="63" spans="1:10" ht="15.75" x14ac:dyDescent="0.3">
      <c r="A63" s="20" t="s">
        <v>187</v>
      </c>
      <c r="B63" s="19" t="s">
        <v>54</v>
      </c>
      <c r="C63" s="8"/>
      <c r="D63" s="8"/>
      <c r="E63" s="8"/>
      <c r="F63" s="8"/>
      <c r="G63" s="19"/>
      <c r="H63" s="8"/>
      <c r="I63" s="80"/>
      <c r="J63" s="23"/>
    </row>
    <row r="64" spans="1:10" ht="15.75" x14ac:dyDescent="0.3">
      <c r="A64" s="20"/>
      <c r="B64" s="19" t="s">
        <v>52</v>
      </c>
      <c r="C64" s="8"/>
      <c r="D64" s="8"/>
      <c r="E64" s="8"/>
      <c r="F64" s="8"/>
      <c r="G64" s="19"/>
      <c r="H64" s="8"/>
      <c r="I64" s="80"/>
      <c r="J64" s="23"/>
    </row>
    <row r="65" spans="1:10" ht="16.899999999999999" x14ac:dyDescent="0.3">
      <c r="A65" s="26"/>
      <c r="B65" s="19"/>
      <c r="C65" s="8"/>
      <c r="D65" s="8"/>
      <c r="E65" s="8"/>
      <c r="F65" s="8"/>
      <c r="G65" s="19"/>
      <c r="H65" s="8"/>
      <c r="I65" s="80"/>
      <c r="J65" s="23"/>
    </row>
    <row r="66" spans="1:10" ht="15.75" x14ac:dyDescent="0.3">
      <c r="A66" s="20"/>
      <c r="B66" s="19"/>
      <c r="C66" s="8"/>
      <c r="D66" s="8"/>
      <c r="E66" s="8"/>
      <c r="F66" s="8"/>
      <c r="G66" s="19"/>
      <c r="H66" s="8"/>
      <c r="I66" s="80"/>
      <c r="J66" s="23"/>
    </row>
    <row r="67" spans="1:10" ht="15.75" x14ac:dyDescent="0.3">
      <c r="A67" s="20" t="s">
        <v>188</v>
      </c>
      <c r="B67" s="19" t="s">
        <v>50</v>
      </c>
      <c r="C67" s="8"/>
      <c r="D67" s="8"/>
      <c r="E67" s="8"/>
      <c r="F67" s="8"/>
      <c r="G67" s="19"/>
      <c r="H67" s="8"/>
      <c r="I67" s="80"/>
      <c r="J67" s="23"/>
    </row>
    <row r="68" spans="1:10" ht="15.75" x14ac:dyDescent="0.3">
      <c r="A68" s="20"/>
      <c r="B68" s="19" t="s">
        <v>56</v>
      </c>
      <c r="C68" s="8"/>
      <c r="D68" s="8"/>
      <c r="E68" s="8"/>
      <c r="F68" s="8"/>
      <c r="G68" s="19"/>
      <c r="H68" s="8"/>
      <c r="I68" s="80"/>
      <c r="J68" s="23"/>
    </row>
    <row r="69" spans="1:10" ht="15.75" x14ac:dyDescent="0.3">
      <c r="A69" s="20"/>
      <c r="B69" s="19"/>
      <c r="C69" s="8"/>
      <c r="D69" s="8"/>
      <c r="E69" s="8"/>
      <c r="F69" s="8"/>
      <c r="G69" s="19"/>
      <c r="H69" s="8"/>
      <c r="I69" s="80"/>
      <c r="J69" s="23"/>
    </row>
    <row r="70" spans="1:10" ht="15.75" x14ac:dyDescent="0.3">
      <c r="A70" s="20"/>
      <c r="B70" s="19"/>
      <c r="C70" s="8"/>
      <c r="D70" s="8"/>
      <c r="E70" s="8"/>
      <c r="F70" s="8"/>
      <c r="G70" s="19"/>
      <c r="H70" s="8"/>
      <c r="I70" s="80"/>
      <c r="J70" s="23"/>
    </row>
    <row r="71" spans="1:10" ht="15.75" x14ac:dyDescent="0.3">
      <c r="A71" s="20"/>
      <c r="B71" s="19"/>
      <c r="C71" s="8"/>
      <c r="D71" s="8"/>
      <c r="E71" s="8"/>
      <c r="F71" s="8"/>
      <c r="G71" s="19"/>
      <c r="H71" s="8"/>
      <c r="I71" s="8"/>
      <c r="J71" s="23"/>
    </row>
    <row r="72" spans="1:10" ht="15.75" x14ac:dyDescent="0.3">
      <c r="A72" s="20"/>
      <c r="B72" s="19"/>
      <c r="C72" s="8"/>
      <c r="D72" s="8"/>
      <c r="E72" s="8"/>
      <c r="F72" s="8"/>
      <c r="G72" s="19"/>
      <c r="H72" s="8"/>
      <c r="I72" s="8"/>
      <c r="J72" s="23"/>
    </row>
    <row r="73" spans="1:10" ht="15.75" x14ac:dyDescent="0.3">
      <c r="A73" s="15"/>
      <c r="B73" s="19"/>
      <c r="C73" s="8"/>
      <c r="D73" s="8"/>
      <c r="E73" s="8"/>
      <c r="F73" s="8"/>
      <c r="G73" s="19"/>
      <c r="H73" s="8"/>
      <c r="I73" s="8"/>
      <c r="J73" s="23"/>
    </row>
    <row r="74" spans="1:10" ht="15.75" x14ac:dyDescent="0.3">
      <c r="A74" s="20" t="s">
        <v>189</v>
      </c>
      <c r="B74" s="19"/>
      <c r="C74" s="8"/>
      <c r="D74" s="8"/>
      <c r="E74" s="8"/>
      <c r="F74" s="8"/>
      <c r="G74" s="19"/>
      <c r="H74" s="8"/>
      <c r="I74" s="8"/>
      <c r="J74" s="23"/>
    </row>
    <row r="75" spans="1:10" ht="15.75" x14ac:dyDescent="0.3">
      <c r="A75" s="15" t="s">
        <v>190</v>
      </c>
      <c r="B75" s="19"/>
      <c r="C75" s="8"/>
      <c r="D75" s="8"/>
      <c r="E75" s="8"/>
      <c r="F75" s="8"/>
      <c r="G75" s="19"/>
      <c r="H75" s="8"/>
      <c r="I75" s="8"/>
      <c r="J75" s="23"/>
    </row>
    <row r="76" spans="1:10" ht="15.75" x14ac:dyDescent="0.3">
      <c r="A76" s="13" t="s">
        <v>191</v>
      </c>
      <c r="B76" s="19"/>
      <c r="C76" s="8"/>
      <c r="D76" s="8"/>
      <c r="E76" s="8"/>
      <c r="F76" s="8"/>
      <c r="G76" s="19"/>
      <c r="H76" s="8"/>
      <c r="I76" s="8"/>
      <c r="J76" s="23"/>
    </row>
    <row r="77" spans="1:10" ht="15.75" x14ac:dyDescent="0.3">
      <c r="A77" s="20" t="s">
        <v>192</v>
      </c>
      <c r="C77" s="8"/>
      <c r="D77" s="8"/>
      <c r="E77" s="8"/>
      <c r="F77" s="8"/>
      <c r="H77" s="8"/>
      <c r="I77" s="8"/>
      <c r="J77" s="23"/>
    </row>
    <row r="78" spans="1:10" ht="15" x14ac:dyDescent="0.3">
      <c r="A78" s="15" t="s">
        <v>193</v>
      </c>
      <c r="C78" s="8"/>
      <c r="D78" s="8"/>
      <c r="E78" s="8"/>
      <c r="F78" s="8"/>
      <c r="H78" s="8"/>
      <c r="I78" s="8"/>
      <c r="J78" s="23"/>
    </row>
    <row r="79" spans="1:10" ht="15" x14ac:dyDescent="0.3">
      <c r="A79" s="15" t="s">
        <v>194</v>
      </c>
      <c r="C79" s="8"/>
      <c r="D79" s="8"/>
      <c r="E79" s="8"/>
      <c r="F79" s="8"/>
      <c r="H79" s="8"/>
      <c r="I79" s="8"/>
      <c r="J79" s="23"/>
    </row>
    <row r="80" spans="1:10" ht="15" x14ac:dyDescent="0.3">
      <c r="C80" s="10"/>
      <c r="D80" s="10"/>
      <c r="E80" s="10"/>
      <c r="F80" s="10"/>
      <c r="H80" s="8"/>
      <c r="I80" s="8"/>
      <c r="J80" s="23"/>
    </row>
    <row r="81" spans="3:6" x14ac:dyDescent="0.3">
      <c r="C81" s="10"/>
      <c r="D81" s="10"/>
      <c r="E81" s="10"/>
      <c r="F81" s="10"/>
    </row>
    <row r="82" spans="3:6" x14ac:dyDescent="0.3">
      <c r="C82" s="10"/>
      <c r="D82" s="10"/>
      <c r="E82" s="10"/>
      <c r="F82" s="10"/>
    </row>
    <row r="83" spans="3:6" x14ac:dyDescent="0.3">
      <c r="C83" s="10"/>
      <c r="D83" s="10"/>
      <c r="E83" s="10"/>
      <c r="F83" s="10"/>
    </row>
    <row r="84" spans="3:6" x14ac:dyDescent="0.3">
      <c r="C84" s="10"/>
      <c r="D84" s="10"/>
      <c r="E84" s="10"/>
      <c r="F84" s="10"/>
    </row>
  </sheetData>
  <mergeCells count="3">
    <mergeCell ref="A11:A13"/>
    <mergeCell ref="C2:C8"/>
    <mergeCell ref="I63:I70"/>
  </mergeCells>
  <phoneticPr fontId="5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氢价指数</vt:lpstr>
      <vt:lpstr>基础电价数据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Xiao Liu [cn19xl]</cp:lastModifiedBy>
  <dcterms:created xsi:type="dcterms:W3CDTF">2026-04-15T06:54:00Z</dcterms:created>
  <dcterms:modified xsi:type="dcterms:W3CDTF">2026-06-03T10:15:35Z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E60D0B2B952F405588C01AF4D2998CCA</vt:lpwstr>
  </property>
  <property fmtid="{D5CDD505-2E9C-101B-9397-08002B2CF9AE}" pid="3" name="KSOProductBuildVer">
    <vt:lpwstr>2052-11.8.0.16970</vt:lpwstr>
  </property>
  <property fmtid="{D5CDD505-2E9C-101B-9397-08002B2CF9AE}" pid="4" name="KSOReadingLayout">
    <vt:bool>true</vt:bool>
  </property>
</Properties>
</file>